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https://derlerncoach-my.sharepoint.com/personal/info_hh_der-lerncoach_solutions/Documents/Buecher/4. Bauanleitungen_PowerBI/Dateien/Lerndateien_BI/"/>
    </mc:Choice>
  </mc:AlternateContent>
  <xr:revisionPtr revIDLastSave="39" documentId="8_{20036BE9-1138-4ED7-96DA-BA2CFA5BD848}" xr6:coauthVersionLast="47" xr6:coauthVersionMax="47" xr10:uidLastSave="{F3699DAE-52F0-45F3-B9CC-4C4F1DF56288}"/>
  <bookViews>
    <workbookView xWindow="28680" yWindow="-120" windowWidth="29040" windowHeight="15840" firstSheet="2" activeTab="2" xr2:uid="{B18F0853-6353-4441-BFE6-A75531EFDE41}"/>
  </bookViews>
  <sheets>
    <sheet name="4Lieferanten" sheetId="4" r:id="rId1"/>
    <sheet name="3PowerPivot" sheetId="6" r:id="rId2"/>
    <sheet name="Pivottabelle" sheetId="7" r:id="rId3"/>
  </sheets>
  <definedNames>
    <definedName name="_xlnm._FilterDatabase" localSheetId="1" hidden="1">'3PowerPivot'!$A$1:$G$200</definedName>
    <definedName name="_xlcn.WorksheetConnection_4KombiPower.xlsxtbl_Bestellungen1" hidden="1">tbl_Bestellungen[]</definedName>
    <definedName name="_xlcn.WorksheetConnection_4KombiPower.xlsxtbl_Lieferanten1" hidden="1">tbl_Lieferanten[]</definedName>
    <definedName name="Datenschnitt_Firma">#N/A</definedName>
    <definedName name="ExterneDaten_1" localSheetId="0" hidden="1">'4Lieferanten'!$A$1:$L$30</definedName>
  </definedNames>
  <calcPr calcId="191028"/>
  <pivotCaches>
    <pivotCache cacheId="1534" r:id="rId4"/>
  </pivotCaches>
  <extLst>
    <ext xmlns:x14="http://schemas.microsoft.com/office/spreadsheetml/2009/9/main" uri="{876F7934-8845-4945-9796-88D515C7AA90}">
      <x14:pivotCaches>
        <pivotCache cacheId="1535"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Lieferanten" name="tbl_Lieferanten" connection="WorksheetConnection_4KombiPower.xlsx!tbl_Lieferanten"/>
          <x15:modelTable id="tbl_Bestellungen" name="tbl_Bestellungen" connection="WorksheetConnection_4KombiPower.xlsx!tbl_Bestellungen"/>
        </x15:modelTables>
        <x15:modelRelationships>
          <x15:modelRelationship fromTable="tbl_Bestellungen" fromColumn="Lieferant_Nr" toTable="tbl_Lieferanten" toColumn="Lieferanten-N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1" i="6" l="1"/>
  <c r="F201" i="6"/>
  <c r="E2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9D5E08-9892-4CEE-B4A2-818BE2874641}" keepAlive="1" name="Abfrage - 4Lieferanten" description="Verbindung mit der Abfrage '4Lieferanten' in der Arbeitsmappe." type="5" refreshedVersion="8" background="1" saveData="1">
    <dbPr connection="Provider=Microsoft.Mashup.OleDb.1;Data Source=$Workbook$;Location=4Lieferanten;Extended Properties=&quot;&quot;" command="SELECT * FROM [4Lieferanten]"/>
  </connection>
  <connection id="2" xr16:uid="{09E30DEA-6242-46F7-9CBF-F09B6557C6BB}"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B30B610-F7E2-4EC4-9E2C-22B87B59EB2C}" name="WorksheetConnection_4KombiPower.xlsx!tbl_Bestellungen" type="102" refreshedVersion="8" minRefreshableVersion="5">
    <extLst>
      <ext xmlns:x15="http://schemas.microsoft.com/office/spreadsheetml/2010/11/main" uri="{DE250136-89BD-433C-8126-D09CA5730AF9}">
        <x15:connection id="tbl_Bestellungen">
          <x15:rangePr sourceName="_xlcn.WorksheetConnection_4KombiPower.xlsxtbl_Bestellungen1"/>
        </x15:connection>
      </ext>
    </extLst>
  </connection>
  <connection id="4" xr16:uid="{E5EB98F6-3832-4B5A-871F-6DF4F9F244E1}" name="WorksheetConnection_4KombiPower.xlsx!tbl_Lieferanten" type="102" refreshedVersion="8" minRefreshableVersion="5">
    <extLst>
      <ext xmlns:x15="http://schemas.microsoft.com/office/spreadsheetml/2010/11/main" uri="{DE250136-89BD-433C-8126-D09CA5730AF9}">
        <x15:connection id="tbl_Lieferanten">
          <x15:rangePr sourceName="_xlcn.WorksheetConnection_4KombiPower.xlsxtbl_Lieferanten1"/>
        </x15:connection>
      </ext>
    </extLst>
  </connection>
</connections>
</file>

<file path=xl/sharedStrings.xml><?xml version="1.0" encoding="utf-8"?>
<sst xmlns="http://schemas.openxmlformats.org/spreadsheetml/2006/main" count="964" uniqueCount="293">
  <si>
    <t>Lieferanten-Nr</t>
  </si>
  <si>
    <t>Firma</t>
  </si>
  <si>
    <t>Kontaktperson</t>
  </si>
  <si>
    <t>Position</t>
  </si>
  <si>
    <t>Straße</t>
  </si>
  <si>
    <t>Ort</t>
  </si>
  <si>
    <t>Region</t>
  </si>
  <si>
    <t>PLZ</t>
  </si>
  <si>
    <t>Land</t>
  </si>
  <si>
    <t>Telefon</t>
  </si>
  <si>
    <t>Telefax</t>
  </si>
  <si>
    <t>Homepage</t>
  </si>
  <si>
    <t>Exotic Liquids</t>
  </si>
  <si>
    <t>Charlotte Cooper</t>
  </si>
  <si>
    <t>Einkaufsmanager</t>
  </si>
  <si>
    <t>49 Gilbert St.</t>
  </si>
  <si>
    <t>London</t>
  </si>
  <si>
    <t/>
  </si>
  <si>
    <t>EC1 4SD</t>
  </si>
  <si>
    <t>Großbritannien</t>
  </si>
  <si>
    <t>(71) 555-2222</t>
  </si>
  <si>
    <t>New Orleans Cajun Delights</t>
  </si>
  <si>
    <t>Shelley Burke</t>
  </si>
  <si>
    <t>Bestellungen-Sachbearbeiterin</t>
  </si>
  <si>
    <t>P.O. Box 78934</t>
  </si>
  <si>
    <t>New Orleans</t>
  </si>
  <si>
    <t>LA</t>
  </si>
  <si>
    <t>70117</t>
  </si>
  <si>
    <t>USA</t>
  </si>
  <si>
    <t>(100) 555-4822</t>
  </si>
  <si>
    <t>Grandma Kelly's Homestead</t>
  </si>
  <si>
    <t>Regina Murphy</t>
  </si>
  <si>
    <t>Vertriebsmitarbeiterin</t>
  </si>
  <si>
    <t>707 Oxford Rd.</t>
  </si>
  <si>
    <t>Ann Arbor</t>
  </si>
  <si>
    <t>MI</t>
  </si>
  <si>
    <t>48104</t>
  </si>
  <si>
    <t>(313) 555-5735</t>
  </si>
  <si>
    <t>(313) 555-3349</t>
  </si>
  <si>
    <t>Tokyo Traders</t>
  </si>
  <si>
    <t>Yoshi Nagase</t>
  </si>
  <si>
    <t>Marketingmanager</t>
  </si>
  <si>
    <t>9-8 Sekimai Musashino-shi</t>
  </si>
  <si>
    <t>Tokyo</t>
  </si>
  <si>
    <t>100</t>
  </si>
  <si>
    <t>Japan</t>
  </si>
  <si>
    <t>(03) 3555-5011</t>
  </si>
  <si>
    <t>Cooperativa de Quesos 'Las Cabras'</t>
  </si>
  <si>
    <t xml:space="preserve">Antonio del Valle Saavedra </t>
  </si>
  <si>
    <t>Exportadministrator</t>
  </si>
  <si>
    <t>Calle del Rosal 4</t>
  </si>
  <si>
    <t>Oviedo</t>
  </si>
  <si>
    <t>Asturias</t>
  </si>
  <si>
    <t>33007</t>
  </si>
  <si>
    <t>Spanien</t>
  </si>
  <si>
    <t>(98) 598 76 54</t>
  </si>
  <si>
    <t>Mayumi's</t>
  </si>
  <si>
    <t>Mayumi Ohno</t>
  </si>
  <si>
    <t>Marketingrepräsentant</t>
  </si>
  <si>
    <t>92 Setsuko Chuo-ku</t>
  </si>
  <si>
    <t>Osaka</t>
  </si>
  <si>
    <t>545</t>
  </si>
  <si>
    <t>(06) 431-7877</t>
  </si>
  <si>
    <t>Mayumi's (im World Wide Web)#http://www.microsoft.com/accessdev/sampleapps/mayumi.htm#</t>
  </si>
  <si>
    <t>Pavlova, Ltd.</t>
  </si>
  <si>
    <t>Ian Devling</t>
  </si>
  <si>
    <t>74 Rose St. Moonie Ponds</t>
  </si>
  <si>
    <t>Melbourne</t>
  </si>
  <si>
    <t>Victoria</t>
  </si>
  <si>
    <t>3058</t>
  </si>
  <si>
    <t>Australien</t>
  </si>
  <si>
    <t>(03) 444-2343</t>
  </si>
  <si>
    <t>(03) 444-6588</t>
  </si>
  <si>
    <t>Specialty Biscuits, Ltd.</t>
  </si>
  <si>
    <t>Peter Wilson</t>
  </si>
  <si>
    <t>Vertriebsmitarbeiter</t>
  </si>
  <si>
    <t>29 King's Way</t>
  </si>
  <si>
    <t>Manchester</t>
  </si>
  <si>
    <t>M14 GSD</t>
  </si>
  <si>
    <t>(26) 555-4448</t>
  </si>
  <si>
    <t>PB Knäckebröd AB</t>
  </si>
  <si>
    <t>Lars Peterson</t>
  </si>
  <si>
    <t>Vertriebsagent</t>
  </si>
  <si>
    <t>Kaloadagatan 13</t>
  </si>
  <si>
    <t>Göteborg</t>
  </si>
  <si>
    <t>S-345 67</t>
  </si>
  <si>
    <t>Schweden</t>
  </si>
  <si>
    <t>031-987 65 43</t>
  </si>
  <si>
    <t>031-987 65 91</t>
  </si>
  <si>
    <t>Refrescos Americanas LTDA</t>
  </si>
  <si>
    <t>Carlos Diaz</t>
  </si>
  <si>
    <t>Av. das Americanas 12.890</t>
  </si>
  <si>
    <t>São Paulo</t>
  </si>
  <si>
    <t>5442</t>
  </si>
  <si>
    <t>Brasilien</t>
  </si>
  <si>
    <t>(11) 555 4640</t>
  </si>
  <si>
    <t>Heli Süßwaren GmbH &amp; Co. KG</t>
  </si>
  <si>
    <t>Petra Winkler</t>
  </si>
  <si>
    <t>Vertriebsmanager</t>
  </si>
  <si>
    <t>Tiergartenstraße 5</t>
  </si>
  <si>
    <t>Berlin</t>
  </si>
  <si>
    <t>10785</t>
  </si>
  <si>
    <t>Deutschland</t>
  </si>
  <si>
    <t>(010) 9984510</t>
  </si>
  <si>
    <t>Plutzer Lebensmittelgroßmärkte AG</t>
  </si>
  <si>
    <t>Martin Bein</t>
  </si>
  <si>
    <t>Marketingmanager International</t>
  </si>
  <si>
    <t>Bogenallee 51</t>
  </si>
  <si>
    <t>Frankfurt</t>
  </si>
  <si>
    <t>60439</t>
  </si>
  <si>
    <t>(069) 992755</t>
  </si>
  <si>
    <t>Plutzer (im World Wide Web)#http://www.microsoft.com/accessdev/sampleapps/plutzer.htm#</t>
  </si>
  <si>
    <t>Nord-Ost-Fisch Handelsgesellschaft mbH</t>
  </si>
  <si>
    <t>Sven Petersen</t>
  </si>
  <si>
    <t>Koordinator Auslandsmärkte</t>
  </si>
  <si>
    <t>Frahmredder 112a</t>
  </si>
  <si>
    <t>Cuxhaven</t>
  </si>
  <si>
    <t>27478</t>
  </si>
  <si>
    <t>(04721) 8713</t>
  </si>
  <si>
    <t>(04721) 8714</t>
  </si>
  <si>
    <t>Formaggi Fortini s.r.l.</t>
  </si>
  <si>
    <t>Elio Rossi</t>
  </si>
  <si>
    <t>Viale Dante, 75</t>
  </si>
  <si>
    <t>Ravenna</t>
  </si>
  <si>
    <t>48100</t>
  </si>
  <si>
    <t>Italien</t>
  </si>
  <si>
    <t>(0544) 60323</t>
  </si>
  <si>
    <t>(0544) 60603</t>
  </si>
  <si>
    <t>Norske Meierier</t>
  </si>
  <si>
    <t>Beate Vileid</t>
  </si>
  <si>
    <t>Hatlevegen 5</t>
  </si>
  <si>
    <t>Sandvika</t>
  </si>
  <si>
    <t>1320</t>
  </si>
  <si>
    <t>Norwegen</t>
  </si>
  <si>
    <t>(0)2-953010</t>
  </si>
  <si>
    <t>Bigfoot Breweries</t>
  </si>
  <si>
    <t>Cheryl Saylor</t>
  </si>
  <si>
    <t>Regionalvertreterin</t>
  </si>
  <si>
    <t>3400 - 8th Avenue Suite 210</t>
  </si>
  <si>
    <t>Bend</t>
  </si>
  <si>
    <t>OR</t>
  </si>
  <si>
    <t>97101</t>
  </si>
  <si>
    <t>(503) 555-9931</t>
  </si>
  <si>
    <t>Svensk Sjöföda AB</t>
  </si>
  <si>
    <t>Michael Björn</t>
  </si>
  <si>
    <t>Brovallavägen 231</t>
  </si>
  <si>
    <t>Stockholm</t>
  </si>
  <si>
    <t>S-123 45</t>
  </si>
  <si>
    <t>08-123 45 67</t>
  </si>
  <si>
    <t>Aux joyeux ecclésiastiques</t>
  </si>
  <si>
    <t>Guylène Nodier</t>
  </si>
  <si>
    <t>203, Rue des Francs-Bourgeois</t>
  </si>
  <si>
    <t>Paris</t>
  </si>
  <si>
    <t>75004</t>
  </si>
  <si>
    <t>Frankreich</t>
  </si>
  <si>
    <t>(1) 03.83.00.68</t>
  </si>
  <si>
    <t>(1) 03.83.00.62</t>
  </si>
  <si>
    <t>New England Seafood Cannery</t>
  </si>
  <si>
    <t>Robb Merchant</t>
  </si>
  <si>
    <t>Großhandelsvertreter</t>
  </si>
  <si>
    <t>Order Processing Dept. 2100 Paul Revere Blvd.</t>
  </si>
  <si>
    <t>Boston</t>
  </si>
  <si>
    <t>MA</t>
  </si>
  <si>
    <t>02134</t>
  </si>
  <si>
    <t>(617) 555-3267</t>
  </si>
  <si>
    <t>(617) 555-3389</t>
  </si>
  <si>
    <t>Leka Trading</t>
  </si>
  <si>
    <t>Chandra Leka</t>
  </si>
  <si>
    <t>Inhaberin</t>
  </si>
  <si>
    <t>471 Serangoon Loop, Suite #402</t>
  </si>
  <si>
    <t>Singapore</t>
  </si>
  <si>
    <t>0512</t>
  </si>
  <si>
    <t>Singapur</t>
  </si>
  <si>
    <t>555-8787</t>
  </si>
  <si>
    <t>Lyngbysild</t>
  </si>
  <si>
    <t>Niels Petersen</t>
  </si>
  <si>
    <t>Lyngbysild Fiskebakken 10</t>
  </si>
  <si>
    <t>Lyngby</t>
  </si>
  <si>
    <t>2800</t>
  </si>
  <si>
    <t>Dänemark</t>
  </si>
  <si>
    <t>43844108</t>
  </si>
  <si>
    <t>43844115</t>
  </si>
  <si>
    <t>Zaanse Snoepfabriek</t>
  </si>
  <si>
    <t>Dirk Luchte</t>
  </si>
  <si>
    <t>Buchhaltung-Sachbearbeiter</t>
  </si>
  <si>
    <t>Verkoop Rijnweg 22</t>
  </si>
  <si>
    <t>Zaandam</t>
  </si>
  <si>
    <t>9999 ZZ</t>
  </si>
  <si>
    <t>Niederlande</t>
  </si>
  <si>
    <t>(12345) 1212</t>
  </si>
  <si>
    <t>(12345) 1210</t>
  </si>
  <si>
    <t>Karkki Oy</t>
  </si>
  <si>
    <t>Anne Heikkonen</t>
  </si>
  <si>
    <t>Produktmanager</t>
  </si>
  <si>
    <t>Valtakatu 12</t>
  </si>
  <si>
    <t>Lappeenranta</t>
  </si>
  <si>
    <t>53120</t>
  </si>
  <si>
    <t>Finnland</t>
  </si>
  <si>
    <t>(953) 10956</t>
  </si>
  <si>
    <t>G'day, Mate</t>
  </si>
  <si>
    <t>Wendy Mackenzie</t>
  </si>
  <si>
    <t>170 Prince Edward Parade Hunter's Hill</t>
  </si>
  <si>
    <t>Sydney</t>
  </si>
  <si>
    <t>NSW</t>
  </si>
  <si>
    <t>2042</t>
  </si>
  <si>
    <t>(02) 555-5914</t>
  </si>
  <si>
    <t>(02) 555-4873</t>
  </si>
  <si>
    <t>G'day Mate (im World Wide Web)#http://www.microsoft.com/accessdev/sampleapps/gdaymate.htm#</t>
  </si>
  <si>
    <t>Ma Maison</t>
  </si>
  <si>
    <t>Jean-Guy Lauzon</t>
  </si>
  <si>
    <t>2960 Rue St. Laurent</t>
  </si>
  <si>
    <t>Montréal</t>
  </si>
  <si>
    <t>Québec</t>
  </si>
  <si>
    <t>H1J 1C3</t>
  </si>
  <si>
    <t>Kanada</t>
  </si>
  <si>
    <t>(514) 555-9022</t>
  </si>
  <si>
    <t>Pasta Buttini s.r.l.</t>
  </si>
  <si>
    <t>Giovanni Giudici</t>
  </si>
  <si>
    <t>Bestellungen-Sachbearbeiter</t>
  </si>
  <si>
    <t>Via dei Gelsomini, 153</t>
  </si>
  <si>
    <t>Salerno</t>
  </si>
  <si>
    <t>84100</t>
  </si>
  <si>
    <t>(089) 6547665</t>
  </si>
  <si>
    <t>(089) 6547667</t>
  </si>
  <si>
    <t>Escargots Nouveaux</t>
  </si>
  <si>
    <t>Marie Delamare</t>
  </si>
  <si>
    <t>22, rue H. Voiron</t>
  </si>
  <si>
    <t>Montceau</t>
  </si>
  <si>
    <t>71300</t>
  </si>
  <si>
    <t>85.57.00.07</t>
  </si>
  <si>
    <t>Gai pâturage</t>
  </si>
  <si>
    <t>Eliane Noz</t>
  </si>
  <si>
    <t>Bat. B3, rue des Alpes</t>
  </si>
  <si>
    <t>Annecy</t>
  </si>
  <si>
    <t>74000</t>
  </si>
  <si>
    <t>38.76.98.06</t>
  </si>
  <si>
    <t>38.76.98.58</t>
  </si>
  <si>
    <t>Forêts d'érables</t>
  </si>
  <si>
    <t>Chantal Goulet</t>
  </si>
  <si>
    <t>Buchhaltung-Sachbearbeiterin</t>
  </si>
  <si>
    <t>148 rue Chasseur</t>
  </si>
  <si>
    <t>Ste-Hyacinthe</t>
  </si>
  <si>
    <t>J2S 7S8</t>
  </si>
  <si>
    <t>(514) 555-2955</t>
  </si>
  <si>
    <t>(514) 555-2921</t>
  </si>
  <si>
    <t>Bestelldatum</t>
  </si>
  <si>
    <t>Artikel_Nr</t>
  </si>
  <si>
    <t>Artikelname</t>
  </si>
  <si>
    <t>Lieferant_Nr</t>
  </si>
  <si>
    <t>EP</t>
  </si>
  <si>
    <t>VK_Menge</t>
  </si>
  <si>
    <t>Verkäufer</t>
  </si>
  <si>
    <t>01-0042-88</t>
  </si>
  <si>
    <t>Camembert Pierrot</t>
  </si>
  <si>
    <t>Hofer, Andreas</t>
  </si>
  <si>
    <t>Weber, Clara</t>
  </si>
  <si>
    <t>Heinrich, Petra</t>
  </si>
  <si>
    <t>Grosser, Sabine</t>
  </si>
  <si>
    <t>Callas, Sarah</t>
  </si>
  <si>
    <t>Suyama, Michael</t>
  </si>
  <si>
    <t>Fuller Andrew</t>
  </si>
  <si>
    <t>Krämer, Robert</t>
  </si>
  <si>
    <t>Becker, Manfred</t>
  </si>
  <si>
    <t>04-0041-55</t>
  </si>
  <si>
    <t>Chocolade surprise</t>
  </si>
  <si>
    <t>01-0015-44</t>
  </si>
  <si>
    <t>Irish Coffee</t>
  </si>
  <si>
    <t>07-0010-10</t>
  </si>
  <si>
    <t xml:space="preserve">Kopi Luwak </t>
  </si>
  <si>
    <t>05-0055-88</t>
  </si>
  <si>
    <t>Mozzarella di Giovanni</t>
  </si>
  <si>
    <t>03-0042-60</t>
  </si>
  <si>
    <t>Pâté chinois</t>
  </si>
  <si>
    <t>05-0055-60</t>
  </si>
  <si>
    <t>Ravioli Angelo</t>
  </si>
  <si>
    <t>01-0015-60</t>
  </si>
  <si>
    <t>Röd Kaviar</t>
  </si>
  <si>
    <t>05-0055-33</t>
  </si>
  <si>
    <t>Rotwein Vino Rouge</t>
  </si>
  <si>
    <t>07-0041-10</t>
  </si>
  <si>
    <t>schwarze Trüffel</t>
  </si>
  <si>
    <t>Scottish Longbreads</t>
  </si>
  <si>
    <t>06-0022-60</t>
  </si>
  <si>
    <t>Tarte au sucre</t>
  </si>
  <si>
    <t>02-0042-10</t>
  </si>
  <si>
    <t>Tourtière</t>
  </si>
  <si>
    <t>04-0040-55</t>
  </si>
  <si>
    <t>Zaanse koeken</t>
  </si>
  <si>
    <t>Ergebnis</t>
  </si>
  <si>
    <t>Lieferanten mit Artikel</t>
  </si>
  <si>
    <t xml:space="preserve"> VK_Menge</t>
  </si>
  <si>
    <t>Kopi Luwak</t>
  </si>
  <si>
    <t>Gesamtergebnis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</si>
</sst>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6">
    <font>
      <sz val="12"/>
      <color theme="1"/>
      <name val="Calibri"/>
      <family val="2"/>
    </font>
    <font>
      <sz val="10"/>
      <color theme="1"/>
      <name val="Arial"/>
      <family val="2"/>
    </font>
    <font>
      <sz val="10"/>
      <name val="Arial"/>
      <family val="2"/>
    </font>
    <font>
      <sz val="11"/>
      <color theme="1"/>
      <name val="Aptos Narrow"/>
      <family val="2"/>
      <scheme val="minor"/>
    </font>
    <font>
      <sz val="11"/>
      <name val="Aptos Narrow"/>
      <family val="2"/>
      <scheme val="minor"/>
    </font>
    <font>
      <b/>
      <sz val="10"/>
      <color theme="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1" fillId="0" borderId="0"/>
    <xf numFmtId="0" fontId="3" fillId="0" borderId="0"/>
  </cellStyleXfs>
  <cellXfs count="20">
    <xf numFmtId="0" fontId="0" fillId="0" borderId="0" xfId="0"/>
    <xf numFmtId="0" fontId="2" fillId="0" borderId="0" xfId="1" applyFont="1"/>
    <xf numFmtId="0" fontId="4" fillId="0" borderId="0" xfId="2" applyFont="1"/>
    <xf numFmtId="14" fontId="2" fillId="0" borderId="0" xfId="1" applyNumberFormat="1" applyFont="1"/>
    <xf numFmtId="164" fontId="2" fillId="0" borderId="0" xfId="1" applyNumberFormat="1" applyFont="1"/>
    <xf numFmtId="165" fontId="2" fillId="0" borderId="0" xfId="1" applyNumberFormat="1" applyFont="1"/>
    <xf numFmtId="14" fontId="4" fillId="0" borderId="0" xfId="2" applyNumberFormat="1" applyFont="1"/>
    <xf numFmtId="164" fontId="4" fillId="0" borderId="0" xfId="2" applyNumberFormat="1" applyFont="1"/>
    <xf numFmtId="165" fontId="4" fillId="0" borderId="0" xfId="2" applyNumberFormat="1" applyFont="1"/>
    <xf numFmtId="0" fontId="2" fillId="0" borderId="0" xfId="0" applyFont="1"/>
    <xf numFmtId="165" fontId="2" fillId="0" borderId="0" xfId="0" applyNumberFormat="1" applyFont="1"/>
    <xf numFmtId="14" fontId="5" fillId="0" borderId="1" xfId="1" applyNumberFormat="1" applyFont="1" applyBorder="1"/>
    <xf numFmtId="164" fontId="5" fillId="0" borderId="1" xfId="1" applyNumberFormat="1" applyFont="1" applyBorder="1"/>
    <xf numFmtId="0" fontId="5" fillId="0" borderId="1" xfId="1" applyFont="1" applyBorder="1"/>
    <xf numFmtId="165" fontId="5" fillId="0" borderId="1" xfId="1" applyNumberFormat="1" applyFont="1" applyBorder="1"/>
    <xf numFmtId="0" fontId="5" fillId="0" borderId="1" xfId="1" applyFont="1"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cellXfs>
  <cellStyles count="3">
    <cellStyle name="Standard" xfId="0" builtinId="0"/>
    <cellStyle name="Standard 2" xfId="1" xr:uid="{F5EBAD67-6FFE-4E55-BF2C-B3177F66F8E3}"/>
    <cellStyle name="Standard 4 3" xfId="2" xr:uid="{E206E6B0-DF5C-4482-BE46-9D46AEDD3C7A}"/>
  </cellStyles>
  <dxfs count="28">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4" formatCode="0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outline="0">
        <bottom style="thin">
          <color rgb="FF000000"/>
        </bottom>
      </border>
    </dxf>
    <dxf>
      <font>
        <b val="0"/>
        <i val="0"/>
        <strike val="0"/>
        <condense val="0"/>
        <extend val="0"/>
        <outline val="0"/>
        <shadow val="0"/>
        <u val="none"/>
        <vertAlign val="baseline"/>
        <sz val="10"/>
        <color auto="1"/>
        <name val="Arial"/>
        <family val="2"/>
        <scheme val="none"/>
      </font>
    </dxf>
    <dxf>
      <font>
        <strike val="0"/>
        <outline val="0"/>
        <shadow val="0"/>
        <u val="none"/>
        <vertAlign val="baseline"/>
        <sz val="10"/>
        <color theme="0"/>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FE3F5450-13A7-49FF-9006-ADC38DFF9C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0</xdr:rowOff>
    </xdr:from>
    <xdr:to>
      <xdr:col>4</xdr:col>
      <xdr:colOff>476250</xdr:colOff>
      <xdr:row>23</xdr:row>
      <xdr:rowOff>95250</xdr:rowOff>
    </xdr:to>
    <mc:AlternateContent xmlns:mc="http://schemas.openxmlformats.org/markup-compatibility/2006" xmlns:a14="http://schemas.microsoft.com/office/drawing/2010/main">
      <mc:Choice Requires="a14">
        <xdr:graphicFrame macro="">
          <xdr:nvGraphicFramePr>
            <xdr:cNvPr id="2" name="Firma">
              <a:extLst>
                <a:ext uri="{FF2B5EF4-FFF2-40B4-BE49-F238E27FC236}">
                  <a16:creationId xmlns:a16="http://schemas.microsoft.com/office/drawing/2014/main" id="{2E3C4866-B517-CD84-B094-556FDE804887}"/>
                </a:ext>
              </a:extLst>
            </xdr:cNvPr>
            <xdr:cNvGraphicFramePr/>
          </xdr:nvGraphicFramePr>
          <xdr:xfrm>
            <a:off x="0" y="0"/>
            <a:ext cx="0" cy="0"/>
          </xdr:xfrm>
          <a:graphic>
            <a:graphicData uri="http://schemas.microsoft.com/office/drawing/2010/slicer">
              <sle:slicer xmlns:sle="http://schemas.microsoft.com/office/drawing/2010/slicer" name="Firma"/>
            </a:graphicData>
          </a:graphic>
        </xdr:graphicFrame>
      </mc:Choice>
      <mc:Fallback xmlns="">
        <xdr:sp macro="" textlink="">
          <xdr:nvSpPr>
            <xdr:cNvPr id="0" name=""/>
            <xdr:cNvSpPr>
              <a:spLocks noTextEdit="1"/>
            </xdr:cNvSpPr>
          </xdr:nvSpPr>
          <xdr:spPr>
            <a:xfrm>
              <a:off x="3067050" y="0"/>
              <a:ext cx="2114550" cy="46958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707.706485648145" backgroundQuery="1" createdVersion="8" refreshedVersion="8" minRefreshableVersion="3" recordCount="0" supportSubquery="1" supportAdvancedDrill="1" xr:uid="{53FECD4C-C454-45EF-9819-7ABD4311B261}">
  <cacheSource type="external" connectionId="2"/>
  <cacheFields count="3">
    <cacheField name="[tbl_Lieferanten].[Firma].[Firma]" caption="Firma" numFmtId="0" hierarchy="8" level="1">
      <sharedItems count="11">
        <s v="Escargots Nouveaux"/>
        <s v="Forêts d'érables"/>
        <s v="Formaggi Fortini s.r.l."/>
        <s v="Gai pâturage"/>
        <s v="Heli Süßwaren GmbH &amp; Co. KG"/>
        <s v="Ma Maison"/>
        <s v="New England Seafood Cannery"/>
        <s v="Pasta Buttini s.r.l."/>
        <s v="Pavlova, Ltd."/>
        <s v="Specialty Biscuits, Ltd."/>
        <s v="Zaanse Snoepfabriek"/>
      </sharedItems>
    </cacheField>
    <cacheField name="[tbl_Bestellungen].[Artikelname].[Artikelname]" caption="Artikelname" numFmtId="0" hierarchy="2" level="1">
      <sharedItems count="14">
        <s v="Camembert Pierrot"/>
        <s v="Rotwein Vino Rouge"/>
        <s v="Mozzarella di Giovanni"/>
        <s v="Tarte au sucre"/>
        <s v="Irish Coffee"/>
        <s v="Pâté chinois"/>
        <s v="Chocolade surprise"/>
        <s v="Röd Kaviar"/>
        <s v="schwarze Trüffel"/>
        <s v="Scottish Longbreads"/>
        <s v="Ravioli Angelo"/>
        <s v="Kopi Luwak"/>
        <s v="Tourtière"/>
        <s v="Zaanse koeken"/>
      </sharedItems>
    </cacheField>
    <cacheField name="[Measures].[Summe von VK_Menge]" caption="Summe von VK_Menge" numFmtId="0" hierarchy="22" level="32767"/>
  </cacheFields>
  <cacheHierarchies count="23">
    <cacheHierarchy uniqueName="[tbl_Bestellungen].[Bestelldatum]" caption="Bestelldatum" attribute="1" time="1" defaultMemberUniqueName="[tbl_Bestellungen].[Bestelldatum].[All]" allUniqueName="[tbl_Bestellungen].[Bestelldatum].[All]" dimensionUniqueName="[tbl_Bestellungen]" displayFolder="" count="2" memberValueDatatype="7" unbalanced="0"/>
    <cacheHierarchy uniqueName="[tbl_Bestellungen].[Artikel_Nr]" caption="Artikel_Nr" attribute="1" defaultMemberUniqueName="[tbl_Bestellungen].[Artikel_Nr].[All]" allUniqueName="[tbl_Bestellungen].[Artikel_Nr].[All]" dimensionUniqueName="[tbl_Bestellungen]" displayFolder="" count="2" memberValueDatatype="130" unbalanced="0"/>
    <cacheHierarchy uniqueName="[tbl_Bestellungen].[Artikelname]" caption="Artikelname" attribute="1" defaultMemberUniqueName="[tbl_Bestellungen].[Artikelname].[All]" allUniqueName="[tbl_Bestellungen].[Artikelname].[All]" dimensionUniqueName="[tbl_Bestellungen]" displayFolder="" count="2" memberValueDatatype="130" unbalanced="0">
      <fieldsUsage count="2">
        <fieldUsage x="-1"/>
        <fieldUsage x="1"/>
      </fieldsUsage>
    </cacheHierarchy>
    <cacheHierarchy uniqueName="[tbl_Bestellungen].[Lieferant_Nr]" caption="Lieferant_Nr" attribute="1" defaultMemberUniqueName="[tbl_Bestellungen].[Lieferant_Nr].[All]" allUniqueName="[tbl_Bestellungen].[Lieferant_Nr].[All]" dimensionUniqueName="[tbl_Bestellungen]" displayFolder="" count="2" memberValueDatatype="20" unbalanced="0"/>
    <cacheHierarchy uniqueName="[tbl_Bestellungen].[EP]" caption="EP" attribute="1" defaultMemberUniqueName="[tbl_Bestellungen].[EP].[All]" allUniqueName="[tbl_Bestellungen].[EP].[All]" dimensionUniqueName="[tbl_Bestellungen]" displayFolder="" count="2" memberValueDatatype="5" unbalanced="0"/>
    <cacheHierarchy uniqueName="[tbl_Bestellungen].[VK_Menge]" caption="VK_Menge" attribute="1" defaultMemberUniqueName="[tbl_Bestellungen].[VK_Menge].[All]" allUniqueName="[tbl_Bestellungen].[VK_Menge].[All]" dimensionUniqueName="[tbl_Bestellungen]" displayFolder="" count="2" memberValueDatatype="20" unbalanced="0"/>
    <cacheHierarchy uniqueName="[tbl_Bestellungen].[Verkäufer]" caption="Verkäufer" attribute="1" defaultMemberUniqueName="[tbl_Bestellungen].[Verkäufer].[All]" allUniqueName="[tbl_Bestellungen].[Verkäufer].[All]" dimensionUniqueName="[tbl_Bestellungen]" displayFolder="" count="2" memberValueDatatype="130" unbalanced="0"/>
    <cacheHierarchy uniqueName="[tbl_Lieferanten].[Lieferanten-Nr]" caption="Lieferanten-Nr" attribute="1" defaultMemberUniqueName="[tbl_Lieferanten].[Lieferanten-Nr].[All]" allUniqueName="[tbl_Lieferanten].[Lieferanten-Nr].[All]" dimensionUniqueName="[tbl_Lieferanten]" displayFolder="" count="2" memberValueDatatype="20" unbalanced="0"/>
    <cacheHierarchy uniqueName="[tbl_Lieferanten].[Firma]" caption="Firma" attribute="1" defaultMemberUniqueName="[tbl_Lieferanten].[Firma].[All]" allUniqueName="[tbl_Lieferanten].[Firma].[All]" dimensionUniqueName="[tbl_Lieferanten]" displayFolder="" count="2" memberValueDatatype="130" unbalanced="0">
      <fieldsUsage count="2">
        <fieldUsage x="-1"/>
        <fieldUsage x="0"/>
      </fieldsUsage>
    </cacheHierarchy>
    <cacheHierarchy uniqueName="[tbl_Lieferanten].[Kontaktperson]" caption="Kontaktperson" attribute="1" defaultMemberUniqueName="[tbl_Lieferanten].[Kontaktperson].[All]" allUniqueName="[tbl_Lieferanten].[Kontaktperson].[All]" dimensionUniqueName="[tbl_Lieferanten]" displayFolder="" count="2" memberValueDatatype="130" unbalanced="0"/>
    <cacheHierarchy uniqueName="[tbl_Lieferanten].[Position]" caption="Position" attribute="1" defaultMemberUniqueName="[tbl_Lieferanten].[Position].[All]" allUniqueName="[tbl_Lieferanten].[Position].[All]" dimensionUniqueName="[tbl_Lieferanten]" displayFolder="" count="2" memberValueDatatype="130" unbalanced="0"/>
    <cacheHierarchy uniqueName="[tbl_Lieferanten].[Straße]" caption="Straße" attribute="1" defaultMemberUniqueName="[tbl_Lieferanten].[Straße].[All]" allUniqueName="[tbl_Lieferanten].[Straße].[All]" dimensionUniqueName="[tbl_Lieferanten]" displayFolder="" count="2" memberValueDatatype="130" unbalanced="0"/>
    <cacheHierarchy uniqueName="[tbl_Lieferanten].[Ort]" caption="Ort" attribute="1" defaultMemberUniqueName="[tbl_Lieferanten].[Ort].[All]" allUniqueName="[tbl_Lieferanten].[Ort].[All]" dimensionUniqueName="[tbl_Lieferanten]" displayFolder="" count="2" memberValueDatatype="130" unbalanced="0"/>
    <cacheHierarchy uniqueName="[tbl_Lieferanten].[Region]" caption="Region" attribute="1" defaultMemberUniqueName="[tbl_Lieferanten].[Region].[All]" allUniqueName="[tbl_Lieferanten].[Region].[All]" dimensionUniqueName="[tbl_Lieferanten]" displayFolder="" count="2" memberValueDatatype="130" unbalanced="0"/>
    <cacheHierarchy uniqueName="[tbl_Lieferanten].[PLZ]" caption="PLZ" attribute="1" defaultMemberUniqueName="[tbl_Lieferanten].[PLZ].[All]" allUniqueName="[tbl_Lieferanten].[PLZ].[All]" dimensionUniqueName="[tbl_Lieferanten]" displayFolder="" count="2" memberValueDatatype="130" unbalanced="0"/>
    <cacheHierarchy uniqueName="[tbl_Lieferanten].[Land]" caption="Land" attribute="1" defaultMemberUniqueName="[tbl_Lieferanten].[Land].[All]" allUniqueName="[tbl_Lieferanten].[Land].[All]" dimensionUniqueName="[tbl_Lieferanten]" displayFolder="" count="2" memberValueDatatype="130" unbalanced="0"/>
    <cacheHierarchy uniqueName="[tbl_Lieferanten].[Telefon]" caption="Telefon" attribute="1" defaultMemberUniqueName="[tbl_Lieferanten].[Telefon].[All]" allUniqueName="[tbl_Lieferanten].[Telefon].[All]" dimensionUniqueName="[tbl_Lieferanten]" displayFolder="" count="2" memberValueDatatype="130" unbalanced="0"/>
    <cacheHierarchy uniqueName="[tbl_Lieferanten].[Telefax]" caption="Telefax" attribute="1" defaultMemberUniqueName="[tbl_Lieferanten].[Telefax].[All]" allUniqueName="[tbl_Lieferanten].[Telefax].[All]" dimensionUniqueName="[tbl_Lieferanten]" displayFolder="" count="2" memberValueDatatype="130" unbalanced="0"/>
    <cacheHierarchy uniqueName="[tbl_Lieferanten].[Homepage]" caption="Homepage" attribute="1" defaultMemberUniqueName="[tbl_Lieferanten].[Homepage].[All]" allUniqueName="[tbl_Lieferanten].[Homepage].[All]" dimensionUniqueName="[tbl_Lieferanten]" displayFolder="" count="2" memberValueDatatype="130" unbalanced="0"/>
    <cacheHierarchy uniqueName="[Measures].[__XL_Count tbl_Lieferanten]" caption="__XL_Count tbl_Lieferanten" measure="1" displayFolder="" measureGroup="tbl_Lieferanten" count="0" hidden="1"/>
    <cacheHierarchy uniqueName="[Measures].[__XL_Count tbl_Bestellungen]" caption="__XL_Count tbl_Bestellungen" measure="1" displayFolder="" measureGroup="tbl_Bestellungen" count="0" hidden="1"/>
    <cacheHierarchy uniqueName="[Measures].[__Es sind keine Measures definiert]" caption="__Es sind keine Measures definiert" measure="1" displayFolder="" count="0" hidden="1"/>
    <cacheHierarchy uniqueName="[Measures].[Summe von VK_Menge]" caption="Summe von VK_Menge" measure="1" displayFolder="" measureGroup="tbl_Bestellungen"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bl_Bestellungen" uniqueName="[tbl_Bestellungen]" caption="tbl_Bestellungen"/>
    <dimension name="tbl_Lieferanten" uniqueName="[tbl_Lieferanten]" caption="tbl_Lieferanten"/>
  </dimensions>
  <measureGroups count="2">
    <measureGroup name="tbl_Bestellungen" caption="tbl_Bestellungen"/>
    <measureGroup name="tbl_Lieferanten" caption="tbl_Lieferante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707.706483101851" backgroundQuery="1" createdVersion="3" refreshedVersion="8" minRefreshableVersion="3" recordCount="0" supportSubquery="1" supportAdvancedDrill="1" xr:uid="{15A1F8FD-509C-4CAC-BDF1-F72D22331EE9}">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bl_Bestellungen].[Bestelldatum]" caption="Bestelldatum" attribute="1" time="1" defaultMemberUniqueName="[tbl_Bestellungen].[Bestelldatum].[All]" allUniqueName="[tbl_Bestellungen].[Bestelldatum].[All]" dimensionUniqueName="[tbl_Bestellungen]" displayFolder="" count="0" memberValueDatatype="7" unbalanced="0"/>
    <cacheHierarchy uniqueName="[tbl_Bestellungen].[Artikel_Nr]" caption="Artikel_Nr" attribute="1" defaultMemberUniqueName="[tbl_Bestellungen].[Artikel_Nr].[All]" allUniqueName="[tbl_Bestellungen].[Artikel_Nr].[All]" dimensionUniqueName="[tbl_Bestellungen]" displayFolder="" count="0" memberValueDatatype="130" unbalanced="0"/>
    <cacheHierarchy uniqueName="[tbl_Bestellungen].[Artikelname]" caption="Artikelname" attribute="1" defaultMemberUniqueName="[tbl_Bestellungen].[Artikelname].[All]" allUniqueName="[tbl_Bestellungen].[Artikelname].[All]" dimensionUniqueName="[tbl_Bestellungen]" displayFolder="" count="0" memberValueDatatype="130" unbalanced="0"/>
    <cacheHierarchy uniqueName="[tbl_Bestellungen].[Lieferant_Nr]" caption="Lieferant_Nr" attribute="1" defaultMemberUniqueName="[tbl_Bestellungen].[Lieferant_Nr].[All]" allUniqueName="[tbl_Bestellungen].[Lieferant_Nr].[All]" dimensionUniqueName="[tbl_Bestellungen]" displayFolder="" count="0" memberValueDatatype="20" unbalanced="0"/>
    <cacheHierarchy uniqueName="[tbl_Bestellungen].[EP]" caption="EP" attribute="1" defaultMemberUniqueName="[tbl_Bestellungen].[EP].[All]" allUniqueName="[tbl_Bestellungen].[EP].[All]" dimensionUniqueName="[tbl_Bestellungen]" displayFolder="" count="0" memberValueDatatype="5" unbalanced="0"/>
    <cacheHierarchy uniqueName="[tbl_Bestellungen].[VK_Menge]" caption="VK_Menge" attribute="1" defaultMemberUniqueName="[tbl_Bestellungen].[VK_Menge].[All]" allUniqueName="[tbl_Bestellungen].[VK_Menge].[All]" dimensionUniqueName="[tbl_Bestellungen]" displayFolder="" count="0" memberValueDatatype="20" unbalanced="0"/>
    <cacheHierarchy uniqueName="[tbl_Bestellungen].[Verkäufer]" caption="Verkäufer" attribute="1" defaultMemberUniqueName="[tbl_Bestellungen].[Verkäufer].[All]" allUniqueName="[tbl_Bestellungen].[Verkäufer].[All]" dimensionUniqueName="[tbl_Bestellungen]" displayFolder="" count="0" memberValueDatatype="130" unbalanced="0"/>
    <cacheHierarchy uniqueName="[tbl_Lieferanten].[Lieferanten-Nr]" caption="Lieferanten-Nr" attribute="1" defaultMemberUniqueName="[tbl_Lieferanten].[Lieferanten-Nr].[All]" allUniqueName="[tbl_Lieferanten].[Lieferanten-Nr].[All]" dimensionUniqueName="[tbl_Lieferanten]" displayFolder="" count="0" memberValueDatatype="20" unbalanced="0"/>
    <cacheHierarchy uniqueName="[tbl_Lieferanten].[Firma]" caption="Firma" attribute="1" defaultMemberUniqueName="[tbl_Lieferanten].[Firma].[All]" allUniqueName="[tbl_Lieferanten].[Firma].[All]" dimensionUniqueName="[tbl_Lieferanten]" displayFolder="" count="2" memberValueDatatype="130" unbalanced="0"/>
    <cacheHierarchy uniqueName="[tbl_Lieferanten].[Kontaktperson]" caption="Kontaktperson" attribute="1" defaultMemberUniqueName="[tbl_Lieferanten].[Kontaktperson].[All]" allUniqueName="[tbl_Lieferanten].[Kontaktperson].[All]" dimensionUniqueName="[tbl_Lieferanten]" displayFolder="" count="0" memberValueDatatype="130" unbalanced="0"/>
    <cacheHierarchy uniqueName="[tbl_Lieferanten].[Position]" caption="Position" attribute="1" defaultMemberUniqueName="[tbl_Lieferanten].[Position].[All]" allUniqueName="[tbl_Lieferanten].[Position].[All]" dimensionUniqueName="[tbl_Lieferanten]" displayFolder="" count="0" memberValueDatatype="130" unbalanced="0"/>
    <cacheHierarchy uniqueName="[tbl_Lieferanten].[Straße]" caption="Straße" attribute="1" defaultMemberUniqueName="[tbl_Lieferanten].[Straße].[All]" allUniqueName="[tbl_Lieferanten].[Straße].[All]" dimensionUniqueName="[tbl_Lieferanten]" displayFolder="" count="0" memberValueDatatype="130" unbalanced="0"/>
    <cacheHierarchy uniqueName="[tbl_Lieferanten].[Ort]" caption="Ort" attribute="1" defaultMemberUniqueName="[tbl_Lieferanten].[Ort].[All]" allUniqueName="[tbl_Lieferanten].[Ort].[All]" dimensionUniqueName="[tbl_Lieferanten]" displayFolder="" count="0" memberValueDatatype="130" unbalanced="0"/>
    <cacheHierarchy uniqueName="[tbl_Lieferanten].[Region]" caption="Region" attribute="1" defaultMemberUniqueName="[tbl_Lieferanten].[Region].[All]" allUniqueName="[tbl_Lieferanten].[Region].[All]" dimensionUniqueName="[tbl_Lieferanten]" displayFolder="" count="0" memberValueDatatype="130" unbalanced="0"/>
    <cacheHierarchy uniqueName="[tbl_Lieferanten].[PLZ]" caption="PLZ" attribute="1" defaultMemberUniqueName="[tbl_Lieferanten].[PLZ].[All]" allUniqueName="[tbl_Lieferanten].[PLZ].[All]" dimensionUniqueName="[tbl_Lieferanten]" displayFolder="" count="0" memberValueDatatype="130" unbalanced="0"/>
    <cacheHierarchy uniqueName="[tbl_Lieferanten].[Land]" caption="Land" attribute="1" defaultMemberUniqueName="[tbl_Lieferanten].[Land].[All]" allUniqueName="[tbl_Lieferanten].[Land].[All]" dimensionUniqueName="[tbl_Lieferanten]" displayFolder="" count="0" memberValueDatatype="130" unbalanced="0"/>
    <cacheHierarchy uniqueName="[tbl_Lieferanten].[Telefon]" caption="Telefon" attribute="1" defaultMemberUniqueName="[tbl_Lieferanten].[Telefon].[All]" allUniqueName="[tbl_Lieferanten].[Telefon].[All]" dimensionUniqueName="[tbl_Lieferanten]" displayFolder="" count="0" memberValueDatatype="130" unbalanced="0"/>
    <cacheHierarchy uniqueName="[tbl_Lieferanten].[Telefax]" caption="Telefax" attribute="1" defaultMemberUniqueName="[tbl_Lieferanten].[Telefax].[All]" allUniqueName="[tbl_Lieferanten].[Telefax].[All]" dimensionUniqueName="[tbl_Lieferanten]" displayFolder="" count="0" memberValueDatatype="130" unbalanced="0"/>
    <cacheHierarchy uniqueName="[tbl_Lieferanten].[Homepage]" caption="Homepage" attribute="1" defaultMemberUniqueName="[tbl_Lieferanten].[Homepage].[All]" allUniqueName="[tbl_Lieferanten].[Homepage].[All]" dimensionUniqueName="[tbl_Lieferanten]" displayFolder="" count="0" memberValueDatatype="130" unbalanced="0"/>
    <cacheHierarchy uniqueName="[Measures].[__XL_Count tbl_Lieferanten]" caption="__XL_Count tbl_Lieferanten" measure="1" displayFolder="" measureGroup="tbl_Lieferanten" count="0" hidden="1"/>
    <cacheHierarchy uniqueName="[Measures].[__XL_Count tbl_Bestellungen]" caption="__XL_Count tbl_Bestellungen" measure="1" displayFolder="" measureGroup="tbl_Bestellungen" count="0" hidden="1"/>
    <cacheHierarchy uniqueName="[Measures].[__Es sind keine Measures definiert]" caption="__Es sind keine Measures definiert" measure="1" displayFolder="" count="0" hidden="1"/>
    <cacheHierarchy uniqueName="[Measures].[Summe von VK_Menge]" caption="Summe von VK_Menge" measure="1" displayFolder="" measureGroup="tbl_Bestellungen"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649723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8973E-0815-48C2-B201-DA03D5B83281}" name="PivotTable1" cacheId="1534" applyNumberFormats="0" applyBorderFormats="0" applyFontFormats="0" applyPatternFormats="0" applyAlignmentFormats="0" applyWidthHeightFormats="1" dataCaption="Werte" tag="a327b2d9-adc9-4e3e-832e-4382691c9db8" updatedVersion="8" minRefreshableVersion="3" useAutoFormatting="1" itemPrintTitles="1" createdVersion="8" indent="0" outline="1" outlineData="1" multipleFieldFilters="0" rowHeaderCaption="Lieferanten mit Artikel">
  <location ref="A1:B27"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2">
    <field x="0"/>
    <field x="1"/>
  </rowFields>
  <rowItems count="26">
    <i>
      <x/>
    </i>
    <i r="1">
      <x/>
    </i>
    <i>
      <x v="1"/>
    </i>
    <i r="1">
      <x v="1"/>
    </i>
    <i>
      <x v="2"/>
    </i>
    <i r="1">
      <x v="2"/>
    </i>
    <i>
      <x v="3"/>
    </i>
    <i r="1">
      <x v="3"/>
    </i>
    <i>
      <x v="4"/>
    </i>
    <i r="1">
      <x v="4"/>
    </i>
    <i r="1">
      <x v="5"/>
    </i>
    <i>
      <x v="5"/>
    </i>
    <i r="1">
      <x v="6"/>
    </i>
    <i r="1">
      <x v="7"/>
    </i>
    <i r="1">
      <x v="8"/>
    </i>
    <i>
      <x v="6"/>
    </i>
    <i r="1">
      <x v="9"/>
    </i>
    <i>
      <x v="7"/>
    </i>
    <i r="1">
      <x v="10"/>
    </i>
    <i>
      <x v="8"/>
    </i>
    <i r="1">
      <x v="11"/>
    </i>
    <i>
      <x v="9"/>
    </i>
    <i r="1">
      <x v="12"/>
    </i>
    <i>
      <x v="10"/>
    </i>
    <i r="1">
      <x v="13"/>
    </i>
    <i t="grand">
      <x/>
    </i>
  </rowItems>
  <colItems count="1">
    <i/>
  </colItems>
  <dataFields count="1">
    <dataField name=" VK_Menge" fld="2" baseField="1" baseItem="2" numFmtId="3"/>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VK_Menge"/>
  </pivotHierarchies>
  <pivotTableStyleInfo name="PivotStyleLight16" showRowHeaders="1" showColHeaders="1" showRowStripes="0" showColStripes="0" showLastColumn="1"/>
  <rowHierarchiesUsage count="2">
    <rowHierarchyUsage hierarchyUsage="8"/>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Lieferanten]"/>
        <x15:activeTabTopLevelEntity name="[tbl_Bestellunge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703383C7-45E7-4E5E-A431-5CBAC594B875}" autoFormatId="16" applyNumberFormats="0" applyBorderFormats="0" applyFontFormats="0" applyPatternFormats="0" applyAlignmentFormats="0" applyWidthHeightFormats="0">
  <queryTableRefresh nextId="13">
    <queryTableFields count="12">
      <queryTableField id="1" name="Lieferanten-Nr" tableColumnId="1"/>
      <queryTableField id="2" name="Firma" tableColumnId="2"/>
      <queryTableField id="3" name="Kontaktperson" tableColumnId="3"/>
      <queryTableField id="4" name="Position" tableColumnId="4"/>
      <queryTableField id="5" name="Straße" tableColumnId="5"/>
      <queryTableField id="6" name="Ort" tableColumnId="6"/>
      <queryTableField id="7" name="Region" tableColumnId="7"/>
      <queryTableField id="8" name="PLZ" tableColumnId="8"/>
      <queryTableField id="9" name="Land" tableColumnId="9"/>
      <queryTableField id="10" name="Telefon" tableColumnId="10"/>
      <queryTableField id="11" name="Telefax" tableColumnId="11"/>
      <queryTableField id="12" name="Homepag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Firma" xr10:uid="{E3B5BD63-11FD-4C81-8EDA-92CEC830BFD7}" sourceName="[tbl_Lieferanten].[Firma]">
  <pivotTables>
    <pivotTable tabId="7" name="PivotTable1"/>
  </pivotTables>
  <data>
    <olap pivotCacheId="1064972393">
      <levels count="2">
        <level uniqueName="[tbl_Lieferanten].[Firma].[(All)]" sourceCaption="(All)" count="0"/>
        <level uniqueName="[tbl_Lieferanten].[Firma].[Firma]" sourceCaption="Firma" count="29">
          <ranges>
            <range startItem="0">
              <i n="[tbl_Lieferanten].[Firma].&amp;[Escargots Nouveaux]" c="Escargots Nouveaux"/>
              <i n="[tbl_Lieferanten].[Firma].&amp;[Forêts d'érables]" c="Forêts d'érables"/>
              <i n="[tbl_Lieferanten].[Firma].&amp;[Formaggi Fortini s.r.l.]" c="Formaggi Fortini s.r.l."/>
              <i n="[tbl_Lieferanten].[Firma].&amp;[Gai pâturage]" c="Gai pâturage"/>
              <i n="[tbl_Lieferanten].[Firma].&amp;[Heli Süßwaren GmbH &amp; Co. KG]" c="Heli Süßwaren GmbH &amp; Co. KG"/>
              <i n="[tbl_Lieferanten].[Firma].&amp;[Ma Maison]" c="Ma Maison"/>
              <i n="[tbl_Lieferanten].[Firma].&amp;[New England Seafood Cannery]" c="New England Seafood Cannery"/>
              <i n="[tbl_Lieferanten].[Firma].&amp;[Pasta Buttini s.r.l.]" c="Pasta Buttini s.r.l."/>
              <i n="[tbl_Lieferanten].[Firma].&amp;[Pavlova, Ltd.]" c="Pavlova, Ltd."/>
              <i n="[tbl_Lieferanten].[Firma].&amp;[Specialty Biscuits, Ltd.]" c="Specialty Biscuits, Ltd."/>
              <i n="[tbl_Lieferanten].[Firma].&amp;[Zaanse Snoepfabriek]" c="Zaanse Snoepfabriek"/>
              <i n="[tbl_Lieferanten].[Firma].&amp;[Aux joyeux ecclésiastiques]" c="Aux joyeux ecclésiastiques" nd="1"/>
              <i n="[tbl_Lieferanten].[Firma].&amp;[Bigfoot Breweries]" c="Bigfoot Breweries" nd="1"/>
              <i n="[tbl_Lieferanten].[Firma].&amp;[Cooperativa de Quesos 'Las Cabras']" c="Cooperativa de Quesos 'Las Cabras'" nd="1"/>
              <i n="[tbl_Lieferanten].[Firma].&amp;[Exotic Liquids]" c="Exotic Liquids" nd="1"/>
              <i n="[tbl_Lieferanten].[Firma].&amp;[G'day, Mate]" c="G'day, Mate" nd="1"/>
              <i n="[tbl_Lieferanten].[Firma].&amp;[Grandma Kelly's Homestead]" c="Grandma Kelly's Homestead" nd="1"/>
              <i n="[tbl_Lieferanten].[Firma].&amp;[Karkki Oy]" c="Karkki Oy" nd="1"/>
              <i n="[tbl_Lieferanten].[Firma].&amp;[Leka Trading]" c="Leka Trading" nd="1"/>
              <i n="[tbl_Lieferanten].[Firma].&amp;[Lyngbysild]" c="Lyngbysild" nd="1"/>
              <i n="[tbl_Lieferanten].[Firma].&amp;[Mayumi's]" c="Mayumi's" nd="1"/>
              <i n="[tbl_Lieferanten].[Firma].&amp;[New Orleans Cajun Delights]" c="New Orleans Cajun Delights" nd="1"/>
              <i n="[tbl_Lieferanten].[Firma].&amp;[Nord-Ost-Fisch Handelsgesellschaft mbH]" c="Nord-Ost-Fisch Handelsgesellschaft mbH" nd="1"/>
              <i n="[tbl_Lieferanten].[Firma].&amp;[Norske Meierier]" c="Norske Meierier" nd="1"/>
              <i n="[tbl_Lieferanten].[Firma].&amp;[PB Knäckebröd AB]" c="PB Knäckebröd AB" nd="1"/>
              <i n="[tbl_Lieferanten].[Firma].&amp;[Plutzer Lebensmittelgroßmärkte AG]" c="Plutzer Lebensmittelgroßmärkte AG" nd="1"/>
              <i n="[tbl_Lieferanten].[Firma].&amp;[Refrescos Americanas LTDA]" c="Refrescos Americanas LTDA" nd="1"/>
              <i n="[tbl_Lieferanten].[Firma].&amp;[Svensk Sjöföda AB]" c="Svensk Sjöföda AB" nd="1"/>
              <i n="[tbl_Lieferanten].[Firma].&amp;[Tokyo Traders]" c="Tokyo Traders" nd="1"/>
            </range>
          </ranges>
        </level>
      </levels>
      <selections count="1">
        <selection n="[tbl_Lieferanten].[Firm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a" xr10:uid="{269A0836-9E3C-4247-B9D3-5E8ECD1D80E8}" cache="Datenschnitt_Firma" caption="Firma" columnCount="2" level="1" style="SlicerStyleDark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97B4EC-CCC4-4160-A82D-A81211496927}" name="tbl_Lieferanten" displayName="tbl_Lieferanten" ref="A1:L30" tableType="queryTable" totalsRowShown="0">
  <autoFilter ref="A1:L30" xr:uid="{F997B4EC-CCC4-4160-A82D-A81211496927}"/>
  <tableColumns count="12">
    <tableColumn id="1" xr3:uid="{0D74E294-B0D3-4E25-89BE-72ECFC3D47EA}" uniqueName="1" name="Lieferanten-Nr" queryTableFieldId="1"/>
    <tableColumn id="2" xr3:uid="{54A7B210-4267-4B30-84ED-C3590B4FACCB}" uniqueName="2" name="Firma" queryTableFieldId="2" dataDxfId="27"/>
    <tableColumn id="3" xr3:uid="{9C35AE3E-5EC9-497F-A819-E622C266EC7B}" uniqueName="3" name="Kontaktperson" queryTableFieldId="3" dataDxfId="26"/>
    <tableColumn id="4" xr3:uid="{DBB51F92-8466-4FA4-8147-5E68DA1AD906}" uniqueName="4" name="Position" queryTableFieldId="4" dataDxfId="25"/>
    <tableColumn id="5" xr3:uid="{E3817317-AFA9-414D-AE0C-11C4DB24EE43}" uniqueName="5" name="Straße" queryTableFieldId="5" dataDxfId="24"/>
    <tableColumn id="6" xr3:uid="{C52C869C-1ED0-495B-8D69-FBEE666706BE}" uniqueName="6" name="Ort" queryTableFieldId="6" dataDxfId="23"/>
    <tableColumn id="7" xr3:uid="{5DC215C8-0F40-4213-AC48-4918EAD42944}" uniqueName="7" name="Region" queryTableFieldId="7" dataDxfId="22"/>
    <tableColumn id="8" xr3:uid="{6BC1B463-3B2D-4E42-B4E8-AF9B76F33837}" uniqueName="8" name="PLZ" queryTableFieldId="8" dataDxfId="21"/>
    <tableColumn id="9" xr3:uid="{D4BA6246-4026-48BC-8DF8-FD97627FDCC1}" uniqueName="9" name="Land" queryTableFieldId="9" dataDxfId="20"/>
    <tableColumn id="10" xr3:uid="{B896D1F9-0718-4925-AD10-85BB7719DCD9}" uniqueName="10" name="Telefon" queryTableFieldId="10" dataDxfId="19"/>
    <tableColumn id="11" xr3:uid="{C4026B1C-4D03-4BEE-93E0-9C0A26D415DB}" uniqueName="11" name="Telefax" queryTableFieldId="11" dataDxfId="18"/>
    <tableColumn id="12" xr3:uid="{D3CDA98C-399F-4DEF-BE5B-9ABC9EF3ABE1}" uniqueName="12" name="Homepage" queryTableFieldId="12" dataDxfId="17"/>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F96F0C-08F5-4265-8040-3821033BBE8C}" name="tbl_Bestellungen" displayName="tbl_Bestellungen" ref="A1:G201" totalsRowCount="1" headerRowDxfId="16" dataDxfId="15" headerRowBorderDxfId="14">
  <autoFilter ref="A1:G200" xr:uid="{6AFF344F-FA28-49BC-9405-E27F45658B99}"/>
  <sortState xmlns:xlrd2="http://schemas.microsoft.com/office/spreadsheetml/2017/richdata2" ref="A2:G200">
    <sortCondition ref="C1:C200"/>
  </sortState>
  <tableColumns count="7">
    <tableColumn id="1" xr3:uid="{6F7B3555-1534-4D97-A503-24CCEFC97224}" name="Bestelldatum" totalsRowLabel="Ergebnis" dataDxfId="12" totalsRowDxfId="13"/>
    <tableColumn id="2" xr3:uid="{033F69DB-BE8D-4F9A-A509-CE3F8A9CB8B4}" name="Artikel_Nr" dataDxfId="10" totalsRowDxfId="11"/>
    <tableColumn id="3" xr3:uid="{51C71E4D-499B-4706-901D-499EF5FAEC02}" name="Artikelname" dataDxfId="8" totalsRowDxfId="9"/>
    <tableColumn id="7" xr3:uid="{7B54E913-C0FA-4767-AB87-51F520A3FAC3}" name="Lieferant_Nr" dataDxfId="6" totalsRowDxfId="7" dataCellStyle="Standard 2"/>
    <tableColumn id="4" xr3:uid="{2D1A2458-A8AC-439C-A0ED-5494F272FC99}" name="EP" totalsRowFunction="sum" dataDxfId="4" totalsRowDxfId="5"/>
    <tableColumn id="5" xr3:uid="{F37F1D5F-8D96-48BD-B63B-7E602E338F00}" name="VK_Menge" totalsRowFunction="sum" dataDxfId="2" totalsRowDxfId="3"/>
    <tableColumn id="6" xr3:uid="{90F266E6-CE7B-47C3-BCEA-8F7ED0B58D4A}" name="Verkäufer" totalsRowFunction="count" dataDxfId="0" totalsRowDxfId="1"/>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483B-D73B-40EC-A856-690C4F01FFBE}">
  <sheetPr>
    <tabColor theme="8"/>
  </sheetPr>
  <dimension ref="A1:L30"/>
  <sheetViews>
    <sheetView zoomScale="85" zoomScaleNormal="85" workbookViewId="0">
      <selection activeCell="C13" sqref="C13"/>
    </sheetView>
  </sheetViews>
  <sheetFormatPr defaultColWidth="11" defaultRowHeight="15.75"/>
  <cols>
    <col min="1" max="1" width="15.375" bestFit="1" customWidth="1"/>
    <col min="2" max="2" width="34.75" bestFit="1" customWidth="1"/>
    <col min="3" max="3" width="23.375" bestFit="1" customWidth="1"/>
    <col min="4" max="4" width="27.5" bestFit="1" customWidth="1"/>
    <col min="5" max="5" width="39.375" bestFit="1" customWidth="1"/>
    <col min="6" max="6" width="12.125" bestFit="1" customWidth="1"/>
    <col min="7" max="7" width="8.75" bestFit="1" customWidth="1"/>
    <col min="8" max="8" width="8.375" bestFit="1" customWidth="1"/>
    <col min="9" max="9" width="13" bestFit="1" customWidth="1"/>
    <col min="10" max="11" width="13.25" bestFit="1" customWidth="1"/>
    <col min="12" max="12" width="81" bestFit="1"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15</v>
      </c>
      <c r="F2" t="s">
        <v>16</v>
      </c>
      <c r="G2" t="s">
        <v>17</v>
      </c>
      <c r="H2" t="s">
        <v>18</v>
      </c>
      <c r="I2" t="s">
        <v>19</v>
      </c>
      <c r="J2" t="s">
        <v>20</v>
      </c>
      <c r="K2" t="s">
        <v>17</v>
      </c>
      <c r="L2" t="s">
        <v>17</v>
      </c>
    </row>
    <row r="3" spans="1:12">
      <c r="A3">
        <v>2</v>
      </c>
      <c r="B3" t="s">
        <v>21</v>
      </c>
      <c r="C3" t="s">
        <v>22</v>
      </c>
      <c r="D3" t="s">
        <v>23</v>
      </c>
      <c r="E3" t="s">
        <v>24</v>
      </c>
      <c r="F3" t="s">
        <v>25</v>
      </c>
      <c r="G3" t="s">
        <v>26</v>
      </c>
      <c r="H3" t="s">
        <v>27</v>
      </c>
      <c r="I3" t="s">
        <v>28</v>
      </c>
      <c r="J3" t="s">
        <v>29</v>
      </c>
      <c r="K3" t="s">
        <v>17</v>
      </c>
      <c r="L3" t="s">
        <v>17</v>
      </c>
    </row>
    <row r="4" spans="1:12">
      <c r="A4">
        <v>3</v>
      </c>
      <c r="B4" t="s">
        <v>30</v>
      </c>
      <c r="C4" t="s">
        <v>31</v>
      </c>
      <c r="D4" t="s">
        <v>32</v>
      </c>
      <c r="E4" t="s">
        <v>33</v>
      </c>
      <c r="F4" t="s">
        <v>34</v>
      </c>
      <c r="G4" t="s">
        <v>35</v>
      </c>
      <c r="H4" t="s">
        <v>36</v>
      </c>
      <c r="I4" t="s">
        <v>28</v>
      </c>
      <c r="J4" t="s">
        <v>37</v>
      </c>
      <c r="K4" t="s">
        <v>38</v>
      </c>
      <c r="L4" t="s">
        <v>17</v>
      </c>
    </row>
    <row r="5" spans="1:12">
      <c r="A5">
        <v>4</v>
      </c>
      <c r="B5" t="s">
        <v>39</v>
      </c>
      <c r="C5" t="s">
        <v>40</v>
      </c>
      <c r="D5" t="s">
        <v>41</v>
      </c>
      <c r="E5" t="s">
        <v>42</v>
      </c>
      <c r="F5" t="s">
        <v>43</v>
      </c>
      <c r="G5" t="s">
        <v>17</v>
      </c>
      <c r="H5" t="s">
        <v>44</v>
      </c>
      <c r="I5" t="s">
        <v>45</v>
      </c>
      <c r="J5" t="s">
        <v>46</v>
      </c>
      <c r="K5" t="s">
        <v>17</v>
      </c>
      <c r="L5" t="s">
        <v>17</v>
      </c>
    </row>
    <row r="6" spans="1:12">
      <c r="A6">
        <v>5</v>
      </c>
      <c r="B6" t="s">
        <v>47</v>
      </c>
      <c r="C6" t="s">
        <v>48</v>
      </c>
      <c r="D6" t="s">
        <v>49</v>
      </c>
      <c r="E6" t="s">
        <v>50</v>
      </c>
      <c r="F6" t="s">
        <v>51</v>
      </c>
      <c r="G6" t="s">
        <v>52</v>
      </c>
      <c r="H6" t="s">
        <v>53</v>
      </c>
      <c r="I6" t="s">
        <v>54</v>
      </c>
      <c r="J6" t="s">
        <v>55</v>
      </c>
      <c r="K6" t="s">
        <v>17</v>
      </c>
      <c r="L6" t="s">
        <v>17</v>
      </c>
    </row>
    <row r="7" spans="1:12">
      <c r="A7">
        <v>6</v>
      </c>
      <c r="B7" t="s">
        <v>56</v>
      </c>
      <c r="C7" t="s">
        <v>57</v>
      </c>
      <c r="D7" t="s">
        <v>58</v>
      </c>
      <c r="E7" t="s">
        <v>59</v>
      </c>
      <c r="F7" t="s">
        <v>60</v>
      </c>
      <c r="G7" t="s">
        <v>17</v>
      </c>
      <c r="H7" t="s">
        <v>61</v>
      </c>
      <c r="I7" t="s">
        <v>45</v>
      </c>
      <c r="J7" t="s">
        <v>62</v>
      </c>
      <c r="K7" t="s">
        <v>17</v>
      </c>
      <c r="L7" t="s">
        <v>63</v>
      </c>
    </row>
    <row r="8" spans="1:12">
      <c r="A8">
        <v>7</v>
      </c>
      <c r="B8" t="s">
        <v>64</v>
      </c>
      <c r="C8" t="s">
        <v>65</v>
      </c>
      <c r="D8" t="s">
        <v>41</v>
      </c>
      <c r="E8" t="s">
        <v>66</v>
      </c>
      <c r="F8" t="s">
        <v>67</v>
      </c>
      <c r="G8" t="s">
        <v>68</v>
      </c>
      <c r="H8" t="s">
        <v>69</v>
      </c>
      <c r="I8" t="s">
        <v>70</v>
      </c>
      <c r="J8" t="s">
        <v>71</v>
      </c>
      <c r="K8" t="s">
        <v>72</v>
      </c>
      <c r="L8" t="s">
        <v>17</v>
      </c>
    </row>
    <row r="9" spans="1:12">
      <c r="A9">
        <v>8</v>
      </c>
      <c r="B9" t="s">
        <v>73</v>
      </c>
      <c r="C9" t="s">
        <v>74</v>
      </c>
      <c r="D9" t="s">
        <v>75</v>
      </c>
      <c r="E9" t="s">
        <v>76</v>
      </c>
      <c r="F9" t="s">
        <v>77</v>
      </c>
      <c r="G9" t="s">
        <v>17</v>
      </c>
      <c r="H9" t="s">
        <v>78</v>
      </c>
      <c r="I9" t="s">
        <v>19</v>
      </c>
      <c r="J9" t="s">
        <v>79</v>
      </c>
      <c r="K9" t="s">
        <v>17</v>
      </c>
      <c r="L9" t="s">
        <v>17</v>
      </c>
    </row>
    <row r="10" spans="1:12">
      <c r="A10">
        <v>9</v>
      </c>
      <c r="B10" t="s">
        <v>80</v>
      </c>
      <c r="C10" t="s">
        <v>81</v>
      </c>
      <c r="D10" t="s">
        <v>82</v>
      </c>
      <c r="E10" t="s">
        <v>83</v>
      </c>
      <c r="F10" t="s">
        <v>84</v>
      </c>
      <c r="G10" t="s">
        <v>17</v>
      </c>
      <c r="H10" t="s">
        <v>85</v>
      </c>
      <c r="I10" t="s">
        <v>86</v>
      </c>
      <c r="J10" t="s">
        <v>87</v>
      </c>
      <c r="K10" t="s">
        <v>88</v>
      </c>
      <c r="L10" t="s">
        <v>17</v>
      </c>
    </row>
    <row r="11" spans="1:12">
      <c r="A11">
        <v>10</v>
      </c>
      <c r="B11" t="s">
        <v>89</v>
      </c>
      <c r="C11" t="s">
        <v>90</v>
      </c>
      <c r="D11" t="s">
        <v>41</v>
      </c>
      <c r="E11" t="s">
        <v>91</v>
      </c>
      <c r="F11" t="s">
        <v>92</v>
      </c>
      <c r="G11" t="s">
        <v>17</v>
      </c>
      <c r="H11" t="s">
        <v>93</v>
      </c>
      <c r="I11" t="s">
        <v>94</v>
      </c>
      <c r="J11" t="s">
        <v>95</v>
      </c>
      <c r="K11" t="s">
        <v>17</v>
      </c>
      <c r="L11" t="s">
        <v>17</v>
      </c>
    </row>
    <row r="12" spans="1:12">
      <c r="A12">
        <v>11</v>
      </c>
      <c r="B12" t="s">
        <v>96</v>
      </c>
      <c r="C12" t="s">
        <v>97</v>
      </c>
      <c r="D12" t="s">
        <v>98</v>
      </c>
      <c r="E12" t="s">
        <v>99</v>
      </c>
      <c r="F12" t="s">
        <v>100</v>
      </c>
      <c r="G12" t="s">
        <v>17</v>
      </c>
      <c r="H12" t="s">
        <v>101</v>
      </c>
      <c r="I12" t="s">
        <v>102</v>
      </c>
      <c r="J12" t="s">
        <v>103</v>
      </c>
      <c r="K12" t="s">
        <v>17</v>
      </c>
      <c r="L12" t="s">
        <v>17</v>
      </c>
    </row>
    <row r="13" spans="1:12">
      <c r="A13">
        <v>12</v>
      </c>
      <c r="B13" t="s">
        <v>104</v>
      </c>
      <c r="C13" t="s">
        <v>105</v>
      </c>
      <c r="D13" t="s">
        <v>106</v>
      </c>
      <c r="E13" t="s">
        <v>107</v>
      </c>
      <c r="F13" t="s">
        <v>108</v>
      </c>
      <c r="G13" t="s">
        <v>17</v>
      </c>
      <c r="H13" t="s">
        <v>109</v>
      </c>
      <c r="I13" t="s">
        <v>102</v>
      </c>
      <c r="J13" t="s">
        <v>110</v>
      </c>
      <c r="K13" t="s">
        <v>17</v>
      </c>
      <c r="L13" t="s">
        <v>111</v>
      </c>
    </row>
    <row r="14" spans="1:12">
      <c r="A14">
        <v>13</v>
      </c>
      <c r="B14" t="s">
        <v>112</v>
      </c>
      <c r="C14" t="s">
        <v>113</v>
      </c>
      <c r="D14" t="s">
        <v>114</v>
      </c>
      <c r="E14" t="s">
        <v>115</v>
      </c>
      <c r="F14" t="s">
        <v>116</v>
      </c>
      <c r="G14" t="s">
        <v>17</v>
      </c>
      <c r="H14" t="s">
        <v>117</v>
      </c>
      <c r="I14" t="s">
        <v>102</v>
      </c>
      <c r="J14" t="s">
        <v>118</v>
      </c>
      <c r="K14" t="s">
        <v>119</v>
      </c>
      <c r="L14" t="s">
        <v>17</v>
      </c>
    </row>
    <row r="15" spans="1:12">
      <c r="A15">
        <v>14</v>
      </c>
      <c r="B15" t="s">
        <v>120</v>
      </c>
      <c r="C15" t="s">
        <v>121</v>
      </c>
      <c r="D15" t="s">
        <v>75</v>
      </c>
      <c r="E15" t="s">
        <v>122</v>
      </c>
      <c r="F15" t="s">
        <v>123</v>
      </c>
      <c r="G15" t="s">
        <v>17</v>
      </c>
      <c r="H15" t="s">
        <v>124</v>
      </c>
      <c r="I15" t="s">
        <v>125</v>
      </c>
      <c r="J15" t="s">
        <v>126</v>
      </c>
      <c r="K15" t="s">
        <v>127</v>
      </c>
      <c r="L15" t="s">
        <v>17</v>
      </c>
    </row>
    <row r="16" spans="1:12">
      <c r="A16">
        <v>15</v>
      </c>
      <c r="B16" t="s">
        <v>128</v>
      </c>
      <c r="C16" t="s">
        <v>129</v>
      </c>
      <c r="D16" t="s">
        <v>41</v>
      </c>
      <c r="E16" t="s">
        <v>130</v>
      </c>
      <c r="F16" t="s">
        <v>131</v>
      </c>
      <c r="G16" t="s">
        <v>17</v>
      </c>
      <c r="H16" t="s">
        <v>132</v>
      </c>
      <c r="I16" t="s">
        <v>133</v>
      </c>
      <c r="J16" t="s">
        <v>134</v>
      </c>
      <c r="K16" t="s">
        <v>17</v>
      </c>
      <c r="L16" t="s">
        <v>17</v>
      </c>
    </row>
    <row r="17" spans="1:12">
      <c r="A17">
        <v>16</v>
      </c>
      <c r="B17" t="s">
        <v>135</v>
      </c>
      <c r="C17" t="s">
        <v>136</v>
      </c>
      <c r="D17" t="s">
        <v>137</v>
      </c>
      <c r="E17" t="s">
        <v>138</v>
      </c>
      <c r="F17" t="s">
        <v>139</v>
      </c>
      <c r="G17" t="s">
        <v>140</v>
      </c>
      <c r="H17" t="s">
        <v>141</v>
      </c>
      <c r="I17" t="s">
        <v>28</v>
      </c>
      <c r="J17" t="s">
        <v>142</v>
      </c>
      <c r="K17" t="s">
        <v>17</v>
      </c>
      <c r="L17" t="s">
        <v>17</v>
      </c>
    </row>
    <row r="18" spans="1:12">
      <c r="A18">
        <v>17</v>
      </c>
      <c r="B18" t="s">
        <v>143</v>
      </c>
      <c r="C18" t="s">
        <v>144</v>
      </c>
      <c r="D18" t="s">
        <v>75</v>
      </c>
      <c r="E18" t="s">
        <v>145</v>
      </c>
      <c r="F18" t="s">
        <v>146</v>
      </c>
      <c r="G18" t="s">
        <v>17</v>
      </c>
      <c r="H18" t="s">
        <v>147</v>
      </c>
      <c r="I18" t="s">
        <v>86</v>
      </c>
      <c r="J18" t="s">
        <v>148</v>
      </c>
      <c r="K18" t="s">
        <v>17</v>
      </c>
      <c r="L18" t="s">
        <v>17</v>
      </c>
    </row>
    <row r="19" spans="1:12">
      <c r="A19">
        <v>18</v>
      </c>
      <c r="B19" t="s">
        <v>149</v>
      </c>
      <c r="C19" t="s">
        <v>150</v>
      </c>
      <c r="D19" t="s">
        <v>98</v>
      </c>
      <c r="E19" t="s">
        <v>151</v>
      </c>
      <c r="F19" t="s">
        <v>152</v>
      </c>
      <c r="G19" t="s">
        <v>17</v>
      </c>
      <c r="H19" t="s">
        <v>153</v>
      </c>
      <c r="I19" t="s">
        <v>154</v>
      </c>
      <c r="J19" t="s">
        <v>155</v>
      </c>
      <c r="K19" t="s">
        <v>156</v>
      </c>
      <c r="L19" t="s">
        <v>17</v>
      </c>
    </row>
    <row r="20" spans="1:12">
      <c r="A20">
        <v>19</v>
      </c>
      <c r="B20" t="s">
        <v>157</v>
      </c>
      <c r="C20" t="s">
        <v>158</v>
      </c>
      <c r="D20" t="s">
        <v>159</v>
      </c>
      <c r="E20" t="s">
        <v>160</v>
      </c>
      <c r="F20" t="s">
        <v>161</v>
      </c>
      <c r="G20" t="s">
        <v>162</v>
      </c>
      <c r="H20" t="s">
        <v>163</v>
      </c>
      <c r="I20" t="s">
        <v>28</v>
      </c>
      <c r="J20" t="s">
        <v>164</v>
      </c>
      <c r="K20" t="s">
        <v>165</v>
      </c>
      <c r="L20" t="s">
        <v>17</v>
      </c>
    </row>
    <row r="21" spans="1:12">
      <c r="A21">
        <v>20</v>
      </c>
      <c r="B21" t="s">
        <v>166</v>
      </c>
      <c r="C21" t="s">
        <v>167</v>
      </c>
      <c r="D21" t="s">
        <v>168</v>
      </c>
      <c r="E21" t="s">
        <v>169</v>
      </c>
      <c r="F21" t="s">
        <v>170</v>
      </c>
      <c r="G21" t="s">
        <v>17</v>
      </c>
      <c r="H21" t="s">
        <v>171</v>
      </c>
      <c r="I21" t="s">
        <v>172</v>
      </c>
      <c r="J21" t="s">
        <v>173</v>
      </c>
      <c r="K21" t="s">
        <v>17</v>
      </c>
      <c r="L21" t="s">
        <v>17</v>
      </c>
    </row>
    <row r="22" spans="1:12">
      <c r="A22">
        <v>21</v>
      </c>
      <c r="B22" t="s">
        <v>174</v>
      </c>
      <c r="C22" t="s">
        <v>175</v>
      </c>
      <c r="D22" t="s">
        <v>98</v>
      </c>
      <c r="E22" t="s">
        <v>176</v>
      </c>
      <c r="F22" t="s">
        <v>177</v>
      </c>
      <c r="G22" t="s">
        <v>17</v>
      </c>
      <c r="H22" t="s">
        <v>178</v>
      </c>
      <c r="I22" t="s">
        <v>179</v>
      </c>
      <c r="J22" t="s">
        <v>180</v>
      </c>
      <c r="K22" t="s">
        <v>181</v>
      </c>
      <c r="L22" t="s">
        <v>17</v>
      </c>
    </row>
    <row r="23" spans="1:12">
      <c r="A23">
        <v>22</v>
      </c>
      <c r="B23" t="s">
        <v>182</v>
      </c>
      <c r="C23" t="s">
        <v>183</v>
      </c>
      <c r="D23" t="s">
        <v>184</v>
      </c>
      <c r="E23" t="s">
        <v>185</v>
      </c>
      <c r="F23" t="s">
        <v>186</v>
      </c>
      <c r="G23" t="s">
        <v>17</v>
      </c>
      <c r="H23" t="s">
        <v>187</v>
      </c>
      <c r="I23" t="s">
        <v>188</v>
      </c>
      <c r="J23" t="s">
        <v>189</v>
      </c>
      <c r="K23" t="s">
        <v>190</v>
      </c>
      <c r="L23" t="s">
        <v>17</v>
      </c>
    </row>
    <row r="24" spans="1:12">
      <c r="A24">
        <v>23</v>
      </c>
      <c r="B24" t="s">
        <v>191</v>
      </c>
      <c r="C24" t="s">
        <v>192</v>
      </c>
      <c r="D24" t="s">
        <v>193</v>
      </c>
      <c r="E24" t="s">
        <v>194</v>
      </c>
      <c r="F24" t="s">
        <v>195</v>
      </c>
      <c r="G24" t="s">
        <v>17</v>
      </c>
      <c r="H24" t="s">
        <v>196</v>
      </c>
      <c r="I24" t="s">
        <v>197</v>
      </c>
      <c r="J24" t="s">
        <v>198</v>
      </c>
      <c r="K24" t="s">
        <v>17</v>
      </c>
      <c r="L24" t="s">
        <v>17</v>
      </c>
    </row>
    <row r="25" spans="1:12">
      <c r="A25">
        <v>24</v>
      </c>
      <c r="B25" t="s">
        <v>199</v>
      </c>
      <c r="C25" t="s">
        <v>200</v>
      </c>
      <c r="D25" t="s">
        <v>32</v>
      </c>
      <c r="E25" t="s">
        <v>201</v>
      </c>
      <c r="F25" t="s">
        <v>202</v>
      </c>
      <c r="G25" t="s">
        <v>203</v>
      </c>
      <c r="H25" t="s">
        <v>204</v>
      </c>
      <c r="I25" t="s">
        <v>70</v>
      </c>
      <c r="J25" t="s">
        <v>205</v>
      </c>
      <c r="K25" t="s">
        <v>206</v>
      </c>
      <c r="L25" t="s">
        <v>207</v>
      </c>
    </row>
    <row r="26" spans="1:12">
      <c r="A26">
        <v>25</v>
      </c>
      <c r="B26" t="s">
        <v>208</v>
      </c>
      <c r="C26" t="s">
        <v>209</v>
      </c>
      <c r="D26" t="s">
        <v>41</v>
      </c>
      <c r="E26" t="s">
        <v>210</v>
      </c>
      <c r="F26" t="s">
        <v>211</v>
      </c>
      <c r="G26" t="s">
        <v>212</v>
      </c>
      <c r="H26" t="s">
        <v>213</v>
      </c>
      <c r="I26" t="s">
        <v>214</v>
      </c>
      <c r="J26" t="s">
        <v>215</v>
      </c>
      <c r="K26" t="s">
        <v>17</v>
      </c>
      <c r="L26" t="s">
        <v>17</v>
      </c>
    </row>
    <row r="27" spans="1:12">
      <c r="A27">
        <v>26</v>
      </c>
      <c r="B27" t="s">
        <v>216</v>
      </c>
      <c r="C27" t="s">
        <v>217</v>
      </c>
      <c r="D27" t="s">
        <v>218</v>
      </c>
      <c r="E27" t="s">
        <v>219</v>
      </c>
      <c r="F27" t="s">
        <v>220</v>
      </c>
      <c r="G27" t="s">
        <v>17</v>
      </c>
      <c r="H27" t="s">
        <v>221</v>
      </c>
      <c r="I27" t="s">
        <v>125</v>
      </c>
      <c r="J27" t="s">
        <v>222</v>
      </c>
      <c r="K27" t="s">
        <v>223</v>
      </c>
      <c r="L27" t="s">
        <v>17</v>
      </c>
    </row>
    <row r="28" spans="1:12">
      <c r="A28">
        <v>27</v>
      </c>
      <c r="B28" t="s">
        <v>224</v>
      </c>
      <c r="C28" t="s">
        <v>225</v>
      </c>
      <c r="D28" t="s">
        <v>98</v>
      </c>
      <c r="E28" t="s">
        <v>226</v>
      </c>
      <c r="F28" t="s">
        <v>227</v>
      </c>
      <c r="G28" t="s">
        <v>17</v>
      </c>
      <c r="H28" t="s">
        <v>228</v>
      </c>
      <c r="I28" t="s">
        <v>154</v>
      </c>
      <c r="J28" t="s">
        <v>229</v>
      </c>
      <c r="K28" t="s">
        <v>17</v>
      </c>
      <c r="L28" t="s">
        <v>17</v>
      </c>
    </row>
    <row r="29" spans="1:12">
      <c r="A29">
        <v>28</v>
      </c>
      <c r="B29" t="s">
        <v>230</v>
      </c>
      <c r="C29" t="s">
        <v>231</v>
      </c>
      <c r="D29" t="s">
        <v>32</v>
      </c>
      <c r="E29" t="s">
        <v>232</v>
      </c>
      <c r="F29" t="s">
        <v>233</v>
      </c>
      <c r="G29" t="s">
        <v>17</v>
      </c>
      <c r="H29" t="s">
        <v>234</v>
      </c>
      <c r="I29" t="s">
        <v>154</v>
      </c>
      <c r="J29" t="s">
        <v>235</v>
      </c>
      <c r="K29" t="s">
        <v>236</v>
      </c>
      <c r="L29" t="s">
        <v>17</v>
      </c>
    </row>
    <row r="30" spans="1:12">
      <c r="A30">
        <v>29</v>
      </c>
      <c r="B30" t="s">
        <v>237</v>
      </c>
      <c r="C30" t="s">
        <v>238</v>
      </c>
      <c r="D30" t="s">
        <v>239</v>
      </c>
      <c r="E30" t="s">
        <v>240</v>
      </c>
      <c r="F30" t="s">
        <v>241</v>
      </c>
      <c r="G30" t="s">
        <v>212</v>
      </c>
      <c r="H30" t="s">
        <v>242</v>
      </c>
      <c r="I30" t="s">
        <v>214</v>
      </c>
      <c r="J30" t="s">
        <v>243</v>
      </c>
      <c r="K30" t="s">
        <v>244</v>
      </c>
      <c r="L30" t="s">
        <v>17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1D75-F87F-4051-8EEA-BD1DC394907C}">
  <sheetPr>
    <tabColor theme="9" tint="0.79998168889431442"/>
  </sheetPr>
  <dimension ref="A1:H201"/>
  <sheetViews>
    <sheetView zoomScale="110" zoomScaleNormal="110" workbookViewId="0">
      <selection activeCell="B14" sqref="B14"/>
    </sheetView>
  </sheetViews>
  <sheetFormatPr defaultColWidth="10.125" defaultRowHeight="15"/>
  <cols>
    <col min="1" max="1" width="13.25" style="6" bestFit="1" customWidth="1"/>
    <col min="2" max="2" width="13" style="7" customWidth="1"/>
    <col min="3" max="3" width="18.625" style="2" customWidth="1"/>
    <col min="4" max="4" width="11.375" style="2" customWidth="1"/>
    <col min="5" max="5" width="10" style="8" customWidth="1"/>
    <col min="6" max="6" width="11.25" style="2" customWidth="1"/>
    <col min="7" max="7" width="16.75" style="2" customWidth="1"/>
    <col min="8" max="8" width="3.75" style="2" customWidth="1"/>
    <col min="9" max="16384" width="10.125" style="2"/>
  </cols>
  <sheetData>
    <row r="1" spans="1:8" ht="31.5" customHeight="1">
      <c r="A1" s="11" t="s">
        <v>245</v>
      </c>
      <c r="B1" s="12" t="s">
        <v>246</v>
      </c>
      <c r="C1" s="13" t="s">
        <v>247</v>
      </c>
      <c r="D1" s="13" t="s">
        <v>248</v>
      </c>
      <c r="E1" s="14" t="s">
        <v>249</v>
      </c>
      <c r="F1" s="15" t="s">
        <v>250</v>
      </c>
      <c r="G1" s="13" t="s">
        <v>251</v>
      </c>
      <c r="H1" s="1"/>
    </row>
    <row r="2" spans="1:8">
      <c r="A2" s="3">
        <v>45461</v>
      </c>
      <c r="B2" s="4" t="s">
        <v>252</v>
      </c>
      <c r="C2" s="1" t="s">
        <v>253</v>
      </c>
      <c r="D2" s="1">
        <v>27</v>
      </c>
      <c r="E2" s="5">
        <v>23.5</v>
      </c>
      <c r="F2" s="1">
        <v>40</v>
      </c>
      <c r="G2" s="1" t="s">
        <v>254</v>
      </c>
      <c r="H2" s="1"/>
    </row>
    <row r="3" spans="1:8">
      <c r="A3" s="3">
        <v>45462</v>
      </c>
      <c r="B3" s="4" t="s">
        <v>252</v>
      </c>
      <c r="C3" s="1" t="s">
        <v>253</v>
      </c>
      <c r="D3" s="1">
        <v>27</v>
      </c>
      <c r="E3" s="5">
        <v>23.5</v>
      </c>
      <c r="F3" s="1">
        <v>42</v>
      </c>
      <c r="G3" s="1" t="s">
        <v>255</v>
      </c>
      <c r="H3" s="1"/>
    </row>
    <row r="4" spans="1:8">
      <c r="A4" s="3">
        <v>45464</v>
      </c>
      <c r="B4" s="4" t="s">
        <v>252</v>
      </c>
      <c r="C4" s="1" t="s">
        <v>253</v>
      </c>
      <c r="D4" s="1">
        <v>27</v>
      </c>
      <c r="E4" s="5">
        <v>23.5</v>
      </c>
      <c r="F4" s="1">
        <v>20</v>
      </c>
      <c r="G4" s="1" t="s">
        <v>256</v>
      </c>
      <c r="H4" s="1"/>
    </row>
    <row r="5" spans="1:8">
      <c r="A5" s="3">
        <v>45468</v>
      </c>
      <c r="B5" s="4" t="s">
        <v>252</v>
      </c>
      <c r="C5" s="1" t="s">
        <v>253</v>
      </c>
      <c r="D5" s="1">
        <v>27</v>
      </c>
      <c r="E5" s="5">
        <v>23.5</v>
      </c>
      <c r="F5" s="1">
        <v>6</v>
      </c>
      <c r="G5" s="1" t="s">
        <v>254</v>
      </c>
      <c r="H5" s="1"/>
    </row>
    <row r="6" spans="1:8">
      <c r="A6" s="3">
        <v>45469</v>
      </c>
      <c r="B6" s="4" t="s">
        <v>252</v>
      </c>
      <c r="C6" s="1" t="s">
        <v>253</v>
      </c>
      <c r="D6" s="1">
        <v>27</v>
      </c>
      <c r="E6" s="5">
        <v>23.5</v>
      </c>
      <c r="F6" s="1">
        <v>65</v>
      </c>
      <c r="G6" s="1" t="s">
        <v>257</v>
      </c>
      <c r="H6" s="1"/>
    </row>
    <row r="7" spans="1:8">
      <c r="A7" s="3">
        <v>45469</v>
      </c>
      <c r="B7" s="4" t="s">
        <v>252</v>
      </c>
      <c r="C7" s="1" t="s">
        <v>253</v>
      </c>
      <c r="D7" s="1">
        <v>27</v>
      </c>
      <c r="E7" s="5">
        <v>23.5</v>
      </c>
      <c r="F7" s="1">
        <v>50</v>
      </c>
      <c r="G7" s="1" t="s">
        <v>257</v>
      </c>
      <c r="H7" s="1"/>
    </row>
    <row r="8" spans="1:8">
      <c r="A8" s="3">
        <v>45474</v>
      </c>
      <c r="B8" s="4" t="s">
        <v>252</v>
      </c>
      <c r="C8" s="1" t="s">
        <v>253</v>
      </c>
      <c r="D8" s="1">
        <v>27</v>
      </c>
      <c r="E8" s="5">
        <v>23.5</v>
      </c>
      <c r="F8" s="1">
        <v>12</v>
      </c>
      <c r="G8" s="1" t="s">
        <v>258</v>
      </c>
      <c r="H8" s="1"/>
    </row>
    <row r="9" spans="1:8">
      <c r="A9" s="3">
        <v>45476</v>
      </c>
      <c r="B9" s="4" t="s">
        <v>252</v>
      </c>
      <c r="C9" s="1" t="s">
        <v>253</v>
      </c>
      <c r="D9" s="1">
        <v>27</v>
      </c>
      <c r="E9" s="5">
        <v>23.5</v>
      </c>
      <c r="F9" s="1">
        <v>35</v>
      </c>
      <c r="G9" s="1" t="s">
        <v>259</v>
      </c>
      <c r="H9" s="1"/>
    </row>
    <row r="10" spans="1:8">
      <c r="A10" s="3">
        <v>45477</v>
      </c>
      <c r="B10" s="4" t="s">
        <v>252</v>
      </c>
      <c r="C10" s="1" t="s">
        <v>253</v>
      </c>
      <c r="D10" s="1">
        <v>27</v>
      </c>
      <c r="E10" s="5">
        <v>23.5</v>
      </c>
      <c r="F10" s="1">
        <v>30</v>
      </c>
      <c r="G10" s="1" t="s">
        <v>260</v>
      </c>
      <c r="H10" s="1"/>
    </row>
    <row r="11" spans="1:8">
      <c r="A11" s="3">
        <v>45481</v>
      </c>
      <c r="B11" s="4" t="s">
        <v>252</v>
      </c>
      <c r="C11" s="1" t="s">
        <v>253</v>
      </c>
      <c r="D11" s="1">
        <v>27</v>
      </c>
      <c r="E11" s="5">
        <v>23.5</v>
      </c>
      <c r="F11" s="1">
        <v>50</v>
      </c>
      <c r="G11" s="1" t="s">
        <v>254</v>
      </c>
      <c r="H11" s="1"/>
    </row>
    <row r="12" spans="1:8">
      <c r="A12" s="3">
        <v>45488</v>
      </c>
      <c r="B12" s="4" t="s">
        <v>252</v>
      </c>
      <c r="C12" s="1" t="s">
        <v>253</v>
      </c>
      <c r="D12" s="1">
        <v>27</v>
      </c>
      <c r="E12" s="5">
        <v>23.5</v>
      </c>
      <c r="F12" s="1">
        <v>60</v>
      </c>
      <c r="G12" s="1" t="s">
        <v>255</v>
      </c>
      <c r="H12" s="1"/>
    </row>
    <row r="13" spans="1:8">
      <c r="A13" s="3">
        <v>45496</v>
      </c>
      <c r="B13" s="4" t="s">
        <v>252</v>
      </c>
      <c r="C13" s="1" t="s">
        <v>253</v>
      </c>
      <c r="D13" s="1">
        <v>27</v>
      </c>
      <c r="E13" s="5">
        <v>23.5</v>
      </c>
      <c r="F13" s="1">
        <v>15</v>
      </c>
      <c r="G13" s="1" t="s">
        <v>258</v>
      </c>
      <c r="H13" s="1"/>
    </row>
    <row r="14" spans="1:8">
      <c r="A14" s="3">
        <v>45499</v>
      </c>
      <c r="B14" s="4" t="s">
        <v>252</v>
      </c>
      <c r="C14" s="1" t="s">
        <v>253</v>
      </c>
      <c r="D14" s="1">
        <v>27</v>
      </c>
      <c r="E14" s="5">
        <v>23.5</v>
      </c>
      <c r="F14" s="1">
        <v>35</v>
      </c>
      <c r="G14" s="1" t="s">
        <v>255</v>
      </c>
      <c r="H14" s="1"/>
    </row>
    <row r="15" spans="1:8">
      <c r="A15" s="3">
        <v>45502</v>
      </c>
      <c r="B15" s="4" t="s">
        <v>252</v>
      </c>
      <c r="C15" s="1" t="s">
        <v>253</v>
      </c>
      <c r="D15" s="1">
        <v>27</v>
      </c>
      <c r="E15" s="5">
        <v>23.5</v>
      </c>
      <c r="F15" s="1">
        <v>20</v>
      </c>
      <c r="G15" s="1" t="s">
        <v>254</v>
      </c>
      <c r="H15" s="1"/>
    </row>
    <row r="16" spans="1:8">
      <c r="A16" s="3">
        <v>45503</v>
      </c>
      <c r="B16" s="4" t="s">
        <v>252</v>
      </c>
      <c r="C16" s="1" t="s">
        <v>253</v>
      </c>
      <c r="D16" s="1">
        <v>27</v>
      </c>
      <c r="E16" s="5">
        <v>23.5</v>
      </c>
      <c r="F16" s="1">
        <v>45</v>
      </c>
      <c r="G16" s="1" t="s">
        <v>257</v>
      </c>
      <c r="H16" s="1"/>
    </row>
    <row r="17" spans="1:8">
      <c r="A17" s="3">
        <v>45503</v>
      </c>
      <c r="B17" s="4" t="s">
        <v>252</v>
      </c>
      <c r="C17" s="1" t="s">
        <v>253</v>
      </c>
      <c r="D17" s="1">
        <v>27</v>
      </c>
      <c r="E17" s="5">
        <v>23.5</v>
      </c>
      <c r="F17" s="1">
        <v>40</v>
      </c>
      <c r="G17" s="1" t="s">
        <v>257</v>
      </c>
      <c r="H17" s="1"/>
    </row>
    <row r="18" spans="1:8">
      <c r="A18" s="3">
        <v>45509</v>
      </c>
      <c r="B18" s="4" t="s">
        <v>252</v>
      </c>
      <c r="C18" s="1" t="s">
        <v>253</v>
      </c>
      <c r="D18" s="1">
        <v>27</v>
      </c>
      <c r="E18" s="5">
        <v>23.5</v>
      </c>
      <c r="F18" s="1">
        <v>30</v>
      </c>
      <c r="G18" s="1" t="s">
        <v>261</v>
      </c>
    </row>
    <row r="19" spans="1:8">
      <c r="A19" s="3">
        <v>45510</v>
      </c>
      <c r="B19" s="4" t="s">
        <v>252</v>
      </c>
      <c r="C19" s="1" t="s">
        <v>253</v>
      </c>
      <c r="D19" s="1">
        <v>27</v>
      </c>
      <c r="E19" s="5">
        <v>23.5</v>
      </c>
      <c r="F19" s="1">
        <v>20</v>
      </c>
      <c r="G19" s="1" t="s">
        <v>258</v>
      </c>
    </row>
    <row r="20" spans="1:8">
      <c r="A20" s="3">
        <v>45512</v>
      </c>
      <c r="B20" s="4" t="s">
        <v>252</v>
      </c>
      <c r="C20" s="1" t="s">
        <v>253</v>
      </c>
      <c r="D20" s="1">
        <v>27</v>
      </c>
      <c r="E20" s="5">
        <v>23.5</v>
      </c>
      <c r="F20" s="1">
        <v>12</v>
      </c>
      <c r="G20" s="1" t="s">
        <v>257</v>
      </c>
    </row>
    <row r="21" spans="1:8">
      <c r="A21" s="3">
        <v>45513</v>
      </c>
      <c r="B21" s="4" t="s">
        <v>252</v>
      </c>
      <c r="C21" s="1" t="s">
        <v>253</v>
      </c>
      <c r="D21" s="1">
        <v>27</v>
      </c>
      <c r="E21" s="5">
        <v>23.5</v>
      </c>
      <c r="F21" s="1">
        <v>21</v>
      </c>
      <c r="G21" s="1" t="s">
        <v>254</v>
      </c>
    </row>
    <row r="22" spans="1:8">
      <c r="A22" s="3">
        <v>45513</v>
      </c>
      <c r="B22" s="4" t="s">
        <v>252</v>
      </c>
      <c r="C22" s="1" t="s">
        <v>253</v>
      </c>
      <c r="D22" s="1">
        <v>27</v>
      </c>
      <c r="E22" s="5">
        <v>23.5</v>
      </c>
      <c r="F22" s="1">
        <v>15</v>
      </c>
      <c r="G22" s="1" t="s">
        <v>254</v>
      </c>
    </row>
    <row r="23" spans="1:8">
      <c r="A23" s="3">
        <v>45513</v>
      </c>
      <c r="B23" s="4" t="s">
        <v>252</v>
      </c>
      <c r="C23" s="1" t="s">
        <v>253</v>
      </c>
      <c r="D23" s="1">
        <v>27</v>
      </c>
      <c r="E23" s="5">
        <v>23.5</v>
      </c>
      <c r="F23" s="1">
        <v>18</v>
      </c>
      <c r="G23" s="1" t="s">
        <v>254</v>
      </c>
    </row>
    <row r="24" spans="1:8">
      <c r="A24" s="3">
        <v>45518</v>
      </c>
      <c r="B24" s="4" t="s">
        <v>252</v>
      </c>
      <c r="C24" s="1" t="s">
        <v>253</v>
      </c>
      <c r="D24" s="1">
        <v>27</v>
      </c>
      <c r="E24" s="5">
        <v>23.5</v>
      </c>
      <c r="F24" s="1">
        <v>60</v>
      </c>
      <c r="G24" s="1" t="s">
        <v>262</v>
      </c>
    </row>
    <row r="25" spans="1:8">
      <c r="A25" s="3">
        <v>45519</v>
      </c>
      <c r="B25" s="4" t="s">
        <v>252</v>
      </c>
      <c r="C25" s="1" t="s">
        <v>253</v>
      </c>
      <c r="D25" s="1">
        <v>27</v>
      </c>
      <c r="E25" s="5">
        <v>23.5</v>
      </c>
      <c r="F25" s="1">
        <v>40</v>
      </c>
      <c r="G25" s="1" t="s">
        <v>259</v>
      </c>
    </row>
    <row r="26" spans="1:8">
      <c r="A26" s="3">
        <v>45523</v>
      </c>
      <c r="B26" s="4" t="s">
        <v>252</v>
      </c>
      <c r="C26" s="1" t="s">
        <v>253</v>
      </c>
      <c r="D26" s="1">
        <v>27</v>
      </c>
      <c r="E26" s="5">
        <v>23.5</v>
      </c>
      <c r="F26" s="1">
        <v>10</v>
      </c>
      <c r="G26" s="1" t="s">
        <v>258</v>
      </c>
    </row>
    <row r="27" spans="1:8">
      <c r="A27" s="3">
        <v>45524</v>
      </c>
      <c r="B27" s="4" t="s">
        <v>252</v>
      </c>
      <c r="C27" s="1" t="s">
        <v>253</v>
      </c>
      <c r="D27" s="1">
        <v>27</v>
      </c>
      <c r="E27" s="5">
        <v>23.5</v>
      </c>
      <c r="F27" s="1">
        <v>40</v>
      </c>
      <c r="G27" s="1" t="s">
        <v>254</v>
      </c>
    </row>
    <row r="28" spans="1:8">
      <c r="A28" s="3">
        <v>45525</v>
      </c>
      <c r="B28" s="4" t="s">
        <v>252</v>
      </c>
      <c r="C28" s="1" t="s">
        <v>253</v>
      </c>
      <c r="D28" s="1">
        <v>27</v>
      </c>
      <c r="E28" s="5">
        <v>23.5</v>
      </c>
      <c r="F28" s="1">
        <v>40</v>
      </c>
      <c r="G28" s="1" t="s">
        <v>261</v>
      </c>
    </row>
    <row r="29" spans="1:8">
      <c r="A29" s="3">
        <v>45527</v>
      </c>
      <c r="B29" s="4" t="s">
        <v>252</v>
      </c>
      <c r="C29" s="1" t="s">
        <v>253</v>
      </c>
      <c r="D29" s="1">
        <v>27</v>
      </c>
      <c r="E29" s="5">
        <v>23.5</v>
      </c>
      <c r="F29" s="1">
        <v>30</v>
      </c>
      <c r="G29" s="1" t="s">
        <v>258</v>
      </c>
    </row>
    <row r="30" spans="1:8">
      <c r="A30" s="3">
        <v>45527</v>
      </c>
      <c r="B30" s="4" t="s">
        <v>252</v>
      </c>
      <c r="C30" s="1" t="s">
        <v>253</v>
      </c>
      <c r="D30" s="1">
        <v>27</v>
      </c>
      <c r="E30" s="5">
        <v>23.5</v>
      </c>
      <c r="F30" s="1">
        <v>25</v>
      </c>
      <c r="G30" s="1" t="s">
        <v>258</v>
      </c>
    </row>
    <row r="31" spans="1:8">
      <c r="A31" s="3">
        <v>45533</v>
      </c>
      <c r="B31" s="4" t="s">
        <v>252</v>
      </c>
      <c r="C31" s="1" t="s">
        <v>253</v>
      </c>
      <c r="D31" s="1">
        <v>27</v>
      </c>
      <c r="E31" s="5">
        <v>23.5</v>
      </c>
      <c r="F31" s="1">
        <v>20</v>
      </c>
      <c r="G31" s="1" t="s">
        <v>255</v>
      </c>
    </row>
    <row r="32" spans="1:8">
      <c r="A32" s="3">
        <v>45544</v>
      </c>
      <c r="B32" s="4" t="s">
        <v>252</v>
      </c>
      <c r="C32" s="1" t="s">
        <v>253</v>
      </c>
      <c r="D32" s="1">
        <v>27</v>
      </c>
      <c r="E32" s="5">
        <v>23.5</v>
      </c>
      <c r="F32" s="1">
        <v>20</v>
      </c>
      <c r="G32" s="1" t="s">
        <v>259</v>
      </c>
    </row>
    <row r="33" spans="1:7">
      <c r="A33" s="3">
        <v>45546</v>
      </c>
      <c r="B33" s="4" t="s">
        <v>252</v>
      </c>
      <c r="C33" s="1" t="s">
        <v>253</v>
      </c>
      <c r="D33" s="1">
        <v>27</v>
      </c>
      <c r="E33" s="5">
        <v>23.5</v>
      </c>
      <c r="F33" s="1">
        <v>8</v>
      </c>
      <c r="G33" s="1" t="s">
        <v>261</v>
      </c>
    </row>
    <row r="34" spans="1:7">
      <c r="A34" s="3">
        <v>45551</v>
      </c>
      <c r="B34" s="4" t="s">
        <v>252</v>
      </c>
      <c r="C34" s="1" t="s">
        <v>253</v>
      </c>
      <c r="D34" s="1">
        <v>27</v>
      </c>
      <c r="E34" s="5">
        <v>23.5</v>
      </c>
      <c r="F34" s="1">
        <v>4</v>
      </c>
      <c r="G34" s="1" t="s">
        <v>254</v>
      </c>
    </row>
    <row r="35" spans="1:7">
      <c r="A35" s="3">
        <v>45461</v>
      </c>
      <c r="B35" s="4" t="s">
        <v>263</v>
      </c>
      <c r="C35" s="1" t="s">
        <v>264</v>
      </c>
      <c r="D35" s="1">
        <v>25</v>
      </c>
      <c r="E35" s="5">
        <v>25</v>
      </c>
      <c r="F35" s="1">
        <v>25</v>
      </c>
      <c r="G35" s="1" t="s">
        <v>254</v>
      </c>
    </row>
    <row r="36" spans="1:7">
      <c r="A36" s="3">
        <v>45483</v>
      </c>
      <c r="B36" s="4" t="s">
        <v>263</v>
      </c>
      <c r="C36" s="1" t="s">
        <v>264</v>
      </c>
      <c r="D36" s="1">
        <v>25</v>
      </c>
      <c r="E36" s="5">
        <v>25</v>
      </c>
      <c r="F36" s="1">
        <v>60</v>
      </c>
      <c r="G36" s="1" t="s">
        <v>262</v>
      </c>
    </row>
    <row r="37" spans="1:7">
      <c r="A37" s="3">
        <v>45484</v>
      </c>
      <c r="B37" s="4" t="s">
        <v>263</v>
      </c>
      <c r="C37" s="1" t="s">
        <v>264</v>
      </c>
      <c r="D37" s="1">
        <v>25</v>
      </c>
      <c r="E37" s="5">
        <v>25</v>
      </c>
      <c r="F37" s="1">
        <v>24</v>
      </c>
      <c r="G37" s="1" t="s">
        <v>259</v>
      </c>
    </row>
    <row r="38" spans="1:7">
      <c r="A38" s="3">
        <v>45488</v>
      </c>
      <c r="B38" s="4" t="s">
        <v>263</v>
      </c>
      <c r="C38" s="1" t="s">
        <v>264</v>
      </c>
      <c r="D38" s="1">
        <v>25</v>
      </c>
      <c r="E38" s="5">
        <v>25</v>
      </c>
      <c r="F38" s="1">
        <v>20</v>
      </c>
      <c r="G38" s="1" t="s">
        <v>255</v>
      </c>
    </row>
    <row r="39" spans="1:7">
      <c r="A39" s="3">
        <v>45489</v>
      </c>
      <c r="B39" s="4" t="s">
        <v>263</v>
      </c>
      <c r="C39" s="1" t="s">
        <v>264</v>
      </c>
      <c r="D39" s="1">
        <v>25</v>
      </c>
      <c r="E39" s="5">
        <v>25</v>
      </c>
      <c r="F39" s="1">
        <v>20</v>
      </c>
      <c r="G39" s="1" t="s">
        <v>259</v>
      </c>
    </row>
    <row r="40" spans="1:7">
      <c r="A40" s="3">
        <v>45499</v>
      </c>
      <c r="B40" s="4" t="s">
        <v>263</v>
      </c>
      <c r="C40" s="1" t="s">
        <v>264</v>
      </c>
      <c r="D40" s="1">
        <v>25</v>
      </c>
      <c r="E40" s="5">
        <v>25</v>
      </c>
      <c r="F40" s="1">
        <v>20</v>
      </c>
      <c r="G40" s="1" t="s">
        <v>255</v>
      </c>
    </row>
    <row r="41" spans="1:7">
      <c r="A41" s="3">
        <v>45526</v>
      </c>
      <c r="B41" s="4" t="s">
        <v>263</v>
      </c>
      <c r="C41" s="1" t="s">
        <v>264</v>
      </c>
      <c r="D41" s="1">
        <v>25</v>
      </c>
      <c r="E41" s="5">
        <v>25</v>
      </c>
      <c r="F41" s="1">
        <v>2</v>
      </c>
      <c r="G41" s="1" t="s">
        <v>257</v>
      </c>
    </row>
    <row r="42" spans="1:7">
      <c r="A42" s="3">
        <v>45533</v>
      </c>
      <c r="B42" s="4" t="s">
        <v>263</v>
      </c>
      <c r="C42" s="1" t="s">
        <v>264</v>
      </c>
      <c r="D42" s="1">
        <v>25</v>
      </c>
      <c r="E42" s="5">
        <v>25</v>
      </c>
      <c r="F42" s="1">
        <v>3</v>
      </c>
      <c r="G42" s="1" t="s">
        <v>255</v>
      </c>
    </row>
    <row r="43" spans="1:7">
      <c r="A43" s="3">
        <v>45539</v>
      </c>
      <c r="B43" s="4" t="s">
        <v>263</v>
      </c>
      <c r="C43" s="1" t="s">
        <v>264</v>
      </c>
      <c r="D43" s="1">
        <v>25</v>
      </c>
      <c r="E43" s="5">
        <v>25</v>
      </c>
      <c r="F43" s="1">
        <v>30</v>
      </c>
      <c r="G43" s="1" t="s">
        <v>257</v>
      </c>
    </row>
    <row r="44" spans="1:7">
      <c r="A44" s="3">
        <v>45547</v>
      </c>
      <c r="B44" s="4" t="s">
        <v>263</v>
      </c>
      <c r="C44" s="1" t="s">
        <v>264</v>
      </c>
      <c r="D44" s="1">
        <v>25</v>
      </c>
      <c r="E44" s="5">
        <v>25</v>
      </c>
      <c r="F44" s="1">
        <v>30</v>
      </c>
      <c r="G44" s="1" t="s">
        <v>262</v>
      </c>
    </row>
    <row r="45" spans="1:7">
      <c r="A45" s="3">
        <v>45548</v>
      </c>
      <c r="B45" s="4" t="s">
        <v>263</v>
      </c>
      <c r="C45" s="1" t="s">
        <v>264</v>
      </c>
      <c r="D45" s="1">
        <v>25</v>
      </c>
      <c r="E45" s="5">
        <v>25</v>
      </c>
      <c r="F45" s="1">
        <v>20</v>
      </c>
      <c r="G45" s="1" t="s">
        <v>261</v>
      </c>
    </row>
    <row r="46" spans="1:7">
      <c r="A46" s="3">
        <v>45551</v>
      </c>
      <c r="B46" s="4" t="s">
        <v>263</v>
      </c>
      <c r="C46" s="1" t="s">
        <v>264</v>
      </c>
      <c r="D46" s="1">
        <v>25</v>
      </c>
      <c r="E46" s="5">
        <v>25</v>
      </c>
      <c r="F46" s="1">
        <v>5</v>
      </c>
      <c r="G46" s="1" t="s">
        <v>254</v>
      </c>
    </row>
    <row r="47" spans="1:7">
      <c r="A47" s="3">
        <v>45460</v>
      </c>
      <c r="B47" s="4" t="s">
        <v>265</v>
      </c>
      <c r="C47" s="1" t="s">
        <v>266</v>
      </c>
      <c r="D47" s="1">
        <v>11</v>
      </c>
      <c r="E47" s="5">
        <v>44</v>
      </c>
      <c r="F47" s="1">
        <v>6</v>
      </c>
      <c r="G47" s="1" t="s">
        <v>255</v>
      </c>
    </row>
    <row r="48" spans="1:7">
      <c r="A48" s="3">
        <v>45460</v>
      </c>
      <c r="B48" s="4" t="s">
        <v>265</v>
      </c>
      <c r="C48" s="1" t="s">
        <v>266</v>
      </c>
      <c r="D48" s="1">
        <v>11</v>
      </c>
      <c r="E48" s="5">
        <v>16</v>
      </c>
      <c r="F48" s="1">
        <v>10</v>
      </c>
      <c r="G48" s="1" t="s">
        <v>254</v>
      </c>
    </row>
    <row r="49" spans="1:7">
      <c r="A49" s="3">
        <v>45464</v>
      </c>
      <c r="B49" s="4" t="s">
        <v>265</v>
      </c>
      <c r="C49" s="1" t="s">
        <v>266</v>
      </c>
      <c r="D49" s="1">
        <v>11</v>
      </c>
      <c r="E49" s="5">
        <v>16</v>
      </c>
      <c r="F49" s="1">
        <v>25</v>
      </c>
      <c r="G49" s="1" t="s">
        <v>256</v>
      </c>
    </row>
    <row r="50" spans="1:7">
      <c r="A50" s="3">
        <v>45471</v>
      </c>
      <c r="B50" s="4" t="s">
        <v>265</v>
      </c>
      <c r="C50" s="1" t="s">
        <v>266</v>
      </c>
      <c r="D50" s="1">
        <v>11</v>
      </c>
      <c r="E50" s="5">
        <v>16</v>
      </c>
      <c r="F50" s="1">
        <v>16</v>
      </c>
      <c r="G50" s="1" t="s">
        <v>254</v>
      </c>
    </row>
    <row r="51" spans="1:7">
      <c r="A51" s="3">
        <v>45476</v>
      </c>
      <c r="B51" s="4" t="s">
        <v>265</v>
      </c>
      <c r="C51" s="1" t="s">
        <v>266</v>
      </c>
      <c r="D51" s="1">
        <v>11</v>
      </c>
      <c r="E51" s="5">
        <v>16</v>
      </c>
      <c r="F51" s="1">
        <v>25</v>
      </c>
      <c r="G51" s="1" t="s">
        <v>259</v>
      </c>
    </row>
    <row r="52" spans="1:7">
      <c r="A52" s="3">
        <v>45481</v>
      </c>
      <c r="B52" s="4" t="s">
        <v>265</v>
      </c>
      <c r="C52" s="1" t="s">
        <v>266</v>
      </c>
      <c r="D52" s="1">
        <v>11</v>
      </c>
      <c r="E52" s="5">
        <v>16</v>
      </c>
      <c r="F52" s="1">
        <v>15</v>
      </c>
      <c r="G52" s="1" t="s">
        <v>254</v>
      </c>
    </row>
    <row r="53" spans="1:7">
      <c r="A53" s="3">
        <v>45484</v>
      </c>
      <c r="B53" s="4" t="s">
        <v>265</v>
      </c>
      <c r="C53" s="1" t="s">
        <v>266</v>
      </c>
      <c r="D53" s="1">
        <v>11</v>
      </c>
      <c r="E53" s="5">
        <v>16</v>
      </c>
      <c r="F53" s="1">
        <v>30</v>
      </c>
      <c r="G53" s="1" t="s">
        <v>257</v>
      </c>
    </row>
    <row r="54" spans="1:7">
      <c r="A54" s="3">
        <v>45484</v>
      </c>
      <c r="B54" s="4" t="s">
        <v>265</v>
      </c>
      <c r="C54" s="1" t="s">
        <v>266</v>
      </c>
      <c r="D54" s="1">
        <v>11</v>
      </c>
      <c r="E54" s="5">
        <v>16</v>
      </c>
      <c r="F54" s="1">
        <v>25</v>
      </c>
      <c r="G54" s="1" t="s">
        <v>257</v>
      </c>
    </row>
    <row r="55" spans="1:7">
      <c r="A55" s="3">
        <v>45484</v>
      </c>
      <c r="B55" s="4" t="s">
        <v>265</v>
      </c>
      <c r="C55" s="1" t="s">
        <v>266</v>
      </c>
      <c r="D55" s="1">
        <v>11</v>
      </c>
      <c r="E55" s="5">
        <v>16</v>
      </c>
      <c r="F55" s="1">
        <v>25</v>
      </c>
      <c r="G55" s="1" t="s">
        <v>257</v>
      </c>
    </row>
    <row r="56" spans="1:7">
      <c r="A56" s="3">
        <v>45488</v>
      </c>
      <c r="B56" s="4" t="s">
        <v>265</v>
      </c>
      <c r="C56" s="1" t="s">
        <v>266</v>
      </c>
      <c r="D56" s="1">
        <v>11</v>
      </c>
      <c r="E56" s="5">
        <v>16</v>
      </c>
      <c r="F56" s="1">
        <v>33</v>
      </c>
      <c r="G56" s="1" t="s">
        <v>255</v>
      </c>
    </row>
    <row r="57" spans="1:7">
      <c r="A57" s="3">
        <v>45488</v>
      </c>
      <c r="B57" s="4" t="s">
        <v>265</v>
      </c>
      <c r="C57" s="1" t="s">
        <v>266</v>
      </c>
      <c r="D57" s="1">
        <v>11</v>
      </c>
      <c r="E57" s="5">
        <v>16</v>
      </c>
      <c r="F57" s="1">
        <v>24</v>
      </c>
      <c r="G57" s="1" t="s">
        <v>255</v>
      </c>
    </row>
    <row r="58" spans="1:7">
      <c r="A58" s="3">
        <v>45491</v>
      </c>
      <c r="B58" s="4" t="s">
        <v>265</v>
      </c>
      <c r="C58" s="1" t="s">
        <v>266</v>
      </c>
      <c r="D58" s="1">
        <v>11</v>
      </c>
      <c r="E58" s="5">
        <v>16</v>
      </c>
      <c r="F58" s="1">
        <v>15</v>
      </c>
      <c r="G58" s="1" t="s">
        <v>258</v>
      </c>
    </row>
    <row r="59" spans="1:7">
      <c r="A59" s="3">
        <v>45491</v>
      </c>
      <c r="B59" s="4" t="s">
        <v>265</v>
      </c>
      <c r="C59" s="1" t="s">
        <v>266</v>
      </c>
      <c r="D59" s="1">
        <v>11</v>
      </c>
      <c r="E59" s="5">
        <v>16</v>
      </c>
      <c r="F59" s="1">
        <v>10</v>
      </c>
      <c r="G59" s="1" t="s">
        <v>258</v>
      </c>
    </row>
    <row r="60" spans="1:7">
      <c r="A60" s="3">
        <v>45495</v>
      </c>
      <c r="B60" s="4" t="s">
        <v>265</v>
      </c>
      <c r="C60" s="1" t="s">
        <v>266</v>
      </c>
      <c r="D60" s="1">
        <v>11</v>
      </c>
      <c r="E60" s="5">
        <v>16</v>
      </c>
      <c r="F60" s="1">
        <v>16</v>
      </c>
      <c r="G60" s="1" t="s">
        <v>258</v>
      </c>
    </row>
    <row r="61" spans="1:7">
      <c r="A61" s="3">
        <v>45502</v>
      </c>
      <c r="B61" s="4" t="s">
        <v>265</v>
      </c>
      <c r="C61" s="1" t="s">
        <v>266</v>
      </c>
      <c r="D61" s="1">
        <v>11</v>
      </c>
      <c r="E61" s="5">
        <v>16</v>
      </c>
      <c r="F61" s="1">
        <v>21</v>
      </c>
      <c r="G61" s="1" t="s">
        <v>254</v>
      </c>
    </row>
    <row r="62" spans="1:7">
      <c r="A62" s="3">
        <v>45502</v>
      </c>
      <c r="B62" s="4" t="s">
        <v>265</v>
      </c>
      <c r="C62" s="1" t="s">
        <v>266</v>
      </c>
      <c r="D62" s="1">
        <v>11</v>
      </c>
      <c r="E62" s="5">
        <v>16</v>
      </c>
      <c r="F62" s="1">
        <v>5</v>
      </c>
      <c r="G62" s="1" t="s">
        <v>254</v>
      </c>
    </row>
    <row r="63" spans="1:7">
      <c r="A63" s="3">
        <v>45510</v>
      </c>
      <c r="B63" s="4" t="s">
        <v>265</v>
      </c>
      <c r="C63" s="1" t="s">
        <v>266</v>
      </c>
      <c r="D63" s="1">
        <v>11</v>
      </c>
      <c r="E63" s="5">
        <v>16</v>
      </c>
      <c r="F63" s="1">
        <v>24</v>
      </c>
      <c r="G63" s="1" t="s">
        <v>259</v>
      </c>
    </row>
    <row r="64" spans="1:7">
      <c r="A64" s="3">
        <v>45510</v>
      </c>
      <c r="B64" s="4" t="s">
        <v>265</v>
      </c>
      <c r="C64" s="1" t="s">
        <v>266</v>
      </c>
      <c r="D64" s="1">
        <v>11</v>
      </c>
      <c r="E64" s="5">
        <v>16</v>
      </c>
      <c r="F64" s="1">
        <v>20</v>
      </c>
      <c r="G64" s="1" t="s">
        <v>259</v>
      </c>
    </row>
    <row r="65" spans="1:7">
      <c r="A65" s="3">
        <v>45513</v>
      </c>
      <c r="B65" s="4" t="s">
        <v>265</v>
      </c>
      <c r="C65" s="1" t="s">
        <v>266</v>
      </c>
      <c r="D65" s="1">
        <v>11</v>
      </c>
      <c r="E65" s="5">
        <v>16</v>
      </c>
      <c r="F65" s="1">
        <v>15</v>
      </c>
      <c r="G65" s="1" t="s">
        <v>254</v>
      </c>
    </row>
    <row r="66" spans="1:7">
      <c r="A66" s="3">
        <v>45517</v>
      </c>
      <c r="B66" s="4" t="s">
        <v>265</v>
      </c>
      <c r="C66" s="1" t="s">
        <v>266</v>
      </c>
      <c r="D66" s="1">
        <v>11</v>
      </c>
      <c r="E66" s="5">
        <v>16</v>
      </c>
      <c r="F66" s="1">
        <v>15</v>
      </c>
      <c r="G66" s="1" t="s">
        <v>259</v>
      </c>
    </row>
    <row r="67" spans="1:7">
      <c r="A67" s="3">
        <v>45519</v>
      </c>
      <c r="B67" s="4" t="s">
        <v>265</v>
      </c>
      <c r="C67" s="1" t="s">
        <v>266</v>
      </c>
      <c r="D67" s="1">
        <v>11</v>
      </c>
      <c r="E67" s="5">
        <v>16</v>
      </c>
      <c r="F67" s="1">
        <v>40</v>
      </c>
      <c r="G67" s="1" t="s">
        <v>259</v>
      </c>
    </row>
    <row r="68" spans="1:7">
      <c r="A68" s="3">
        <v>45524</v>
      </c>
      <c r="B68" s="4" t="s">
        <v>265</v>
      </c>
      <c r="C68" s="1" t="s">
        <v>266</v>
      </c>
      <c r="D68" s="1">
        <v>11</v>
      </c>
      <c r="E68" s="5">
        <v>16</v>
      </c>
      <c r="F68" s="1">
        <v>12</v>
      </c>
      <c r="G68" s="1" t="s">
        <v>254</v>
      </c>
    </row>
    <row r="69" spans="1:7">
      <c r="A69" s="3">
        <v>45532</v>
      </c>
      <c r="B69" s="4" t="s">
        <v>265</v>
      </c>
      <c r="C69" s="1" t="s">
        <v>266</v>
      </c>
      <c r="D69" s="1">
        <v>11</v>
      </c>
      <c r="E69" s="5">
        <v>16</v>
      </c>
      <c r="F69" s="1">
        <v>1</v>
      </c>
      <c r="G69" s="1" t="s">
        <v>261</v>
      </c>
    </row>
    <row r="70" spans="1:7">
      <c r="A70" s="3">
        <v>45533</v>
      </c>
      <c r="B70" s="4" t="s">
        <v>265</v>
      </c>
      <c r="C70" s="1" t="s">
        <v>266</v>
      </c>
      <c r="D70" s="1">
        <v>11</v>
      </c>
      <c r="E70" s="5">
        <v>16</v>
      </c>
      <c r="F70" s="1">
        <v>20</v>
      </c>
      <c r="G70" s="1" t="s">
        <v>255</v>
      </c>
    </row>
    <row r="71" spans="1:7">
      <c r="A71" s="3">
        <v>45534</v>
      </c>
      <c r="B71" s="4" t="s">
        <v>265</v>
      </c>
      <c r="C71" s="1" t="s">
        <v>266</v>
      </c>
      <c r="D71" s="1">
        <v>11</v>
      </c>
      <c r="E71" s="5">
        <v>16</v>
      </c>
      <c r="F71" s="1">
        <v>7</v>
      </c>
      <c r="G71" s="1" t="s">
        <v>257</v>
      </c>
    </row>
    <row r="72" spans="1:7">
      <c r="A72" s="3">
        <v>45537</v>
      </c>
      <c r="B72" s="4" t="s">
        <v>265</v>
      </c>
      <c r="C72" s="1" t="s">
        <v>266</v>
      </c>
      <c r="D72" s="1">
        <v>11</v>
      </c>
      <c r="E72" s="5">
        <v>16</v>
      </c>
      <c r="F72" s="1">
        <v>24</v>
      </c>
      <c r="G72" s="1" t="s">
        <v>260</v>
      </c>
    </row>
    <row r="73" spans="1:7">
      <c r="A73" s="3">
        <v>45538</v>
      </c>
      <c r="B73" s="4" t="s">
        <v>265</v>
      </c>
      <c r="C73" s="1" t="s">
        <v>266</v>
      </c>
      <c r="D73" s="1">
        <v>11</v>
      </c>
      <c r="E73" s="5">
        <v>16</v>
      </c>
      <c r="F73" s="1">
        <v>12</v>
      </c>
      <c r="G73" s="1" t="s">
        <v>260</v>
      </c>
    </row>
    <row r="74" spans="1:7">
      <c r="A74" s="3">
        <v>45541</v>
      </c>
      <c r="B74" s="4" t="s">
        <v>265</v>
      </c>
      <c r="C74" s="1" t="s">
        <v>266</v>
      </c>
      <c r="D74" s="1">
        <v>11</v>
      </c>
      <c r="E74" s="5">
        <v>16</v>
      </c>
      <c r="F74" s="1">
        <v>10</v>
      </c>
      <c r="G74" s="1" t="s">
        <v>257</v>
      </c>
    </row>
    <row r="75" spans="1:7">
      <c r="A75" s="3">
        <v>45545</v>
      </c>
      <c r="B75" s="4" t="s">
        <v>265</v>
      </c>
      <c r="C75" s="1" t="s">
        <v>266</v>
      </c>
      <c r="D75" s="1">
        <v>11</v>
      </c>
      <c r="E75" s="5">
        <v>16</v>
      </c>
      <c r="F75" s="1">
        <v>20</v>
      </c>
      <c r="G75" s="1" t="s">
        <v>258</v>
      </c>
    </row>
    <row r="76" spans="1:7">
      <c r="A76" s="3">
        <v>45545</v>
      </c>
      <c r="B76" s="4" t="s">
        <v>265</v>
      </c>
      <c r="C76" s="1" t="s">
        <v>266</v>
      </c>
      <c r="D76" s="1">
        <v>11</v>
      </c>
      <c r="E76" s="5">
        <v>16</v>
      </c>
      <c r="F76" s="1">
        <v>6</v>
      </c>
      <c r="G76" s="1" t="s">
        <v>258</v>
      </c>
    </row>
    <row r="77" spans="1:7">
      <c r="A77" s="3">
        <v>45546</v>
      </c>
      <c r="B77" s="4" t="s">
        <v>265</v>
      </c>
      <c r="C77" s="1" t="s">
        <v>266</v>
      </c>
      <c r="D77" s="1">
        <v>11</v>
      </c>
      <c r="E77" s="5">
        <v>16</v>
      </c>
      <c r="F77" s="1">
        <v>30</v>
      </c>
      <c r="G77" s="1" t="s">
        <v>261</v>
      </c>
    </row>
    <row r="78" spans="1:7">
      <c r="A78" s="3">
        <v>45474</v>
      </c>
      <c r="B78" s="4" t="s">
        <v>267</v>
      </c>
      <c r="C78" s="1" t="s">
        <v>268</v>
      </c>
      <c r="D78" s="1">
        <v>7</v>
      </c>
      <c r="E78" s="5">
        <v>44</v>
      </c>
      <c r="F78" s="1">
        <v>15</v>
      </c>
      <c r="G78" s="1" t="s">
        <v>258</v>
      </c>
    </row>
    <row r="79" spans="1:7">
      <c r="A79" s="3">
        <v>45456</v>
      </c>
      <c r="B79" s="4" t="s">
        <v>269</v>
      </c>
      <c r="C79" s="1" t="s">
        <v>270</v>
      </c>
      <c r="D79" s="1">
        <v>14</v>
      </c>
      <c r="E79" s="5">
        <v>8.5</v>
      </c>
      <c r="F79" s="1">
        <v>5</v>
      </c>
      <c r="G79" s="1" t="s">
        <v>262</v>
      </c>
    </row>
    <row r="80" spans="1:7">
      <c r="A80" s="3">
        <v>45457</v>
      </c>
      <c r="B80" s="4" t="s">
        <v>269</v>
      </c>
      <c r="C80" s="1" t="s">
        <v>270</v>
      </c>
      <c r="D80" s="1">
        <v>14</v>
      </c>
      <c r="E80" s="5">
        <v>8.5</v>
      </c>
      <c r="F80" s="1">
        <v>40</v>
      </c>
      <c r="G80" s="1" t="s">
        <v>259</v>
      </c>
    </row>
    <row r="81" spans="1:7">
      <c r="A81" s="3">
        <v>45460</v>
      </c>
      <c r="B81" s="4" t="s">
        <v>269</v>
      </c>
      <c r="C81" s="1" t="s">
        <v>270</v>
      </c>
      <c r="D81" s="1">
        <v>14</v>
      </c>
      <c r="E81" s="5">
        <v>8.5</v>
      </c>
      <c r="F81" s="1">
        <v>35</v>
      </c>
      <c r="G81" s="1" t="s">
        <v>254</v>
      </c>
    </row>
    <row r="82" spans="1:7">
      <c r="A82" s="3">
        <v>45460</v>
      </c>
      <c r="B82" s="4" t="s">
        <v>269</v>
      </c>
      <c r="C82" s="1" t="s">
        <v>270</v>
      </c>
      <c r="D82" s="1">
        <v>14</v>
      </c>
      <c r="E82" s="5">
        <v>8.5</v>
      </c>
      <c r="F82" s="1">
        <v>20</v>
      </c>
      <c r="G82" s="1" t="s">
        <v>255</v>
      </c>
    </row>
    <row r="83" spans="1:7">
      <c r="A83" s="3">
        <v>45460</v>
      </c>
      <c r="B83" s="4" t="s">
        <v>269</v>
      </c>
      <c r="C83" s="1" t="s">
        <v>270</v>
      </c>
      <c r="D83" s="1">
        <v>14</v>
      </c>
      <c r="E83" s="5">
        <v>8.5</v>
      </c>
      <c r="F83" s="1">
        <v>15</v>
      </c>
      <c r="G83" s="1" t="s">
        <v>254</v>
      </c>
    </row>
    <row r="84" spans="1:7">
      <c r="A84" s="3">
        <v>45462</v>
      </c>
      <c r="B84" s="4" t="s">
        <v>269</v>
      </c>
      <c r="C84" s="1" t="s">
        <v>270</v>
      </c>
      <c r="D84" s="1">
        <v>14</v>
      </c>
      <c r="E84" s="5">
        <v>8.5</v>
      </c>
      <c r="F84" s="1">
        <v>40</v>
      </c>
      <c r="G84" s="1" t="s">
        <v>255</v>
      </c>
    </row>
    <row r="85" spans="1:7">
      <c r="A85" s="3">
        <v>45463</v>
      </c>
      <c r="B85" s="4" t="s">
        <v>269</v>
      </c>
      <c r="C85" s="1" t="s">
        <v>270</v>
      </c>
      <c r="D85" s="1">
        <v>14</v>
      </c>
      <c r="E85" s="5">
        <v>8.5</v>
      </c>
      <c r="F85" s="1">
        <v>21</v>
      </c>
      <c r="G85" s="1" t="s">
        <v>262</v>
      </c>
    </row>
    <row r="86" spans="1:7">
      <c r="A86" s="3">
        <v>45469</v>
      </c>
      <c r="B86" s="4" t="s">
        <v>269</v>
      </c>
      <c r="C86" s="1" t="s">
        <v>270</v>
      </c>
      <c r="D86" s="1">
        <v>14</v>
      </c>
      <c r="E86" s="5">
        <v>8.5</v>
      </c>
      <c r="F86" s="1">
        <v>6</v>
      </c>
      <c r="G86" s="1" t="s">
        <v>257</v>
      </c>
    </row>
    <row r="87" spans="1:7">
      <c r="A87" s="3">
        <v>45475</v>
      </c>
      <c r="B87" s="4" t="s">
        <v>269</v>
      </c>
      <c r="C87" s="1" t="s">
        <v>270</v>
      </c>
      <c r="D87" s="1">
        <v>14</v>
      </c>
      <c r="E87" s="5">
        <v>8.5</v>
      </c>
      <c r="F87" s="1">
        <v>36</v>
      </c>
      <c r="G87" s="1" t="s">
        <v>256</v>
      </c>
    </row>
    <row r="88" spans="1:7">
      <c r="A88" s="3">
        <v>45482</v>
      </c>
      <c r="B88" s="4" t="s">
        <v>269</v>
      </c>
      <c r="C88" s="1" t="s">
        <v>270</v>
      </c>
      <c r="D88" s="1">
        <v>14</v>
      </c>
      <c r="E88" s="5">
        <v>8.5</v>
      </c>
      <c r="F88" s="1">
        <v>4</v>
      </c>
      <c r="G88" s="1" t="s">
        <v>258</v>
      </c>
    </row>
    <row r="89" spans="1:7">
      <c r="A89" s="3">
        <v>45483</v>
      </c>
      <c r="B89" s="4" t="s">
        <v>269</v>
      </c>
      <c r="C89" s="1" t="s">
        <v>270</v>
      </c>
      <c r="D89" s="1">
        <v>14</v>
      </c>
      <c r="E89" s="5">
        <v>8.5</v>
      </c>
      <c r="F89" s="1">
        <v>20</v>
      </c>
      <c r="G89" s="1" t="s">
        <v>262</v>
      </c>
    </row>
    <row r="90" spans="1:7">
      <c r="A90" s="3">
        <v>45483</v>
      </c>
      <c r="B90" s="4" t="s">
        <v>269</v>
      </c>
      <c r="C90" s="1" t="s">
        <v>270</v>
      </c>
      <c r="D90" s="1">
        <v>14</v>
      </c>
      <c r="E90" s="5">
        <v>8.5</v>
      </c>
      <c r="F90" s="1">
        <v>20</v>
      </c>
      <c r="G90" s="1" t="s">
        <v>262</v>
      </c>
    </row>
    <row r="91" spans="1:7">
      <c r="A91" s="3">
        <v>45485</v>
      </c>
      <c r="B91" s="4" t="s">
        <v>269</v>
      </c>
      <c r="C91" s="1" t="s">
        <v>270</v>
      </c>
      <c r="D91" s="1">
        <v>14</v>
      </c>
      <c r="E91" s="5">
        <v>8.5</v>
      </c>
      <c r="F91" s="1">
        <v>24</v>
      </c>
      <c r="G91" s="1" t="s">
        <v>259</v>
      </c>
    </row>
    <row r="92" spans="1:7">
      <c r="A92" s="3">
        <v>45489</v>
      </c>
      <c r="B92" s="4" t="s">
        <v>269</v>
      </c>
      <c r="C92" s="1" t="s">
        <v>270</v>
      </c>
      <c r="D92" s="1">
        <v>14</v>
      </c>
      <c r="E92" s="5">
        <v>8.5</v>
      </c>
      <c r="F92" s="1">
        <v>7</v>
      </c>
      <c r="G92" s="1" t="s">
        <v>259</v>
      </c>
    </row>
    <row r="93" spans="1:7">
      <c r="A93" s="3">
        <v>45499</v>
      </c>
      <c r="B93" s="4" t="s">
        <v>269</v>
      </c>
      <c r="C93" s="1" t="s">
        <v>270</v>
      </c>
      <c r="D93" s="1">
        <v>14</v>
      </c>
      <c r="E93" s="5">
        <v>8.5</v>
      </c>
      <c r="F93" s="1">
        <v>3</v>
      </c>
      <c r="G93" s="1" t="s">
        <v>255</v>
      </c>
    </row>
    <row r="94" spans="1:7">
      <c r="A94" s="3">
        <v>45510</v>
      </c>
      <c r="B94" s="4" t="s">
        <v>269</v>
      </c>
      <c r="C94" s="1" t="s">
        <v>270</v>
      </c>
      <c r="D94" s="1">
        <v>14</v>
      </c>
      <c r="E94" s="5">
        <v>8.5</v>
      </c>
      <c r="F94" s="1">
        <v>15</v>
      </c>
      <c r="G94" s="1" t="s">
        <v>258</v>
      </c>
    </row>
    <row r="95" spans="1:7">
      <c r="A95" s="3">
        <v>45510</v>
      </c>
      <c r="B95" s="4" t="s">
        <v>269</v>
      </c>
      <c r="C95" s="1" t="s">
        <v>270</v>
      </c>
      <c r="D95" s="1">
        <v>14</v>
      </c>
      <c r="E95" s="5">
        <v>8.5</v>
      </c>
      <c r="F95" s="1">
        <v>2</v>
      </c>
      <c r="G95" s="1" t="s">
        <v>259</v>
      </c>
    </row>
    <row r="96" spans="1:7">
      <c r="A96" s="3">
        <v>45518</v>
      </c>
      <c r="B96" s="4" t="s">
        <v>269</v>
      </c>
      <c r="C96" s="1" t="s">
        <v>270</v>
      </c>
      <c r="D96" s="1">
        <v>14</v>
      </c>
      <c r="E96" s="5">
        <v>8.5</v>
      </c>
      <c r="F96" s="1">
        <v>20</v>
      </c>
      <c r="G96" s="1" t="s">
        <v>262</v>
      </c>
    </row>
    <row r="97" spans="1:7">
      <c r="A97" s="3">
        <v>45523</v>
      </c>
      <c r="B97" s="4" t="s">
        <v>269</v>
      </c>
      <c r="C97" s="1" t="s">
        <v>270</v>
      </c>
      <c r="D97" s="1">
        <v>14</v>
      </c>
      <c r="E97" s="5">
        <v>8.5</v>
      </c>
      <c r="F97" s="1">
        <v>30</v>
      </c>
      <c r="G97" s="1" t="s">
        <v>260</v>
      </c>
    </row>
    <row r="98" spans="1:7">
      <c r="A98" s="3">
        <v>45525</v>
      </c>
      <c r="B98" s="4" t="s">
        <v>269</v>
      </c>
      <c r="C98" s="1" t="s">
        <v>270</v>
      </c>
      <c r="D98" s="1">
        <v>14</v>
      </c>
      <c r="E98" s="5">
        <v>8.5</v>
      </c>
      <c r="F98" s="1">
        <v>30</v>
      </c>
      <c r="G98" s="1" t="s">
        <v>261</v>
      </c>
    </row>
    <row r="99" spans="1:7">
      <c r="A99" s="3">
        <v>45526</v>
      </c>
      <c r="B99" s="4" t="s">
        <v>269</v>
      </c>
      <c r="C99" s="1" t="s">
        <v>270</v>
      </c>
      <c r="D99" s="1">
        <v>14</v>
      </c>
      <c r="E99" s="5">
        <v>8.5</v>
      </c>
      <c r="F99" s="1">
        <v>30</v>
      </c>
      <c r="G99" s="1" t="s">
        <v>257</v>
      </c>
    </row>
    <row r="100" spans="1:7">
      <c r="A100" s="3">
        <v>45539</v>
      </c>
      <c r="B100" s="4" t="s">
        <v>269</v>
      </c>
      <c r="C100" s="1" t="s">
        <v>270</v>
      </c>
      <c r="D100" s="1">
        <v>14</v>
      </c>
      <c r="E100" s="5">
        <v>8.5</v>
      </c>
      <c r="F100" s="1">
        <v>40</v>
      </c>
      <c r="G100" s="1" t="s">
        <v>257</v>
      </c>
    </row>
    <row r="101" spans="1:7">
      <c r="A101" s="3">
        <v>45463</v>
      </c>
      <c r="B101" s="4" t="s">
        <v>271</v>
      </c>
      <c r="C101" s="1" t="s">
        <v>272</v>
      </c>
      <c r="D101" s="1">
        <v>11</v>
      </c>
      <c r="E101" s="5">
        <v>34.200000000000003</v>
      </c>
      <c r="F101" s="1">
        <v>21</v>
      </c>
      <c r="G101" s="1" t="s">
        <v>262</v>
      </c>
    </row>
    <row r="102" spans="1:7">
      <c r="A102" s="3">
        <v>45467</v>
      </c>
      <c r="B102" s="4" t="s">
        <v>271</v>
      </c>
      <c r="C102" s="1" t="s">
        <v>272</v>
      </c>
      <c r="D102" s="1">
        <v>11</v>
      </c>
      <c r="E102" s="5">
        <v>34.200000000000003</v>
      </c>
      <c r="F102" s="1">
        <v>12</v>
      </c>
      <c r="G102" s="1" t="s">
        <v>255</v>
      </c>
    </row>
    <row r="103" spans="1:7">
      <c r="A103" s="3">
        <v>45468</v>
      </c>
      <c r="B103" s="4" t="s">
        <v>271</v>
      </c>
      <c r="C103" s="1" t="s">
        <v>272</v>
      </c>
      <c r="D103" s="1">
        <v>11</v>
      </c>
      <c r="E103" s="5">
        <v>34.200000000000003</v>
      </c>
      <c r="F103" s="1">
        <v>15</v>
      </c>
      <c r="G103" s="1" t="s">
        <v>254</v>
      </c>
    </row>
    <row r="104" spans="1:7">
      <c r="A104" s="3">
        <v>45471</v>
      </c>
      <c r="B104" s="4" t="s">
        <v>271</v>
      </c>
      <c r="C104" s="1" t="s">
        <v>272</v>
      </c>
      <c r="D104" s="1">
        <v>11</v>
      </c>
      <c r="E104" s="5">
        <v>34.200000000000003</v>
      </c>
      <c r="F104" s="1">
        <v>21</v>
      </c>
      <c r="G104" s="1" t="s">
        <v>254</v>
      </c>
    </row>
    <row r="105" spans="1:7">
      <c r="A105" s="3">
        <v>45475</v>
      </c>
      <c r="B105" s="4" t="s">
        <v>271</v>
      </c>
      <c r="C105" s="1" t="s">
        <v>272</v>
      </c>
      <c r="D105" s="1">
        <v>11</v>
      </c>
      <c r="E105" s="5">
        <v>34.200000000000003</v>
      </c>
      <c r="F105" s="1">
        <v>60</v>
      </c>
      <c r="G105" s="1" t="s">
        <v>256</v>
      </c>
    </row>
    <row r="106" spans="1:7">
      <c r="A106" s="3">
        <v>45477</v>
      </c>
      <c r="B106" s="4" t="s">
        <v>271</v>
      </c>
      <c r="C106" s="1" t="s">
        <v>272</v>
      </c>
      <c r="D106" s="1">
        <v>11</v>
      </c>
      <c r="E106" s="5">
        <v>34.200000000000003</v>
      </c>
      <c r="F106" s="1">
        <v>20</v>
      </c>
      <c r="G106" s="1" t="s">
        <v>260</v>
      </c>
    </row>
    <row r="107" spans="1:7">
      <c r="A107" s="3">
        <v>45497</v>
      </c>
      <c r="B107" s="4" t="s">
        <v>271</v>
      </c>
      <c r="C107" s="1" t="s">
        <v>272</v>
      </c>
      <c r="D107" s="1">
        <v>11</v>
      </c>
      <c r="E107" s="5">
        <v>34.200000000000003</v>
      </c>
      <c r="F107" s="1">
        <v>20</v>
      </c>
      <c r="G107" s="1" t="s">
        <v>260</v>
      </c>
    </row>
    <row r="108" spans="1:7">
      <c r="A108" s="3">
        <v>45498</v>
      </c>
      <c r="B108" s="4" t="s">
        <v>271</v>
      </c>
      <c r="C108" s="1" t="s">
        <v>272</v>
      </c>
      <c r="D108" s="1">
        <v>11</v>
      </c>
      <c r="E108" s="5">
        <v>34.200000000000003</v>
      </c>
      <c r="F108" s="1">
        <v>6</v>
      </c>
      <c r="G108" s="1" t="s">
        <v>254</v>
      </c>
    </row>
    <row r="109" spans="1:7">
      <c r="A109" s="3">
        <v>45510</v>
      </c>
      <c r="B109" s="4" t="s">
        <v>271</v>
      </c>
      <c r="C109" s="1" t="s">
        <v>272</v>
      </c>
      <c r="D109" s="1">
        <v>11</v>
      </c>
      <c r="E109" s="5">
        <v>34.200000000000003</v>
      </c>
      <c r="F109" s="1">
        <v>10</v>
      </c>
      <c r="G109" s="1" t="s">
        <v>258</v>
      </c>
    </row>
    <row r="110" spans="1:7">
      <c r="A110" s="3">
        <v>45520</v>
      </c>
      <c r="B110" s="4" t="s">
        <v>271</v>
      </c>
      <c r="C110" s="1" t="s">
        <v>272</v>
      </c>
      <c r="D110" s="1">
        <v>11</v>
      </c>
      <c r="E110" s="5">
        <v>34.200000000000003</v>
      </c>
      <c r="F110" s="1">
        <v>20</v>
      </c>
      <c r="G110" s="1" t="s">
        <v>254</v>
      </c>
    </row>
    <row r="111" spans="1:7">
      <c r="A111" s="3">
        <v>45530</v>
      </c>
      <c r="B111" s="4" t="s">
        <v>271</v>
      </c>
      <c r="C111" s="1" t="s">
        <v>272</v>
      </c>
      <c r="D111" s="1">
        <v>11</v>
      </c>
      <c r="E111" s="5">
        <v>34.200000000000003</v>
      </c>
      <c r="F111" s="1">
        <v>10</v>
      </c>
      <c r="G111" s="1" t="s">
        <v>257</v>
      </c>
    </row>
    <row r="112" spans="1:7">
      <c r="A112" s="3">
        <v>45532</v>
      </c>
      <c r="B112" s="4" t="s">
        <v>271</v>
      </c>
      <c r="C112" s="1" t="s">
        <v>272</v>
      </c>
      <c r="D112" s="1">
        <v>11</v>
      </c>
      <c r="E112" s="5">
        <v>34.200000000000003</v>
      </c>
      <c r="F112" s="1">
        <v>5</v>
      </c>
      <c r="G112" s="1" t="s">
        <v>261</v>
      </c>
    </row>
    <row r="113" spans="1:7">
      <c r="A113" s="3">
        <v>45540</v>
      </c>
      <c r="B113" s="4" t="s">
        <v>271</v>
      </c>
      <c r="C113" s="1" t="s">
        <v>272</v>
      </c>
      <c r="D113" s="1">
        <v>11</v>
      </c>
      <c r="E113" s="5">
        <v>34.200000000000003</v>
      </c>
      <c r="F113" s="1">
        <v>30</v>
      </c>
      <c r="G113" s="1" t="s">
        <v>254</v>
      </c>
    </row>
    <row r="114" spans="1:7">
      <c r="A114" s="3">
        <v>45551</v>
      </c>
      <c r="B114" s="4" t="s">
        <v>271</v>
      </c>
      <c r="C114" s="1" t="s">
        <v>272</v>
      </c>
      <c r="D114" s="1">
        <v>11</v>
      </c>
      <c r="E114" s="5">
        <v>34.200000000000003</v>
      </c>
      <c r="F114" s="1">
        <v>4</v>
      </c>
      <c r="G114" s="1" t="s">
        <v>254</v>
      </c>
    </row>
    <row r="115" spans="1:7">
      <c r="A115" s="3">
        <v>45456</v>
      </c>
      <c r="B115" s="4" t="s">
        <v>273</v>
      </c>
      <c r="C115" s="1" t="s">
        <v>274</v>
      </c>
      <c r="D115" s="1">
        <v>26</v>
      </c>
      <c r="E115" s="5">
        <v>16.5</v>
      </c>
      <c r="F115" s="1">
        <v>12</v>
      </c>
      <c r="G115" s="1" t="s">
        <v>262</v>
      </c>
    </row>
    <row r="116" spans="1:7">
      <c r="A116" s="3">
        <v>45460</v>
      </c>
      <c r="B116" s="4" t="s">
        <v>273</v>
      </c>
      <c r="C116" s="1" t="s">
        <v>274</v>
      </c>
      <c r="D116" s="1">
        <v>26</v>
      </c>
      <c r="E116" s="5">
        <v>16.5</v>
      </c>
      <c r="F116" s="1">
        <v>15</v>
      </c>
      <c r="G116" s="1" t="s">
        <v>255</v>
      </c>
    </row>
    <row r="117" spans="1:7">
      <c r="A117" s="3">
        <v>45464</v>
      </c>
      <c r="B117" s="4" t="s">
        <v>273</v>
      </c>
      <c r="C117" s="1" t="s">
        <v>274</v>
      </c>
      <c r="D117" s="1">
        <v>26</v>
      </c>
      <c r="E117" s="5">
        <v>16.5</v>
      </c>
      <c r="F117" s="1">
        <v>30</v>
      </c>
      <c r="G117" s="1" t="s">
        <v>256</v>
      </c>
    </row>
    <row r="118" spans="1:7">
      <c r="A118" s="3">
        <v>45464</v>
      </c>
      <c r="B118" s="4" t="s">
        <v>273</v>
      </c>
      <c r="C118" s="1" t="s">
        <v>274</v>
      </c>
      <c r="D118" s="1">
        <v>26</v>
      </c>
      <c r="E118" s="5">
        <v>16.5</v>
      </c>
      <c r="F118" s="1">
        <v>35</v>
      </c>
      <c r="G118" s="1" t="s">
        <v>256</v>
      </c>
    </row>
    <row r="119" spans="1:7">
      <c r="A119" s="3">
        <v>45467</v>
      </c>
      <c r="B119" s="4" t="s">
        <v>273</v>
      </c>
      <c r="C119" s="1" t="s">
        <v>274</v>
      </c>
      <c r="D119" s="1">
        <v>26</v>
      </c>
      <c r="E119" s="5">
        <v>16.5</v>
      </c>
      <c r="F119" s="1">
        <v>15</v>
      </c>
      <c r="G119" s="1" t="s">
        <v>255</v>
      </c>
    </row>
    <row r="120" spans="1:7">
      <c r="A120" s="3">
        <v>45471</v>
      </c>
      <c r="B120" s="4" t="s">
        <v>273</v>
      </c>
      <c r="C120" s="1" t="s">
        <v>274</v>
      </c>
      <c r="D120" s="1">
        <v>26</v>
      </c>
      <c r="E120" s="5">
        <v>16.5</v>
      </c>
      <c r="F120" s="1">
        <v>50</v>
      </c>
      <c r="G120" s="1" t="s">
        <v>254</v>
      </c>
    </row>
    <row r="121" spans="1:7">
      <c r="A121" s="3">
        <v>45475</v>
      </c>
      <c r="B121" s="4" t="s">
        <v>273</v>
      </c>
      <c r="C121" s="1" t="s">
        <v>274</v>
      </c>
      <c r="D121" s="1">
        <v>26</v>
      </c>
      <c r="E121" s="5">
        <v>16.5</v>
      </c>
      <c r="F121" s="1">
        <v>60</v>
      </c>
      <c r="G121" s="1" t="s">
        <v>256</v>
      </c>
    </row>
    <row r="122" spans="1:7">
      <c r="A122" s="3">
        <v>45478</v>
      </c>
      <c r="B122" s="4" t="s">
        <v>273</v>
      </c>
      <c r="C122" s="1" t="s">
        <v>274</v>
      </c>
      <c r="D122" s="1">
        <v>26</v>
      </c>
      <c r="E122" s="5">
        <v>16.5</v>
      </c>
      <c r="F122" s="1">
        <v>12</v>
      </c>
      <c r="G122" s="1" t="s">
        <v>255</v>
      </c>
    </row>
    <row r="123" spans="1:7">
      <c r="A123" s="3">
        <v>45481</v>
      </c>
      <c r="B123" s="4" t="s">
        <v>273</v>
      </c>
      <c r="C123" s="1" t="s">
        <v>274</v>
      </c>
      <c r="D123" s="1">
        <v>26</v>
      </c>
      <c r="E123" s="5">
        <v>16.5</v>
      </c>
      <c r="F123" s="1">
        <v>70</v>
      </c>
      <c r="G123" s="1" t="s">
        <v>254</v>
      </c>
    </row>
    <row r="124" spans="1:7">
      <c r="A124" s="3">
        <v>45490</v>
      </c>
      <c r="B124" s="4" t="s">
        <v>273</v>
      </c>
      <c r="C124" s="1" t="s">
        <v>274</v>
      </c>
      <c r="D124" s="1">
        <v>26</v>
      </c>
      <c r="E124" s="5">
        <v>16.5</v>
      </c>
      <c r="F124" s="1">
        <v>6</v>
      </c>
      <c r="G124" s="1" t="s">
        <v>257</v>
      </c>
    </row>
    <row r="125" spans="1:7">
      <c r="A125" s="3">
        <v>45495</v>
      </c>
      <c r="B125" s="4" t="s">
        <v>273</v>
      </c>
      <c r="C125" s="1" t="s">
        <v>274</v>
      </c>
      <c r="D125" s="1">
        <v>26</v>
      </c>
      <c r="E125" s="5">
        <v>16.5</v>
      </c>
      <c r="F125" s="1">
        <v>15</v>
      </c>
      <c r="G125" s="1" t="s">
        <v>258</v>
      </c>
    </row>
    <row r="126" spans="1:7">
      <c r="A126" s="3">
        <v>45498</v>
      </c>
      <c r="B126" s="4" t="s">
        <v>273</v>
      </c>
      <c r="C126" s="1" t="s">
        <v>274</v>
      </c>
      <c r="D126" s="1">
        <v>26</v>
      </c>
      <c r="E126" s="5">
        <v>16.5</v>
      </c>
      <c r="F126" s="1">
        <v>2</v>
      </c>
      <c r="G126" s="1" t="s">
        <v>254</v>
      </c>
    </row>
    <row r="127" spans="1:7">
      <c r="A127" s="3">
        <v>45503</v>
      </c>
      <c r="B127" s="4" t="s">
        <v>273</v>
      </c>
      <c r="C127" s="1" t="s">
        <v>274</v>
      </c>
      <c r="D127" s="1">
        <v>26</v>
      </c>
      <c r="E127" s="5">
        <v>16.5</v>
      </c>
      <c r="F127" s="1">
        <v>36</v>
      </c>
      <c r="G127" s="1" t="s">
        <v>257</v>
      </c>
    </row>
    <row r="128" spans="1:7">
      <c r="A128" s="3">
        <v>45505</v>
      </c>
      <c r="B128" s="4" t="s">
        <v>273</v>
      </c>
      <c r="C128" s="1" t="s">
        <v>274</v>
      </c>
      <c r="D128" s="1">
        <v>26</v>
      </c>
      <c r="E128" s="5">
        <v>16.5</v>
      </c>
      <c r="F128" s="1">
        <v>40</v>
      </c>
      <c r="G128" s="1" t="s">
        <v>258</v>
      </c>
    </row>
    <row r="129" spans="1:7">
      <c r="A129" s="3">
        <v>45517</v>
      </c>
      <c r="B129" s="4" t="s">
        <v>273</v>
      </c>
      <c r="C129" s="1" t="s">
        <v>274</v>
      </c>
      <c r="D129" s="1">
        <v>26</v>
      </c>
      <c r="E129" s="5">
        <v>16.5</v>
      </c>
      <c r="F129" s="1">
        <v>30</v>
      </c>
      <c r="G129" s="1" t="s">
        <v>259</v>
      </c>
    </row>
    <row r="130" spans="1:7">
      <c r="A130" s="3">
        <v>45517</v>
      </c>
      <c r="B130" s="4" t="s">
        <v>273</v>
      </c>
      <c r="C130" s="1" t="s">
        <v>274</v>
      </c>
      <c r="D130" s="1">
        <v>26</v>
      </c>
      <c r="E130" s="5">
        <v>16.5</v>
      </c>
      <c r="F130" s="1">
        <v>12</v>
      </c>
      <c r="G130" s="1" t="s">
        <v>259</v>
      </c>
    </row>
    <row r="131" spans="1:7">
      <c r="A131" s="3">
        <v>45519</v>
      </c>
      <c r="B131" s="4" t="s">
        <v>273</v>
      </c>
      <c r="C131" s="1" t="s">
        <v>274</v>
      </c>
      <c r="D131" s="1">
        <v>26</v>
      </c>
      <c r="E131" s="5">
        <v>16.5</v>
      </c>
      <c r="F131" s="1">
        <v>30</v>
      </c>
      <c r="G131" s="1" t="s">
        <v>259</v>
      </c>
    </row>
    <row r="132" spans="1:7">
      <c r="A132" s="3">
        <v>45526</v>
      </c>
      <c r="B132" s="4" t="s">
        <v>273</v>
      </c>
      <c r="C132" s="1" t="s">
        <v>274</v>
      </c>
      <c r="D132" s="1">
        <v>26</v>
      </c>
      <c r="E132" s="5">
        <v>16.5</v>
      </c>
      <c r="F132" s="1">
        <v>10</v>
      </c>
      <c r="G132" s="1" t="s">
        <v>257</v>
      </c>
    </row>
    <row r="133" spans="1:7">
      <c r="A133" s="3">
        <v>45530</v>
      </c>
      <c r="B133" s="4" t="s">
        <v>273</v>
      </c>
      <c r="C133" s="1" t="s">
        <v>274</v>
      </c>
      <c r="D133" s="1">
        <v>26</v>
      </c>
      <c r="E133" s="5">
        <v>16.5</v>
      </c>
      <c r="F133" s="1">
        <v>10</v>
      </c>
      <c r="G133" s="1" t="s">
        <v>257</v>
      </c>
    </row>
    <row r="134" spans="1:7">
      <c r="A134" s="3">
        <v>45534</v>
      </c>
      <c r="B134" s="4" t="s">
        <v>273</v>
      </c>
      <c r="C134" s="1" t="s">
        <v>274</v>
      </c>
      <c r="D134" s="1">
        <v>26</v>
      </c>
      <c r="E134" s="5">
        <v>16.5</v>
      </c>
      <c r="F134" s="1">
        <v>10</v>
      </c>
      <c r="G134" s="1" t="s">
        <v>258</v>
      </c>
    </row>
    <row r="135" spans="1:7">
      <c r="A135" s="3">
        <v>45537</v>
      </c>
      <c r="B135" s="4" t="s">
        <v>273</v>
      </c>
      <c r="C135" s="1" t="s">
        <v>274</v>
      </c>
      <c r="D135" s="1">
        <v>26</v>
      </c>
      <c r="E135" s="5">
        <v>16.5</v>
      </c>
      <c r="F135" s="1">
        <v>20</v>
      </c>
      <c r="G135" s="1" t="s">
        <v>260</v>
      </c>
    </row>
    <row r="136" spans="1:7">
      <c r="A136" s="3">
        <v>45492</v>
      </c>
      <c r="B136" s="4" t="s">
        <v>275</v>
      </c>
      <c r="C136" s="1" t="s">
        <v>276</v>
      </c>
      <c r="D136" s="1">
        <v>25</v>
      </c>
      <c r="E136" s="5">
        <v>118</v>
      </c>
      <c r="F136" s="1">
        <v>20</v>
      </c>
      <c r="G136" s="1" t="s">
        <v>260</v>
      </c>
    </row>
    <row r="137" spans="1:7">
      <c r="A137" s="3">
        <v>45495</v>
      </c>
      <c r="B137" s="4" t="s">
        <v>275</v>
      </c>
      <c r="C137" s="1" t="s">
        <v>276</v>
      </c>
      <c r="D137" s="1">
        <v>25</v>
      </c>
      <c r="E137" s="5">
        <v>118</v>
      </c>
      <c r="F137" s="1">
        <v>25</v>
      </c>
      <c r="G137" s="1" t="s">
        <v>258</v>
      </c>
    </row>
    <row r="138" spans="1:7">
      <c r="A138" s="3">
        <v>45497</v>
      </c>
      <c r="B138" s="4" t="s">
        <v>275</v>
      </c>
      <c r="C138" s="1" t="s">
        <v>276</v>
      </c>
      <c r="D138" s="1">
        <v>25</v>
      </c>
      <c r="E138" s="5">
        <v>118</v>
      </c>
      <c r="F138" s="1">
        <v>30</v>
      </c>
      <c r="G138" s="1" t="s">
        <v>260</v>
      </c>
    </row>
    <row r="139" spans="1:7">
      <c r="A139" s="3">
        <v>45505</v>
      </c>
      <c r="B139" s="4" t="s">
        <v>275</v>
      </c>
      <c r="C139" s="1" t="s">
        <v>276</v>
      </c>
      <c r="D139" s="1">
        <v>25</v>
      </c>
      <c r="E139" s="5">
        <v>118</v>
      </c>
      <c r="F139" s="1">
        <v>20</v>
      </c>
      <c r="G139" s="1" t="s">
        <v>258</v>
      </c>
    </row>
    <row r="140" spans="1:7">
      <c r="A140" s="3">
        <v>45512</v>
      </c>
      <c r="B140" s="4" t="s">
        <v>275</v>
      </c>
      <c r="C140" s="1" t="s">
        <v>276</v>
      </c>
      <c r="D140" s="1">
        <v>25</v>
      </c>
      <c r="E140" s="5">
        <v>118</v>
      </c>
      <c r="F140" s="1">
        <v>6</v>
      </c>
      <c r="G140" s="1" t="s">
        <v>257</v>
      </c>
    </row>
    <row r="141" spans="1:7">
      <c r="A141" s="3">
        <v>45513</v>
      </c>
      <c r="B141" s="4" t="s">
        <v>275</v>
      </c>
      <c r="C141" s="1" t="s">
        <v>276</v>
      </c>
      <c r="D141" s="1">
        <v>25</v>
      </c>
      <c r="E141" s="5">
        <v>118</v>
      </c>
      <c r="F141" s="1">
        <v>6</v>
      </c>
      <c r="G141" s="1" t="s">
        <v>254</v>
      </c>
    </row>
    <row r="142" spans="1:7">
      <c r="A142" s="3">
        <v>45524</v>
      </c>
      <c r="B142" s="4" t="s">
        <v>275</v>
      </c>
      <c r="C142" s="1" t="s">
        <v>276</v>
      </c>
      <c r="D142" s="1">
        <v>25</v>
      </c>
      <c r="E142" s="5">
        <v>118</v>
      </c>
      <c r="F142" s="1">
        <v>28</v>
      </c>
      <c r="G142" s="1" t="s">
        <v>254</v>
      </c>
    </row>
    <row r="143" spans="1:7">
      <c r="A143" s="3">
        <v>45537</v>
      </c>
      <c r="B143" s="4" t="s">
        <v>275</v>
      </c>
      <c r="C143" s="1" t="s">
        <v>276</v>
      </c>
      <c r="D143" s="1">
        <v>25</v>
      </c>
      <c r="E143" s="5">
        <v>118</v>
      </c>
      <c r="F143" s="1">
        <v>4</v>
      </c>
      <c r="G143" s="1" t="s">
        <v>260</v>
      </c>
    </row>
    <row r="144" spans="1:7">
      <c r="A144" s="3">
        <v>45537</v>
      </c>
      <c r="B144" s="4" t="s">
        <v>275</v>
      </c>
      <c r="C144" s="1" t="s">
        <v>276</v>
      </c>
      <c r="D144" s="1">
        <v>25</v>
      </c>
      <c r="E144" s="5">
        <v>118</v>
      </c>
      <c r="F144" s="1">
        <v>10</v>
      </c>
      <c r="G144" s="1" t="s">
        <v>260</v>
      </c>
    </row>
    <row r="145" spans="1:7">
      <c r="A145" s="3">
        <v>45540</v>
      </c>
      <c r="B145" s="4" t="s">
        <v>275</v>
      </c>
      <c r="C145" s="1" t="s">
        <v>276</v>
      </c>
      <c r="D145" s="1">
        <v>25</v>
      </c>
      <c r="E145" s="5">
        <v>118</v>
      </c>
      <c r="F145" s="1">
        <v>14</v>
      </c>
      <c r="G145" s="1" t="s">
        <v>254</v>
      </c>
    </row>
    <row r="146" spans="1:7">
      <c r="A146" s="3">
        <v>45546</v>
      </c>
      <c r="B146" s="4" t="s">
        <v>275</v>
      </c>
      <c r="C146" s="1" t="s">
        <v>276</v>
      </c>
      <c r="D146" s="1">
        <v>25</v>
      </c>
      <c r="E146" s="5">
        <v>118</v>
      </c>
      <c r="F146" s="1">
        <v>14</v>
      </c>
      <c r="G146" s="1" t="s">
        <v>261</v>
      </c>
    </row>
    <row r="147" spans="1:7">
      <c r="A147" s="3">
        <v>45462</v>
      </c>
      <c r="B147" s="4" t="s">
        <v>277</v>
      </c>
      <c r="C147" s="1" t="s">
        <v>278</v>
      </c>
      <c r="D147" s="1">
        <v>29</v>
      </c>
      <c r="E147" s="5">
        <v>45.2</v>
      </c>
      <c r="F147" s="1">
        <v>20</v>
      </c>
      <c r="G147" s="1" t="s">
        <v>255</v>
      </c>
    </row>
    <row r="148" spans="1:7">
      <c r="A148" s="3">
        <v>45463</v>
      </c>
      <c r="B148" s="4" t="s">
        <v>277</v>
      </c>
      <c r="C148" s="1" t="s">
        <v>278</v>
      </c>
      <c r="D148" s="1">
        <v>29</v>
      </c>
      <c r="E148" s="5">
        <v>45.2</v>
      </c>
      <c r="F148" s="1">
        <v>15</v>
      </c>
      <c r="G148" s="1" t="s">
        <v>262</v>
      </c>
    </row>
    <row r="149" spans="1:7">
      <c r="A149" s="3">
        <v>45470</v>
      </c>
      <c r="B149" s="4" t="s">
        <v>277</v>
      </c>
      <c r="C149" s="1" t="s">
        <v>278</v>
      </c>
      <c r="D149" s="1">
        <v>29</v>
      </c>
      <c r="E149" s="5">
        <v>45.2</v>
      </c>
      <c r="F149" s="1">
        <v>15</v>
      </c>
      <c r="G149" s="1" t="s">
        <v>254</v>
      </c>
    </row>
    <row r="150" spans="1:7">
      <c r="A150" s="3">
        <v>45474</v>
      </c>
      <c r="B150" s="4" t="s">
        <v>277</v>
      </c>
      <c r="C150" s="1" t="s">
        <v>278</v>
      </c>
      <c r="D150" s="1">
        <v>29</v>
      </c>
      <c r="E150" s="5">
        <v>45.2</v>
      </c>
      <c r="F150" s="1">
        <v>30</v>
      </c>
      <c r="G150" s="1" t="s">
        <v>258</v>
      </c>
    </row>
    <row r="151" spans="1:7">
      <c r="A151" s="3">
        <v>45475</v>
      </c>
      <c r="B151" s="4" t="s">
        <v>277</v>
      </c>
      <c r="C151" s="1" t="s">
        <v>278</v>
      </c>
      <c r="D151" s="1">
        <v>29</v>
      </c>
      <c r="E151" s="5">
        <v>45.2</v>
      </c>
      <c r="F151" s="1">
        <v>28</v>
      </c>
      <c r="G151" s="1" t="s">
        <v>256</v>
      </c>
    </row>
    <row r="152" spans="1:7">
      <c r="A152" s="3">
        <v>45485</v>
      </c>
      <c r="B152" s="4" t="s">
        <v>277</v>
      </c>
      <c r="C152" s="1" t="s">
        <v>278</v>
      </c>
      <c r="D152" s="1">
        <v>29</v>
      </c>
      <c r="E152" s="5">
        <v>45.2</v>
      </c>
      <c r="F152" s="1">
        <v>40</v>
      </c>
      <c r="G152" s="1" t="s">
        <v>259</v>
      </c>
    </row>
    <row r="153" spans="1:7">
      <c r="A153" s="3">
        <v>45488</v>
      </c>
      <c r="B153" s="4" t="s">
        <v>277</v>
      </c>
      <c r="C153" s="1" t="s">
        <v>278</v>
      </c>
      <c r="D153" s="1">
        <v>29</v>
      </c>
      <c r="E153" s="5">
        <v>45.2</v>
      </c>
      <c r="F153" s="1">
        <v>15</v>
      </c>
      <c r="G153" s="1" t="s">
        <v>255</v>
      </c>
    </row>
    <row r="154" spans="1:7">
      <c r="A154" s="3">
        <v>45490</v>
      </c>
      <c r="B154" s="4" t="s">
        <v>277</v>
      </c>
      <c r="C154" s="1" t="s">
        <v>278</v>
      </c>
      <c r="D154" s="1">
        <v>29</v>
      </c>
      <c r="E154" s="5">
        <v>45.2</v>
      </c>
      <c r="F154" s="1">
        <v>12</v>
      </c>
      <c r="G154" s="1" t="s">
        <v>257</v>
      </c>
    </row>
    <row r="155" spans="1:7">
      <c r="A155" s="3">
        <v>45497</v>
      </c>
      <c r="B155" s="4" t="s">
        <v>277</v>
      </c>
      <c r="C155" s="1" t="s">
        <v>278</v>
      </c>
      <c r="D155" s="1">
        <v>29</v>
      </c>
      <c r="E155" s="5">
        <v>45.2</v>
      </c>
      <c r="F155" s="1">
        <v>12</v>
      </c>
      <c r="G155" s="1" t="s">
        <v>260</v>
      </c>
    </row>
    <row r="156" spans="1:7">
      <c r="A156" s="3">
        <v>45497</v>
      </c>
      <c r="B156" s="4" t="s">
        <v>277</v>
      </c>
      <c r="C156" s="1" t="s">
        <v>278</v>
      </c>
      <c r="D156" s="1">
        <v>29</v>
      </c>
      <c r="E156" s="5">
        <v>45.2</v>
      </c>
      <c r="F156" s="1">
        <v>6</v>
      </c>
      <c r="G156" s="1" t="s">
        <v>254</v>
      </c>
    </row>
    <row r="157" spans="1:7">
      <c r="A157" s="3">
        <v>45512</v>
      </c>
      <c r="B157" s="4" t="s">
        <v>277</v>
      </c>
      <c r="C157" s="1" t="s">
        <v>278</v>
      </c>
      <c r="D157" s="1">
        <v>29</v>
      </c>
      <c r="E157" s="5">
        <v>45.2</v>
      </c>
      <c r="F157" s="1">
        <v>10</v>
      </c>
      <c r="G157" s="1" t="s">
        <v>257</v>
      </c>
    </row>
    <row r="158" spans="1:7">
      <c r="A158" s="3">
        <v>45516</v>
      </c>
      <c r="B158" s="4" t="s">
        <v>277</v>
      </c>
      <c r="C158" s="1" t="s">
        <v>278</v>
      </c>
      <c r="D158" s="1">
        <v>29</v>
      </c>
      <c r="E158" s="5">
        <v>45.2</v>
      </c>
      <c r="F158" s="1">
        <v>10</v>
      </c>
      <c r="G158" s="1" t="s">
        <v>260</v>
      </c>
    </row>
    <row r="159" spans="1:7">
      <c r="A159" s="3">
        <v>45523</v>
      </c>
      <c r="B159" s="4" t="s">
        <v>277</v>
      </c>
      <c r="C159" s="1" t="s">
        <v>278</v>
      </c>
      <c r="D159" s="1">
        <v>29</v>
      </c>
      <c r="E159" s="5">
        <v>45.2</v>
      </c>
      <c r="F159" s="1">
        <v>20</v>
      </c>
      <c r="G159" s="1" t="s">
        <v>258</v>
      </c>
    </row>
    <row r="160" spans="1:7">
      <c r="A160" s="3">
        <v>45533</v>
      </c>
      <c r="B160" s="4" t="s">
        <v>277</v>
      </c>
      <c r="C160" s="1" t="s">
        <v>278</v>
      </c>
      <c r="D160" s="1">
        <v>29</v>
      </c>
      <c r="E160" s="5">
        <v>45.2</v>
      </c>
      <c r="F160" s="1">
        <v>30</v>
      </c>
      <c r="G160" s="1" t="s">
        <v>255</v>
      </c>
    </row>
    <row r="161" spans="1:7">
      <c r="A161" s="3">
        <v>45457</v>
      </c>
      <c r="B161" s="4" t="s">
        <v>279</v>
      </c>
      <c r="C161" s="1" t="s">
        <v>280</v>
      </c>
      <c r="D161" s="1">
        <v>25</v>
      </c>
      <c r="E161" s="5">
        <v>180</v>
      </c>
      <c r="F161" s="1">
        <v>3</v>
      </c>
      <c r="G161" s="1" t="s">
        <v>259</v>
      </c>
    </row>
    <row r="162" spans="1:7">
      <c r="A162" s="3">
        <v>45457</v>
      </c>
      <c r="B162" s="4" t="s">
        <v>279</v>
      </c>
      <c r="C162" s="1" t="s">
        <v>280</v>
      </c>
      <c r="D162" s="1">
        <v>25</v>
      </c>
      <c r="E162" s="5">
        <v>180</v>
      </c>
      <c r="F162" s="1">
        <v>9</v>
      </c>
      <c r="G162" s="1" t="s">
        <v>259</v>
      </c>
    </row>
    <row r="163" spans="1:7">
      <c r="A163" s="3">
        <v>45456</v>
      </c>
      <c r="B163" s="4" t="s">
        <v>275</v>
      </c>
      <c r="C163" s="1" t="s">
        <v>281</v>
      </c>
      <c r="D163" s="1">
        <v>19</v>
      </c>
      <c r="E163" s="5">
        <v>8.4</v>
      </c>
      <c r="F163" s="1">
        <v>10</v>
      </c>
      <c r="G163" s="1" t="s">
        <v>262</v>
      </c>
    </row>
    <row r="164" spans="1:7">
      <c r="A164" s="3">
        <v>45461</v>
      </c>
      <c r="B164" s="4" t="s">
        <v>275</v>
      </c>
      <c r="C164" s="1" t="s">
        <v>281</v>
      </c>
      <c r="D164" s="1">
        <v>19</v>
      </c>
      <c r="E164" s="5">
        <v>8.4</v>
      </c>
      <c r="F164" s="1">
        <v>40</v>
      </c>
      <c r="G164" s="1" t="s">
        <v>254</v>
      </c>
    </row>
    <row r="165" spans="1:7">
      <c r="A165" s="3">
        <v>45468</v>
      </c>
      <c r="B165" s="4" t="s">
        <v>275</v>
      </c>
      <c r="C165" s="1" t="s">
        <v>281</v>
      </c>
      <c r="D165" s="1">
        <v>19</v>
      </c>
      <c r="E165" s="5">
        <v>8.4</v>
      </c>
      <c r="F165" s="1">
        <v>25</v>
      </c>
      <c r="G165" s="1" t="s">
        <v>254</v>
      </c>
    </row>
    <row r="166" spans="1:7">
      <c r="A166" s="3">
        <v>45470</v>
      </c>
      <c r="B166" s="4" t="s">
        <v>275</v>
      </c>
      <c r="C166" s="1" t="s">
        <v>281</v>
      </c>
      <c r="D166" s="1">
        <v>19</v>
      </c>
      <c r="E166" s="5">
        <v>8.4</v>
      </c>
      <c r="F166" s="1">
        <v>10</v>
      </c>
      <c r="G166" s="1" t="s">
        <v>254</v>
      </c>
    </row>
    <row r="167" spans="1:7">
      <c r="A167" s="3">
        <v>45471</v>
      </c>
      <c r="B167" s="4" t="s">
        <v>275</v>
      </c>
      <c r="C167" s="1" t="s">
        <v>281</v>
      </c>
      <c r="D167" s="1">
        <v>19</v>
      </c>
      <c r="E167" s="5">
        <v>8.4</v>
      </c>
      <c r="F167" s="1">
        <v>20</v>
      </c>
      <c r="G167" s="1" t="s">
        <v>254</v>
      </c>
    </row>
    <row r="168" spans="1:7">
      <c r="A168" s="3">
        <v>45485</v>
      </c>
      <c r="B168" s="4" t="s">
        <v>275</v>
      </c>
      <c r="C168" s="1" t="s">
        <v>281</v>
      </c>
      <c r="D168" s="1">
        <v>19</v>
      </c>
      <c r="E168" s="5">
        <v>8.4</v>
      </c>
      <c r="F168" s="1">
        <v>6</v>
      </c>
      <c r="G168" s="1" t="s">
        <v>259</v>
      </c>
    </row>
    <row r="169" spans="1:7">
      <c r="A169" s="3">
        <v>45502</v>
      </c>
      <c r="B169" s="4" t="s">
        <v>275</v>
      </c>
      <c r="C169" s="1" t="s">
        <v>281</v>
      </c>
      <c r="D169" s="1">
        <v>19</v>
      </c>
      <c r="E169" s="5">
        <v>8.4</v>
      </c>
      <c r="F169" s="1">
        <v>15</v>
      </c>
      <c r="G169" s="1" t="s">
        <v>254</v>
      </c>
    </row>
    <row r="170" spans="1:7">
      <c r="A170" s="3">
        <v>45506</v>
      </c>
      <c r="B170" s="4" t="s">
        <v>275</v>
      </c>
      <c r="C170" s="1" t="s">
        <v>281</v>
      </c>
      <c r="D170" s="1">
        <v>19</v>
      </c>
      <c r="E170" s="5">
        <v>8.4</v>
      </c>
      <c r="F170" s="1">
        <v>3</v>
      </c>
      <c r="G170" s="1" t="s">
        <v>254</v>
      </c>
    </row>
    <row r="171" spans="1:7">
      <c r="A171" s="3">
        <v>45511</v>
      </c>
      <c r="B171" s="4" t="s">
        <v>275</v>
      </c>
      <c r="C171" s="1" t="s">
        <v>281</v>
      </c>
      <c r="D171" s="1">
        <v>19</v>
      </c>
      <c r="E171" s="5">
        <v>8.4</v>
      </c>
      <c r="F171" s="1">
        <v>20</v>
      </c>
      <c r="G171" s="1" t="s">
        <v>257</v>
      </c>
    </row>
    <row r="172" spans="1:7">
      <c r="A172" s="3">
        <v>45523</v>
      </c>
      <c r="B172" s="4" t="s">
        <v>275</v>
      </c>
      <c r="C172" s="1" t="s">
        <v>281</v>
      </c>
      <c r="D172" s="1">
        <v>19</v>
      </c>
      <c r="E172" s="5">
        <v>8.4</v>
      </c>
      <c r="F172" s="1">
        <v>20</v>
      </c>
      <c r="G172" s="1" t="s">
        <v>260</v>
      </c>
    </row>
    <row r="173" spans="1:7">
      <c r="A173" s="3">
        <v>45525</v>
      </c>
      <c r="B173" s="4" t="s">
        <v>275</v>
      </c>
      <c r="C173" s="1" t="s">
        <v>281</v>
      </c>
      <c r="D173" s="1">
        <v>19</v>
      </c>
      <c r="E173" s="5">
        <v>8.4</v>
      </c>
      <c r="F173" s="1">
        <v>15</v>
      </c>
      <c r="G173" s="1" t="s">
        <v>261</v>
      </c>
    </row>
    <row r="174" spans="1:7">
      <c r="A174" s="3">
        <v>45531</v>
      </c>
      <c r="B174" s="4" t="s">
        <v>275</v>
      </c>
      <c r="C174" s="1" t="s">
        <v>281</v>
      </c>
      <c r="D174" s="1">
        <v>19</v>
      </c>
      <c r="E174" s="5">
        <v>8.4</v>
      </c>
      <c r="F174" s="1">
        <v>3</v>
      </c>
      <c r="G174" s="1" t="s">
        <v>260</v>
      </c>
    </row>
    <row r="175" spans="1:7">
      <c r="A175" s="3">
        <v>45533</v>
      </c>
      <c r="B175" s="4" t="s">
        <v>275</v>
      </c>
      <c r="C175" s="1" t="s">
        <v>281</v>
      </c>
      <c r="D175" s="1">
        <v>19</v>
      </c>
      <c r="E175" s="5">
        <v>8.4</v>
      </c>
      <c r="F175" s="1">
        <v>6</v>
      </c>
      <c r="G175" s="1" t="s">
        <v>255</v>
      </c>
    </row>
    <row r="176" spans="1:7">
      <c r="A176" s="3">
        <v>45534</v>
      </c>
      <c r="B176" s="4" t="s">
        <v>275</v>
      </c>
      <c r="C176" s="1" t="s">
        <v>281</v>
      </c>
      <c r="D176" s="1">
        <v>19</v>
      </c>
      <c r="E176" s="5">
        <v>8.4</v>
      </c>
      <c r="F176" s="1">
        <v>6</v>
      </c>
      <c r="G176" s="1" t="s">
        <v>257</v>
      </c>
    </row>
    <row r="177" spans="1:7">
      <c r="A177" s="3">
        <v>45471</v>
      </c>
      <c r="B177" s="4" t="s">
        <v>282</v>
      </c>
      <c r="C177" s="1" t="s">
        <v>283</v>
      </c>
      <c r="D177" s="1">
        <v>28</v>
      </c>
      <c r="E177" s="5">
        <v>12.4</v>
      </c>
      <c r="F177" s="1">
        <v>15</v>
      </c>
      <c r="G177" s="1" t="s">
        <v>254</v>
      </c>
    </row>
    <row r="178" spans="1:7">
      <c r="A178" s="3">
        <v>45471</v>
      </c>
      <c r="B178" s="4" t="s">
        <v>282</v>
      </c>
      <c r="C178" s="1" t="s">
        <v>283</v>
      </c>
      <c r="D178" s="1">
        <v>28</v>
      </c>
      <c r="E178" s="5">
        <v>12.4</v>
      </c>
      <c r="F178" s="1">
        <v>20</v>
      </c>
      <c r="G178" s="1" t="s">
        <v>254</v>
      </c>
    </row>
    <row r="179" spans="1:7">
      <c r="A179" s="3">
        <v>45492</v>
      </c>
      <c r="B179" s="4" t="s">
        <v>282</v>
      </c>
      <c r="C179" s="1" t="s">
        <v>283</v>
      </c>
      <c r="D179" s="1">
        <v>28</v>
      </c>
      <c r="E179" s="5">
        <v>12.4</v>
      </c>
      <c r="F179" s="1">
        <v>12</v>
      </c>
      <c r="G179" s="1" t="s">
        <v>260</v>
      </c>
    </row>
    <row r="180" spans="1:7">
      <c r="A180" s="3">
        <v>45497</v>
      </c>
      <c r="B180" s="4" t="s">
        <v>282</v>
      </c>
      <c r="C180" s="1" t="s">
        <v>283</v>
      </c>
      <c r="D180" s="1">
        <v>28</v>
      </c>
      <c r="E180" s="5">
        <v>12.4</v>
      </c>
      <c r="F180" s="1">
        <v>8</v>
      </c>
      <c r="G180" s="1" t="s">
        <v>254</v>
      </c>
    </row>
    <row r="181" spans="1:7">
      <c r="A181" s="3">
        <v>45497</v>
      </c>
      <c r="B181" s="4" t="s">
        <v>282</v>
      </c>
      <c r="C181" s="1" t="s">
        <v>283</v>
      </c>
      <c r="D181" s="1">
        <v>28</v>
      </c>
      <c r="E181" s="5">
        <v>12.4</v>
      </c>
      <c r="F181" s="1">
        <v>40</v>
      </c>
      <c r="G181" s="1" t="s">
        <v>254</v>
      </c>
    </row>
    <row r="182" spans="1:7">
      <c r="A182" s="3">
        <v>45499</v>
      </c>
      <c r="B182" s="4" t="s">
        <v>282</v>
      </c>
      <c r="C182" s="1" t="s">
        <v>283</v>
      </c>
      <c r="D182" s="1">
        <v>28</v>
      </c>
      <c r="E182" s="5">
        <v>12.4</v>
      </c>
      <c r="F182" s="1">
        <v>18</v>
      </c>
      <c r="G182" s="1" t="s">
        <v>255</v>
      </c>
    </row>
    <row r="183" spans="1:7">
      <c r="A183" s="3">
        <v>45504</v>
      </c>
      <c r="B183" s="4" t="s">
        <v>282</v>
      </c>
      <c r="C183" s="1" t="s">
        <v>283</v>
      </c>
      <c r="D183" s="1">
        <v>28</v>
      </c>
      <c r="E183" s="5">
        <v>12.4</v>
      </c>
      <c r="F183" s="1">
        <v>40</v>
      </c>
      <c r="G183" s="1" t="s">
        <v>258</v>
      </c>
    </row>
    <row r="184" spans="1:7">
      <c r="A184" s="3">
        <v>45504</v>
      </c>
      <c r="B184" s="4" t="s">
        <v>282</v>
      </c>
      <c r="C184" s="1" t="s">
        <v>283</v>
      </c>
      <c r="D184" s="1">
        <v>28</v>
      </c>
      <c r="E184" s="5">
        <v>12.4</v>
      </c>
      <c r="F184" s="1">
        <v>100</v>
      </c>
      <c r="G184" s="1" t="s">
        <v>258</v>
      </c>
    </row>
    <row r="185" spans="1:7">
      <c r="A185" s="3">
        <v>45505</v>
      </c>
      <c r="B185" s="4" t="s">
        <v>282</v>
      </c>
      <c r="C185" s="1" t="s">
        <v>283</v>
      </c>
      <c r="D185" s="1">
        <v>28</v>
      </c>
      <c r="E185" s="5">
        <v>12.4</v>
      </c>
      <c r="F185" s="1">
        <v>15</v>
      </c>
      <c r="G185" s="1" t="s">
        <v>258</v>
      </c>
    </row>
    <row r="186" spans="1:7">
      <c r="A186" s="3">
        <v>45519</v>
      </c>
      <c r="B186" s="4" t="s">
        <v>282</v>
      </c>
      <c r="C186" s="1" t="s">
        <v>283</v>
      </c>
      <c r="D186" s="1">
        <v>28</v>
      </c>
      <c r="E186" s="5">
        <v>12.4</v>
      </c>
      <c r="F186" s="1">
        <v>15</v>
      </c>
      <c r="G186" s="1" t="s">
        <v>259</v>
      </c>
    </row>
    <row r="187" spans="1:7">
      <c r="A187" s="3">
        <v>45520</v>
      </c>
      <c r="B187" s="4" t="s">
        <v>282</v>
      </c>
      <c r="C187" s="1" t="s">
        <v>283</v>
      </c>
      <c r="D187" s="1">
        <v>28</v>
      </c>
      <c r="E187" s="5">
        <v>12.4</v>
      </c>
      <c r="F187" s="1">
        <v>15</v>
      </c>
      <c r="G187" s="1" t="s">
        <v>254</v>
      </c>
    </row>
    <row r="188" spans="1:7">
      <c r="A188" s="3">
        <v>45531</v>
      </c>
      <c r="B188" s="4" t="s">
        <v>282</v>
      </c>
      <c r="C188" s="1" t="s">
        <v>283</v>
      </c>
      <c r="D188" s="1">
        <v>28</v>
      </c>
      <c r="E188" s="5">
        <v>12.4</v>
      </c>
      <c r="F188" s="1">
        <v>10</v>
      </c>
      <c r="G188" s="1" t="s">
        <v>260</v>
      </c>
    </row>
    <row r="189" spans="1:7">
      <c r="A189" s="3">
        <v>45534</v>
      </c>
      <c r="B189" s="4" t="s">
        <v>282</v>
      </c>
      <c r="C189" s="1" t="s">
        <v>283</v>
      </c>
      <c r="D189" s="1">
        <v>28</v>
      </c>
      <c r="E189" s="5">
        <v>12.4</v>
      </c>
      <c r="F189" s="1">
        <v>5</v>
      </c>
      <c r="G189" s="1" t="s">
        <v>258</v>
      </c>
    </row>
    <row r="190" spans="1:7">
      <c r="A190" s="3">
        <v>45539</v>
      </c>
      <c r="B190" s="4" t="s">
        <v>282</v>
      </c>
      <c r="C190" s="1" t="s">
        <v>283</v>
      </c>
      <c r="D190" s="1">
        <v>28</v>
      </c>
      <c r="E190" s="5">
        <v>12.4</v>
      </c>
      <c r="F190" s="1">
        <v>25</v>
      </c>
      <c r="G190" s="1" t="s">
        <v>257</v>
      </c>
    </row>
    <row r="191" spans="1:7">
      <c r="A191" s="3">
        <v>45541</v>
      </c>
      <c r="B191" s="4" t="s">
        <v>282</v>
      </c>
      <c r="C191" s="1" t="s">
        <v>283</v>
      </c>
      <c r="D191" s="1">
        <v>28</v>
      </c>
      <c r="E191" s="5">
        <v>12.4</v>
      </c>
      <c r="F191" s="1">
        <v>70</v>
      </c>
      <c r="G191" s="1" t="s">
        <v>257</v>
      </c>
    </row>
    <row r="192" spans="1:7">
      <c r="A192" s="3">
        <v>45547</v>
      </c>
      <c r="B192" s="4" t="s">
        <v>282</v>
      </c>
      <c r="C192" s="1" t="s">
        <v>283</v>
      </c>
      <c r="D192" s="1">
        <v>28</v>
      </c>
      <c r="E192" s="5">
        <v>12.4</v>
      </c>
      <c r="F192" s="1">
        <v>10</v>
      </c>
      <c r="G192" s="1" t="s">
        <v>255</v>
      </c>
    </row>
    <row r="193" spans="1:7">
      <c r="A193" s="3">
        <v>45482</v>
      </c>
      <c r="B193" s="4" t="s">
        <v>284</v>
      </c>
      <c r="C193" s="1" t="s">
        <v>285</v>
      </c>
      <c r="D193" s="1">
        <v>8</v>
      </c>
      <c r="E193" s="5">
        <v>39</v>
      </c>
      <c r="F193" s="1">
        <v>10</v>
      </c>
      <c r="G193" s="1" t="s">
        <v>258</v>
      </c>
    </row>
    <row r="194" spans="1:7">
      <c r="A194" s="3">
        <v>45506</v>
      </c>
      <c r="B194" s="4" t="s">
        <v>284</v>
      </c>
      <c r="C194" s="1" t="s">
        <v>285</v>
      </c>
      <c r="D194" s="1">
        <v>8</v>
      </c>
      <c r="E194" s="5">
        <v>39</v>
      </c>
      <c r="F194" s="1">
        <v>10</v>
      </c>
      <c r="G194" s="1" t="s">
        <v>254</v>
      </c>
    </row>
    <row r="195" spans="1:7">
      <c r="A195" s="3">
        <v>45510</v>
      </c>
      <c r="B195" s="4" t="s">
        <v>284</v>
      </c>
      <c r="C195" s="1" t="s">
        <v>285</v>
      </c>
      <c r="D195" s="1">
        <v>8</v>
      </c>
      <c r="E195" s="5">
        <v>39</v>
      </c>
      <c r="F195" s="1">
        <v>15</v>
      </c>
      <c r="G195" s="1" t="s">
        <v>258</v>
      </c>
    </row>
    <row r="196" spans="1:7">
      <c r="A196" s="3">
        <v>45527</v>
      </c>
      <c r="B196" s="4" t="s">
        <v>284</v>
      </c>
      <c r="C196" s="1" t="s">
        <v>285</v>
      </c>
      <c r="D196" s="1">
        <v>8</v>
      </c>
      <c r="E196" s="5">
        <v>39</v>
      </c>
      <c r="F196" s="1">
        <v>25</v>
      </c>
      <c r="G196" s="1" t="s">
        <v>258</v>
      </c>
    </row>
    <row r="197" spans="1:7">
      <c r="A197" s="3">
        <v>45530</v>
      </c>
      <c r="B197" s="4" t="s">
        <v>284</v>
      </c>
      <c r="C197" s="1" t="s">
        <v>285</v>
      </c>
      <c r="D197" s="1">
        <v>8</v>
      </c>
      <c r="E197" s="5">
        <v>39</v>
      </c>
      <c r="F197" s="1">
        <v>5</v>
      </c>
      <c r="G197" s="1" t="s">
        <v>257</v>
      </c>
    </row>
    <row r="198" spans="1:7">
      <c r="A198" s="3">
        <v>45495</v>
      </c>
      <c r="B198" s="4" t="s">
        <v>286</v>
      </c>
      <c r="C198" s="1" t="s">
        <v>287</v>
      </c>
      <c r="D198" s="1">
        <v>22</v>
      </c>
      <c r="E198" s="5">
        <v>4.5</v>
      </c>
      <c r="F198" s="1">
        <v>25</v>
      </c>
      <c r="G198" s="1" t="s">
        <v>258</v>
      </c>
    </row>
    <row r="199" spans="1:7">
      <c r="A199" s="3">
        <v>45509</v>
      </c>
      <c r="B199" s="4" t="s">
        <v>286</v>
      </c>
      <c r="C199" s="1" t="s">
        <v>287</v>
      </c>
      <c r="D199" s="1">
        <v>22</v>
      </c>
      <c r="E199" s="5">
        <v>4.5</v>
      </c>
      <c r="F199" s="1">
        <v>30</v>
      </c>
      <c r="G199" s="1" t="s">
        <v>261</v>
      </c>
    </row>
    <row r="200" spans="1:7">
      <c r="A200" s="3">
        <v>45512</v>
      </c>
      <c r="B200" s="4" t="s">
        <v>286</v>
      </c>
      <c r="C200" s="1" t="s">
        <v>287</v>
      </c>
      <c r="D200" s="1">
        <v>22</v>
      </c>
      <c r="E200" s="5">
        <v>4.5</v>
      </c>
      <c r="F200" s="1">
        <v>60</v>
      </c>
      <c r="G200" s="1" t="s">
        <v>257</v>
      </c>
    </row>
    <row r="201" spans="1:7">
      <c r="A201" s="9" t="s">
        <v>288</v>
      </c>
      <c r="B201" s="9"/>
      <c r="C201" s="9"/>
      <c r="D201" s="9"/>
      <c r="E201" s="10">
        <f>SUBTOTAL(109,tbl_Bestellungen[EP])</f>
        <v>5471.0999999999858</v>
      </c>
      <c r="F201" s="9">
        <f>SUBTOTAL(109,tbl_Bestellungen[VK_Menge])</f>
        <v>4295</v>
      </c>
      <c r="G201" s="9">
        <f>SUBTOTAL(103,tbl_Bestellungen[Verkäufer])</f>
        <v>199</v>
      </c>
    </row>
  </sheetData>
  <pageMargins left="0.7" right="0.7" top="0.78740157499999996" bottom="0.78740157499999996" header="0.3" footer="0.3"/>
  <pageSetup paperSize="9" orientation="landscape"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9D1D-0475-467F-B17A-BF43E55CD269}">
  <sheetPr>
    <tabColor theme="2"/>
  </sheetPr>
  <dimension ref="A1:B27"/>
  <sheetViews>
    <sheetView tabSelected="1" workbookViewId="0">
      <selection activeCell="A22" sqref="A22"/>
    </sheetView>
  </sheetViews>
  <sheetFormatPr defaultColWidth="11" defaultRowHeight="15.75"/>
  <cols>
    <col min="1" max="1" width="29.25" bestFit="1" customWidth="1"/>
    <col min="2" max="2" width="10.5" bestFit="1" customWidth="1"/>
  </cols>
  <sheetData>
    <row r="1" spans="1:2">
      <c r="A1" s="16" t="s">
        <v>289</v>
      </c>
      <c r="B1" t="s">
        <v>290</v>
      </c>
    </row>
    <row r="2" spans="1:2">
      <c r="A2" s="17" t="s">
        <v>224</v>
      </c>
      <c r="B2" s="19"/>
    </row>
    <row r="3" spans="1:2">
      <c r="A3" s="18" t="s">
        <v>253</v>
      </c>
      <c r="B3" s="19">
        <v>978</v>
      </c>
    </row>
    <row r="4" spans="1:2">
      <c r="A4" s="17" t="s">
        <v>237</v>
      </c>
      <c r="B4" s="19"/>
    </row>
    <row r="5" spans="1:2">
      <c r="A5" s="18" t="s">
        <v>278</v>
      </c>
      <c r="B5" s="19">
        <v>263</v>
      </c>
    </row>
    <row r="6" spans="1:2">
      <c r="A6" s="17" t="s">
        <v>120</v>
      </c>
      <c r="B6" s="19"/>
    </row>
    <row r="7" spans="1:2">
      <c r="A7" s="18" t="s">
        <v>270</v>
      </c>
      <c r="B7" s="19">
        <v>463</v>
      </c>
    </row>
    <row r="8" spans="1:2">
      <c r="A8" s="17" t="s">
        <v>230</v>
      </c>
      <c r="B8" s="19"/>
    </row>
    <row r="9" spans="1:2">
      <c r="A9" s="18" t="s">
        <v>283</v>
      </c>
      <c r="B9" s="19">
        <v>418</v>
      </c>
    </row>
    <row r="10" spans="1:2">
      <c r="A10" s="17" t="s">
        <v>96</v>
      </c>
      <c r="B10" s="19"/>
    </row>
    <row r="11" spans="1:2">
      <c r="A11" s="18" t="s">
        <v>266</v>
      </c>
      <c r="B11" s="19">
        <v>557</v>
      </c>
    </row>
    <row r="12" spans="1:2">
      <c r="A12" s="18" t="s">
        <v>272</v>
      </c>
      <c r="B12" s="19">
        <v>254</v>
      </c>
    </row>
    <row r="13" spans="1:2">
      <c r="A13" s="17" t="s">
        <v>208</v>
      </c>
      <c r="B13" s="19"/>
    </row>
    <row r="14" spans="1:2">
      <c r="A14" s="18" t="s">
        <v>264</v>
      </c>
      <c r="B14" s="19">
        <v>259</v>
      </c>
    </row>
    <row r="15" spans="1:2">
      <c r="A15" s="18" t="s">
        <v>276</v>
      </c>
      <c r="B15" s="19">
        <v>177</v>
      </c>
    </row>
    <row r="16" spans="1:2">
      <c r="A16" s="18" t="s">
        <v>280</v>
      </c>
      <c r="B16" s="19">
        <v>12</v>
      </c>
    </row>
    <row r="17" spans="1:2">
      <c r="A17" s="17" t="s">
        <v>157</v>
      </c>
      <c r="B17" s="19"/>
    </row>
    <row r="18" spans="1:2">
      <c r="A18" s="18" t="s">
        <v>281</v>
      </c>
      <c r="B18" s="19">
        <v>199</v>
      </c>
    </row>
    <row r="19" spans="1:2">
      <c r="A19" s="17" t="s">
        <v>216</v>
      </c>
      <c r="B19" s="19"/>
    </row>
    <row r="20" spans="1:2">
      <c r="A20" s="18" t="s">
        <v>274</v>
      </c>
      <c r="B20" s="19">
        <v>520</v>
      </c>
    </row>
    <row r="21" spans="1:2">
      <c r="A21" s="17" t="s">
        <v>64</v>
      </c>
      <c r="B21" s="19"/>
    </row>
    <row r="22" spans="1:2">
      <c r="A22" s="18" t="s">
        <v>291</v>
      </c>
      <c r="B22" s="19">
        <v>15</v>
      </c>
    </row>
    <row r="23" spans="1:2">
      <c r="A23" s="17" t="s">
        <v>73</v>
      </c>
      <c r="B23" s="19"/>
    </row>
    <row r="24" spans="1:2">
      <c r="A24" s="18" t="s">
        <v>285</v>
      </c>
      <c r="B24" s="19">
        <v>65</v>
      </c>
    </row>
    <row r="25" spans="1:2">
      <c r="A25" s="17" t="s">
        <v>182</v>
      </c>
      <c r="B25" s="19"/>
    </row>
    <row r="26" spans="1:2">
      <c r="A26" s="18" t="s">
        <v>287</v>
      </c>
      <c r="B26" s="19">
        <v>115</v>
      </c>
    </row>
    <row r="27" spans="1:2" ht="26.25" customHeight="1">
      <c r="A27" s="17" t="s">
        <v>292</v>
      </c>
      <c r="B27" s="19">
        <v>4295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AEBE6CD-2F5A-482D-8B50-57466FB87456}"/>
</file>

<file path=customXml/itemProps2.xml><?xml version="1.0" encoding="utf-8"?>
<ds:datastoreItem xmlns:ds="http://schemas.openxmlformats.org/officeDocument/2006/customXml" ds:itemID="{2FAA61AC-1CBE-442F-8C9B-20D687C805CF}"/>
</file>

<file path=customXml/itemProps3.xml><?xml version="1.0" encoding="utf-8"?>
<ds:datastoreItem xmlns:ds="http://schemas.openxmlformats.org/officeDocument/2006/customXml" ds:itemID="{982ED55C-0689-4EAF-B23B-AFFA70D3F70D}"/>
</file>

<file path=customXml/itemProps4.xml><?xml version="1.0" encoding="utf-8"?>
<ds:datastoreItem xmlns:ds="http://schemas.openxmlformats.org/officeDocument/2006/customXml" ds:itemID="{3D90D771-8180-4FF1-9CFA-C983E2F626BC}"/>
</file>

<file path=customXml/itemProps5.xml><?xml version="1.0" encoding="utf-8"?>
<ds:datastoreItem xmlns:ds="http://schemas.openxmlformats.org/officeDocument/2006/customXml" ds:itemID="{85459617-F6FD-46AF-AE48-D33DE1C0EEFB}"/>
</file>

<file path=customXml/itemProps6.xml><?xml version="1.0" encoding="utf-8"?>
<ds:datastoreItem xmlns:ds="http://schemas.openxmlformats.org/officeDocument/2006/customXml" ds:itemID="{C34724DC-4EA0-4280-9BDC-D6F36ED10EB2}"/>
</file>

<file path=customXml/itemProps7.xml><?xml version="1.0" encoding="utf-8"?>
<ds:datastoreItem xmlns:ds="http://schemas.openxmlformats.org/officeDocument/2006/customXml" ds:itemID="{C0061EF5-AAAD-46DE-935E-9B7C17C90295}"/>
</file>

<file path=customXml/itemProps8.xml><?xml version="1.0" encoding="utf-8"?>
<ds:datastoreItem xmlns:ds="http://schemas.openxmlformats.org/officeDocument/2006/customXml" ds:itemID="{1136AE56-052B-4D15-9BD9-49BFEC0AD4C8}"/>
</file>

<file path=customXml/itemProps9.xml><?xml version="1.0" encoding="utf-8"?>
<ds:datastoreItem xmlns:ds="http://schemas.openxmlformats.org/officeDocument/2006/customXml" ds:itemID="{B24211F8-960C-4C17-80A2-0E29D288DE51}"/>
</file>

<file path=customXml/itemProps10.xml><?xml version="1.0" encoding="utf-8"?>
<ds:datastoreItem xmlns:ds="http://schemas.openxmlformats.org/officeDocument/2006/customXml" ds:itemID="{8625602F-C665-4796-8940-3C4E4793AE25}"/>
</file>

<file path=customXml/itemProps11.xml><?xml version="1.0" encoding="utf-8"?>
<ds:datastoreItem xmlns:ds="http://schemas.openxmlformats.org/officeDocument/2006/customXml" ds:itemID="{97865240-08D8-4E0D-8945-12126CD81CC0}"/>
</file>

<file path=customXml/itemProps12.xml><?xml version="1.0" encoding="utf-8"?>
<ds:datastoreItem xmlns:ds="http://schemas.openxmlformats.org/officeDocument/2006/customXml" ds:itemID="{4D2A8A48-B053-469B-B499-E6667960353A}"/>
</file>

<file path=customXml/itemProps13.xml><?xml version="1.0" encoding="utf-8"?>
<ds:datastoreItem xmlns:ds="http://schemas.openxmlformats.org/officeDocument/2006/customXml" ds:itemID="{A5B7D602-7CE7-4677-9271-07D961793F98}"/>
</file>

<file path=customXml/itemProps14.xml><?xml version="1.0" encoding="utf-8"?>
<ds:datastoreItem xmlns:ds="http://schemas.openxmlformats.org/officeDocument/2006/customXml" ds:itemID="{21778A40-E4D8-40F9-808C-B4F43286AADE}"/>
</file>

<file path=customXml/itemProps15.xml><?xml version="1.0" encoding="utf-8"?>
<ds:datastoreItem xmlns:ds="http://schemas.openxmlformats.org/officeDocument/2006/customXml" ds:itemID="{DCD03ACB-D966-47E7-B3FB-862C78BB3A1E}"/>
</file>

<file path=customXml/itemProps16.xml><?xml version="1.0" encoding="utf-8"?>
<ds:datastoreItem xmlns:ds="http://schemas.openxmlformats.org/officeDocument/2006/customXml" ds:itemID="{CCA498B6-2394-499B-B118-14A141190CD4}"/>
</file>

<file path=customXml/itemProps17.xml><?xml version="1.0" encoding="utf-8"?>
<ds:datastoreItem xmlns:ds="http://schemas.openxmlformats.org/officeDocument/2006/customXml" ds:itemID="{59D78C96-7D69-47C4-9608-693B8A186E25}"/>
</file>

<file path=customXml/itemProps18.xml><?xml version="1.0" encoding="utf-8"?>
<ds:datastoreItem xmlns:ds="http://schemas.openxmlformats.org/officeDocument/2006/customXml" ds:itemID="{1B677FCE-13AD-4E5E-9F60-6DA4AA2438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Heike Hofert</dc:creator>
  <cp:keywords/>
  <dc:description/>
  <cp:lastModifiedBy>Heike Hofert</cp:lastModifiedBy>
  <cp:revision/>
  <dcterms:created xsi:type="dcterms:W3CDTF">2025-02-19T11:45:37Z</dcterms:created>
  <dcterms:modified xsi:type="dcterms:W3CDTF">2025-02-25T06:26:24Z</dcterms:modified>
  <cp:category/>
  <cp:contentStatus/>
</cp:coreProperties>
</file>