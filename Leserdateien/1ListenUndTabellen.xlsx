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pivotTables/pivotTable2.xml" ContentType="application/vnd.openxmlformats-officedocument.spreadsheetml.pivotTable+xml"/>
  <Override PartName="/xl/tables/table4.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SeminarDozentin\Buchprojekte\4. Bauanleitungen_PowerBI\Dateien\Leserdateien\"/>
    </mc:Choice>
  </mc:AlternateContent>
  <xr:revisionPtr revIDLastSave="0" documentId="13_ncr:1_{46D7A224-747A-40AF-9EF9-3EFCA34C3B07}" xr6:coauthVersionLast="47" xr6:coauthVersionMax="47" xr10:uidLastSave="{00000000-0000-0000-0000-000000000000}"/>
  <bookViews>
    <workbookView xWindow="-28920" yWindow="-120" windowWidth="29040" windowHeight="15720" tabRatio="909" xr2:uid="{1C093283-679F-4EB2-ADC7-D9526C26F0EB}"/>
  </bookViews>
  <sheets>
    <sheet name="1Liste" sheetId="4" r:id="rId1"/>
    <sheet name="1Tabelle" sheetId="8" r:id="rId2"/>
    <sheet name="2Pivot Liste Basis" sheetId="10" r:id="rId3"/>
    <sheet name="2Pivot Tabelle Filter" sheetId="21" r:id="rId4"/>
    <sheet name="2Pivot-Tabelle Dashboard" sheetId="12" r:id="rId5"/>
    <sheet name="2Pivot Fehler" sheetId="11" r:id="rId6"/>
    <sheet name="3Pivot_BerechneteSpalte" sheetId="14" r:id="rId7"/>
    <sheet name="3PowerPivot" sheetId="23" r:id="rId8"/>
    <sheet name="3PowerPivot m. GesSumme" sheetId="26" r:id="rId9"/>
  </sheets>
  <definedNames>
    <definedName name="_xlnm._FilterDatabase" localSheetId="2" hidden="1">'2Pivot Liste Basis'!$A$1:$F$200</definedName>
    <definedName name="_xlnm._FilterDatabase" localSheetId="3" hidden="1">'2Pivot Tabelle Filter'!$A$1:$F$200</definedName>
    <definedName name="_xlnm._FilterDatabase" localSheetId="7" hidden="1">'3PowerPivot'!$A$1:$F$200</definedName>
    <definedName name="_xlcn.WorksheetConnection_1ListenUndTabellen.xlsxtbl_PowerPivot1" hidden="1">tbl_PowerPivot[]</definedName>
    <definedName name="Datenschnitt_Artikelname">#N/A</definedName>
    <definedName name="Datenschnitt_Artikelname1">#N/A</definedName>
    <definedName name="Datenschnitt_Monate__Bestelldatum">#N/A</definedName>
    <definedName name="Datenschnitt_Verkäufer">#N/A</definedName>
    <definedName name="Datenschnitt_Verkäufer1">#N/A</definedName>
  </definedNames>
  <calcPr calcId="191029"/>
  <pivotCaches>
    <pivotCache cacheId="0" r:id="rId10"/>
    <pivotCache cacheId="1" r:id="rId11"/>
  </pivotCaches>
  <extLst>
    <ext xmlns:x14="http://schemas.microsoft.com/office/spreadsheetml/2009/9/main" uri="{876F7934-8845-4945-9796-88D515C7AA90}">
      <x14:pivotCaches>
        <pivotCache cacheId="3" r:id="rId12"/>
      </x14:pivotCaches>
    </ex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PowerPivot" name="tbl_PowerPivot" connection="WorksheetConnection_1ListenUndTabellen.xlsx!tbl_PowerPivot"/>
        </x15:modelTables>
        <x15:extLst>
          <ext xmlns:x16="http://schemas.microsoft.com/office/spreadsheetml/2014/11/main" uri="{9835A34E-60A6-4A7C-AAB8-D5F71C897F49}">
            <x16:modelTimeGroupings>
              <x16:modelTimeGrouping tableName="tbl_PowerPivot" columnName="Bestelldatum" columnId="Bestelldatum">
                <x16:calculatedTimeColumn columnName="Bestelldatum (Monatsindex)" columnId="Bestelldatum (Monatsindex)" contentType="monthsindex" isSelected="1"/>
                <x16:calculatedTimeColumn columnName="Bestelldatum (Monat)" columnId="Bestelldatum (Monat)"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14" l="1"/>
  <c r="F8" i="14"/>
  <c r="I202" i="11"/>
  <c r="H198" i="11"/>
  <c r="H16" i="11"/>
  <c r="H202" i="11" s="1"/>
  <c r="C7" i="12"/>
  <c r="F201" i="23"/>
  <c r="E201" i="23"/>
  <c r="D201" i="23"/>
  <c r="D201" i="21"/>
  <c r="E201" i="21"/>
  <c r="F201" i="21"/>
  <c r="H198" i="21"/>
  <c r="H16" i="21"/>
  <c r="F20" i="14"/>
  <c r="F16" i="14"/>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C202" i="11"/>
  <c r="E202" i="11"/>
  <c r="D202" i="11"/>
  <c r="F20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D931EA-22A1-421D-AAA0-8FA371C6CFD7}" keepAlive="1" name="ThisWorkbookDataModel" description="Datenmodel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DBCE7A2C-E699-416F-B88A-1109408EAC8C}" name="WorksheetConnection_1ListenUndTabellen.xlsx!tbl_PowerPivot" type="102" refreshedVersion="8" minRefreshableVersion="5">
    <extLst>
      <ext xmlns:x15="http://schemas.microsoft.com/office/spreadsheetml/2010/11/main" uri="{DE250136-89BD-433C-8126-D09CA5730AF9}">
        <x15:connection id="tbl_PowerPivot">
          <x15:rangePr sourceName="_xlcn.WorksheetConnection_1ListenUndTabellen.xlsxtbl_PowerPivot1"/>
        </x15:connection>
      </ext>
    </extLst>
  </connection>
</connections>
</file>

<file path=xl/sharedStrings.xml><?xml version="1.0" encoding="utf-8"?>
<sst xmlns="http://schemas.openxmlformats.org/spreadsheetml/2006/main" count="2795" uniqueCount="148">
  <si>
    <t>Becker</t>
  </si>
  <si>
    <t>Hölscher</t>
  </si>
  <si>
    <t>Hofert</t>
  </si>
  <si>
    <t>Meyer</t>
  </si>
  <si>
    <t>Kunkel</t>
  </si>
  <si>
    <t>Einstelldatum</t>
  </si>
  <si>
    <t>Mitarbeiter:in</t>
  </si>
  <si>
    <t>Gehalt</t>
  </si>
  <si>
    <t>Petra Becker</t>
  </si>
  <si>
    <t>Lorenz Hölscher</t>
  </si>
  <si>
    <t>Heike Hofert</t>
  </si>
  <si>
    <t xml:space="preserve">Katrin Ludwig </t>
  </si>
  <si>
    <t>Tom Meyer</t>
  </si>
  <si>
    <t>Ralf Kunkel</t>
  </si>
  <si>
    <t>Petra</t>
  </si>
  <si>
    <t>Lorenz</t>
  </si>
  <si>
    <t>Heike</t>
  </si>
  <si>
    <t>Katrin</t>
  </si>
  <si>
    <t>Tom</t>
  </si>
  <si>
    <t>Ralf</t>
  </si>
  <si>
    <t>Ludwig</t>
  </si>
  <si>
    <t>Vornamen</t>
  </si>
  <si>
    <t>Nachnamen</t>
  </si>
  <si>
    <t>Bestelldatum</t>
  </si>
  <si>
    <t>Artikelname</t>
  </si>
  <si>
    <t>Verkäufer</t>
  </si>
  <si>
    <t>05-0055-60</t>
  </si>
  <si>
    <t>Ravioli Angelo</t>
  </si>
  <si>
    <t>Becker, Manfred</t>
  </si>
  <si>
    <t>05-0055-88</t>
  </si>
  <si>
    <t>Mozzarella di Giovanni</t>
  </si>
  <si>
    <t>01-0015-60</t>
  </si>
  <si>
    <t>Scottish Longbreads</t>
  </si>
  <si>
    <t>Suyama, Michael</t>
  </si>
  <si>
    <t>07-0041-10</t>
  </si>
  <si>
    <t>schwarze Trüffel</t>
  </si>
  <si>
    <t>Hofer, Andreas</t>
  </si>
  <si>
    <t>Weber, Clara</t>
  </si>
  <si>
    <t>01-0015-44</t>
  </si>
  <si>
    <t>Irish Coffee</t>
  </si>
  <si>
    <t>01-0042-88</t>
  </si>
  <si>
    <t>Camembert Pierrot</t>
  </si>
  <si>
    <t>04-0041-55</t>
  </si>
  <si>
    <t>Chocolade surprise</t>
  </si>
  <si>
    <t>05-0055-33</t>
  </si>
  <si>
    <t>Rotwein Vino Rouge</t>
  </si>
  <si>
    <t>03-0042-60</t>
  </si>
  <si>
    <t>Pâté chinois</t>
  </si>
  <si>
    <t>Heinrich, Petra</t>
  </si>
  <si>
    <t>Grosser, Sabine</t>
  </si>
  <si>
    <t>06-0022-60</t>
  </si>
  <si>
    <t>Tarte au sucre</t>
  </si>
  <si>
    <t>07-0010-10</t>
  </si>
  <si>
    <t xml:space="preserve">Kopi Luwak </t>
  </si>
  <si>
    <t>Callas, Sarah</t>
  </si>
  <si>
    <t>Fuller Andrew</t>
  </si>
  <si>
    <t>02-0042-10</t>
  </si>
  <si>
    <t>Tourtière</t>
  </si>
  <si>
    <t>Röd Kaviar</t>
  </si>
  <si>
    <t>04-0040-55</t>
  </si>
  <si>
    <t>Zaanse koeken</t>
  </si>
  <si>
    <t>Krämer, Robert</t>
  </si>
  <si>
    <t>VK_Menge</t>
  </si>
  <si>
    <t>Artikel_Nr</t>
  </si>
  <si>
    <t>Ergebnis</t>
  </si>
  <si>
    <t>Zeilenbeschriftungen</t>
  </si>
  <si>
    <t>Gesamtergebnis</t>
  </si>
  <si>
    <t>05-0020-70</t>
  </si>
  <si>
    <t>Champagne Gout de Diamant Brut</t>
  </si>
  <si>
    <t>13. Jun</t>
  </si>
  <si>
    <t>14. Jun</t>
  </si>
  <si>
    <t>17. Jun</t>
  </si>
  <si>
    <t>18. Jun</t>
  </si>
  <si>
    <t>19. Jun</t>
  </si>
  <si>
    <t>20. Jun</t>
  </si>
  <si>
    <t>21. Jun</t>
  </si>
  <si>
    <t>24. Jun</t>
  </si>
  <si>
    <t>25. Jun</t>
  </si>
  <si>
    <t>26. Jun</t>
  </si>
  <si>
    <t>27. Jun</t>
  </si>
  <si>
    <t>28. Jun</t>
  </si>
  <si>
    <t>01. Jul</t>
  </si>
  <si>
    <t>02. Jul</t>
  </si>
  <si>
    <t>03. Jul</t>
  </si>
  <si>
    <t>04. Jul</t>
  </si>
  <si>
    <t>05. Jul</t>
  </si>
  <si>
    <t>08. Jul</t>
  </si>
  <si>
    <t>09. Jul</t>
  </si>
  <si>
    <t>10. Jul</t>
  </si>
  <si>
    <t>11. Jul</t>
  </si>
  <si>
    <t>12. Jul</t>
  </si>
  <si>
    <t>15. Jul</t>
  </si>
  <si>
    <t>16. Jul</t>
  </si>
  <si>
    <t>17. Jul</t>
  </si>
  <si>
    <t>18. Jul</t>
  </si>
  <si>
    <t>19. Jul</t>
  </si>
  <si>
    <t>22. Jul</t>
  </si>
  <si>
    <t>23. Jul</t>
  </si>
  <si>
    <t>24. Jul</t>
  </si>
  <si>
    <t>25. Jul</t>
  </si>
  <si>
    <t>26. Jul</t>
  </si>
  <si>
    <t>29. Jul</t>
  </si>
  <si>
    <t>30. Jul</t>
  </si>
  <si>
    <t>31. Jul</t>
  </si>
  <si>
    <t>01. Aug</t>
  </si>
  <si>
    <t>02. Aug</t>
  </si>
  <si>
    <t>05. Aug</t>
  </si>
  <si>
    <t>06. Aug</t>
  </si>
  <si>
    <t>07. Aug</t>
  </si>
  <si>
    <t>08. Aug</t>
  </si>
  <si>
    <t>09. Aug</t>
  </si>
  <si>
    <t>12. Aug</t>
  </si>
  <si>
    <t>13. Aug</t>
  </si>
  <si>
    <t>14. Aug</t>
  </si>
  <si>
    <t>15. Aug</t>
  </si>
  <si>
    <t>16. Aug</t>
  </si>
  <si>
    <t>19. Aug</t>
  </si>
  <si>
    <t>20. Aug</t>
  </si>
  <si>
    <t>21. Aug</t>
  </si>
  <si>
    <t>22. Aug</t>
  </si>
  <si>
    <t>23. Aug</t>
  </si>
  <si>
    <t>26. Aug</t>
  </si>
  <si>
    <t>27. Aug</t>
  </si>
  <si>
    <t>28. Aug</t>
  </si>
  <si>
    <t>29. Aug</t>
  </si>
  <si>
    <t>30. Aug</t>
  </si>
  <si>
    <t>02. Sep</t>
  </si>
  <si>
    <t>03. Sep</t>
  </si>
  <si>
    <t>04. Sep</t>
  </si>
  <si>
    <t>05. Sep</t>
  </si>
  <si>
    <t>06. Sep</t>
  </si>
  <si>
    <t>09. Sep</t>
  </si>
  <si>
    <t>10. Sep</t>
  </si>
  <si>
    <t>11. Sep</t>
  </si>
  <si>
    <t>12. Sep</t>
  </si>
  <si>
    <t>13. Sep</t>
  </si>
  <si>
    <t>16. Sep</t>
  </si>
  <si>
    <t>18. Okt</t>
  </si>
  <si>
    <t>VK-Menge</t>
  </si>
  <si>
    <t xml:space="preserve"> Gesamtumsatz</t>
  </si>
  <si>
    <t>Artikelpreise</t>
  </si>
  <si>
    <t>Rechnungspositionen - Verkaufte Mengen inkl. erzielten Gesamtumsatz</t>
  </si>
  <si>
    <t>VK-Datum - VerkäuferIn  - Produkte</t>
  </si>
  <si>
    <t>Jun</t>
  </si>
  <si>
    <t>Sep</t>
  </si>
  <si>
    <t xml:space="preserve"> VK_Menge</t>
  </si>
  <si>
    <t>EP</t>
  </si>
  <si>
    <t>Ges_Umsatz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</si>
</sst>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7" formatCode="#,##0.00\ &quot;€&quot;;\-#,##0.00\ &quot;€&quot;"/>
    <numFmt numFmtId="44" formatCode="_-* #,##0.00\ &quot;€&quot;_-;\-* #,##0.00\ &quot;€&quot;_-;_-* &quot;-&quot;??\ &quot;€&quot;_-;_-@_-"/>
    <numFmt numFmtId="164" formatCode="00"/>
    <numFmt numFmtId="165" formatCode="0.0"/>
    <numFmt numFmtId="166" formatCode="_-* #,##0.00\ [$€-407]_-;\-* #,##0.00\ [$€-407]_-;_-* &quot;-&quot;??\ [$€-407]_-;_-@_-"/>
  </numFmts>
  <fonts count="8" x14ac:knownFonts="1">
    <font>
      <sz val="11"/>
      <color theme="1"/>
      <name val="Aptos Narrow"/>
      <family val="2"/>
      <scheme val="minor"/>
    </font>
    <font>
      <sz val="11"/>
      <color theme="1"/>
      <name val="Aptos Narrow"/>
      <family val="2"/>
      <scheme val="minor"/>
    </font>
    <font>
      <sz val="8"/>
      <name val="Aptos Narrow"/>
      <family val="2"/>
      <scheme val="minor"/>
    </font>
    <font>
      <sz val="10"/>
      <color theme="1"/>
      <name val="Arial"/>
      <family val="2"/>
    </font>
    <font>
      <b/>
      <sz val="10"/>
      <name val="Arial"/>
      <family val="2"/>
    </font>
    <font>
      <sz val="10"/>
      <name val="Arial"/>
      <family val="2"/>
    </font>
    <font>
      <sz val="11"/>
      <name val="Aptos Narrow"/>
      <family val="2"/>
      <scheme val="minor"/>
    </font>
    <font>
      <b/>
      <sz val="15"/>
      <color theme="3"/>
      <name val="Calibri"/>
      <family val="2"/>
    </font>
  </fonts>
  <fills count="3">
    <fill>
      <patternFill patternType="none"/>
    </fill>
    <fill>
      <patternFill patternType="gray125"/>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thick">
        <color theme="4"/>
      </bottom>
      <diagonal/>
    </border>
    <border>
      <left/>
      <right/>
      <top style="thin">
        <color indexed="64"/>
      </top>
      <bottom style="double">
        <color indexed="64"/>
      </bottom>
      <diagonal/>
    </border>
  </borders>
  <cellStyleXfs count="5">
    <xf numFmtId="0" fontId="0" fillId="0" borderId="0"/>
    <xf numFmtId="44" fontId="1" fillId="0" borderId="0" applyFont="0" applyFill="0" applyBorder="0" applyAlignment="0" applyProtection="0"/>
    <xf numFmtId="0" fontId="3" fillId="0" borderId="0"/>
    <xf numFmtId="0" fontId="1" fillId="0" borderId="0"/>
    <xf numFmtId="0" fontId="7" fillId="0" borderId="2" applyNumberFormat="0" applyFill="0" applyAlignment="0" applyProtection="0"/>
  </cellStyleXfs>
  <cellXfs count="35">
    <xf numFmtId="0" fontId="0" fillId="0" borderId="0" xfId="0"/>
    <xf numFmtId="44" fontId="0" fillId="0" borderId="0" xfId="1" applyFont="1"/>
    <xf numFmtId="44" fontId="0" fillId="0" borderId="0" xfId="1" applyFont="1" applyAlignment="1">
      <alignment horizontal="right"/>
    </xf>
    <xf numFmtId="14" fontId="0" fillId="0" borderId="0" xfId="0" applyNumberFormat="1"/>
    <xf numFmtId="0" fontId="4" fillId="0" borderId="1" xfId="2" applyFont="1" applyBorder="1"/>
    <xf numFmtId="14" fontId="4" fillId="0" borderId="1" xfId="2" applyNumberFormat="1" applyFont="1" applyBorder="1"/>
    <xf numFmtId="164" fontId="4" fillId="0" borderId="1" xfId="2" applyNumberFormat="1" applyFont="1" applyBorder="1"/>
    <xf numFmtId="165" fontId="4" fillId="0" borderId="1" xfId="2" applyNumberFormat="1" applyFont="1" applyBorder="1"/>
    <xf numFmtId="0" fontId="4" fillId="0" borderId="1" xfId="2" applyFont="1" applyBorder="1" applyAlignment="1">
      <alignment wrapText="1"/>
    </xf>
    <xf numFmtId="0" fontId="5" fillId="0" borderId="0" xfId="2" applyFont="1"/>
    <xf numFmtId="0" fontId="6" fillId="0" borderId="0" xfId="3" applyFont="1"/>
    <xf numFmtId="14" fontId="5" fillId="0" borderId="0" xfId="2" applyNumberFormat="1" applyFont="1"/>
    <xf numFmtId="164" fontId="5" fillId="0" borderId="0" xfId="2" applyNumberFormat="1" applyFont="1"/>
    <xf numFmtId="165" fontId="5" fillId="0" borderId="0" xfId="2" applyNumberFormat="1" applyFont="1"/>
    <xf numFmtId="14" fontId="6" fillId="0" borderId="0" xfId="3" applyNumberFormat="1" applyFont="1"/>
    <xf numFmtId="164" fontId="6" fillId="0" borderId="0" xfId="3" applyNumberFormat="1" applyFont="1"/>
    <xf numFmtId="165" fontId="6" fillId="0" borderId="0" xfId="3" applyNumberFormat="1" applyFont="1"/>
    <xf numFmtId="0" fontId="5"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66" fontId="5" fillId="0" borderId="0" xfId="2" applyNumberFormat="1" applyFont="1"/>
    <xf numFmtId="44" fontId="5" fillId="0" borderId="0" xfId="1" applyFont="1" applyFill="1" applyBorder="1" applyAlignment="1" applyProtection="1"/>
    <xf numFmtId="3" fontId="0" fillId="0" borderId="0" xfId="0" applyNumberFormat="1"/>
    <xf numFmtId="0" fontId="0" fillId="0" borderId="0" xfId="0" applyAlignment="1">
      <alignment horizontal="left" indent="2"/>
    </xf>
    <xf numFmtId="166" fontId="0" fillId="0" borderId="0" xfId="0" applyNumberFormat="1"/>
    <xf numFmtId="0" fontId="0" fillId="0" borderId="0" xfId="0" applyAlignment="1">
      <alignment horizontal="right"/>
    </xf>
    <xf numFmtId="44" fontId="6" fillId="0" borderId="0" xfId="3" applyNumberFormat="1" applyFont="1"/>
    <xf numFmtId="166" fontId="6" fillId="0" borderId="0" xfId="3" applyNumberFormat="1" applyFont="1"/>
    <xf numFmtId="166" fontId="6" fillId="0" borderId="3" xfId="3" applyNumberFormat="1" applyFont="1" applyBorder="1"/>
    <xf numFmtId="0" fontId="7" fillId="0" borderId="2" xfId="4" applyAlignment="1">
      <alignment horizontal="left"/>
    </xf>
    <xf numFmtId="165" fontId="5" fillId="0" borderId="0" xfId="0" applyNumberFormat="1" applyFont="1"/>
    <xf numFmtId="7" fontId="0" fillId="0" borderId="0" xfId="0" applyNumberFormat="1"/>
    <xf numFmtId="0" fontId="0" fillId="2" borderId="3" xfId="0" applyFill="1" applyBorder="1"/>
    <xf numFmtId="0" fontId="0" fillId="0" borderId="0" xfId="0" applyNumberFormat="1"/>
  </cellXfs>
  <cellStyles count="5">
    <cellStyle name="Standard" xfId="0" builtinId="0"/>
    <cellStyle name="Standard 2" xfId="2" xr:uid="{43E089AF-90D1-4C46-988C-0AAFE55BAA58}"/>
    <cellStyle name="Standard 4 3" xfId="3" xr:uid="{7148FC67-A682-434B-933D-9D4E31F5F8B2}"/>
    <cellStyle name="Überschrift 1" xfId="4" builtinId="16"/>
    <cellStyle name="Währung" xfId="1" builtinId="4"/>
  </cellStyles>
  <dxfs count="53">
    <dxf>
      <alignment horizontal="right"/>
    </dxf>
    <dxf>
      <alignment horizontal="right"/>
    </dxf>
    <dxf>
      <alignment horizontal="right"/>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5" formatCode="0.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164" formatCode="0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19" formatCode="dd/mm/yyyy"/>
    </dxf>
    <dxf>
      <font>
        <b val="0"/>
        <i val="0"/>
        <strike val="0"/>
        <condense val="0"/>
        <extend val="0"/>
        <outline val="0"/>
        <shadow val="0"/>
        <u val="none"/>
        <vertAlign val="baseline"/>
        <sz val="10"/>
        <color auto="1"/>
        <name val="Arial"/>
        <family val="2"/>
        <scheme val="none"/>
      </font>
    </dxf>
    <dxf>
      <border outline="0">
        <bottom style="thin">
          <color rgb="FF000000"/>
        </bottom>
      </border>
    </dxf>
    <dxf>
      <alignment horizontal="right"/>
    </dxf>
    <dxf>
      <alignment horizontal="right"/>
    </dxf>
    <dxf>
      <alignment horizontal="right"/>
    </dxf>
    <dxf>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166" formatCode="_-* #,##0.00\ [$€-407]_-;\-* #,##0.00\ [$€-407]_-;_-* &quot;-&quot;??\ [$€-407]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9" formatCode="dd/mm/yyyy"/>
    </dxf>
    <dxf>
      <font>
        <b val="0"/>
        <i val="0"/>
        <strike val="0"/>
        <condense val="0"/>
        <extend val="0"/>
        <outline val="0"/>
        <shadow val="0"/>
        <u val="none"/>
        <vertAlign val="baseline"/>
        <sz val="10"/>
        <color auto="1"/>
        <name val="Arial"/>
        <family val="2"/>
        <scheme val="none"/>
      </font>
    </dxf>
    <dxf>
      <border outline="0">
        <bottom style="thin">
          <color indexed="64"/>
        </bottom>
      </border>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5" formatCode="0.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164" formatCode="0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numFmt numFmtId="19" formatCode="dd/mm/yyyy"/>
    </dxf>
    <dxf>
      <font>
        <b val="0"/>
        <i val="0"/>
        <strike val="0"/>
        <condense val="0"/>
        <extend val="0"/>
        <outline val="0"/>
        <shadow val="0"/>
        <u val="none"/>
        <vertAlign val="baseline"/>
        <sz val="10"/>
        <color auto="1"/>
        <name val="Arial"/>
        <family val="2"/>
        <scheme val="none"/>
      </font>
    </dxf>
    <dxf>
      <border outline="0">
        <bottom style="thin">
          <color indexed="64"/>
        </bottom>
      </border>
    </dxf>
    <dxf>
      <font>
        <b val="0"/>
        <i val="0"/>
        <strike val="0"/>
        <condense val="0"/>
        <extend val="0"/>
        <outline val="0"/>
        <shadow val="0"/>
        <u val="none"/>
        <vertAlign val="baseline"/>
        <sz val="11"/>
        <color theme="1"/>
        <name val="Aptos Narrow"/>
        <family val="2"/>
        <scheme val="minor"/>
      </font>
    </dxf>
    <dxf>
      <numFmt numFmtId="19" formatCode="dd/mm/yyyy"/>
    </dxf>
    <dxf>
      <numFmt numFmtId="19" formatCode="dd/mm/yyyy"/>
    </dxf>
    <dxf>
      <numFmt numFmtId="19" formatCode="dd/mm/yyyy"/>
    </dxf>
  </dxfs>
  <tableStyles count="1" defaultTableStyle="TableStyleMedium2" defaultPivotStyle="PivotStyleLight16">
    <tableStyle name="Invisible" pivot="0" table="0" count="0" xr9:uid="{D502980C-F594-4209-A184-864AC3F192B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5.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drawings/drawing1.xml><?xml version="1.0" encoding="utf-8"?>
<xdr:wsDr xmlns:xdr="http://schemas.openxmlformats.org/drawingml/2006/spreadsheetDrawing" xmlns:a="http://schemas.openxmlformats.org/drawingml/2006/main">
  <xdr:twoCellAnchor editAs="oneCell">
    <xdr:from>
      <xdr:col>7</xdr:col>
      <xdr:colOff>581024</xdr:colOff>
      <xdr:row>0</xdr:row>
      <xdr:rowOff>28575</xdr:rowOff>
    </xdr:from>
    <xdr:to>
      <xdr:col>10</xdr:col>
      <xdr:colOff>657225</xdr:colOff>
      <xdr:row>22</xdr:row>
      <xdr:rowOff>95251</xdr:rowOff>
    </xdr:to>
    <mc:AlternateContent xmlns:mc="http://schemas.openxmlformats.org/markup-compatibility/2006" xmlns:a14="http://schemas.microsoft.com/office/drawing/2010/main">
      <mc:Choice Requires="a14">
        <xdr:graphicFrame macro="">
          <xdr:nvGraphicFramePr>
            <xdr:cNvPr id="2" name="Artikelname">
              <a:extLst>
                <a:ext uri="{FF2B5EF4-FFF2-40B4-BE49-F238E27FC236}">
                  <a16:creationId xmlns:a16="http://schemas.microsoft.com/office/drawing/2014/main" id="{2D4D9B19-846B-4867-C066-E793DCEEC0BF}"/>
                </a:ext>
              </a:extLst>
            </xdr:cNvPr>
            <xdr:cNvGraphicFramePr/>
          </xdr:nvGraphicFramePr>
          <xdr:xfrm>
            <a:off x="0" y="0"/>
            <a:ext cx="0" cy="0"/>
          </xdr:xfrm>
          <a:graphic>
            <a:graphicData uri="http://schemas.microsoft.com/office/drawing/2010/slicer">
              <sle:slicer xmlns:sle="http://schemas.microsoft.com/office/drawing/2010/slicer" name="Artikelname"/>
            </a:graphicData>
          </a:graphic>
        </xdr:graphicFrame>
      </mc:Choice>
      <mc:Fallback xmlns="">
        <xdr:sp macro="" textlink="">
          <xdr:nvSpPr>
            <xdr:cNvPr id="0" name=""/>
            <xdr:cNvSpPr>
              <a:spLocks noTextEdit="1"/>
            </xdr:cNvSpPr>
          </xdr:nvSpPr>
          <xdr:spPr>
            <a:xfrm>
              <a:off x="6667499" y="28575"/>
              <a:ext cx="2105026" cy="4381501"/>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5</xdr:col>
      <xdr:colOff>209550</xdr:colOff>
      <xdr:row>0</xdr:row>
      <xdr:rowOff>28575</xdr:rowOff>
    </xdr:from>
    <xdr:to>
      <xdr:col>7</xdr:col>
      <xdr:colOff>542925</xdr:colOff>
      <xdr:row>15</xdr:row>
      <xdr:rowOff>1</xdr:rowOff>
    </xdr:to>
    <mc:AlternateContent xmlns:mc="http://schemas.openxmlformats.org/markup-compatibility/2006" xmlns:a14="http://schemas.microsoft.com/office/drawing/2010/main">
      <mc:Choice Requires="a14">
        <xdr:graphicFrame macro="">
          <xdr:nvGraphicFramePr>
            <xdr:cNvPr id="3" name="Verkäufer">
              <a:extLst>
                <a:ext uri="{FF2B5EF4-FFF2-40B4-BE49-F238E27FC236}">
                  <a16:creationId xmlns:a16="http://schemas.microsoft.com/office/drawing/2014/main" id="{1530C390-96F8-94C8-7F68-3EBA5C93ECA1}"/>
                </a:ext>
              </a:extLst>
            </xdr:cNvPr>
            <xdr:cNvGraphicFramePr/>
          </xdr:nvGraphicFramePr>
          <xdr:xfrm>
            <a:off x="0" y="0"/>
            <a:ext cx="0" cy="0"/>
          </xdr:xfrm>
          <a:graphic>
            <a:graphicData uri="http://schemas.microsoft.com/office/drawing/2010/slicer">
              <sle:slicer xmlns:sle="http://schemas.microsoft.com/office/drawing/2010/slicer" name="Verkäufer"/>
            </a:graphicData>
          </a:graphic>
        </xdr:graphicFrame>
      </mc:Choice>
      <mc:Fallback xmlns="">
        <xdr:sp macro="" textlink="">
          <xdr:nvSpPr>
            <xdr:cNvPr id="0" name=""/>
            <xdr:cNvSpPr>
              <a:spLocks noTextEdit="1"/>
            </xdr:cNvSpPr>
          </xdr:nvSpPr>
          <xdr:spPr>
            <a:xfrm>
              <a:off x="4943475" y="28575"/>
              <a:ext cx="1685925" cy="2952751"/>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3</xdr:col>
      <xdr:colOff>438150</xdr:colOff>
      <xdr:row>0</xdr:row>
      <xdr:rowOff>28575</xdr:rowOff>
    </xdr:from>
    <xdr:to>
      <xdr:col>5</xdr:col>
      <xdr:colOff>180975</xdr:colOff>
      <xdr:row>6</xdr:row>
      <xdr:rowOff>47624</xdr:rowOff>
    </xdr:to>
    <mc:AlternateContent xmlns:mc="http://schemas.openxmlformats.org/markup-compatibility/2006" xmlns:a14="http://schemas.microsoft.com/office/drawing/2010/main">
      <mc:Choice Requires="a14">
        <xdr:graphicFrame macro="">
          <xdr:nvGraphicFramePr>
            <xdr:cNvPr id="4" name="Monate (Bestelldatum)">
              <a:extLst>
                <a:ext uri="{FF2B5EF4-FFF2-40B4-BE49-F238E27FC236}">
                  <a16:creationId xmlns:a16="http://schemas.microsoft.com/office/drawing/2014/main" id="{83E31303-8175-3DD7-2FF7-7B6618BA3F43}"/>
                </a:ext>
              </a:extLst>
            </xdr:cNvPr>
            <xdr:cNvGraphicFramePr/>
          </xdr:nvGraphicFramePr>
          <xdr:xfrm>
            <a:off x="0" y="0"/>
            <a:ext cx="0" cy="0"/>
          </xdr:xfrm>
          <a:graphic>
            <a:graphicData uri="http://schemas.microsoft.com/office/drawing/2010/slicer">
              <sle:slicer xmlns:sle="http://schemas.microsoft.com/office/drawing/2010/slicer" name="Monate (Bestelldatum)"/>
            </a:graphicData>
          </a:graphic>
        </xdr:graphicFrame>
      </mc:Choice>
      <mc:Fallback xmlns="">
        <xdr:sp macro="" textlink="">
          <xdr:nvSpPr>
            <xdr:cNvPr id="0" name=""/>
            <xdr:cNvSpPr>
              <a:spLocks noTextEdit="1"/>
            </xdr:cNvSpPr>
          </xdr:nvSpPr>
          <xdr:spPr>
            <a:xfrm>
              <a:off x="3648075" y="28575"/>
              <a:ext cx="1266825" cy="1238249"/>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684068</xdr:colOff>
      <xdr:row>197</xdr:row>
      <xdr:rowOff>129887</xdr:rowOff>
    </xdr:from>
    <xdr:to>
      <xdr:col>9</xdr:col>
      <xdr:colOff>303069</xdr:colOff>
      <xdr:row>202</xdr:row>
      <xdr:rowOff>77933</xdr:rowOff>
    </xdr:to>
    <xdr:sp macro="" textlink="">
      <xdr:nvSpPr>
        <xdr:cNvPr id="2" name="Textfeld 1">
          <a:extLst>
            <a:ext uri="{FF2B5EF4-FFF2-40B4-BE49-F238E27FC236}">
              <a16:creationId xmlns:a16="http://schemas.microsoft.com/office/drawing/2014/main" id="{77CEF001-4672-052A-745A-A93F653FB789}"/>
            </a:ext>
          </a:extLst>
        </xdr:cNvPr>
        <xdr:cNvSpPr txBox="1"/>
      </xdr:nvSpPr>
      <xdr:spPr>
        <a:xfrm>
          <a:off x="8459932" y="718705"/>
          <a:ext cx="389660" cy="337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400"/>
            <a:t>🥴</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95250</xdr:colOff>
      <xdr:row>0</xdr:row>
      <xdr:rowOff>19050</xdr:rowOff>
    </xdr:from>
    <xdr:to>
      <xdr:col>5</xdr:col>
      <xdr:colOff>400050</xdr:colOff>
      <xdr:row>13</xdr:row>
      <xdr:rowOff>66675</xdr:rowOff>
    </xdr:to>
    <mc:AlternateContent xmlns:mc="http://schemas.openxmlformats.org/markup-compatibility/2006" xmlns:a14="http://schemas.microsoft.com/office/drawing/2010/main">
      <mc:Choice Requires="a14">
        <xdr:graphicFrame macro="">
          <xdr:nvGraphicFramePr>
            <xdr:cNvPr id="2" name="Verkäufer 1">
              <a:extLst>
                <a:ext uri="{FF2B5EF4-FFF2-40B4-BE49-F238E27FC236}">
                  <a16:creationId xmlns:a16="http://schemas.microsoft.com/office/drawing/2014/main" id="{61FBB182-148F-EA81-1B06-3D03FBE4EDAA}"/>
                </a:ext>
              </a:extLst>
            </xdr:cNvPr>
            <xdr:cNvGraphicFramePr/>
          </xdr:nvGraphicFramePr>
          <xdr:xfrm>
            <a:off x="0" y="0"/>
            <a:ext cx="0" cy="0"/>
          </xdr:xfrm>
          <a:graphic>
            <a:graphicData uri="http://schemas.microsoft.com/office/drawing/2010/slicer">
              <sle:slicer xmlns:sle="http://schemas.microsoft.com/office/drawing/2010/slicer" name="Verkäufer 1"/>
            </a:graphicData>
          </a:graphic>
        </xdr:graphicFrame>
      </mc:Choice>
      <mc:Fallback xmlns="">
        <xdr:sp macro="" textlink="">
          <xdr:nvSpPr>
            <xdr:cNvPr id="0" name=""/>
            <xdr:cNvSpPr>
              <a:spLocks noTextEdit="1"/>
            </xdr:cNvSpPr>
          </xdr:nvSpPr>
          <xdr:spPr>
            <a:xfrm>
              <a:off x="3114675" y="19050"/>
              <a:ext cx="1828800" cy="266700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5</xdr:col>
      <xdr:colOff>438150</xdr:colOff>
      <xdr:row>0</xdr:row>
      <xdr:rowOff>28575</xdr:rowOff>
    </xdr:from>
    <xdr:to>
      <xdr:col>7</xdr:col>
      <xdr:colOff>742950</xdr:colOff>
      <xdr:row>13</xdr:row>
      <xdr:rowOff>76200</xdr:rowOff>
    </xdr:to>
    <mc:AlternateContent xmlns:mc="http://schemas.openxmlformats.org/markup-compatibility/2006" xmlns:a14="http://schemas.microsoft.com/office/drawing/2010/main">
      <mc:Choice Requires="a14">
        <xdr:graphicFrame macro="">
          <xdr:nvGraphicFramePr>
            <xdr:cNvPr id="3" name="Artikelname 1">
              <a:extLst>
                <a:ext uri="{FF2B5EF4-FFF2-40B4-BE49-F238E27FC236}">
                  <a16:creationId xmlns:a16="http://schemas.microsoft.com/office/drawing/2014/main" id="{4631B120-FE5E-6EC8-7B08-99C15CE63689}"/>
                </a:ext>
              </a:extLst>
            </xdr:cNvPr>
            <xdr:cNvGraphicFramePr/>
          </xdr:nvGraphicFramePr>
          <xdr:xfrm>
            <a:off x="0" y="0"/>
            <a:ext cx="0" cy="0"/>
          </xdr:xfrm>
          <a:graphic>
            <a:graphicData uri="http://schemas.microsoft.com/office/drawing/2010/slicer">
              <sle:slicer xmlns:sle="http://schemas.microsoft.com/office/drawing/2010/slicer" name="Artikelname 1"/>
            </a:graphicData>
          </a:graphic>
        </xdr:graphicFrame>
      </mc:Choice>
      <mc:Fallback xmlns="">
        <xdr:sp macro="" textlink="">
          <xdr:nvSpPr>
            <xdr:cNvPr id="0" name=""/>
            <xdr:cNvSpPr>
              <a:spLocks noTextEdit="1"/>
            </xdr:cNvSpPr>
          </xdr:nvSpPr>
          <xdr:spPr>
            <a:xfrm>
              <a:off x="4981575" y="28575"/>
              <a:ext cx="1828800" cy="266700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ike Hofert" refreshedDate="45702.730670023149" createdVersion="8" refreshedVersion="8" minRefreshableVersion="3" recordCount="200" xr:uid="{C3C6421E-6432-4411-BF91-EFB73532BF55}">
  <cacheSource type="worksheet">
    <worksheetSource name="tbl_TabFehler"/>
  </cacheSource>
  <cacheFields count="9">
    <cacheField name="Bestelldatum" numFmtId="14">
      <sharedItems containsSemiMixedTypes="0" containsNonDate="0" containsDate="1" containsString="0" minDate="2024-06-13T00:00:00" maxDate="2024-10-19T00:00:00" count="69">
        <d v="2024-06-13T00:00:00"/>
        <d v="2024-06-14T00:00:00"/>
        <d v="2024-06-17T00:00:00"/>
        <d v="2024-06-18T00:00:00"/>
        <d v="2024-06-19T00:00:00"/>
        <d v="2024-06-20T00:00:00"/>
        <d v="2024-06-21T00:00:00"/>
        <d v="2024-06-24T00:00:00"/>
        <d v="2024-06-25T00:00:00"/>
        <d v="2024-06-26T00:00:00"/>
        <d v="2024-06-27T00:00:00"/>
        <d v="2024-06-28T00:00:00"/>
        <d v="2024-07-01T00:00:00"/>
        <d v="2024-07-02T00:00:00"/>
        <d v="2024-07-03T00:00:00"/>
        <d v="2024-07-04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2T00:00:00"/>
        <d v="2024-09-03T00:00:00"/>
        <d v="2024-09-04T00:00:00"/>
        <d v="2024-09-05T00:00:00"/>
        <d v="2024-09-06T00:00:00"/>
        <d v="2024-09-09T00:00:00"/>
        <d v="2024-09-10T00:00:00"/>
        <d v="2024-09-11T00:00:00"/>
        <d v="2024-09-12T00:00:00"/>
        <d v="2024-09-13T00:00:00"/>
        <d v="2024-09-16T00:00:00"/>
        <d v="2024-10-18T00:00:00"/>
      </sharedItems>
      <fieldGroup par="7"/>
    </cacheField>
    <cacheField name="Artikel_Nr" numFmtId="164">
      <sharedItems/>
    </cacheField>
    <cacheField name="Artikelname" numFmtId="0">
      <sharedItems count="15">
        <s v="Ravioli Angelo"/>
        <s v="Mozzarella di Giovanni"/>
        <s v="Scottish Longbreads"/>
        <s v="schwarze Trüffel"/>
        <s v="Irish Coffee"/>
        <s v="Camembert Pierrot"/>
        <s v="Chocolade surprise"/>
        <s v="Rotwein Vino Rouge"/>
        <s v="Pâté chinois"/>
        <s v="Tarte au sucre"/>
        <s v="Kopi Luwak "/>
        <s v="Tourtière"/>
        <s v="Röd Kaviar"/>
        <s v="Zaanse koeken"/>
        <s v="Champagne Gout de Diamant Brut"/>
      </sharedItems>
    </cacheField>
    <cacheField name="Umsatz" numFmtId="166">
      <sharedItems containsSemiMixedTypes="0" containsString="0" containsNumber="1" minValue="3.65" maxValue="1500000"/>
    </cacheField>
    <cacheField name="VK_Menge" numFmtId="0">
      <sharedItems containsSemiMixedTypes="0" containsString="0" containsNumber="1" containsInteger="1" minValue="1" maxValue="100"/>
    </cacheField>
    <cacheField name="Verkäufer" numFmtId="0">
      <sharedItems count="9">
        <s v="Becker, Manfred"/>
        <s v="Suyama, Michael"/>
        <s v="Hofer, Andreas"/>
        <s v="Weber, Clara"/>
        <s v="Heinrich, Petra"/>
        <s v="Grosser, Sabine"/>
        <s v="Callas, Sarah"/>
        <s v="Fuller Andrew"/>
        <s v="Krämer, Robert"/>
      </sharedItems>
    </cacheField>
    <cacheField name="Tage (Bestelldatum)" numFmtId="0" databaseField="0">
      <fieldGroup base="0">
        <rangePr groupBy="days" startDate="2024-06-13T00:00:00" endDate="2024-10-19T00:00:00"/>
        <groupItems count="368">
          <s v="&lt;13.06.2024"/>
          <s v="01. Jan"/>
          <s v="02. Jan"/>
          <s v="03. Jan"/>
          <s v="04. Jan"/>
          <s v="05. Jan"/>
          <s v="06. Jan"/>
          <s v="07. Jan"/>
          <s v="08. Jan"/>
          <s v="09. Jan"/>
          <s v="10. Jan"/>
          <s v="11. Jan"/>
          <s v="12. Jan"/>
          <s v="13. Jan"/>
          <s v="14. Jan"/>
          <s v="15. Jan"/>
          <s v="16. Jan"/>
          <s v="17. Jan"/>
          <s v="18. Jan"/>
          <s v="19. Jan"/>
          <s v="20. Jan"/>
          <s v="21. Jan"/>
          <s v="22. Jan"/>
          <s v="23. Jan"/>
          <s v="24. Jan"/>
          <s v="25. Jan"/>
          <s v="26. Jan"/>
          <s v="27. Jan"/>
          <s v="28. Jan"/>
          <s v="29. Jan"/>
          <s v="30. Jan"/>
          <s v="31. Jan"/>
          <s v="01. Feb"/>
          <s v="02. Feb"/>
          <s v="03. Feb"/>
          <s v="04. Feb"/>
          <s v="05. Feb"/>
          <s v="06. Feb"/>
          <s v="07. Feb"/>
          <s v="08. Feb"/>
          <s v="09. Feb"/>
          <s v="10. Feb"/>
          <s v="11. Feb"/>
          <s v="12. Feb"/>
          <s v="13. Feb"/>
          <s v="14. Feb"/>
          <s v="15. Feb"/>
          <s v="16. Feb"/>
          <s v="17. Feb"/>
          <s v="18. Feb"/>
          <s v="19. Feb"/>
          <s v="20. Feb"/>
          <s v="21. Feb"/>
          <s v="22. Feb"/>
          <s v="23. Feb"/>
          <s v="24. Feb"/>
          <s v="25. Feb"/>
          <s v="26. Feb"/>
          <s v="27. Feb"/>
          <s v="28. Feb"/>
          <s v="29. Feb"/>
          <s v="01. Mrz"/>
          <s v="02. Mrz"/>
          <s v="03. Mrz"/>
          <s v="04. Mrz"/>
          <s v="05. Mrz"/>
          <s v="06. Mrz"/>
          <s v="07. Mrz"/>
          <s v="08. Mrz"/>
          <s v="09. Mrz"/>
          <s v="10. Mrz"/>
          <s v="11. Mrz"/>
          <s v="12. Mrz"/>
          <s v="13. Mrz"/>
          <s v="14. Mrz"/>
          <s v="15. Mrz"/>
          <s v="16. Mrz"/>
          <s v="17. Mrz"/>
          <s v="18. Mrz"/>
          <s v="19. Mrz"/>
          <s v="20. Mrz"/>
          <s v="21. Mrz"/>
          <s v="22. Mrz"/>
          <s v="23. Mrz"/>
          <s v="24. Mrz"/>
          <s v="25. Mrz"/>
          <s v="26. Mrz"/>
          <s v="27. Mrz"/>
          <s v="28. Mrz"/>
          <s v="29. Mrz"/>
          <s v="30. Mrz"/>
          <s v="31. Mrz"/>
          <s v="01. Apr"/>
          <s v="02. Apr"/>
          <s v="03. Apr"/>
          <s v="04. Apr"/>
          <s v="05. Apr"/>
          <s v="06. Apr"/>
          <s v="07. Apr"/>
          <s v="08. Apr"/>
          <s v="09. Apr"/>
          <s v="10. Apr"/>
          <s v="11. Apr"/>
          <s v="12. Apr"/>
          <s v="13. Apr"/>
          <s v="14. Apr"/>
          <s v="15. Apr"/>
          <s v="16. Apr"/>
          <s v="17. Apr"/>
          <s v="18. Apr"/>
          <s v="19. Apr"/>
          <s v="20. Apr"/>
          <s v="21. Apr"/>
          <s v="22. Apr"/>
          <s v="23. Apr"/>
          <s v="24. Apr"/>
          <s v="25. Apr"/>
          <s v="26. Apr"/>
          <s v="27. Apr"/>
          <s v="28. Apr"/>
          <s v="29. Apr"/>
          <s v="30. Apr"/>
          <s v="01. Mai"/>
          <s v="02. Mai"/>
          <s v="03. Mai"/>
          <s v="04. Mai"/>
          <s v="05. Mai"/>
          <s v="06. Mai"/>
          <s v="07. Mai"/>
          <s v="08. Mai"/>
          <s v="09. Mai"/>
          <s v="10. Mai"/>
          <s v="11. Mai"/>
          <s v="12. Mai"/>
          <s v="13. Mai"/>
          <s v="14. Mai"/>
          <s v="15. Mai"/>
          <s v="16. Mai"/>
          <s v="17. Mai"/>
          <s v="18. Mai"/>
          <s v="19. Mai"/>
          <s v="20. Mai"/>
          <s v="21. Mai"/>
          <s v="22. Mai"/>
          <s v="23. Mai"/>
          <s v="24. Mai"/>
          <s v="25. Mai"/>
          <s v="26. Mai"/>
          <s v="27. Mai"/>
          <s v="28. Mai"/>
          <s v="29. Mai"/>
          <s v="30. Mai"/>
          <s v="31. Mai"/>
          <s v="01. Jun"/>
          <s v="02. Jun"/>
          <s v="03. Jun"/>
          <s v="04. Jun"/>
          <s v="05. Jun"/>
          <s v="06. Jun"/>
          <s v="07. Jun"/>
          <s v="08. Jun"/>
          <s v="09. Jun"/>
          <s v="10. Jun"/>
          <s v="11. Jun"/>
          <s v="12. Jun"/>
          <s v="13. Jun"/>
          <s v="14. Jun"/>
          <s v="15. Jun"/>
          <s v="16. Jun"/>
          <s v="17. Jun"/>
          <s v="18. Jun"/>
          <s v="19. Jun"/>
          <s v="20. Jun"/>
          <s v="21. Jun"/>
          <s v="22. Jun"/>
          <s v="23. Jun"/>
          <s v="24. Jun"/>
          <s v="25. Jun"/>
          <s v="26. Jun"/>
          <s v="27. Jun"/>
          <s v="28. Jun"/>
          <s v="29. Jun"/>
          <s v="30. Jun"/>
          <s v="01. Jul"/>
          <s v="02. Jul"/>
          <s v="03. Jul"/>
          <s v="04. Jul"/>
          <s v="05. Jul"/>
          <s v="06. Jul"/>
          <s v="07. Jul"/>
          <s v="08. Jul"/>
          <s v="09. Jul"/>
          <s v="10. Jul"/>
          <s v="11. Jul"/>
          <s v="12. Jul"/>
          <s v="13. Jul"/>
          <s v="14. Jul"/>
          <s v="15. Jul"/>
          <s v="16. Jul"/>
          <s v="17. Jul"/>
          <s v="18. Jul"/>
          <s v="19. Jul"/>
          <s v="20. Jul"/>
          <s v="21. Jul"/>
          <s v="22. Jul"/>
          <s v="23. Jul"/>
          <s v="24. Jul"/>
          <s v="25. Jul"/>
          <s v="26. Jul"/>
          <s v="27. Jul"/>
          <s v="28. Jul"/>
          <s v="29. Jul"/>
          <s v="30. Jul"/>
          <s v="31. Jul"/>
          <s v="01. Aug"/>
          <s v="02. Aug"/>
          <s v="03. Aug"/>
          <s v="04. Aug"/>
          <s v="05. Aug"/>
          <s v="06. Aug"/>
          <s v="07. Aug"/>
          <s v="08. Aug"/>
          <s v="09. Aug"/>
          <s v="10. Aug"/>
          <s v="11. Aug"/>
          <s v="12. Aug"/>
          <s v="13. Aug"/>
          <s v="14. Aug"/>
          <s v="15. Aug"/>
          <s v="16. Aug"/>
          <s v="17. Aug"/>
          <s v="18. Aug"/>
          <s v="19. Aug"/>
          <s v="20. Aug"/>
          <s v="21. Aug"/>
          <s v="22. Aug"/>
          <s v="23. Aug"/>
          <s v="24. Aug"/>
          <s v="25. Aug"/>
          <s v="26. Aug"/>
          <s v="27. Aug"/>
          <s v="28. Aug"/>
          <s v="29. Aug"/>
          <s v="30. Aug"/>
          <s v="31. Aug"/>
          <s v="01. Sep"/>
          <s v="02. Sep"/>
          <s v="03. Sep"/>
          <s v="04. Sep"/>
          <s v="05. Sep"/>
          <s v="06. Sep"/>
          <s v="07. Sep"/>
          <s v="08. Sep"/>
          <s v="09. Sep"/>
          <s v="10. Sep"/>
          <s v="11. Sep"/>
          <s v="12. Sep"/>
          <s v="13. Sep"/>
          <s v="14. Sep"/>
          <s v="15. Sep"/>
          <s v="16. Sep"/>
          <s v="17. Sep"/>
          <s v="18. Sep"/>
          <s v="19. Sep"/>
          <s v="20. Sep"/>
          <s v="21. Sep"/>
          <s v="22. Sep"/>
          <s v="23. Sep"/>
          <s v="24. Sep"/>
          <s v="25. Sep"/>
          <s v="26. Sep"/>
          <s v="27. Sep"/>
          <s v="28. Sep"/>
          <s v="29. Sep"/>
          <s v="30. Sep"/>
          <s v="01. Okt"/>
          <s v="02. Okt"/>
          <s v="03. Okt"/>
          <s v="04. Okt"/>
          <s v="05. Okt"/>
          <s v="06. Okt"/>
          <s v="07. Okt"/>
          <s v="08. Okt"/>
          <s v="09. Okt"/>
          <s v="10. Okt"/>
          <s v="11. Okt"/>
          <s v="12. Okt"/>
          <s v="13. Okt"/>
          <s v="14. Okt"/>
          <s v="15. Okt"/>
          <s v="16. Okt"/>
          <s v="17. Okt"/>
          <s v="18. Okt"/>
          <s v="19. Okt"/>
          <s v="20. Okt"/>
          <s v="21. Okt"/>
          <s v="22. Okt"/>
          <s v="23. Okt"/>
          <s v="24. Okt"/>
          <s v="25. Okt"/>
          <s v="26. Okt"/>
          <s v="27. Okt"/>
          <s v="28. Okt"/>
          <s v="29. Okt"/>
          <s v="30. Okt"/>
          <s v="31. Okt"/>
          <s v="01. Nov"/>
          <s v="02. Nov"/>
          <s v="03. Nov"/>
          <s v="04. Nov"/>
          <s v="05. Nov"/>
          <s v="06. Nov"/>
          <s v="07. Nov"/>
          <s v="08. Nov"/>
          <s v="09. Nov"/>
          <s v="10. Nov"/>
          <s v="11. Nov"/>
          <s v="12. Nov"/>
          <s v="13. Nov"/>
          <s v="14. Nov"/>
          <s v="15. Nov"/>
          <s v="16. Nov"/>
          <s v="17. Nov"/>
          <s v="18. Nov"/>
          <s v="19. Nov"/>
          <s v="20. Nov"/>
          <s v="21. Nov"/>
          <s v="22. Nov"/>
          <s v="23. Nov"/>
          <s v="24. Nov"/>
          <s v="25. Nov"/>
          <s v="26. Nov"/>
          <s v="27. Nov"/>
          <s v="28. Nov"/>
          <s v="29. Nov"/>
          <s v="30. Nov"/>
          <s v="01. Dez"/>
          <s v="02. Dez"/>
          <s v="03. Dez"/>
          <s v="04. Dez"/>
          <s v="05. Dez"/>
          <s v="06. Dez"/>
          <s v="07. Dez"/>
          <s v="08. Dez"/>
          <s v="09. Dez"/>
          <s v="10. Dez"/>
          <s v="11. Dez"/>
          <s v="12. Dez"/>
          <s v="13. Dez"/>
          <s v="14. Dez"/>
          <s v="15. Dez"/>
          <s v="16. Dez"/>
          <s v="17. Dez"/>
          <s v="18. Dez"/>
          <s v="19. Dez"/>
          <s v="20. Dez"/>
          <s v="21. Dez"/>
          <s v="22. Dez"/>
          <s v="23. Dez"/>
          <s v="24. Dez"/>
          <s v="25. Dez"/>
          <s v="26. Dez"/>
          <s v="27. Dez"/>
          <s v="28. Dez"/>
          <s v="29. Dez"/>
          <s v="30. Dez"/>
          <s v="31. Dez"/>
          <s v="&gt;19.10.2024"/>
        </groupItems>
      </fieldGroup>
    </cacheField>
    <cacheField name="Monate (Bestelldatum)" numFmtId="0" databaseField="0">
      <fieldGroup base="0">
        <rangePr groupBy="months" startDate="2024-06-13T00:00:00" endDate="2024-10-19T00:00:00"/>
        <groupItems count="14">
          <s v="&lt;13.06.2024"/>
          <s v="Jan"/>
          <s v="Feb"/>
          <s v="Mrz"/>
          <s v="Apr"/>
          <s v="Mai"/>
          <s v="Jun"/>
          <s v="Jul"/>
          <s v="Aug"/>
          <s v="Sep"/>
          <s v="Okt"/>
          <s v="Nov"/>
          <s v="Dez"/>
          <s v="&gt;19.10.2024"/>
        </groupItems>
      </fieldGroup>
    </cacheField>
    <cacheField name="Gesamtumsatz" numFmtId="0" formula="VK_Menge*Umsatz" databaseField="0"/>
  </cacheFields>
  <extLst>
    <ext xmlns:x14="http://schemas.microsoft.com/office/spreadsheetml/2009/9/main" uri="{725AE2AE-9491-48be-B2B4-4EB974FC3084}">
      <x14:pivotCacheDefinition pivotCacheId="21096110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ike Hofert" refreshedDate="45705.78453946759" createdVersion="8" refreshedVersion="8" minRefreshableVersion="3" recordCount="0" supportSubquery="1" supportAdvancedDrill="1" xr:uid="{F38EEEF6-6E4A-4B80-88ED-A0C89384D8CA}">
  <cacheSource type="external" connectionId="1"/>
  <cacheFields count="5">
    <cacheField name="[tbl_PowerPivot].[Bestelldatum (Monat)].[Bestelldatum (Monat)]" caption="Bestelldatum (Monat)" numFmtId="0" hierarchy="7" level="1">
      <sharedItems count="2">
        <s v="Jun"/>
        <s v="Sep"/>
      </sharedItems>
    </cacheField>
    <cacheField name="[tbl_PowerPivot].[Verkäufer].[Verkäufer]" caption="Verkäufer" numFmtId="0" hierarchy="5" level="1">
      <sharedItems count="1">
        <s v="Hofer, Andreas"/>
      </sharedItems>
    </cacheField>
    <cacheField name="[tbl_PowerPivot].[Artikelname].[Artikelname]" caption="Artikelname" numFmtId="0" hierarchy="2" level="1">
      <sharedItems count="1">
        <s v="Chocolade surprise"/>
      </sharedItems>
    </cacheField>
    <cacheField name="[Measures].[Summe von VK_Menge]" caption="Summe von VK_Menge" numFmtId="0" hierarchy="12" level="32767"/>
    <cacheField name="[Measures].[Ges_Umsatz]" caption="Ges_Umsatz" numFmtId="0" hierarchy="9" level="32767"/>
  </cacheFields>
  <cacheHierarchies count="13">
    <cacheHierarchy uniqueName="[tbl_PowerPivot].[Bestelldatum]" caption="Bestelldatum" attribute="1" time="1" defaultMemberUniqueName="[tbl_PowerPivot].[Bestelldatum].[All]" allUniqueName="[tbl_PowerPivot].[Bestelldatum].[All]" dimensionUniqueName="[tbl_PowerPivot]" displayFolder="" count="2" memberValueDatatype="7" unbalanced="0"/>
    <cacheHierarchy uniqueName="[tbl_PowerPivot].[Artikel_Nr]" caption="Artikel_Nr" attribute="1" defaultMemberUniqueName="[tbl_PowerPivot].[Artikel_Nr].[All]" allUniqueName="[tbl_PowerPivot].[Artikel_Nr].[All]" dimensionUniqueName="[tbl_PowerPivot]" displayFolder="" count="2" memberValueDatatype="130" unbalanced="0"/>
    <cacheHierarchy uniqueName="[tbl_PowerPivot].[Artikelname]" caption="Artikelname" attribute="1" defaultMemberUniqueName="[tbl_PowerPivot].[Artikelname].[All]" allUniqueName="[tbl_PowerPivot].[Artikelname].[All]" dimensionUniqueName="[tbl_PowerPivot]" displayFolder="" count="2" memberValueDatatype="130" unbalanced="0">
      <fieldsUsage count="2">
        <fieldUsage x="-1"/>
        <fieldUsage x="2"/>
      </fieldsUsage>
    </cacheHierarchy>
    <cacheHierarchy uniqueName="[tbl_PowerPivot].[EP]" caption="EP" attribute="1" defaultMemberUniqueName="[tbl_PowerPivot].[EP].[All]" allUniqueName="[tbl_PowerPivot].[EP].[All]" dimensionUniqueName="[tbl_PowerPivot]" displayFolder="" count="2" memberValueDatatype="5" unbalanced="0"/>
    <cacheHierarchy uniqueName="[tbl_PowerPivot].[VK_Menge]" caption="VK_Menge" attribute="1" defaultMemberUniqueName="[tbl_PowerPivot].[VK_Menge].[All]" allUniqueName="[tbl_PowerPivot].[VK_Menge].[All]" dimensionUniqueName="[tbl_PowerPivot]" displayFolder="" count="2" memberValueDatatype="20" unbalanced="0"/>
    <cacheHierarchy uniqueName="[tbl_PowerPivot].[Verkäufer]" caption="Verkäufer" attribute="1" defaultMemberUniqueName="[tbl_PowerPivot].[Verkäufer].[All]" allUniqueName="[tbl_PowerPivot].[Verkäufer].[All]" dimensionUniqueName="[tbl_PowerPivot]" displayFolder="" count="2" memberValueDatatype="130" unbalanced="0">
      <fieldsUsage count="2">
        <fieldUsage x="-1"/>
        <fieldUsage x="1"/>
      </fieldsUsage>
    </cacheHierarchy>
    <cacheHierarchy uniqueName="[tbl_PowerPivot].[RG_Umsatz]" caption="RG_Umsatz" attribute="1" defaultMemberUniqueName="[tbl_PowerPivot].[RG_Umsatz].[All]" allUniqueName="[tbl_PowerPivot].[RG_Umsatz].[All]" dimensionUniqueName="[tbl_PowerPivot]" displayFolder="" count="2" memberValueDatatype="5" unbalanced="0"/>
    <cacheHierarchy uniqueName="[tbl_PowerPivot].[Bestelldatum (Monat)]" caption="Bestelldatum (Monat)" attribute="1" defaultMemberUniqueName="[tbl_PowerPivot].[Bestelldatum (Monat)].[All]" allUniqueName="[tbl_PowerPivot].[Bestelldatum (Monat)].[All]" dimensionUniqueName="[tbl_PowerPivot]" displayFolder="" count="2" memberValueDatatype="130" unbalanced="0">
      <fieldsUsage count="2">
        <fieldUsage x="-1"/>
        <fieldUsage x="0"/>
      </fieldsUsage>
    </cacheHierarchy>
    <cacheHierarchy uniqueName="[tbl_PowerPivot].[Bestelldatum (Monatsindex)]" caption="Bestelldatum (Monatsindex)" attribute="1" defaultMemberUniqueName="[tbl_PowerPivot].[Bestelldatum (Monatsindex)].[All]" allUniqueName="[tbl_PowerPivot].[Bestelldatum (Monatsindex)].[All]" dimensionUniqueName="[tbl_PowerPivot]" displayFolder="" count="2" memberValueDatatype="20" unbalanced="0" hidden="1"/>
    <cacheHierarchy uniqueName="[Measures].[Ges_Umsatz]" caption="Ges_Umsatz" measure="1" displayFolder="" measureGroup="tbl_PowerPivot" count="0" oneField="1">
      <fieldsUsage count="1">
        <fieldUsage x="4"/>
      </fieldsUsage>
    </cacheHierarchy>
    <cacheHierarchy uniqueName="[Measures].[__XL_Count tbl_PowerPivot]" caption="__XL_Count tbl_PowerPivot" measure="1" displayFolder="" measureGroup="tbl_PowerPivot" count="0" hidden="1"/>
    <cacheHierarchy uniqueName="[Measures].[__Es sind keine Measures definiert]" caption="__Es sind keine Measures definiert" measure="1" displayFolder="" count="0" hidden="1"/>
    <cacheHierarchy uniqueName="[Measures].[Summe von VK_Menge]" caption="Summe von VK_Menge" measure="1" displayFolder="" measureGroup="tbl_PowerPivot"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bl_PowerPivot" uniqueName="[tbl_PowerPivot]" caption="tbl_PowerPivot"/>
  </dimensions>
  <measureGroups count="1">
    <measureGroup name="tbl_PowerPivot" caption="tbl_PowerPivo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ike Hofert" refreshedDate="45705.783851504631" createdVersion="3" refreshedVersion="8" minRefreshableVersion="3" recordCount="0" supportSubquery="1" supportAdvancedDrill="1" xr:uid="{7D548675-5085-4965-BAE1-4AA6FB5C9EA8}">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bl_PowerPivot].[Bestelldatum]" caption="Bestelldatum" attribute="1" time="1" defaultMemberUniqueName="[tbl_PowerPivot].[Bestelldatum].[All]" allUniqueName="[tbl_PowerPivot].[Bestelldatum].[All]" dimensionUniqueName="[tbl_PowerPivot]" displayFolder="" count="0" memberValueDatatype="7" unbalanced="0"/>
    <cacheHierarchy uniqueName="[tbl_PowerPivot].[Artikel_Nr]" caption="Artikel_Nr" attribute="1" defaultMemberUniqueName="[tbl_PowerPivot].[Artikel_Nr].[All]" allUniqueName="[tbl_PowerPivot].[Artikel_Nr].[All]" dimensionUniqueName="[tbl_PowerPivot]" displayFolder="" count="0" memberValueDatatype="130" unbalanced="0"/>
    <cacheHierarchy uniqueName="[tbl_PowerPivot].[Artikelname]" caption="Artikelname" attribute="1" defaultMemberUniqueName="[tbl_PowerPivot].[Artikelname].[All]" allUniqueName="[tbl_PowerPivot].[Artikelname].[All]" dimensionUniqueName="[tbl_PowerPivot]" displayFolder="" count="2" memberValueDatatype="130" unbalanced="0"/>
    <cacheHierarchy uniqueName="[tbl_PowerPivot].[EP]" caption="EP" attribute="1" defaultMemberUniqueName="[tbl_PowerPivot].[EP].[All]" allUniqueName="[tbl_PowerPivot].[EP].[All]" dimensionUniqueName="[tbl_PowerPivot]" displayFolder="" count="0" memberValueDatatype="5" unbalanced="0"/>
    <cacheHierarchy uniqueName="[tbl_PowerPivot].[VK_Menge]" caption="VK_Menge" attribute="1" defaultMemberUniqueName="[tbl_PowerPivot].[VK_Menge].[All]" allUniqueName="[tbl_PowerPivot].[VK_Menge].[All]" dimensionUniqueName="[tbl_PowerPivot]" displayFolder="" count="0" memberValueDatatype="20" unbalanced="0"/>
    <cacheHierarchy uniqueName="[tbl_PowerPivot].[Verkäufer]" caption="Verkäufer" attribute="1" defaultMemberUniqueName="[tbl_PowerPivot].[Verkäufer].[All]" allUniqueName="[tbl_PowerPivot].[Verkäufer].[All]" dimensionUniqueName="[tbl_PowerPivot]" displayFolder="" count="2" memberValueDatatype="130" unbalanced="0"/>
    <cacheHierarchy uniqueName="[tbl_PowerPivot].[RG_Umsatz]" caption="RG_Umsatz" attribute="1" defaultMemberUniqueName="[tbl_PowerPivot].[RG_Umsatz].[All]" allUniqueName="[tbl_PowerPivot].[RG_Umsatz].[All]" dimensionUniqueName="[tbl_PowerPivot]" displayFolder="" count="0" memberValueDatatype="5" unbalanced="0"/>
    <cacheHierarchy uniqueName="[tbl_PowerPivot].[Bestelldatum (Monat)]" caption="Bestelldatum (Monat)" attribute="1" defaultMemberUniqueName="[tbl_PowerPivot].[Bestelldatum (Monat)].[All]" allUniqueName="[tbl_PowerPivot].[Bestelldatum (Monat)].[All]" dimensionUniqueName="[tbl_PowerPivot]" displayFolder="" count="0" memberValueDatatype="130" unbalanced="0"/>
    <cacheHierarchy uniqueName="[tbl_PowerPivot].[Bestelldatum (Monatsindex)]" caption="Bestelldatum (Monatsindex)" attribute="1" defaultMemberUniqueName="[tbl_PowerPivot].[Bestelldatum (Monatsindex)].[All]" allUniqueName="[tbl_PowerPivot].[Bestelldatum (Monatsindex)].[All]" dimensionUniqueName="[tbl_PowerPivot]" displayFolder="" count="0" memberValueDatatype="20" unbalanced="0" hidden="1"/>
    <cacheHierarchy uniqueName="[Measures].[Ges_Umsatz]" caption="Ges_Umsatz" measure="1" displayFolder="" measureGroup="tbl_PowerPivot" count="0"/>
    <cacheHierarchy uniqueName="[Measures].[__XL_Count tbl_PowerPivot]" caption="__XL_Count tbl_PowerPivot" measure="1" displayFolder="" measureGroup="tbl_PowerPivot" count="0" hidden="1"/>
    <cacheHierarchy uniqueName="[Measures].[__Es sind keine Measures definiert]" caption="__Es sind keine Measures definiert" measure="1" displayFolder="" count="0" hidden="1"/>
    <cacheHierarchy uniqueName="[Measures].[Summe von VK_Menge]" caption="Summe von VK_Menge" measure="1" displayFolder="" measureGroup="tbl_PowerPivot"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56009648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s v="05-0055-60"/>
    <x v="0"/>
    <n v="84"/>
    <n v="12"/>
    <x v="0"/>
  </r>
  <r>
    <x v="0"/>
    <s v="05-0055-88"/>
    <x v="1"/>
    <n v="60.75"/>
    <n v="5"/>
    <x v="0"/>
  </r>
  <r>
    <x v="0"/>
    <s v="01-0015-60"/>
    <x v="2"/>
    <n v="49"/>
    <n v="10"/>
    <x v="0"/>
  </r>
  <r>
    <x v="1"/>
    <s v="05-0055-88"/>
    <x v="1"/>
    <n v="848"/>
    <n v="40"/>
    <x v="1"/>
  </r>
  <r>
    <x v="1"/>
    <s v="07-0041-10"/>
    <x v="3"/>
    <n v="83.7"/>
    <n v="9"/>
    <x v="1"/>
  </r>
  <r>
    <x v="1"/>
    <s v="07-0041-10"/>
    <x v="3"/>
    <n v="83.7"/>
    <n v="9"/>
    <x v="1"/>
  </r>
  <r>
    <x v="2"/>
    <s v="05-0055-88"/>
    <x v="1"/>
    <n v="742"/>
    <n v="35"/>
    <x v="2"/>
  </r>
  <r>
    <x v="2"/>
    <s v="05-0055-88"/>
    <x v="1"/>
    <n v="168"/>
    <n v="20"/>
    <x v="3"/>
  </r>
  <r>
    <x v="2"/>
    <s v="05-0055-88"/>
    <x v="1"/>
    <n v="126"/>
    <n v="15"/>
    <x v="2"/>
  </r>
  <r>
    <x v="2"/>
    <s v="05-0055-60"/>
    <x v="0"/>
    <n v="117"/>
    <n v="15"/>
    <x v="3"/>
  </r>
  <r>
    <x v="2"/>
    <s v="01-0015-44"/>
    <x v="4"/>
    <n v="50.4"/>
    <n v="6"/>
    <x v="3"/>
  </r>
  <r>
    <x v="2"/>
    <s v="01-0015-44"/>
    <x v="4"/>
    <n v="38.5"/>
    <n v="10"/>
    <x v="2"/>
  </r>
  <r>
    <x v="3"/>
    <s v="01-0015-60"/>
    <x v="2"/>
    <n v="1296"/>
    <n v="40"/>
    <x v="2"/>
  </r>
  <r>
    <x v="3"/>
    <s v="01-0042-88"/>
    <x v="5"/>
    <n v="544"/>
    <n v="40"/>
    <x v="2"/>
  </r>
  <r>
    <x v="3"/>
    <s v="04-0041-55"/>
    <x v="6"/>
    <n v="25"/>
    <n v="25"/>
    <x v="2"/>
  </r>
  <r>
    <x v="4"/>
    <s v="05-0055-88"/>
    <x v="1"/>
    <n v="320"/>
    <n v="40"/>
    <x v="3"/>
  </r>
  <r>
    <x v="4"/>
    <s v="01-0042-88"/>
    <x v="5"/>
    <n v="302.39999999999998"/>
    <n v="42"/>
    <x v="3"/>
  </r>
  <r>
    <x v="4"/>
    <s v="05-0055-33"/>
    <x v="7"/>
    <n v="100"/>
    <n v="20"/>
    <x v="3"/>
  </r>
  <r>
    <x v="5"/>
    <s v="03-0042-60"/>
    <x v="8"/>
    <n v="201.6"/>
    <n v="21"/>
    <x v="0"/>
  </r>
  <r>
    <x v="5"/>
    <s v="05-0055-88"/>
    <x v="1"/>
    <n v="84"/>
    <n v="21"/>
    <x v="0"/>
  </r>
  <r>
    <x v="5"/>
    <s v="05-0055-33"/>
    <x v="7"/>
    <n v="27"/>
    <n v="15"/>
    <x v="0"/>
  </r>
  <r>
    <x v="6"/>
    <s v="05-0055-60"/>
    <x v="0"/>
    <n v="660"/>
    <n v="30"/>
    <x v="4"/>
  </r>
  <r>
    <x v="6"/>
    <s v="05-0055-60"/>
    <x v="0"/>
    <n v="243.25"/>
    <n v="35"/>
    <x v="4"/>
  </r>
  <r>
    <x v="6"/>
    <s v="01-0015-44"/>
    <x v="4"/>
    <n v="190"/>
    <n v="25"/>
    <x v="4"/>
  </r>
  <r>
    <x v="6"/>
    <s v="01-0042-88"/>
    <x v="5"/>
    <n v="152"/>
    <n v="20"/>
    <x v="4"/>
  </r>
  <r>
    <x v="7"/>
    <s v="05-0055-60"/>
    <x v="0"/>
    <n v="196.5"/>
    <n v="15"/>
    <x v="3"/>
  </r>
  <r>
    <x v="7"/>
    <s v="03-0042-60"/>
    <x v="8"/>
    <n v="62.4"/>
    <n v="12"/>
    <x v="3"/>
  </r>
  <r>
    <x v="8"/>
    <s v="01-0015-60"/>
    <x v="2"/>
    <n v="438.75"/>
    <n v="25"/>
    <x v="2"/>
  </r>
  <r>
    <x v="8"/>
    <s v="03-0042-60"/>
    <x v="8"/>
    <n v="78"/>
    <n v="15"/>
    <x v="2"/>
  </r>
  <r>
    <x v="8"/>
    <s v="01-0042-88"/>
    <x v="5"/>
    <n v="43.2"/>
    <n v="6"/>
    <x v="2"/>
  </r>
  <r>
    <x v="9"/>
    <s v="01-0042-88"/>
    <x v="5"/>
    <n v="552.5"/>
    <n v="65"/>
    <x v="5"/>
  </r>
  <r>
    <x v="9"/>
    <s v="01-0042-88"/>
    <x v="5"/>
    <n v="380"/>
    <n v="50"/>
    <x v="5"/>
  </r>
  <r>
    <x v="9"/>
    <s v="05-0055-88"/>
    <x v="1"/>
    <n v="76.8"/>
    <n v="6"/>
    <x v="5"/>
  </r>
  <r>
    <x v="10"/>
    <s v="01-0015-60"/>
    <x v="2"/>
    <n v="40"/>
    <n v="10"/>
    <x v="2"/>
  </r>
  <r>
    <x v="10"/>
    <s v="05-0055-33"/>
    <x v="7"/>
    <n v="10.4"/>
    <n v="1"/>
    <x v="2"/>
  </r>
  <r>
    <x v="11"/>
    <s v="05-0055-60"/>
    <x v="0"/>
    <n v="390"/>
    <n v="50"/>
    <x v="2"/>
  </r>
  <r>
    <x v="11"/>
    <s v="06-0022-60"/>
    <x v="9"/>
    <n v="295.5"/>
    <n v="15"/>
    <x v="2"/>
  </r>
  <r>
    <x v="11"/>
    <s v="06-0022-60"/>
    <x v="9"/>
    <n v="144"/>
    <n v="20"/>
    <x v="2"/>
  </r>
  <r>
    <x v="11"/>
    <s v="03-0042-60"/>
    <x v="8"/>
    <n v="126"/>
    <n v="21"/>
    <x v="2"/>
  </r>
  <r>
    <x v="11"/>
    <s v="01-0015-60"/>
    <x v="2"/>
    <n v="80"/>
    <n v="20"/>
    <x v="2"/>
  </r>
  <r>
    <x v="11"/>
    <s v="01-0015-44"/>
    <x v="4"/>
    <n v="61.6"/>
    <n v="16"/>
    <x v="2"/>
  </r>
  <r>
    <x v="12"/>
    <s v="07-0010-10"/>
    <x v="10"/>
    <n v="180"/>
    <n v="15"/>
    <x v="6"/>
  </r>
  <r>
    <x v="12"/>
    <s v="01-0042-88"/>
    <x v="5"/>
    <n v="102"/>
    <n v="12"/>
    <x v="6"/>
  </r>
  <r>
    <x v="12"/>
    <s v="05-0055-33"/>
    <x v="7"/>
    <n v="30.4"/>
    <n v="2"/>
    <x v="6"/>
  </r>
  <r>
    <x v="13"/>
    <s v="03-0042-60"/>
    <x v="8"/>
    <n v="621"/>
    <n v="60"/>
    <x v="4"/>
  </r>
  <r>
    <x v="13"/>
    <s v="05-0055-60"/>
    <x v="0"/>
    <n v="417"/>
    <n v="60"/>
    <x v="4"/>
  </r>
  <r>
    <x v="13"/>
    <s v="05-0055-88"/>
    <x v="1"/>
    <n v="144"/>
    <n v="36"/>
    <x v="4"/>
  </r>
  <r>
    <x v="13"/>
    <s v="05-0055-33"/>
    <x v="7"/>
    <n v="50.4"/>
    <n v="28"/>
    <x v="4"/>
  </r>
  <r>
    <x v="14"/>
    <s v="01-0042-88"/>
    <x v="5"/>
    <n v="266"/>
    <n v="35"/>
    <x v="1"/>
  </r>
  <r>
    <x v="14"/>
    <s v="01-0015-44"/>
    <x v="4"/>
    <n v="96.25"/>
    <n v="25"/>
    <x v="1"/>
  </r>
  <r>
    <x v="15"/>
    <s v="01-0042-88"/>
    <x v="5"/>
    <n v="468"/>
    <n v="30"/>
    <x v="7"/>
  </r>
  <r>
    <x v="15"/>
    <s v="03-0042-60"/>
    <x v="8"/>
    <n v="120"/>
    <n v="20"/>
    <x v="7"/>
  </r>
  <r>
    <x v="16"/>
    <s v="05-0055-60"/>
    <x v="0"/>
    <n v="182.4"/>
    <n v="12"/>
    <x v="3"/>
  </r>
  <r>
    <x v="17"/>
    <s v="01-0042-88"/>
    <x v="5"/>
    <n v="367.5"/>
    <n v="50"/>
    <x v="2"/>
  </r>
  <r>
    <x v="17"/>
    <s v="05-0055-60"/>
    <x v="0"/>
    <n v="1540"/>
    <n v="70"/>
    <x v="2"/>
  </r>
  <r>
    <x v="17"/>
    <s v="01-0015-44"/>
    <x v="4"/>
    <n v="108"/>
    <n v="15"/>
    <x v="2"/>
  </r>
  <r>
    <x v="18"/>
    <s v="02-0042-10"/>
    <x v="11"/>
    <n v="495"/>
    <n v="10"/>
    <x v="6"/>
  </r>
  <r>
    <x v="18"/>
    <s v="05-0055-88"/>
    <x v="1"/>
    <n v="55.6"/>
    <n v="4"/>
    <x v="6"/>
  </r>
  <r>
    <x v="19"/>
    <s v="04-0041-55"/>
    <x v="6"/>
    <n v="60"/>
    <n v="60"/>
    <x v="0"/>
  </r>
  <r>
    <x v="19"/>
    <s v="05-0055-88"/>
    <x v="1"/>
    <n v="278"/>
    <n v="20"/>
    <x v="0"/>
  </r>
  <r>
    <x v="19"/>
    <s v="05-0055-88"/>
    <x v="1"/>
    <n v="278"/>
    <n v="20"/>
    <x v="0"/>
  </r>
  <r>
    <x v="20"/>
    <s v="01-0015-44"/>
    <x v="4"/>
    <n v="228"/>
    <n v="30"/>
    <x v="5"/>
  </r>
  <r>
    <x v="20"/>
    <s v="01-0015-44"/>
    <x v="4"/>
    <n v="460"/>
    <n v="25"/>
    <x v="5"/>
  </r>
  <r>
    <x v="20"/>
    <s v="01-0015-44"/>
    <x v="4"/>
    <n v="460"/>
    <n v="25"/>
    <x v="5"/>
  </r>
  <r>
    <x v="20"/>
    <s v="04-0041-55"/>
    <x v="6"/>
    <n v="24"/>
    <n v="24"/>
    <x v="1"/>
  </r>
  <r>
    <x v="21"/>
    <s v="05-0055-33"/>
    <x v="7"/>
    <n v="200"/>
    <n v="40"/>
    <x v="1"/>
  </r>
  <r>
    <x v="21"/>
    <s v="05-0055-88"/>
    <x v="1"/>
    <n v="333.6"/>
    <n v="24"/>
    <x v="1"/>
  </r>
  <r>
    <x v="21"/>
    <s v="01-0015-60"/>
    <x v="2"/>
    <n v="194.4"/>
    <n v="6"/>
    <x v="1"/>
  </r>
  <r>
    <x v="22"/>
    <s v="01-0042-88"/>
    <x v="5"/>
    <n v="441"/>
    <n v="60"/>
    <x v="3"/>
  </r>
  <r>
    <x v="22"/>
    <s v="01-0015-44"/>
    <x v="4"/>
    <n v="237.6"/>
    <n v="33"/>
    <x v="3"/>
  </r>
  <r>
    <x v="22"/>
    <s v="01-0015-44"/>
    <x v="4"/>
    <n v="297.60000000000002"/>
    <n v="24"/>
    <x v="3"/>
  </r>
  <r>
    <x v="22"/>
    <s v="05-0055-33"/>
    <x v="7"/>
    <n v="75"/>
    <n v="15"/>
    <x v="3"/>
  </r>
  <r>
    <x v="22"/>
    <s v="04-0041-55"/>
    <x v="6"/>
    <n v="20"/>
    <n v="20"/>
    <x v="3"/>
  </r>
  <r>
    <x v="23"/>
    <s v="04-0041-55"/>
    <x v="6"/>
    <n v="172"/>
    <n v="20"/>
    <x v="1"/>
  </r>
  <r>
    <x v="23"/>
    <s v="05-0055-88"/>
    <x v="1"/>
    <n v="97.3"/>
    <n v="7"/>
    <x v="1"/>
  </r>
  <r>
    <x v="24"/>
    <s v="05-0055-60"/>
    <x v="0"/>
    <n v="132"/>
    <n v="6"/>
    <x v="5"/>
  </r>
  <r>
    <x v="24"/>
    <s v="05-0055-33"/>
    <x v="7"/>
    <n v="21.6"/>
    <n v="12"/>
    <x v="5"/>
  </r>
  <r>
    <x v="25"/>
    <s v="01-0015-44"/>
    <x v="4"/>
    <n v="186"/>
    <n v="15"/>
    <x v="6"/>
  </r>
  <r>
    <x v="25"/>
    <s v="01-0015-44"/>
    <x v="4"/>
    <n v="24"/>
    <n v="10"/>
    <x v="6"/>
  </r>
  <r>
    <x v="26"/>
    <s v="01-0015-60"/>
    <x v="12"/>
    <n v="364"/>
    <n v="20"/>
    <x v="7"/>
  </r>
  <r>
    <x v="26"/>
    <s v="06-0022-60"/>
    <x v="9"/>
    <n v="236.4"/>
    <n v="12"/>
    <x v="7"/>
  </r>
  <r>
    <x v="27"/>
    <s v="05-0055-60"/>
    <x v="0"/>
    <n v="330"/>
    <n v="15"/>
    <x v="6"/>
  </r>
  <r>
    <x v="27"/>
    <s v="01-0015-60"/>
    <x v="12"/>
    <n v="150"/>
    <n v="25"/>
    <x v="6"/>
  </r>
  <r>
    <x v="27"/>
    <s v="04-0040-55"/>
    <x v="13"/>
    <n v="140.4"/>
    <n v="8"/>
    <x v="6"/>
  </r>
  <r>
    <x v="27"/>
    <s v="01-0015-44"/>
    <x v="4"/>
    <n v="124"/>
    <n v="16"/>
    <x v="6"/>
  </r>
  <r>
    <x v="28"/>
    <s v="01-0042-88"/>
    <x v="5"/>
    <n v="234"/>
    <n v="15"/>
    <x v="6"/>
  </r>
  <r>
    <x v="29"/>
    <s v="01-0015-60"/>
    <x v="12"/>
    <n v="93"/>
    <n v="30"/>
    <x v="7"/>
  </r>
  <r>
    <x v="29"/>
    <s v="03-0042-60"/>
    <x v="8"/>
    <n v="192"/>
    <n v="20"/>
    <x v="7"/>
  </r>
  <r>
    <x v="29"/>
    <s v="06-0022-60"/>
    <x v="9"/>
    <n v="28.8"/>
    <n v="4"/>
    <x v="2"/>
  </r>
  <r>
    <x v="29"/>
    <s v="05-0055-33"/>
    <x v="7"/>
    <n v="21.6"/>
    <n v="12"/>
    <x v="7"/>
  </r>
  <r>
    <x v="29"/>
    <s v="05-0055-33"/>
    <x v="7"/>
    <n v="10.8"/>
    <n v="6"/>
    <x v="2"/>
  </r>
  <r>
    <x v="29"/>
    <s v="06-0022-60"/>
    <x v="9"/>
    <n v="3.65"/>
    <n v="1"/>
    <x v="2"/>
  </r>
  <r>
    <x v="30"/>
    <s v="03-0042-60"/>
    <x v="8"/>
    <n v="62.1"/>
    <n v="6"/>
    <x v="2"/>
  </r>
  <r>
    <x v="30"/>
    <s v="05-0055-60"/>
    <x v="0"/>
    <n v="15.6"/>
    <n v="2"/>
    <x v="2"/>
  </r>
  <r>
    <x v="31"/>
    <s v="01-0042-88"/>
    <x v="5"/>
    <n v="476"/>
    <n v="35"/>
    <x v="3"/>
  </r>
  <r>
    <x v="31"/>
    <s v="04-0041-55"/>
    <x v="6"/>
    <n v="124"/>
    <n v="20"/>
    <x v="3"/>
  </r>
  <r>
    <x v="31"/>
    <s v="06-0022-60"/>
    <x v="9"/>
    <n v="65.7"/>
    <n v="18"/>
    <x v="3"/>
  </r>
  <r>
    <x v="31"/>
    <s v="05-0055-88"/>
    <x v="1"/>
    <n v="41.7"/>
    <n v="3"/>
    <x v="3"/>
  </r>
  <r>
    <x v="32"/>
    <s v="01-0042-88"/>
    <x v="5"/>
    <n v="272"/>
    <n v="20"/>
    <x v="2"/>
  </r>
  <r>
    <x v="32"/>
    <s v="01-0015-60"/>
    <x v="2"/>
    <n v="263.25"/>
    <n v="15"/>
    <x v="2"/>
  </r>
  <r>
    <x v="32"/>
    <s v="01-0015-44"/>
    <x v="4"/>
    <n v="162.75"/>
    <n v="21"/>
    <x v="2"/>
  </r>
  <r>
    <x v="32"/>
    <s v="01-0015-44"/>
    <x v="4"/>
    <n v="28"/>
    <n v="5"/>
    <x v="2"/>
  </r>
  <r>
    <x v="33"/>
    <s v="05-0055-60"/>
    <x v="0"/>
    <n v="471.6"/>
    <n v="36"/>
    <x v="5"/>
  </r>
  <r>
    <x v="33"/>
    <s v="01-0042-88"/>
    <x v="5"/>
    <n v="324"/>
    <n v="45"/>
    <x v="5"/>
  </r>
  <r>
    <x v="33"/>
    <s v="01-0042-88"/>
    <x v="5"/>
    <n v="294"/>
    <n v="40"/>
    <x v="5"/>
  </r>
  <r>
    <x v="34"/>
    <s v="06-0022-60"/>
    <x v="9"/>
    <n v="788"/>
    <n v="40"/>
    <x v="6"/>
  </r>
  <r>
    <x v="34"/>
    <s v="06-0022-60"/>
    <x v="9"/>
    <n v="720"/>
    <n v="100"/>
    <x v="6"/>
  </r>
  <r>
    <x v="35"/>
    <s v="05-0055-60"/>
    <x v="0"/>
    <n v="278"/>
    <n v="40"/>
    <x v="6"/>
  </r>
  <r>
    <x v="35"/>
    <s v="01-0015-60"/>
    <x v="12"/>
    <n v="112"/>
    <n v="20"/>
    <x v="6"/>
  </r>
  <r>
    <x v="35"/>
    <s v="06-0022-60"/>
    <x v="9"/>
    <n v="72"/>
    <n v="15"/>
    <x v="6"/>
  </r>
  <r>
    <x v="36"/>
    <s v="02-0042-10"/>
    <x v="11"/>
    <n v="29.5"/>
    <n v="10"/>
    <x v="2"/>
  </r>
  <r>
    <x v="36"/>
    <s v="01-0015-60"/>
    <x v="2"/>
    <n v="15"/>
    <n v="3"/>
    <x v="2"/>
  </r>
  <r>
    <x v="37"/>
    <s v="01-0042-88"/>
    <x v="5"/>
    <n v="120"/>
    <n v="30"/>
    <x v="8"/>
  </r>
  <r>
    <x v="37"/>
    <s v="04-0040-55"/>
    <x v="13"/>
    <n v="119.7"/>
    <n v="9"/>
    <x v="8"/>
  </r>
  <r>
    <x v="38"/>
    <s v="02-0042-10"/>
    <x v="11"/>
    <n v="742.5"/>
    <n v="15"/>
    <x v="6"/>
  </r>
  <r>
    <x v="38"/>
    <s v="01-0015-44"/>
    <x v="4"/>
    <n v="186"/>
    <n v="24"/>
    <x v="1"/>
  </r>
  <r>
    <x v="38"/>
    <s v="01-0042-88"/>
    <x v="5"/>
    <n v="170"/>
    <n v="20"/>
    <x v="6"/>
  </r>
  <r>
    <x v="38"/>
    <s v="05-0055-88"/>
    <x v="1"/>
    <n v="120"/>
    <n v="15"/>
    <x v="6"/>
  </r>
  <r>
    <x v="38"/>
    <s v="03-0042-60"/>
    <x v="8"/>
    <n v="52"/>
    <n v="10"/>
    <x v="6"/>
  </r>
  <r>
    <x v="38"/>
    <s v="01-0015-44"/>
    <x v="4"/>
    <n v="48"/>
    <n v="20"/>
    <x v="1"/>
  </r>
  <r>
    <x v="38"/>
    <s v="05-0055-88"/>
    <x v="1"/>
    <n v="42.4"/>
    <n v="2"/>
    <x v="1"/>
  </r>
  <r>
    <x v="39"/>
    <s v="01-0015-60"/>
    <x v="2"/>
    <n v="648"/>
    <n v="20"/>
    <x v="5"/>
  </r>
  <r>
    <x v="40"/>
    <s v="01-0042-88"/>
    <x v="5"/>
    <n v="300"/>
    <n v="12"/>
    <x v="5"/>
  </r>
  <r>
    <x v="40"/>
    <s v="04-0040-55"/>
    <x v="13"/>
    <n v="87.75"/>
    <n v="5"/>
    <x v="5"/>
  </r>
  <r>
    <x v="40"/>
    <s v="01-0015-60"/>
    <x v="12"/>
    <n v="18.600000000000001"/>
    <n v="6"/>
    <x v="5"/>
  </r>
  <r>
    <x v="40"/>
    <s v="05-0055-33"/>
    <x v="7"/>
    <n v="18"/>
    <n v="10"/>
    <x v="5"/>
  </r>
  <r>
    <x v="41"/>
    <s v="01-0042-88"/>
    <x v="5"/>
    <n v="285.60000000000002"/>
    <n v="21"/>
    <x v="2"/>
  </r>
  <r>
    <x v="41"/>
    <s v="01-0015-44"/>
    <x v="4"/>
    <n v="276"/>
    <n v="15"/>
    <x v="2"/>
  </r>
  <r>
    <x v="41"/>
    <s v="01-0042-88"/>
    <x v="5"/>
    <n v="234"/>
    <n v="15"/>
    <x v="2"/>
  </r>
  <r>
    <x v="41"/>
    <s v="01-0042-88"/>
    <x v="5"/>
    <n v="129.6"/>
    <n v="18"/>
    <x v="2"/>
  </r>
  <r>
    <x v="41"/>
    <s v="01-0015-60"/>
    <x v="12"/>
    <n v="18.600000000000001"/>
    <n v="6"/>
    <x v="2"/>
  </r>
  <r>
    <x v="42"/>
    <s v="05-0055-33"/>
    <x v="7"/>
    <n v="60.8"/>
    <n v="4"/>
    <x v="7"/>
  </r>
  <r>
    <x v="43"/>
    <s v="05-0055-60"/>
    <x v="0"/>
    <n v="208.5"/>
    <n v="30"/>
    <x v="1"/>
  </r>
  <r>
    <x v="43"/>
    <s v="01-0015-44"/>
    <x v="4"/>
    <n v="216"/>
    <n v="15"/>
    <x v="1"/>
  </r>
  <r>
    <x v="43"/>
    <s v="05-0055-60"/>
    <x v="0"/>
    <n v="100.8"/>
    <n v="12"/>
    <x v="1"/>
  </r>
  <r>
    <x v="44"/>
    <s v="01-0042-88"/>
    <x v="5"/>
    <n v="432"/>
    <n v="60"/>
    <x v="0"/>
  </r>
  <r>
    <x v="44"/>
    <s v="05-0055-88"/>
    <x v="1"/>
    <n v="278"/>
    <n v="20"/>
    <x v="0"/>
  </r>
  <r>
    <x v="45"/>
    <s v="05-0055-60"/>
    <x v="0"/>
    <n v="660"/>
    <n v="30"/>
    <x v="1"/>
  </r>
  <r>
    <x v="45"/>
    <s v="01-0015-44"/>
    <x v="4"/>
    <n v="304"/>
    <n v="40"/>
    <x v="1"/>
  </r>
  <r>
    <x v="45"/>
    <s v="01-0042-88"/>
    <x v="5"/>
    <n v="304"/>
    <n v="40"/>
    <x v="1"/>
  </r>
  <r>
    <x v="45"/>
    <s v="06-0022-60"/>
    <x v="9"/>
    <n v="295.5"/>
    <n v="15"/>
    <x v="1"/>
  </r>
  <r>
    <x v="46"/>
    <s v="03-0042-60"/>
    <x v="8"/>
    <n v="120"/>
    <n v="20"/>
    <x v="2"/>
  </r>
  <r>
    <x v="46"/>
    <s v="06-0022-60"/>
    <x v="9"/>
    <n v="54.75"/>
    <n v="15"/>
    <x v="2"/>
  </r>
  <r>
    <x v="47"/>
    <s v="05-0055-88"/>
    <x v="1"/>
    <n v="204"/>
    <n v="30"/>
    <x v="7"/>
  </r>
  <r>
    <x v="47"/>
    <s v="05-0055-33"/>
    <x v="7"/>
    <n v="304"/>
    <n v="20"/>
    <x v="6"/>
  </r>
  <r>
    <x v="47"/>
    <s v="01-0015-60"/>
    <x v="2"/>
    <n v="100"/>
    <n v="20"/>
    <x v="7"/>
  </r>
  <r>
    <x v="47"/>
    <s v="01-0042-88"/>
    <x v="5"/>
    <n v="73.5"/>
    <n v="10"/>
    <x v="6"/>
  </r>
  <r>
    <x v="48"/>
    <s v="01-0042-88"/>
    <x v="5"/>
    <n v="624"/>
    <n v="40"/>
    <x v="2"/>
  </r>
  <r>
    <x v="48"/>
    <s v="01-0015-60"/>
    <x v="12"/>
    <n v="509.6"/>
    <n v="28"/>
    <x v="2"/>
  </r>
  <r>
    <x v="48"/>
    <s v="01-0015-44"/>
    <x v="4"/>
    <n v="220.8"/>
    <n v="12"/>
    <x v="2"/>
  </r>
  <r>
    <x v="49"/>
    <s v="01-0042-88"/>
    <x v="5"/>
    <n v="294"/>
    <n v="40"/>
    <x v="8"/>
  </r>
  <r>
    <x v="49"/>
    <s v="05-0055-88"/>
    <x v="1"/>
    <n v="252"/>
    <n v="30"/>
    <x v="8"/>
  </r>
  <r>
    <x v="49"/>
    <s v="01-0015-60"/>
    <x v="2"/>
    <n v="75"/>
    <n v="15"/>
    <x v="8"/>
  </r>
  <r>
    <x v="50"/>
    <s v="05-0055-88"/>
    <x v="1"/>
    <n v="240"/>
    <n v="30"/>
    <x v="5"/>
  </r>
  <r>
    <x v="50"/>
    <s v="05-0055-60"/>
    <x v="0"/>
    <n v="220"/>
    <n v="10"/>
    <x v="5"/>
  </r>
  <r>
    <x v="50"/>
    <s v="04-0041-55"/>
    <x v="6"/>
    <n v="17.2"/>
    <n v="2"/>
    <x v="5"/>
  </r>
  <r>
    <x v="51"/>
    <s v="01-0042-88"/>
    <x v="5"/>
    <n v="216"/>
    <n v="30"/>
    <x v="6"/>
  </r>
  <r>
    <x v="51"/>
    <s v="02-0042-10"/>
    <x v="11"/>
    <n v="1237.5"/>
    <n v="25"/>
    <x v="6"/>
  </r>
  <r>
    <x v="51"/>
    <s v="01-0042-88"/>
    <x v="5"/>
    <n v="625"/>
    <n v="25"/>
    <x v="6"/>
  </r>
  <r>
    <x v="52"/>
    <s v="05-0055-60"/>
    <x v="0"/>
    <n v="131"/>
    <n v="10"/>
    <x v="5"/>
  </r>
  <r>
    <x v="52"/>
    <s v="03-0042-60"/>
    <x v="8"/>
    <n v="103.5"/>
    <n v="10"/>
    <x v="5"/>
  </r>
  <r>
    <x v="52"/>
    <s v="02-0042-10"/>
    <x v="11"/>
    <n v="14.75"/>
    <n v="5"/>
    <x v="5"/>
  </r>
  <r>
    <x v="53"/>
    <s v="06-0022-60"/>
    <x v="9"/>
    <n v="197"/>
    <n v="10"/>
    <x v="7"/>
  </r>
  <r>
    <x v="53"/>
    <s v="01-0015-60"/>
    <x v="2"/>
    <n v="15"/>
    <n v="3"/>
    <x v="7"/>
  </r>
  <r>
    <x v="54"/>
    <s v="03-0042-60"/>
    <x v="8"/>
    <n v="30"/>
    <n v="5"/>
    <x v="8"/>
  </r>
  <r>
    <x v="54"/>
    <s v="01-0015-44"/>
    <x v="4"/>
    <n v="14.4"/>
    <n v="1"/>
    <x v="8"/>
  </r>
  <r>
    <x v="55"/>
    <s v="05-0055-33"/>
    <x v="7"/>
    <n v="300"/>
    <n v="30"/>
    <x v="3"/>
  </r>
  <r>
    <x v="55"/>
    <s v="01-0015-44"/>
    <x v="4"/>
    <n v="368"/>
    <n v="20"/>
    <x v="3"/>
  </r>
  <r>
    <x v="55"/>
    <s v="01-0042-88"/>
    <x v="5"/>
    <n v="176"/>
    <n v="20"/>
    <x v="3"/>
  </r>
  <r>
    <x v="55"/>
    <s v="04-0041-55"/>
    <x v="6"/>
    <n v="25.8"/>
    <n v="3"/>
    <x v="3"/>
  </r>
  <r>
    <x v="55"/>
    <s v="01-0015-60"/>
    <x v="2"/>
    <n v="11.2"/>
    <n v="2"/>
    <x v="3"/>
  </r>
  <r>
    <x v="56"/>
    <s v="01-0015-44"/>
    <x v="4"/>
    <n v="100.8"/>
    <n v="7"/>
    <x v="5"/>
  </r>
  <r>
    <x v="56"/>
    <s v="06-0022-60"/>
    <x v="9"/>
    <n v="98.5"/>
    <n v="5"/>
    <x v="6"/>
  </r>
  <r>
    <x v="56"/>
    <s v="05-0055-60"/>
    <x v="0"/>
    <n v="69.5"/>
    <n v="10"/>
    <x v="6"/>
  </r>
  <r>
    <x v="56"/>
    <s v="01-0015-60"/>
    <x v="2"/>
    <n v="33.6"/>
    <n v="6"/>
    <x v="5"/>
  </r>
  <r>
    <x v="57"/>
    <s v="01-0015-44"/>
    <x v="4"/>
    <n v="441.6"/>
    <n v="24"/>
    <x v="7"/>
  </r>
  <r>
    <x v="57"/>
    <s v="05-0055-60"/>
    <x v="0"/>
    <n v="262"/>
    <n v="20"/>
    <x v="7"/>
  </r>
  <r>
    <x v="57"/>
    <s v="01-0015-60"/>
    <x v="12"/>
    <n v="72.8"/>
    <n v="4"/>
    <x v="7"/>
  </r>
  <r>
    <x v="57"/>
    <s v="01-0015-60"/>
    <x v="12"/>
    <n v="31"/>
    <n v="10"/>
    <x v="7"/>
  </r>
  <r>
    <x v="58"/>
    <s v="01-0015-44"/>
    <x v="4"/>
    <n v="91.2"/>
    <n v="12"/>
    <x v="7"/>
  </r>
  <r>
    <x v="59"/>
    <s v="05-0055-88"/>
    <x v="1"/>
    <n v="512"/>
    <n v="40"/>
    <x v="5"/>
  </r>
  <r>
    <x v="59"/>
    <s v="04-0041-55"/>
    <x v="6"/>
    <n v="159"/>
    <n v="30"/>
    <x v="5"/>
  </r>
  <r>
    <x v="59"/>
    <s v="06-0022-60"/>
    <x v="9"/>
    <n v="492.5"/>
    <n v="25"/>
    <x v="5"/>
  </r>
  <r>
    <x v="60"/>
    <s v="03-0042-60"/>
    <x v="8"/>
    <n v="180"/>
    <n v="30"/>
    <x v="2"/>
  </r>
  <r>
    <x v="60"/>
    <s v="01-0015-60"/>
    <x v="12"/>
    <n v="78.400000000000006"/>
    <n v="14"/>
    <x v="2"/>
  </r>
  <r>
    <x v="61"/>
    <s v="06-0022-60"/>
    <x v="9"/>
    <n v="1379"/>
    <n v="70"/>
    <x v="5"/>
  </r>
  <r>
    <x v="61"/>
    <s v="01-0015-44"/>
    <x v="4"/>
    <n v="38.5"/>
    <n v="10"/>
    <x v="5"/>
  </r>
  <r>
    <x v="62"/>
    <s v="01-0042-88"/>
    <x v="5"/>
    <n v="144"/>
    <n v="20"/>
    <x v="1"/>
  </r>
  <r>
    <x v="63"/>
    <s v="01-0015-44"/>
    <x v="4"/>
    <n v="77"/>
    <n v="20"/>
    <x v="6"/>
  </r>
  <r>
    <x v="63"/>
    <s v="01-0015-44"/>
    <x v="4"/>
    <n v="43.2"/>
    <n v="6"/>
    <x v="6"/>
  </r>
  <r>
    <x v="64"/>
    <s v="01-0015-44"/>
    <x v="4"/>
    <n v="216"/>
    <n v="30"/>
    <x v="8"/>
  </r>
  <r>
    <x v="64"/>
    <s v="01-0015-60"/>
    <x v="12"/>
    <n v="254.8"/>
    <n v="14"/>
    <x v="8"/>
  </r>
  <r>
    <x v="64"/>
    <s v="01-0042-88"/>
    <x v="5"/>
    <n v="124.8"/>
    <n v="8"/>
    <x v="8"/>
  </r>
  <r>
    <x v="65"/>
    <s v="04-0041-55"/>
    <x v="6"/>
    <n v="258"/>
    <n v="30"/>
    <x v="0"/>
  </r>
  <r>
    <x v="65"/>
    <s v="06-0022-60"/>
    <x v="9"/>
    <n v="72"/>
    <n v="10"/>
    <x v="3"/>
  </r>
  <r>
    <x v="66"/>
    <s v="04-0041-55"/>
    <x v="6"/>
    <n v="56"/>
    <n v="20"/>
    <x v="8"/>
  </r>
  <r>
    <x v="67"/>
    <s v="04-0041-55"/>
    <x v="6"/>
    <n v="31"/>
    <n v="5"/>
    <x v="2"/>
  </r>
  <r>
    <x v="67"/>
    <s v="01-0042-88"/>
    <x v="5"/>
    <n v="28.8"/>
    <n v="4"/>
    <x v="2"/>
  </r>
  <r>
    <x v="67"/>
    <s v="03-0042-60"/>
    <x v="8"/>
    <n v="22.4"/>
    <n v="4"/>
    <x v="2"/>
  </r>
  <r>
    <x v="68"/>
    <s v="05-0020-70"/>
    <x v="14"/>
    <n v="1500000"/>
    <n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2A8695-2249-4017-96D0-8D25C9EE82BD}" name="piv_VKGes" cacheId="0" applyNumberFormats="0" applyBorderFormats="0" applyFontFormats="0" applyPatternFormats="0" applyAlignmentFormats="0" applyWidthHeightFormats="1" dataCaption="Werte" updatedVersion="8" minRefreshableVersion="3" useAutoFormatting="1" rowGrandTotals="0" colGrandTotals="0" itemPrintTitles="1" createdVersion="8" indent="0" outline="1" outlineData="1" multipleFieldFilters="0">
  <location ref="A1:C5" firstHeaderRow="0" firstDataRow="1" firstDataCol="1"/>
  <pivotFields count="9">
    <pivotField numFmtId="14" showAll="0" defaultSubtota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s>
    </pivotField>
    <pivotField showAll="0" defaultSubtotal="0"/>
    <pivotField axis="axisRow" showAll="0" defaultSubtotal="0">
      <items count="15">
        <item h="1" x="5"/>
        <item x="6"/>
        <item h="1" x="4"/>
        <item h="1" x="10"/>
        <item h="1" x="1"/>
        <item h="1" x="8"/>
        <item h="1" x="0"/>
        <item h="1" x="12"/>
        <item h="1" x="7"/>
        <item h="1" x="3"/>
        <item h="1" x="2"/>
        <item h="1" x="9"/>
        <item h="1" x="11"/>
        <item h="1" x="13"/>
        <item h="1" x="14"/>
      </items>
    </pivotField>
    <pivotField numFmtId="165" showAll="0" defaultSubtotal="0"/>
    <pivotField dataField="1" showAll="0" defaultSubtotal="0"/>
    <pivotField axis="axisRow" showAll="0" defaultSubtotal="0">
      <items count="9">
        <item h="1" sd="0" x="0"/>
        <item h="1" sd="0" x="6"/>
        <item h="1" sd="0" x="7"/>
        <item h="1" sd="0" x="5"/>
        <item h="1" sd="0" x="4"/>
        <item x="2"/>
        <item h="1" sd="0" x="8"/>
        <item h="1" sd="0" x="1"/>
        <item h="1" sd="0" x="3"/>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s>
    </pivotField>
    <pivotField axis="axisRow" showAll="0" defaultSubtotal="0">
      <items count="14">
        <item sd="0" x="0"/>
        <item sd="0" x="1"/>
        <item sd="0" x="2"/>
        <item sd="0" x="3"/>
        <item sd="0" x="4"/>
        <item sd="0" x="5"/>
        <item x="6"/>
        <item sd="0" x="7"/>
        <item sd="0" x="8"/>
        <item x="9"/>
        <item sd="0" x="10"/>
        <item sd="0" x="11"/>
        <item sd="0" x="12"/>
        <item sd="0" x="13"/>
      </items>
    </pivotField>
    <pivotField dataField="1" dragToRow="0" dragToCol="0" dragToPage="0" showAll="0" defaultSubtotal="0"/>
  </pivotFields>
  <rowFields count="3">
    <field x="5"/>
    <field x="2"/>
    <field x="7"/>
  </rowFields>
  <rowItems count="4">
    <i>
      <x v="5"/>
    </i>
    <i r="1">
      <x v="1"/>
    </i>
    <i r="2">
      <x v="6"/>
    </i>
    <i r="2">
      <x v="9"/>
    </i>
  </rowItems>
  <colFields count="1">
    <field x="-2"/>
  </colFields>
  <colItems count="2">
    <i>
      <x/>
    </i>
    <i i="1">
      <x v="1"/>
    </i>
  </colItems>
  <dataFields count="2">
    <dataField name=" VK_Menge" fld="4" baseField="5" baseItem="1" numFmtId="3"/>
    <dataField name=" Gesamtumsatz" fld="8" baseField="0" baseItem="0"/>
  </dataFields>
  <formats count="2">
    <format dxfId="20">
      <pivotArea outline="0" fieldPosition="0">
        <references count="1">
          <reference field="4294967294" count="1">
            <x v="0"/>
          </reference>
        </references>
      </pivotArea>
    </format>
    <format dxfId="1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B16492-245C-4FED-9E74-B837FE9099F7}" name="piv_VkPreisGes"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VK-Datum - VerkäuferIn  - Produkte">
  <location ref="A3:D328" firstHeaderRow="0" firstDataRow="1" firstDataCol="1"/>
  <pivotFields count="9">
    <pivotField numFmtId="14" showAll="0" defaultSubtota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s>
    </pivotField>
    <pivotField showAll="0" defaultSubtotal="0"/>
    <pivotField axis="axisRow" showAll="0" defaultSubtotal="0">
      <items count="15">
        <item x="5"/>
        <item x="14"/>
        <item x="6"/>
        <item x="4"/>
        <item x="10"/>
        <item x="1"/>
        <item x="8"/>
        <item x="0"/>
        <item x="12"/>
        <item x="7"/>
        <item x="3"/>
        <item x="2"/>
        <item x="9"/>
        <item x="11"/>
        <item x="13"/>
      </items>
    </pivotField>
    <pivotField dataField="1" numFmtId="166" showAll="0" defaultSubtotal="0"/>
    <pivotField dataField="1" showAll="0" defaultSubtotal="0"/>
    <pivotField axis="axisRow" showAll="0" defaultSubtotal="0">
      <items count="9">
        <item x="0"/>
        <item x="6"/>
        <item x="7"/>
        <item x="5"/>
        <item x="4"/>
        <item x="2"/>
        <item x="8"/>
        <item x="1"/>
        <item x="3"/>
      </items>
    </pivotField>
    <pivotField axis="axisRow"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3">
    <field x="6"/>
    <field x="5"/>
    <field x="2"/>
  </rowFields>
  <rowItems count="325">
    <i>
      <x v="165"/>
    </i>
    <i r="1">
      <x/>
    </i>
    <i r="2">
      <x v="5"/>
    </i>
    <i r="2">
      <x v="7"/>
    </i>
    <i r="2">
      <x v="11"/>
    </i>
    <i>
      <x v="166"/>
    </i>
    <i r="1">
      <x v="7"/>
    </i>
    <i r="2">
      <x v="5"/>
    </i>
    <i r="2">
      <x v="10"/>
    </i>
    <i>
      <x v="169"/>
    </i>
    <i r="1">
      <x v="5"/>
    </i>
    <i r="2">
      <x v="3"/>
    </i>
    <i r="2">
      <x v="5"/>
    </i>
    <i r="1">
      <x v="8"/>
    </i>
    <i r="2">
      <x v="3"/>
    </i>
    <i r="2">
      <x v="5"/>
    </i>
    <i r="2">
      <x v="7"/>
    </i>
    <i>
      <x v="170"/>
    </i>
    <i r="1">
      <x v="5"/>
    </i>
    <i r="2">
      <x/>
    </i>
    <i r="2">
      <x v="2"/>
    </i>
    <i r="2">
      <x v="11"/>
    </i>
    <i>
      <x v="171"/>
    </i>
    <i r="1">
      <x v="8"/>
    </i>
    <i r="2">
      <x/>
    </i>
    <i r="2">
      <x v="5"/>
    </i>
    <i r="2">
      <x v="9"/>
    </i>
    <i>
      <x v="172"/>
    </i>
    <i r="1">
      <x/>
    </i>
    <i r="2">
      <x v="5"/>
    </i>
    <i r="2">
      <x v="6"/>
    </i>
    <i r="2">
      <x v="9"/>
    </i>
    <i>
      <x v="173"/>
    </i>
    <i r="1">
      <x v="4"/>
    </i>
    <i r="2">
      <x/>
    </i>
    <i r="2">
      <x v="3"/>
    </i>
    <i r="2">
      <x v="7"/>
    </i>
    <i>
      <x v="176"/>
    </i>
    <i r="1">
      <x v="8"/>
    </i>
    <i r="2">
      <x v="6"/>
    </i>
    <i r="2">
      <x v="7"/>
    </i>
    <i>
      <x v="177"/>
    </i>
    <i r="1">
      <x v="5"/>
    </i>
    <i r="2">
      <x/>
    </i>
    <i r="2">
      <x v="6"/>
    </i>
    <i r="2">
      <x v="11"/>
    </i>
    <i>
      <x v="178"/>
    </i>
    <i r="1">
      <x v="3"/>
    </i>
    <i r="2">
      <x/>
    </i>
    <i r="2">
      <x v="5"/>
    </i>
    <i>
      <x v="179"/>
    </i>
    <i r="1">
      <x v="5"/>
    </i>
    <i r="2">
      <x v="9"/>
    </i>
    <i r="2">
      <x v="11"/>
    </i>
    <i>
      <x v="180"/>
    </i>
    <i r="1">
      <x v="5"/>
    </i>
    <i r="2">
      <x v="3"/>
    </i>
    <i r="2">
      <x v="6"/>
    </i>
    <i r="2">
      <x v="7"/>
    </i>
    <i r="2">
      <x v="11"/>
    </i>
    <i r="2">
      <x v="12"/>
    </i>
    <i>
      <x v="183"/>
    </i>
    <i r="1">
      <x v="1"/>
    </i>
    <i r="2">
      <x/>
    </i>
    <i r="2">
      <x v="4"/>
    </i>
    <i r="2">
      <x v="9"/>
    </i>
    <i>
      <x v="184"/>
    </i>
    <i r="1">
      <x v="4"/>
    </i>
    <i r="2">
      <x v="5"/>
    </i>
    <i r="2">
      <x v="6"/>
    </i>
    <i r="2">
      <x v="7"/>
    </i>
    <i r="2">
      <x v="9"/>
    </i>
    <i>
      <x v="185"/>
    </i>
    <i r="1">
      <x v="7"/>
    </i>
    <i r="2">
      <x/>
    </i>
    <i r="2">
      <x v="3"/>
    </i>
    <i>
      <x v="186"/>
    </i>
    <i r="1">
      <x v="2"/>
    </i>
    <i r="2">
      <x/>
    </i>
    <i r="2">
      <x v="6"/>
    </i>
    <i>
      <x v="187"/>
    </i>
    <i r="1">
      <x v="8"/>
    </i>
    <i r="2">
      <x v="7"/>
    </i>
    <i>
      <x v="190"/>
    </i>
    <i r="1">
      <x v="5"/>
    </i>
    <i r="2">
      <x/>
    </i>
    <i r="2">
      <x v="3"/>
    </i>
    <i r="2">
      <x v="7"/>
    </i>
    <i>
      <x v="191"/>
    </i>
    <i r="1">
      <x v="1"/>
    </i>
    <i r="2">
      <x v="5"/>
    </i>
    <i r="2">
      <x v="13"/>
    </i>
    <i>
      <x v="192"/>
    </i>
    <i r="1">
      <x/>
    </i>
    <i r="2">
      <x v="2"/>
    </i>
    <i r="2">
      <x v="5"/>
    </i>
    <i>
      <x v="193"/>
    </i>
    <i r="1">
      <x v="3"/>
    </i>
    <i r="2">
      <x v="3"/>
    </i>
    <i r="1">
      <x v="7"/>
    </i>
    <i r="2">
      <x v="2"/>
    </i>
    <i>
      <x v="194"/>
    </i>
    <i r="1">
      <x v="7"/>
    </i>
    <i r="2">
      <x v="5"/>
    </i>
    <i r="2">
      <x v="9"/>
    </i>
    <i r="2">
      <x v="11"/>
    </i>
    <i>
      <x v="197"/>
    </i>
    <i r="1">
      <x v="8"/>
    </i>
    <i r="2">
      <x/>
    </i>
    <i r="2">
      <x v="2"/>
    </i>
    <i r="2">
      <x v="3"/>
    </i>
    <i r="2">
      <x v="9"/>
    </i>
    <i>
      <x v="198"/>
    </i>
    <i r="1">
      <x v="7"/>
    </i>
    <i r="2">
      <x v="2"/>
    </i>
    <i r="2">
      <x v="5"/>
    </i>
    <i>
      <x v="199"/>
    </i>
    <i r="1">
      <x v="3"/>
    </i>
    <i r="2">
      <x v="7"/>
    </i>
    <i r="2">
      <x v="9"/>
    </i>
    <i>
      <x v="200"/>
    </i>
    <i r="1">
      <x v="1"/>
    </i>
    <i r="2">
      <x v="3"/>
    </i>
    <i>
      <x v="201"/>
    </i>
    <i r="1">
      <x v="2"/>
    </i>
    <i r="2">
      <x v="8"/>
    </i>
    <i r="2">
      <x v="12"/>
    </i>
    <i>
      <x v="204"/>
    </i>
    <i r="1">
      <x v="1"/>
    </i>
    <i r="2">
      <x v="3"/>
    </i>
    <i r="2">
      <x v="7"/>
    </i>
    <i r="2">
      <x v="8"/>
    </i>
    <i r="2">
      <x v="14"/>
    </i>
    <i>
      <x v="205"/>
    </i>
    <i r="1">
      <x v="1"/>
    </i>
    <i r="2">
      <x/>
    </i>
    <i>
      <x v="206"/>
    </i>
    <i r="1">
      <x v="2"/>
    </i>
    <i r="2">
      <x v="6"/>
    </i>
    <i r="2">
      <x v="8"/>
    </i>
    <i r="2">
      <x v="9"/>
    </i>
    <i r="1">
      <x v="5"/>
    </i>
    <i r="2">
      <x v="9"/>
    </i>
    <i r="2">
      <x v="12"/>
    </i>
    <i>
      <x v="207"/>
    </i>
    <i r="1">
      <x v="5"/>
    </i>
    <i r="2">
      <x v="6"/>
    </i>
    <i r="2">
      <x v="7"/>
    </i>
    <i>
      <x v="208"/>
    </i>
    <i r="1">
      <x v="8"/>
    </i>
    <i r="2">
      <x/>
    </i>
    <i r="2">
      <x v="2"/>
    </i>
    <i r="2">
      <x v="5"/>
    </i>
    <i r="2">
      <x v="12"/>
    </i>
    <i>
      <x v="211"/>
    </i>
    <i r="1">
      <x v="5"/>
    </i>
    <i r="2">
      <x/>
    </i>
    <i r="2">
      <x v="3"/>
    </i>
    <i r="2">
      <x v="11"/>
    </i>
    <i>
      <x v="212"/>
    </i>
    <i r="1">
      <x v="3"/>
    </i>
    <i r="2">
      <x/>
    </i>
    <i r="2">
      <x v="7"/>
    </i>
    <i>
      <x v="213"/>
    </i>
    <i r="1">
      <x v="1"/>
    </i>
    <i r="2">
      <x v="12"/>
    </i>
    <i>
      <x v="214"/>
    </i>
    <i r="1">
      <x v="1"/>
    </i>
    <i r="2">
      <x v="7"/>
    </i>
    <i r="2">
      <x v="8"/>
    </i>
    <i r="2">
      <x v="12"/>
    </i>
    <i>
      <x v="215"/>
    </i>
    <i r="1">
      <x v="5"/>
    </i>
    <i r="2">
      <x v="11"/>
    </i>
    <i r="2">
      <x v="13"/>
    </i>
    <i>
      <x v="218"/>
    </i>
    <i r="1">
      <x v="6"/>
    </i>
    <i r="2">
      <x/>
    </i>
    <i r="2">
      <x v="14"/>
    </i>
    <i>
      <x v="219"/>
    </i>
    <i r="1">
      <x v="1"/>
    </i>
    <i r="2">
      <x/>
    </i>
    <i r="2">
      <x v="5"/>
    </i>
    <i r="2">
      <x v="6"/>
    </i>
    <i r="2">
      <x v="13"/>
    </i>
    <i r="1">
      <x v="7"/>
    </i>
    <i r="2">
      <x v="3"/>
    </i>
    <i r="2">
      <x v="5"/>
    </i>
    <i>
      <x v="220"/>
    </i>
    <i r="1">
      <x v="3"/>
    </i>
    <i r="2">
      <x v="11"/>
    </i>
    <i>
      <x v="221"/>
    </i>
    <i r="1">
      <x v="3"/>
    </i>
    <i r="2">
      <x/>
    </i>
    <i r="2">
      <x v="8"/>
    </i>
    <i r="2">
      <x v="9"/>
    </i>
    <i r="2">
      <x v="14"/>
    </i>
    <i>
      <x v="222"/>
    </i>
    <i r="1">
      <x v="5"/>
    </i>
    <i r="2">
      <x/>
    </i>
    <i r="2">
      <x v="3"/>
    </i>
    <i r="2">
      <x v="8"/>
    </i>
    <i>
      <x v="225"/>
    </i>
    <i r="1">
      <x v="2"/>
    </i>
    <i r="2">
      <x v="9"/>
    </i>
    <i>
      <x v="226"/>
    </i>
    <i r="1">
      <x v="7"/>
    </i>
    <i r="2">
      <x v="3"/>
    </i>
    <i r="2">
      <x v="7"/>
    </i>
    <i>
      <x v="227"/>
    </i>
    <i r="1">
      <x/>
    </i>
    <i r="2">
      <x/>
    </i>
    <i r="2">
      <x v="5"/>
    </i>
    <i>
      <x v="228"/>
    </i>
    <i r="1">
      <x v="7"/>
    </i>
    <i r="2">
      <x/>
    </i>
    <i r="2">
      <x v="3"/>
    </i>
    <i r="2">
      <x v="7"/>
    </i>
    <i r="2">
      <x v="12"/>
    </i>
    <i>
      <x v="229"/>
    </i>
    <i r="1">
      <x v="5"/>
    </i>
    <i r="2">
      <x v="6"/>
    </i>
    <i r="2">
      <x v="12"/>
    </i>
    <i>
      <x v="232"/>
    </i>
    <i r="1">
      <x v="1"/>
    </i>
    <i r="2">
      <x/>
    </i>
    <i r="2">
      <x v="9"/>
    </i>
    <i r="1">
      <x v="2"/>
    </i>
    <i r="2">
      <x v="5"/>
    </i>
    <i r="2">
      <x v="11"/>
    </i>
    <i>
      <x v="233"/>
    </i>
    <i r="1">
      <x v="5"/>
    </i>
    <i r="2">
      <x/>
    </i>
    <i r="2">
      <x v="3"/>
    </i>
    <i r="2">
      <x v="8"/>
    </i>
    <i>
      <x v="234"/>
    </i>
    <i r="1">
      <x v="6"/>
    </i>
    <i r="2">
      <x/>
    </i>
    <i r="2">
      <x v="5"/>
    </i>
    <i r="2">
      <x v="11"/>
    </i>
    <i>
      <x v="235"/>
    </i>
    <i r="1">
      <x v="3"/>
    </i>
    <i r="2">
      <x v="2"/>
    </i>
    <i r="2">
      <x v="5"/>
    </i>
    <i r="2">
      <x v="7"/>
    </i>
    <i>
      <x v="236"/>
    </i>
    <i r="1">
      <x v="1"/>
    </i>
    <i r="2">
      <x/>
    </i>
    <i r="2">
      <x v="13"/>
    </i>
    <i>
      <x v="239"/>
    </i>
    <i r="1">
      <x v="3"/>
    </i>
    <i r="2">
      <x v="6"/>
    </i>
    <i r="2">
      <x v="7"/>
    </i>
    <i r="2">
      <x v="13"/>
    </i>
    <i>
      <x v="240"/>
    </i>
    <i r="1">
      <x v="2"/>
    </i>
    <i r="2">
      <x v="11"/>
    </i>
    <i r="2">
      <x v="12"/>
    </i>
    <i>
      <x v="241"/>
    </i>
    <i r="1">
      <x v="6"/>
    </i>
    <i r="2">
      <x v="3"/>
    </i>
    <i r="2">
      <x v="6"/>
    </i>
    <i>
      <x v="242"/>
    </i>
    <i r="1">
      <x v="8"/>
    </i>
    <i r="2">
      <x/>
    </i>
    <i r="2">
      <x v="2"/>
    </i>
    <i r="2">
      <x v="3"/>
    </i>
    <i r="2">
      <x v="9"/>
    </i>
    <i r="2">
      <x v="11"/>
    </i>
    <i>
      <x v="243"/>
    </i>
    <i r="1">
      <x v="1"/>
    </i>
    <i r="2">
      <x v="7"/>
    </i>
    <i r="2">
      <x v="12"/>
    </i>
    <i r="1">
      <x v="3"/>
    </i>
    <i r="2">
      <x v="3"/>
    </i>
    <i r="2">
      <x v="11"/>
    </i>
    <i>
      <x v="246"/>
    </i>
    <i r="1">
      <x v="2"/>
    </i>
    <i r="2">
      <x v="3"/>
    </i>
    <i r="2">
      <x v="7"/>
    </i>
    <i r="2">
      <x v="8"/>
    </i>
    <i>
      <x v="247"/>
    </i>
    <i r="1">
      <x v="2"/>
    </i>
    <i r="2">
      <x v="3"/>
    </i>
    <i>
      <x v="248"/>
    </i>
    <i r="1">
      <x v="3"/>
    </i>
    <i r="2">
      <x v="2"/>
    </i>
    <i r="2">
      <x v="5"/>
    </i>
    <i r="2">
      <x v="12"/>
    </i>
    <i>
      <x v="249"/>
    </i>
    <i r="1">
      <x v="5"/>
    </i>
    <i r="2">
      <x v="6"/>
    </i>
    <i r="2">
      <x v="8"/>
    </i>
    <i>
      <x v="250"/>
    </i>
    <i r="1">
      <x v="3"/>
    </i>
    <i r="2">
      <x v="3"/>
    </i>
    <i r="2">
      <x v="12"/>
    </i>
    <i>
      <x v="253"/>
    </i>
    <i r="1">
      <x v="7"/>
    </i>
    <i r="2">
      <x/>
    </i>
    <i>
      <x v="254"/>
    </i>
    <i r="1">
      <x v="1"/>
    </i>
    <i r="2">
      <x v="3"/>
    </i>
    <i>
      <x v="255"/>
    </i>
    <i r="1">
      <x v="6"/>
    </i>
    <i r="2">
      <x/>
    </i>
    <i r="2">
      <x v="3"/>
    </i>
    <i r="2">
      <x v="8"/>
    </i>
    <i>
      <x v="256"/>
    </i>
    <i r="1">
      <x/>
    </i>
    <i r="2">
      <x v="2"/>
    </i>
    <i r="1">
      <x v="8"/>
    </i>
    <i r="2">
      <x v="12"/>
    </i>
    <i>
      <x v="257"/>
    </i>
    <i r="1">
      <x v="6"/>
    </i>
    <i r="2">
      <x v="2"/>
    </i>
    <i>
      <x v="260"/>
    </i>
    <i r="1">
      <x v="5"/>
    </i>
    <i r="2">
      <x/>
    </i>
    <i r="2">
      <x v="2"/>
    </i>
    <i r="2">
      <x v="6"/>
    </i>
    <i>
      <x v="292"/>
    </i>
    <i r="1">
      <x v="5"/>
    </i>
    <i r="2">
      <x v="1"/>
    </i>
    <i t="grand">
      <x/>
    </i>
  </rowItems>
  <colFields count="1">
    <field x="-2"/>
  </colFields>
  <colItems count="3">
    <i>
      <x/>
    </i>
    <i i="1">
      <x v="1"/>
    </i>
    <i i="2">
      <x v="2"/>
    </i>
  </colItems>
  <dataFields count="3">
    <dataField name="Artikelpreise" fld="3" baseField="5" baseItem="0" numFmtId="166"/>
    <dataField name="VK-Menge" fld="4" baseField="0" baseItem="0"/>
    <dataField name=" Gesamtumsatz" fld="8" baseField="6" baseItem="165" numFmtId="166"/>
  </dataFields>
  <formats count="2">
    <format dxfId="18">
      <pivotArea dataOnly="0" labelOnly="1" outline="0" axis="axisValues" fieldPosition="0"/>
    </format>
    <format dxfId="17">
      <pivotArea dataOnly="0" labelOnly="1" outline="0" fieldPosition="0">
        <references count="1">
          <reference field="4294967294" count="1">
            <x v="2"/>
          </reference>
        </references>
      </pivotArea>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02829A-2764-496E-9170-7C9681EA9F2D}" name="PivotTable4" cacheId="1" applyNumberFormats="0" applyBorderFormats="0" applyFontFormats="0" applyPatternFormats="0" applyAlignmentFormats="0" applyWidthHeightFormats="1" dataCaption="Werte" tag="6646e85f-5989-4352-b9ad-f69ae676be84" updatedVersion="8" minRefreshableVersion="3" useAutoFormatting="1" itemPrintTitles="1" createdVersion="8" indent="0" outline="1" outlineData="1" multipleFieldFilters="0">
  <location ref="A1:C6" firstHeaderRow="0" firstDataRow="1" firstDataCol="1"/>
  <pivotFields count="5">
    <pivotField axis="axisRow" allDrilled="1" subtotalTop="0" showAll="0" dataSourceSort="1" defaultSubtotal="0">
      <items count="2">
        <item x="0"/>
        <item x="1"/>
      </items>
    </pivotField>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3">
    <field x="1"/>
    <field x="2"/>
    <field x="0"/>
  </rowFields>
  <rowItems count="5">
    <i>
      <x/>
    </i>
    <i r="1">
      <x/>
    </i>
    <i r="2">
      <x/>
    </i>
    <i r="2">
      <x v="1"/>
    </i>
    <i t="grand">
      <x/>
    </i>
  </rowItems>
  <colFields count="1">
    <field x="-2"/>
  </colFields>
  <colItems count="2">
    <i>
      <x/>
    </i>
    <i i="1">
      <x v="1"/>
    </i>
  </colItems>
  <dataFields count="2">
    <dataField name=" VK_Menge" fld="3" baseField="0" baseItem="0"/>
    <dataField fld="4" subtotal="count" baseField="0" baseItem="0"/>
  </dataFields>
  <formats count="1">
    <format dxfId="2">
      <pivotArea dataOnly="0" labelOnly="1" outline="0" fieldPosition="0">
        <references count="1">
          <reference field="4294967294" count="2">
            <x v="0"/>
            <x v="1"/>
          </reference>
        </references>
      </pivotArea>
    </format>
  </formats>
  <pivotHierarchies count="1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VK_Menge"/>
  </pivotHierarchies>
  <pivotTableStyleInfo name="PivotStyleLight14" showRowHeaders="1" showColHeaders="1" showRowStripes="0" showColStripes="0" showLastColumn="1"/>
  <rowHierarchiesUsage count="3">
    <rowHierarchyUsage hierarchyUsage="5"/>
    <rowHierarchyUsage hierarchyUsage="2"/>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PowerPivo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Artikelname" xr10:uid="{F2E94329-F821-4807-8E41-338B6210670A}" sourceName="Artikelname">
  <pivotTables>
    <pivotTable tabId="12" name="piv_VKGes"/>
  </pivotTables>
  <data>
    <tabular pivotCacheId="2109611054">
      <items count="15">
        <i x="5"/>
        <i x="14"/>
        <i x="6" s="1"/>
        <i x="4"/>
        <i x="1"/>
        <i x="8"/>
        <i x="0"/>
        <i x="12"/>
        <i x="7"/>
        <i x="2"/>
        <i x="9"/>
        <i x="11"/>
        <i x="10" nd="1"/>
        <i x="3"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Verkäufer" xr10:uid="{3FEFD534-CAB8-48BD-AA88-E49D95FF14D7}" sourceName="Verkäufer">
  <pivotTables>
    <pivotTable tabId="12" name="piv_VKGes"/>
  </pivotTables>
  <data>
    <tabular pivotCacheId="2109611054">
      <items count="9">
        <i x="0"/>
        <i x="5"/>
        <i x="2" s="1"/>
        <i x="8"/>
        <i x="1"/>
        <i x="3"/>
        <i x="6" nd="1"/>
        <i x="7"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Monate__Bestelldatum" xr10:uid="{B59B821E-A52B-408D-B9E7-D7EE5DA79151}" sourceName="Monate (Bestelldatum)">
  <pivotTables>
    <pivotTable tabId="12" name="piv_VKGes"/>
  </pivotTables>
  <data>
    <tabular pivotCacheId="2109611054">
      <items count="14">
        <i x="6" s="1"/>
        <i x="9" s="1"/>
        <i x="1" s="1" nd="1"/>
        <i x="2" s="1" nd="1"/>
        <i x="3" s="1" nd="1"/>
        <i x="4" s="1" nd="1"/>
        <i x="5" s="1" nd="1"/>
        <i x="7" s="1" nd="1"/>
        <i x="8" s="1" nd="1"/>
        <i x="10" s="1" nd="1"/>
        <i x="11" s="1" nd="1"/>
        <i x="12"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Verkäufer1" xr10:uid="{E64F0F2D-5277-4D08-B6FC-95C110A5AE21}" sourceName="[tbl_PowerPivot].[Verkäufer]">
  <pivotTables>
    <pivotTable tabId="26" name="PivotTable4"/>
  </pivotTables>
  <data>
    <olap pivotCacheId="560096482">
      <levels count="2">
        <level uniqueName="[tbl_PowerPivot].[Verkäufer].[(All)]" sourceCaption="(All)" count="0"/>
        <level uniqueName="[tbl_PowerPivot].[Verkäufer].[Verkäufer]" sourceCaption="Verkäufer" count="9">
          <ranges>
            <range startItem="0">
              <i n="[tbl_PowerPivot].[Verkäufer].&amp;[Becker, Manfred]" c="Becker, Manfred"/>
              <i n="[tbl_PowerPivot].[Verkäufer].&amp;[Grosser, Sabine]" c="Grosser, Sabine"/>
              <i n="[tbl_PowerPivot].[Verkäufer].&amp;[Hofer, Andreas]" c="Hofer, Andreas"/>
              <i n="[tbl_PowerPivot].[Verkäufer].&amp;[Krämer, Robert]" c="Krämer, Robert"/>
              <i n="[tbl_PowerPivot].[Verkäufer].&amp;[Suyama, Michael]" c="Suyama, Michael"/>
              <i n="[tbl_PowerPivot].[Verkäufer].&amp;[Weber, Clara]" c="Weber, Clara"/>
              <i n="[tbl_PowerPivot].[Verkäufer].&amp;[Callas, Sarah]" c="Callas, Sarah" nd="1"/>
              <i n="[tbl_PowerPivot].[Verkäufer].&amp;[Fuller Andrew]" c="Fuller Andrew" nd="1"/>
              <i n="[tbl_PowerPivot].[Verkäufer].&amp;[Heinrich, Petra]" c="Heinrich, Petra" nd="1"/>
            </range>
          </ranges>
        </level>
      </levels>
      <selections count="1">
        <selection n="[tbl_PowerPivot].[Verkäufer].&amp;[Hofer, Andreas]"/>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Artikelname1" xr10:uid="{86064DF9-0C82-454D-9FEA-E8B0C923AAAF}" sourceName="[tbl_PowerPivot].[Artikelname]">
  <pivotTables>
    <pivotTable tabId="26" name="PivotTable4"/>
  </pivotTables>
  <data>
    <olap pivotCacheId="560096482">
      <levels count="2">
        <level uniqueName="[tbl_PowerPivot].[Artikelname].[(All)]" sourceCaption="(All)" count="0"/>
        <level uniqueName="[tbl_PowerPivot].[Artikelname].[Artikelname]" sourceCaption="Artikelname" count="14">
          <ranges>
            <range startItem="0">
              <i n="[tbl_PowerPivot].[Artikelname].&amp;[Camembert Pierrot]" c="Camembert Pierrot"/>
              <i n="[tbl_PowerPivot].[Artikelname].&amp;[Chocolade surprise]" c="Chocolade surprise"/>
              <i n="[tbl_PowerPivot].[Artikelname].&amp;[Irish Coffee]" c="Irish Coffee"/>
              <i n="[tbl_PowerPivot].[Artikelname].&amp;[Mozzarella di Giovanni]" c="Mozzarella di Giovanni"/>
              <i n="[tbl_PowerPivot].[Artikelname].&amp;[Pâté chinois]" c="Pâté chinois"/>
              <i n="[tbl_PowerPivot].[Artikelname].&amp;[Ravioli Angelo]" c="Ravioli Angelo"/>
              <i n="[tbl_PowerPivot].[Artikelname].&amp;[Röd Kaviar]" c="Röd Kaviar"/>
              <i n="[tbl_PowerPivot].[Artikelname].&amp;[Rotwein Vino Rouge]" c="Rotwein Vino Rouge"/>
              <i n="[tbl_PowerPivot].[Artikelname].&amp;[Scottish Longbreads]" c="Scottish Longbreads"/>
              <i n="[tbl_PowerPivot].[Artikelname].&amp;[Tarte au sucre]" c="Tarte au sucre"/>
              <i n="[tbl_PowerPivot].[Artikelname].&amp;[Tourtière]" c="Tourtière"/>
              <i n="[tbl_PowerPivot].[Artikelname].&amp;[Kopi Luwak]" c="Kopi Luwak" nd="1"/>
              <i n="[tbl_PowerPivot].[Artikelname].&amp;[schwarze Trüffel]" c="schwarze Trüffel" nd="1"/>
              <i n="[tbl_PowerPivot].[Artikelname].&amp;[Zaanse koeken]" c="Zaanse koeken" nd="1"/>
            </range>
          </ranges>
        </level>
      </levels>
      <selections count="1">
        <selection n="[tbl_PowerPivot].[Artikelname].&amp;[Chocolade surpris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kelname" xr10:uid="{94D4EEA5-B1CB-4D7D-9889-03C0A551F72C}" cache="Datenschnitt_Artikelname" caption="Artikelname" style="SlicerStyleLight5" rowHeight="257175"/>
  <slicer name="Verkäufer" xr10:uid="{D526194B-FB2F-4015-8B59-1065254C1E24}" cache="Datenschnitt_Verkäufer" caption="Verkäufer:innen" style="SlicerStyleLight3" rowHeight="257175"/>
  <slicer name="Monate (Bestelldatum)" xr10:uid="{A40E4673-642A-4E0E-8ADE-5CFCA406E94A}" cache="Datenschnitt_Monate__Bestelldatum" caption="Monat" style="SlicerStyleLigh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rkäufer 1" xr10:uid="{43DD1326-862C-4BC3-91A2-A5C74A37C280}" cache="Datenschnitt_Verkäufer1" caption="Verkäufer" level="1" style="SlicerStyleLight3" rowHeight="257175"/>
  <slicer name="Artikelname 1" xr10:uid="{7DA4FD51-2671-49A1-80D4-C4E097FF337A}" cache="Datenschnitt_Artikelname1" caption="Artikelname" level="1" style="SlicerStyleLight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AB21CF-1DF5-4070-8F78-D02D109F79C2}" name="tbl_Mitarbeitende" displayName="tbl_Mitarbeitende" ref="A1:E8" totalsRowShown="0">
  <autoFilter ref="A1:E8" xr:uid="{15AB21CF-1DF5-4070-8F78-D02D109F79C2}"/>
  <tableColumns count="5">
    <tableColumn id="1" xr3:uid="{231A18B6-D00D-4947-A3C5-5C9D7D26EDF1}" name="Einstelldatum" dataDxfId="52"/>
    <tableColumn id="7" xr3:uid="{77586E81-9681-4AB5-9FF3-C0606265FD58}" name="Vornamen" dataDxfId="51"/>
    <tableColumn id="8" xr3:uid="{653D5BBD-B6EA-4ECB-9286-B53B1B2516F3}" name="Nachnamen" dataDxfId="50"/>
    <tableColumn id="2" xr3:uid="{1E53B9A0-38BC-4ED1-9774-C5ECD6BC4FC8}" name="Mitarbeiter:in"/>
    <tableColumn id="3" xr3:uid="{3CB55AD0-3555-4099-A4BC-17F2D6708E54}" name="Gehalt" dataDxfId="49" dataCellStyle="Währung"/>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64010D-3F92-4FAD-9CEB-7A9DCCD131EE}" name="tbl_TabFilter" displayName="tbl_TabFilter" ref="A1:F201" totalsRowCount="1" dataDxfId="47" headerRowBorderDxfId="48" dataCellStyle="Standard 2">
  <autoFilter ref="A1:F200" xr:uid="{6AFF344F-FA28-49BC-9405-E27F45658B99}">
    <filterColumn colId="2">
      <filters>
        <filter val="Mozzarella di Giovanni"/>
      </filters>
    </filterColumn>
    <filterColumn colId="5">
      <filters>
        <filter val="Becker, Manfred"/>
      </filters>
    </filterColumn>
  </autoFilter>
  <tableColumns count="6">
    <tableColumn id="1" xr3:uid="{229DFFF9-A20C-4108-B229-EE9856C6438D}" name="Bestelldatum" totalsRowLabel="Ergebnis" dataDxfId="46" totalsRowDxfId="45" dataCellStyle="Standard 2"/>
    <tableColumn id="2" xr3:uid="{40FF505D-96CA-4A2D-AB69-6B92F11152A4}" name="Artikel_Nr" dataDxfId="44" totalsRowDxfId="43" dataCellStyle="Standard 2"/>
    <tableColumn id="3" xr3:uid="{4BE3A39A-6FC6-434A-8192-CD3A57777CF4}" name="Artikelname" dataDxfId="42" totalsRowDxfId="41" dataCellStyle="Standard 2"/>
    <tableColumn id="4" xr3:uid="{56641C7F-3EA2-4228-9A6A-EF29CB4F409D}" name="EP" totalsRowFunction="sum" dataDxfId="40" totalsRowDxfId="39" dataCellStyle="Standard 2"/>
    <tableColumn id="5" xr3:uid="{F10172AF-54C4-44AE-A68A-C335F4E8C653}" name="VK_Menge" totalsRowFunction="sum" dataDxfId="38" totalsRowDxfId="37" dataCellStyle="Standard 2"/>
    <tableColumn id="6" xr3:uid="{97A0D47B-45FD-460B-8FC7-8BDF316482F7}" name="Verkäufer" totalsRowFunction="count" dataDxfId="36" totalsRowDxfId="35" dataCellStyle="Standard 2"/>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D091AA-BE08-4E51-890E-FB9A17858C16}" name="tbl_TabFehler" displayName="tbl_TabFehler" ref="A1:F202" totalsRowCount="1" dataDxfId="33" headerRowBorderDxfId="34" dataCellStyle="Standard 2">
  <autoFilter ref="A1:F201" xr:uid="{E5D091AA-BE08-4E51-890E-FB9A17858C16}">
    <filterColumn colId="2">
      <filters>
        <filter val="Chocolade surprise"/>
      </filters>
    </filterColumn>
    <filterColumn colId="5">
      <filters>
        <filter val="Hofer, Andreas"/>
      </filters>
    </filterColumn>
  </autoFilter>
  <tableColumns count="6">
    <tableColumn id="1" xr3:uid="{3C790650-0211-42CA-AB1E-F7C2958BBF48}" name="Bestelldatum" totalsRowLabel="Ergebnis" dataDxfId="32" totalsRowDxfId="31" dataCellStyle="Standard 2"/>
    <tableColumn id="2" xr3:uid="{829C8273-2D22-46EE-B686-6E9520E368FD}" name="Artikel_Nr" dataDxfId="30" totalsRowDxfId="29" dataCellStyle="Standard 2"/>
    <tableColumn id="3" xr3:uid="{7C5F1365-0ABC-4947-814D-DF7ACFF8A963}" name="Artikelname" totalsRowFunction="count" dataDxfId="28" totalsRowDxfId="27" dataCellStyle="Standard 2"/>
    <tableColumn id="4" xr3:uid="{53B932BA-1104-4298-986C-9B994C82B89A}" name="EP" totalsRowFunction="sum" dataDxfId="26" totalsRowDxfId="25" dataCellStyle="Standard 2" totalsRowCellStyle="Währung"/>
    <tableColumn id="5" xr3:uid="{3EB5F632-4B64-45AE-AB40-983955030CD3}" name="VK_Menge" totalsRowFunction="sum" dataDxfId="24" totalsRowDxfId="23" dataCellStyle="Standard 2"/>
    <tableColumn id="6" xr3:uid="{D7749447-4F00-4A9D-B3E2-20A40BA55C4E}" name="Verkäufer" totalsRowFunction="count" dataDxfId="22" totalsRowDxfId="21" dataCellStyle="Standard 2"/>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F8FFD82-4767-4FBF-8927-21D5A3256645}" name="tbl_PowerPivot" displayName="tbl_PowerPivot" ref="A1:F201" totalsRowCount="1" dataDxfId="15" headerRowBorderDxfId="16" dataCellStyle="Standard 2">
  <autoFilter ref="A1:F200" xr:uid="{6AFF344F-FA28-49BC-9405-E27F45658B99}"/>
  <tableColumns count="6">
    <tableColumn id="1" xr3:uid="{56C6E242-A62D-433A-81BA-206C938AA2E7}" name="Bestelldatum" totalsRowLabel="Ergebnis" dataDxfId="14" totalsRowDxfId="13" dataCellStyle="Standard 2"/>
    <tableColumn id="2" xr3:uid="{F0B073E9-16BB-403B-967E-46A600EFBFA8}" name="Artikel_Nr" dataDxfId="12" totalsRowDxfId="11" dataCellStyle="Standard 2"/>
    <tableColumn id="3" xr3:uid="{9A3507CC-646D-42E3-85E7-BB98ADED1DD8}" name="Artikelname" dataDxfId="10" totalsRowDxfId="9" dataCellStyle="Standard 2"/>
    <tableColumn id="4" xr3:uid="{94BE5B0F-CE9E-49A7-B18E-16EE3D6CF541}" name="EP" totalsRowFunction="sum" dataDxfId="8" totalsRowDxfId="7" dataCellStyle="Standard 2"/>
    <tableColumn id="5" xr3:uid="{136DC138-9B03-4A40-87E5-CD4D7B503A89}" name="VK_Menge" totalsRowFunction="sum" dataDxfId="6" totalsRowDxfId="5" dataCellStyle="Standard 2"/>
    <tableColumn id="6" xr3:uid="{FF75180F-C2D1-4EDA-9E3E-9448001581F0}" name="Verkäufer" totalsRowFunction="count" dataDxfId="4" totalsRowDxfId="3" dataCellStyle="Standard 2"/>
  </tableColumns>
  <tableStyleInfo name="TableStyleLight4"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79936-560E-4701-A668-99B975C54816}">
  <sheetPr>
    <tabColor theme="4"/>
  </sheetPr>
  <dimension ref="A1:C8"/>
  <sheetViews>
    <sheetView tabSelected="1" zoomScale="190" zoomScaleNormal="190" workbookViewId="0">
      <selection activeCell="A2" sqref="A2"/>
    </sheetView>
  </sheetViews>
  <sheetFormatPr baseColWidth="10" defaultRowHeight="15" x14ac:dyDescent="0.25"/>
  <cols>
    <col min="1" max="1" width="14.42578125" customWidth="1"/>
    <col min="2" max="2" width="15.28515625" customWidth="1"/>
    <col min="3" max="3" width="11.42578125" style="1"/>
  </cols>
  <sheetData>
    <row r="1" spans="1:3" x14ac:dyDescent="0.25">
      <c r="A1" t="s">
        <v>5</v>
      </c>
      <c r="B1" t="s">
        <v>6</v>
      </c>
      <c r="C1" s="2" t="s">
        <v>7</v>
      </c>
    </row>
    <row r="2" spans="1:3" x14ac:dyDescent="0.25">
      <c r="A2" s="3">
        <v>38108</v>
      </c>
      <c r="B2" t="s">
        <v>8</v>
      </c>
      <c r="C2" s="1">
        <v>3500</v>
      </c>
    </row>
    <row r="3" spans="1:3" x14ac:dyDescent="0.25">
      <c r="A3" s="3">
        <v>38265</v>
      </c>
      <c r="B3" t="s">
        <v>9</v>
      </c>
      <c r="C3" s="1">
        <v>5950</v>
      </c>
    </row>
    <row r="4" spans="1:3" x14ac:dyDescent="0.25">
      <c r="A4" s="3">
        <v>38367</v>
      </c>
      <c r="B4" t="s">
        <v>10</v>
      </c>
      <c r="C4" s="1">
        <v>3540</v>
      </c>
    </row>
    <row r="5" spans="1:3" x14ac:dyDescent="0.25">
      <c r="A5" s="3"/>
    </row>
    <row r="6" spans="1:3" x14ac:dyDescent="0.25">
      <c r="A6" s="3">
        <v>38777</v>
      </c>
      <c r="B6" t="s">
        <v>11</v>
      </c>
      <c r="C6" s="1">
        <v>2900</v>
      </c>
    </row>
    <row r="7" spans="1:3" x14ac:dyDescent="0.25">
      <c r="A7" s="3">
        <v>40313</v>
      </c>
      <c r="B7" t="s">
        <v>12</v>
      </c>
      <c r="C7" s="1">
        <v>3000</v>
      </c>
    </row>
    <row r="8" spans="1:3" x14ac:dyDescent="0.25">
      <c r="A8" s="3">
        <v>44044</v>
      </c>
      <c r="B8" t="s">
        <v>13</v>
      </c>
      <c r="C8" s="1">
        <v>1950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6D784-DB8A-4333-92A9-E604F5309ACC}">
  <sheetPr>
    <tabColor theme="4"/>
  </sheetPr>
  <dimension ref="A1:E8"/>
  <sheetViews>
    <sheetView zoomScale="190" zoomScaleNormal="190" workbookViewId="0">
      <selection activeCell="B3" sqref="B3"/>
    </sheetView>
  </sheetViews>
  <sheetFormatPr baseColWidth="10" defaultRowHeight="15" x14ac:dyDescent="0.25"/>
  <cols>
    <col min="1" max="1" width="14.42578125" customWidth="1"/>
    <col min="2" max="3" width="11.42578125" customWidth="1"/>
    <col min="4" max="4" width="15.5703125" hidden="1" customWidth="1"/>
    <col min="5" max="5" width="11.42578125" style="1"/>
  </cols>
  <sheetData>
    <row r="1" spans="1:5" x14ac:dyDescent="0.25">
      <c r="A1" t="s">
        <v>5</v>
      </c>
      <c r="B1" t="s">
        <v>21</v>
      </c>
      <c r="C1" t="s">
        <v>22</v>
      </c>
      <c r="D1" t="s">
        <v>6</v>
      </c>
      <c r="E1" s="2" t="s">
        <v>7</v>
      </c>
    </row>
    <row r="2" spans="1:5" x14ac:dyDescent="0.25">
      <c r="A2" s="3">
        <v>38108</v>
      </c>
      <c r="B2" t="s">
        <v>14</v>
      </c>
      <c r="C2" t="s">
        <v>0</v>
      </c>
      <c r="D2" t="s">
        <v>8</v>
      </c>
      <c r="E2" s="1">
        <v>3500</v>
      </c>
    </row>
    <row r="3" spans="1:5" x14ac:dyDescent="0.25">
      <c r="A3" s="3">
        <v>38265</v>
      </c>
      <c r="B3" t="s">
        <v>15</v>
      </c>
      <c r="C3" t="s">
        <v>1</v>
      </c>
      <c r="D3" t="s">
        <v>9</v>
      </c>
      <c r="E3" s="1">
        <v>5950</v>
      </c>
    </row>
    <row r="4" spans="1:5" x14ac:dyDescent="0.25">
      <c r="A4" s="3">
        <v>38367</v>
      </c>
      <c r="B4" t="s">
        <v>16</v>
      </c>
      <c r="C4" t="s">
        <v>2</v>
      </c>
      <c r="D4" t="s">
        <v>10</v>
      </c>
      <c r="E4" s="1">
        <v>3540</v>
      </c>
    </row>
    <row r="5" spans="1:5" x14ac:dyDescent="0.25">
      <c r="A5" s="3"/>
    </row>
    <row r="6" spans="1:5" x14ac:dyDescent="0.25">
      <c r="A6" s="3">
        <v>38777</v>
      </c>
      <c r="B6" t="s">
        <v>17</v>
      </c>
      <c r="C6" t="s">
        <v>20</v>
      </c>
      <c r="D6" t="s">
        <v>11</v>
      </c>
      <c r="E6" s="1">
        <v>2900</v>
      </c>
    </row>
    <row r="7" spans="1:5" x14ac:dyDescent="0.25">
      <c r="A7" s="3">
        <v>40313</v>
      </c>
      <c r="B7" t="s">
        <v>18</v>
      </c>
      <c r="C7" t="s">
        <v>3</v>
      </c>
      <c r="D7" t="s">
        <v>12</v>
      </c>
      <c r="E7" s="1">
        <v>3000</v>
      </c>
    </row>
    <row r="8" spans="1:5" x14ac:dyDescent="0.25">
      <c r="A8" s="3">
        <v>44044</v>
      </c>
      <c r="B8" t="s">
        <v>19</v>
      </c>
      <c r="C8" t="s">
        <v>4</v>
      </c>
      <c r="D8" t="s">
        <v>13</v>
      </c>
      <c r="E8" s="1">
        <v>1950</v>
      </c>
    </row>
  </sheetData>
  <phoneticPr fontId="2"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F344F-FA28-49BC-9405-E27F45658B99}">
  <sheetPr>
    <tabColor rgb="FFFFC000"/>
  </sheetPr>
  <dimension ref="A1:G200"/>
  <sheetViews>
    <sheetView zoomScale="110" zoomScaleNormal="110" workbookViewId="0">
      <selection activeCell="C15" sqref="C15"/>
    </sheetView>
  </sheetViews>
  <sheetFormatPr baseColWidth="10" defaultColWidth="11.5703125" defaultRowHeight="15" x14ac:dyDescent="0.25"/>
  <cols>
    <col min="1" max="1" width="15.140625" style="14" bestFit="1" customWidth="1"/>
    <col min="2" max="2" width="14.85546875" style="15" customWidth="1"/>
    <col min="3" max="3" width="26" style="10" customWidth="1"/>
    <col min="4" max="4" width="11.42578125" style="16" customWidth="1"/>
    <col min="5" max="5" width="12" style="10" customWidth="1"/>
    <col min="6" max="6" width="29.42578125" style="10" customWidth="1"/>
    <col min="7" max="16384" width="11.5703125" style="10"/>
  </cols>
  <sheetData>
    <row r="1" spans="1:7" ht="31.5" customHeight="1" x14ac:dyDescent="0.25">
      <c r="A1" s="5" t="s">
        <v>23</v>
      </c>
      <c r="B1" s="6" t="s">
        <v>63</v>
      </c>
      <c r="C1" s="4" t="s">
        <v>24</v>
      </c>
      <c r="D1" s="7" t="s">
        <v>146</v>
      </c>
      <c r="E1" s="8" t="s">
        <v>62</v>
      </c>
      <c r="F1" s="4" t="s">
        <v>25</v>
      </c>
      <c r="G1" s="9"/>
    </row>
    <row r="2" spans="1:7" x14ac:dyDescent="0.25">
      <c r="A2" s="11">
        <v>45456</v>
      </c>
      <c r="B2" s="12" t="s">
        <v>26</v>
      </c>
      <c r="C2" s="9" t="s">
        <v>27</v>
      </c>
      <c r="D2" s="13">
        <v>16.5</v>
      </c>
      <c r="E2" s="9">
        <v>12</v>
      </c>
      <c r="F2" s="9" t="s">
        <v>28</v>
      </c>
      <c r="G2" s="9"/>
    </row>
    <row r="3" spans="1:7" x14ac:dyDescent="0.25">
      <c r="A3" s="11">
        <v>45456</v>
      </c>
      <c r="B3" s="12" t="s">
        <v>29</v>
      </c>
      <c r="C3" s="9" t="s">
        <v>30</v>
      </c>
      <c r="D3" s="13">
        <v>8.5</v>
      </c>
      <c r="E3" s="9">
        <v>5</v>
      </c>
      <c r="F3" s="9" t="s">
        <v>28</v>
      </c>
      <c r="G3" s="9"/>
    </row>
    <row r="4" spans="1:7" x14ac:dyDescent="0.25">
      <c r="A4" s="11">
        <v>45456</v>
      </c>
      <c r="B4" s="12" t="s">
        <v>31</v>
      </c>
      <c r="C4" s="9" t="s">
        <v>32</v>
      </c>
      <c r="D4" s="13">
        <v>8.4</v>
      </c>
      <c r="E4" s="9">
        <v>10</v>
      </c>
      <c r="F4" s="9" t="s">
        <v>28</v>
      </c>
      <c r="G4" s="9"/>
    </row>
    <row r="5" spans="1:7" x14ac:dyDescent="0.25">
      <c r="A5" s="11">
        <v>45457</v>
      </c>
      <c r="B5" s="12" t="s">
        <v>29</v>
      </c>
      <c r="C5" s="9" t="s">
        <v>30</v>
      </c>
      <c r="D5" s="13">
        <v>8.5</v>
      </c>
      <c r="E5" s="9">
        <v>40</v>
      </c>
      <c r="F5" s="9" t="s">
        <v>33</v>
      </c>
      <c r="G5" s="9"/>
    </row>
    <row r="6" spans="1:7" x14ac:dyDescent="0.25">
      <c r="A6" s="11">
        <v>45457</v>
      </c>
      <c r="B6" s="12" t="s">
        <v>34</v>
      </c>
      <c r="C6" s="9" t="s">
        <v>35</v>
      </c>
      <c r="D6" s="13">
        <v>180</v>
      </c>
      <c r="E6" s="9">
        <v>3</v>
      </c>
      <c r="F6" s="9" t="s">
        <v>33</v>
      </c>
      <c r="G6" s="9"/>
    </row>
    <row r="7" spans="1:7" x14ac:dyDescent="0.25">
      <c r="A7" s="11">
        <v>45457</v>
      </c>
      <c r="B7" s="12" t="s">
        <v>34</v>
      </c>
      <c r="C7" s="9" t="s">
        <v>35</v>
      </c>
      <c r="D7" s="13">
        <v>180</v>
      </c>
      <c r="E7" s="9">
        <v>9</v>
      </c>
      <c r="F7" s="9" t="s">
        <v>33</v>
      </c>
      <c r="G7" s="9"/>
    </row>
    <row r="8" spans="1:7" x14ac:dyDescent="0.25">
      <c r="A8" s="11">
        <v>45460</v>
      </c>
      <c r="B8" s="12" t="s">
        <v>29</v>
      </c>
      <c r="C8" s="9" t="s">
        <v>30</v>
      </c>
      <c r="D8" s="13">
        <v>8.5</v>
      </c>
      <c r="E8" s="9">
        <v>35</v>
      </c>
      <c r="F8" s="9" t="s">
        <v>36</v>
      </c>
      <c r="G8" s="9"/>
    </row>
    <row r="9" spans="1:7" x14ac:dyDescent="0.25">
      <c r="A9" s="11">
        <v>45460</v>
      </c>
      <c r="B9" s="12" t="s">
        <v>29</v>
      </c>
      <c r="C9" s="9" t="s">
        <v>30</v>
      </c>
      <c r="D9" s="13">
        <v>8.5</v>
      </c>
      <c r="E9" s="9">
        <v>20</v>
      </c>
      <c r="F9" s="9" t="s">
        <v>37</v>
      </c>
      <c r="G9" s="9"/>
    </row>
    <row r="10" spans="1:7" x14ac:dyDescent="0.25">
      <c r="A10" s="11">
        <v>45460</v>
      </c>
      <c r="B10" s="12" t="s">
        <v>29</v>
      </c>
      <c r="C10" s="9" t="s">
        <v>30</v>
      </c>
      <c r="D10" s="13">
        <v>8.5</v>
      </c>
      <c r="E10" s="9">
        <v>15</v>
      </c>
      <c r="F10" s="9" t="s">
        <v>36</v>
      </c>
      <c r="G10" s="9"/>
    </row>
    <row r="11" spans="1:7" x14ac:dyDescent="0.25">
      <c r="A11" s="11">
        <v>45460</v>
      </c>
      <c r="B11" s="12" t="s">
        <v>26</v>
      </c>
      <c r="C11" s="9" t="s">
        <v>27</v>
      </c>
      <c r="D11" s="13">
        <v>16.5</v>
      </c>
      <c r="E11" s="9">
        <v>15</v>
      </c>
      <c r="F11" s="9" t="s">
        <v>37</v>
      </c>
      <c r="G11" s="9"/>
    </row>
    <row r="12" spans="1:7" x14ac:dyDescent="0.25">
      <c r="A12" s="11">
        <v>45460</v>
      </c>
      <c r="B12" s="12" t="s">
        <v>38</v>
      </c>
      <c r="C12" s="9" t="s">
        <v>39</v>
      </c>
      <c r="D12" s="13">
        <v>44</v>
      </c>
      <c r="E12" s="9">
        <v>6</v>
      </c>
      <c r="F12" s="9" t="s">
        <v>37</v>
      </c>
      <c r="G12" s="9"/>
    </row>
    <row r="13" spans="1:7" x14ac:dyDescent="0.25">
      <c r="A13" s="11">
        <v>45460</v>
      </c>
      <c r="B13" s="12" t="s">
        <v>38</v>
      </c>
      <c r="C13" s="9" t="s">
        <v>39</v>
      </c>
      <c r="D13" s="13">
        <v>16</v>
      </c>
      <c r="E13" s="9">
        <v>10</v>
      </c>
      <c r="F13" s="9" t="s">
        <v>36</v>
      </c>
      <c r="G13" s="9"/>
    </row>
    <row r="14" spans="1:7" x14ac:dyDescent="0.25">
      <c r="A14" s="11">
        <v>45461</v>
      </c>
      <c r="B14" s="12" t="s">
        <v>31</v>
      </c>
      <c r="C14" s="9" t="s">
        <v>32</v>
      </c>
      <c r="D14" s="13">
        <v>8.4</v>
      </c>
      <c r="E14" s="9">
        <v>40</v>
      </c>
      <c r="F14" s="9" t="s">
        <v>36</v>
      </c>
      <c r="G14" s="9"/>
    </row>
    <row r="15" spans="1:7" x14ac:dyDescent="0.25">
      <c r="A15" s="11">
        <v>45461</v>
      </c>
      <c r="B15" s="12" t="s">
        <v>40</v>
      </c>
      <c r="C15" s="9" t="s">
        <v>41</v>
      </c>
      <c r="D15" s="13">
        <v>23.5</v>
      </c>
      <c r="E15" s="9">
        <v>40</v>
      </c>
      <c r="F15" s="9" t="s">
        <v>36</v>
      </c>
      <c r="G15" s="9"/>
    </row>
    <row r="16" spans="1:7" x14ac:dyDescent="0.25">
      <c r="A16" s="11">
        <v>45461</v>
      </c>
      <c r="B16" s="12" t="s">
        <v>42</v>
      </c>
      <c r="C16" s="9" t="s">
        <v>43</v>
      </c>
      <c r="D16" s="13">
        <v>25</v>
      </c>
      <c r="E16" s="9">
        <v>25</v>
      </c>
      <c r="F16" s="9" t="s">
        <v>36</v>
      </c>
      <c r="G16" s="9"/>
    </row>
    <row r="17" spans="1:7" x14ac:dyDescent="0.25">
      <c r="A17" s="11">
        <v>45462</v>
      </c>
      <c r="B17" s="12" t="s">
        <v>29</v>
      </c>
      <c r="C17" s="9" t="s">
        <v>30</v>
      </c>
      <c r="D17" s="13">
        <v>8.5</v>
      </c>
      <c r="E17" s="9">
        <v>40</v>
      </c>
      <c r="F17" s="9" t="s">
        <v>37</v>
      </c>
      <c r="G17" s="9"/>
    </row>
    <row r="18" spans="1:7" x14ac:dyDescent="0.25">
      <c r="A18" s="11">
        <v>45462</v>
      </c>
      <c r="B18" s="12" t="s">
        <v>40</v>
      </c>
      <c r="C18" s="9" t="s">
        <v>41</v>
      </c>
      <c r="D18" s="13">
        <v>23.5</v>
      </c>
      <c r="E18" s="9">
        <v>42</v>
      </c>
      <c r="F18" s="9" t="s">
        <v>37</v>
      </c>
    </row>
    <row r="19" spans="1:7" x14ac:dyDescent="0.25">
      <c r="A19" s="11">
        <v>45462</v>
      </c>
      <c r="B19" s="12" t="s">
        <v>44</v>
      </c>
      <c r="C19" s="9" t="s">
        <v>45</v>
      </c>
      <c r="D19" s="13">
        <v>45.2</v>
      </c>
      <c r="E19" s="9">
        <v>20</v>
      </c>
      <c r="F19" s="9" t="s">
        <v>37</v>
      </c>
    </row>
    <row r="20" spans="1:7" x14ac:dyDescent="0.25">
      <c r="A20" s="11">
        <v>45463</v>
      </c>
      <c r="B20" s="12" t="s">
        <v>46</v>
      </c>
      <c r="C20" s="9" t="s">
        <v>47</v>
      </c>
      <c r="D20" s="13">
        <v>34.200000000000003</v>
      </c>
      <c r="E20" s="9">
        <v>21</v>
      </c>
      <c r="F20" s="9" t="s">
        <v>28</v>
      </c>
    </row>
    <row r="21" spans="1:7" x14ac:dyDescent="0.25">
      <c r="A21" s="11">
        <v>45463</v>
      </c>
      <c r="B21" s="12" t="s">
        <v>29</v>
      </c>
      <c r="C21" s="9" t="s">
        <v>30</v>
      </c>
      <c r="D21" s="13">
        <v>8.5</v>
      </c>
      <c r="E21" s="9">
        <v>21</v>
      </c>
      <c r="F21" s="9" t="s">
        <v>28</v>
      </c>
    </row>
    <row r="22" spans="1:7" x14ac:dyDescent="0.25">
      <c r="A22" s="11">
        <v>45463</v>
      </c>
      <c r="B22" s="12" t="s">
        <v>44</v>
      </c>
      <c r="C22" s="9" t="s">
        <v>45</v>
      </c>
      <c r="D22" s="13">
        <v>45.2</v>
      </c>
      <c r="E22" s="9">
        <v>15</v>
      </c>
      <c r="F22" s="9" t="s">
        <v>28</v>
      </c>
    </row>
    <row r="23" spans="1:7" x14ac:dyDescent="0.25">
      <c r="A23" s="11">
        <v>45464</v>
      </c>
      <c r="B23" s="12" t="s">
        <v>26</v>
      </c>
      <c r="C23" s="9" t="s">
        <v>27</v>
      </c>
      <c r="D23" s="13">
        <v>16.5</v>
      </c>
      <c r="E23" s="9">
        <v>30</v>
      </c>
      <c r="F23" s="9" t="s">
        <v>48</v>
      </c>
    </row>
    <row r="24" spans="1:7" x14ac:dyDescent="0.25">
      <c r="A24" s="11">
        <v>45464</v>
      </c>
      <c r="B24" s="12" t="s">
        <v>26</v>
      </c>
      <c r="C24" s="9" t="s">
        <v>27</v>
      </c>
      <c r="D24" s="13">
        <v>16.5</v>
      </c>
      <c r="E24" s="9">
        <v>35</v>
      </c>
      <c r="F24" s="9" t="s">
        <v>48</v>
      </c>
    </row>
    <row r="25" spans="1:7" x14ac:dyDescent="0.25">
      <c r="A25" s="11">
        <v>45464</v>
      </c>
      <c r="B25" s="12" t="s">
        <v>38</v>
      </c>
      <c r="C25" s="9" t="s">
        <v>39</v>
      </c>
      <c r="D25" s="13">
        <v>16</v>
      </c>
      <c r="E25" s="9">
        <v>25</v>
      </c>
      <c r="F25" s="9" t="s">
        <v>48</v>
      </c>
    </row>
    <row r="26" spans="1:7" x14ac:dyDescent="0.25">
      <c r="A26" s="11">
        <v>45464</v>
      </c>
      <c r="B26" s="12" t="s">
        <v>40</v>
      </c>
      <c r="C26" s="9" t="s">
        <v>41</v>
      </c>
      <c r="D26" s="13">
        <v>23.5</v>
      </c>
      <c r="E26" s="9">
        <v>20</v>
      </c>
      <c r="F26" s="9" t="s">
        <v>48</v>
      </c>
    </row>
    <row r="27" spans="1:7" x14ac:dyDescent="0.25">
      <c r="A27" s="11">
        <v>45467</v>
      </c>
      <c r="B27" s="12" t="s">
        <v>26</v>
      </c>
      <c r="C27" s="9" t="s">
        <v>27</v>
      </c>
      <c r="D27" s="13">
        <v>16.5</v>
      </c>
      <c r="E27" s="9">
        <v>15</v>
      </c>
      <c r="F27" s="9" t="s">
        <v>37</v>
      </c>
    </row>
    <row r="28" spans="1:7" x14ac:dyDescent="0.25">
      <c r="A28" s="11">
        <v>45467</v>
      </c>
      <c r="B28" s="12" t="s">
        <v>46</v>
      </c>
      <c r="C28" s="9" t="s">
        <v>47</v>
      </c>
      <c r="D28" s="13">
        <v>34.200000000000003</v>
      </c>
      <c r="E28" s="9">
        <v>12</v>
      </c>
      <c r="F28" s="9" t="s">
        <v>37</v>
      </c>
    </row>
    <row r="29" spans="1:7" x14ac:dyDescent="0.25">
      <c r="A29" s="11">
        <v>45468</v>
      </c>
      <c r="B29" s="12" t="s">
        <v>31</v>
      </c>
      <c r="C29" s="9" t="s">
        <v>32</v>
      </c>
      <c r="D29" s="13">
        <v>8.4</v>
      </c>
      <c r="E29" s="9">
        <v>25</v>
      </c>
      <c r="F29" s="9" t="s">
        <v>36</v>
      </c>
    </row>
    <row r="30" spans="1:7" x14ac:dyDescent="0.25">
      <c r="A30" s="11">
        <v>45468</v>
      </c>
      <c r="B30" s="12" t="s">
        <v>46</v>
      </c>
      <c r="C30" s="9" t="s">
        <v>47</v>
      </c>
      <c r="D30" s="13">
        <v>34.200000000000003</v>
      </c>
      <c r="E30" s="9">
        <v>15</v>
      </c>
      <c r="F30" s="9" t="s">
        <v>36</v>
      </c>
    </row>
    <row r="31" spans="1:7" x14ac:dyDescent="0.25">
      <c r="A31" s="11">
        <v>45468</v>
      </c>
      <c r="B31" s="12" t="s">
        <v>40</v>
      </c>
      <c r="C31" s="9" t="s">
        <v>41</v>
      </c>
      <c r="D31" s="13">
        <v>23.5</v>
      </c>
      <c r="E31" s="9">
        <v>6</v>
      </c>
      <c r="F31" s="9" t="s">
        <v>36</v>
      </c>
    </row>
    <row r="32" spans="1:7" x14ac:dyDescent="0.25">
      <c r="A32" s="11">
        <v>45469</v>
      </c>
      <c r="B32" s="12" t="s">
        <v>40</v>
      </c>
      <c r="C32" s="9" t="s">
        <v>41</v>
      </c>
      <c r="D32" s="13">
        <v>23.5</v>
      </c>
      <c r="E32" s="9">
        <v>65</v>
      </c>
      <c r="F32" s="9" t="s">
        <v>49</v>
      </c>
    </row>
    <row r="33" spans="1:6" x14ac:dyDescent="0.25">
      <c r="A33" s="11">
        <v>45469</v>
      </c>
      <c r="B33" s="12" t="s">
        <v>40</v>
      </c>
      <c r="C33" s="9" t="s">
        <v>41</v>
      </c>
      <c r="D33" s="13">
        <v>23.5</v>
      </c>
      <c r="E33" s="9">
        <v>50</v>
      </c>
      <c r="F33" s="9" t="s">
        <v>49</v>
      </c>
    </row>
    <row r="34" spans="1:6" x14ac:dyDescent="0.25">
      <c r="A34" s="11">
        <v>45469</v>
      </c>
      <c r="B34" s="12" t="s">
        <v>29</v>
      </c>
      <c r="C34" s="9" t="s">
        <v>30</v>
      </c>
      <c r="D34" s="13">
        <v>8.5</v>
      </c>
      <c r="E34" s="9">
        <v>6</v>
      </c>
      <c r="F34" s="9" t="s">
        <v>49</v>
      </c>
    </row>
    <row r="35" spans="1:6" x14ac:dyDescent="0.25">
      <c r="A35" s="11">
        <v>45470</v>
      </c>
      <c r="B35" s="12" t="s">
        <v>31</v>
      </c>
      <c r="C35" s="9" t="s">
        <v>32</v>
      </c>
      <c r="D35" s="13">
        <v>8.4</v>
      </c>
      <c r="E35" s="9">
        <v>10</v>
      </c>
      <c r="F35" s="9" t="s">
        <v>36</v>
      </c>
    </row>
    <row r="36" spans="1:6" x14ac:dyDescent="0.25">
      <c r="A36" s="11">
        <v>45470</v>
      </c>
      <c r="B36" s="12" t="s">
        <v>44</v>
      </c>
      <c r="C36" s="9" t="s">
        <v>45</v>
      </c>
      <c r="D36" s="13">
        <v>45.2</v>
      </c>
      <c r="E36" s="9">
        <v>15</v>
      </c>
      <c r="F36" s="9" t="s">
        <v>36</v>
      </c>
    </row>
    <row r="37" spans="1:6" x14ac:dyDescent="0.25">
      <c r="A37" s="11">
        <v>45471</v>
      </c>
      <c r="B37" s="12" t="s">
        <v>26</v>
      </c>
      <c r="C37" s="9" t="s">
        <v>27</v>
      </c>
      <c r="D37" s="13">
        <v>16.5</v>
      </c>
      <c r="E37" s="9">
        <v>50</v>
      </c>
      <c r="F37" s="9" t="s">
        <v>36</v>
      </c>
    </row>
    <row r="38" spans="1:6" x14ac:dyDescent="0.25">
      <c r="A38" s="11">
        <v>45471</v>
      </c>
      <c r="B38" s="12" t="s">
        <v>50</v>
      </c>
      <c r="C38" s="9" t="s">
        <v>51</v>
      </c>
      <c r="D38" s="13">
        <v>12.4</v>
      </c>
      <c r="E38" s="9">
        <v>15</v>
      </c>
      <c r="F38" s="9" t="s">
        <v>36</v>
      </c>
    </row>
    <row r="39" spans="1:6" x14ac:dyDescent="0.25">
      <c r="A39" s="11">
        <v>45471</v>
      </c>
      <c r="B39" s="12" t="s">
        <v>50</v>
      </c>
      <c r="C39" s="9" t="s">
        <v>51</v>
      </c>
      <c r="D39" s="13">
        <v>12.4</v>
      </c>
      <c r="E39" s="9">
        <v>20</v>
      </c>
      <c r="F39" s="9" t="s">
        <v>36</v>
      </c>
    </row>
    <row r="40" spans="1:6" x14ac:dyDescent="0.25">
      <c r="A40" s="11">
        <v>45471</v>
      </c>
      <c r="B40" s="12" t="s">
        <v>46</v>
      </c>
      <c r="C40" s="9" t="s">
        <v>47</v>
      </c>
      <c r="D40" s="13">
        <v>34.200000000000003</v>
      </c>
      <c r="E40" s="9">
        <v>21</v>
      </c>
      <c r="F40" s="9" t="s">
        <v>36</v>
      </c>
    </row>
    <row r="41" spans="1:6" x14ac:dyDescent="0.25">
      <c r="A41" s="11">
        <v>45471</v>
      </c>
      <c r="B41" s="12" t="s">
        <v>31</v>
      </c>
      <c r="C41" s="9" t="s">
        <v>32</v>
      </c>
      <c r="D41" s="13">
        <v>8.4</v>
      </c>
      <c r="E41" s="9">
        <v>20</v>
      </c>
      <c r="F41" s="9" t="s">
        <v>36</v>
      </c>
    </row>
    <row r="42" spans="1:6" x14ac:dyDescent="0.25">
      <c r="A42" s="11">
        <v>45471</v>
      </c>
      <c r="B42" s="12" t="s">
        <v>38</v>
      </c>
      <c r="C42" s="9" t="s">
        <v>39</v>
      </c>
      <c r="D42" s="13">
        <v>16</v>
      </c>
      <c r="E42" s="9">
        <v>16</v>
      </c>
      <c r="F42" s="9" t="s">
        <v>36</v>
      </c>
    </row>
    <row r="43" spans="1:6" x14ac:dyDescent="0.25">
      <c r="A43" s="11">
        <v>45474</v>
      </c>
      <c r="B43" s="12" t="s">
        <v>52</v>
      </c>
      <c r="C43" s="9" t="s">
        <v>53</v>
      </c>
      <c r="D43" s="13">
        <v>44</v>
      </c>
      <c r="E43" s="9">
        <v>15</v>
      </c>
      <c r="F43" s="9" t="s">
        <v>54</v>
      </c>
    </row>
    <row r="44" spans="1:6" x14ac:dyDescent="0.25">
      <c r="A44" s="11">
        <v>45474</v>
      </c>
      <c r="B44" s="12" t="s">
        <v>40</v>
      </c>
      <c r="C44" s="9" t="s">
        <v>41</v>
      </c>
      <c r="D44" s="13">
        <v>23.5</v>
      </c>
      <c r="E44" s="9">
        <v>12</v>
      </c>
      <c r="F44" s="9" t="s">
        <v>54</v>
      </c>
    </row>
    <row r="45" spans="1:6" x14ac:dyDescent="0.25">
      <c r="A45" s="11">
        <v>45474</v>
      </c>
      <c r="B45" s="12" t="s">
        <v>44</v>
      </c>
      <c r="C45" s="9" t="s">
        <v>45</v>
      </c>
      <c r="D45" s="13">
        <v>45.2</v>
      </c>
      <c r="E45" s="9">
        <v>30</v>
      </c>
      <c r="F45" s="9" t="s">
        <v>54</v>
      </c>
    </row>
    <row r="46" spans="1:6" x14ac:dyDescent="0.25">
      <c r="A46" s="11">
        <v>45475</v>
      </c>
      <c r="B46" s="12" t="s">
        <v>46</v>
      </c>
      <c r="C46" s="9" t="s">
        <v>47</v>
      </c>
      <c r="D46" s="13">
        <v>34.200000000000003</v>
      </c>
      <c r="E46" s="9">
        <v>60</v>
      </c>
      <c r="F46" s="9" t="s">
        <v>48</v>
      </c>
    </row>
    <row r="47" spans="1:6" x14ac:dyDescent="0.25">
      <c r="A47" s="11">
        <v>45475</v>
      </c>
      <c r="B47" s="12" t="s">
        <v>26</v>
      </c>
      <c r="C47" s="9" t="s">
        <v>27</v>
      </c>
      <c r="D47" s="13">
        <v>16.5</v>
      </c>
      <c r="E47" s="9">
        <v>60</v>
      </c>
      <c r="F47" s="9" t="s">
        <v>48</v>
      </c>
    </row>
    <row r="48" spans="1:6" x14ac:dyDescent="0.25">
      <c r="A48" s="11">
        <v>45475</v>
      </c>
      <c r="B48" s="12" t="s">
        <v>29</v>
      </c>
      <c r="C48" s="9" t="s">
        <v>30</v>
      </c>
      <c r="D48" s="13">
        <v>8.5</v>
      </c>
      <c r="E48" s="9">
        <v>36</v>
      </c>
      <c r="F48" s="9" t="s">
        <v>48</v>
      </c>
    </row>
    <row r="49" spans="1:6" x14ac:dyDescent="0.25">
      <c r="A49" s="11">
        <v>45475</v>
      </c>
      <c r="B49" s="12" t="s">
        <v>44</v>
      </c>
      <c r="C49" s="9" t="s">
        <v>45</v>
      </c>
      <c r="D49" s="13">
        <v>45.2</v>
      </c>
      <c r="E49" s="9">
        <v>28</v>
      </c>
      <c r="F49" s="9" t="s">
        <v>48</v>
      </c>
    </row>
    <row r="50" spans="1:6" x14ac:dyDescent="0.25">
      <c r="A50" s="11">
        <v>45476</v>
      </c>
      <c r="B50" s="12" t="s">
        <v>40</v>
      </c>
      <c r="C50" s="9" t="s">
        <v>41</v>
      </c>
      <c r="D50" s="13">
        <v>23.5</v>
      </c>
      <c r="E50" s="9">
        <v>35</v>
      </c>
      <c r="F50" s="9" t="s">
        <v>33</v>
      </c>
    </row>
    <row r="51" spans="1:6" x14ac:dyDescent="0.25">
      <c r="A51" s="11">
        <v>45476</v>
      </c>
      <c r="B51" s="12" t="s">
        <v>38</v>
      </c>
      <c r="C51" s="9" t="s">
        <v>39</v>
      </c>
      <c r="D51" s="13">
        <v>16</v>
      </c>
      <c r="E51" s="9">
        <v>25</v>
      </c>
      <c r="F51" s="9" t="s">
        <v>33</v>
      </c>
    </row>
    <row r="52" spans="1:6" x14ac:dyDescent="0.25">
      <c r="A52" s="11">
        <v>45477</v>
      </c>
      <c r="B52" s="12" t="s">
        <v>40</v>
      </c>
      <c r="C52" s="9" t="s">
        <v>41</v>
      </c>
      <c r="D52" s="13">
        <v>23.5</v>
      </c>
      <c r="E52" s="9">
        <v>30</v>
      </c>
      <c r="F52" s="9" t="s">
        <v>55</v>
      </c>
    </row>
    <row r="53" spans="1:6" x14ac:dyDescent="0.25">
      <c r="A53" s="11">
        <v>45477</v>
      </c>
      <c r="B53" s="12" t="s">
        <v>46</v>
      </c>
      <c r="C53" s="9" t="s">
        <v>47</v>
      </c>
      <c r="D53" s="13">
        <v>34.200000000000003</v>
      </c>
      <c r="E53" s="9">
        <v>20</v>
      </c>
      <c r="F53" s="9" t="s">
        <v>55</v>
      </c>
    </row>
    <row r="54" spans="1:6" x14ac:dyDescent="0.25">
      <c r="A54" s="11">
        <v>45478</v>
      </c>
      <c r="B54" s="12" t="s">
        <v>26</v>
      </c>
      <c r="C54" s="9" t="s">
        <v>27</v>
      </c>
      <c r="D54" s="13">
        <v>16.5</v>
      </c>
      <c r="E54" s="9">
        <v>12</v>
      </c>
      <c r="F54" s="9" t="s">
        <v>37</v>
      </c>
    </row>
    <row r="55" spans="1:6" x14ac:dyDescent="0.25">
      <c r="A55" s="11">
        <v>45481</v>
      </c>
      <c r="B55" s="12" t="s">
        <v>40</v>
      </c>
      <c r="C55" s="9" t="s">
        <v>41</v>
      </c>
      <c r="D55" s="13">
        <v>23.5</v>
      </c>
      <c r="E55" s="9">
        <v>50</v>
      </c>
      <c r="F55" s="9" t="s">
        <v>36</v>
      </c>
    </row>
    <row r="56" spans="1:6" x14ac:dyDescent="0.25">
      <c r="A56" s="11">
        <v>45481</v>
      </c>
      <c r="B56" s="12" t="s">
        <v>26</v>
      </c>
      <c r="C56" s="9" t="s">
        <v>27</v>
      </c>
      <c r="D56" s="13">
        <v>16.5</v>
      </c>
      <c r="E56" s="9">
        <v>70</v>
      </c>
      <c r="F56" s="9" t="s">
        <v>36</v>
      </c>
    </row>
    <row r="57" spans="1:6" x14ac:dyDescent="0.25">
      <c r="A57" s="11">
        <v>45481</v>
      </c>
      <c r="B57" s="12" t="s">
        <v>38</v>
      </c>
      <c r="C57" s="9" t="s">
        <v>39</v>
      </c>
      <c r="D57" s="13">
        <v>16</v>
      </c>
      <c r="E57" s="9">
        <v>15</v>
      </c>
      <c r="F57" s="9" t="s">
        <v>36</v>
      </c>
    </row>
    <row r="58" spans="1:6" x14ac:dyDescent="0.25">
      <c r="A58" s="11">
        <v>45482</v>
      </c>
      <c r="B58" s="12" t="s">
        <v>56</v>
      </c>
      <c r="C58" s="9" t="s">
        <v>57</v>
      </c>
      <c r="D58" s="13">
        <v>39</v>
      </c>
      <c r="E58" s="9">
        <v>10</v>
      </c>
      <c r="F58" s="9" t="s">
        <v>54</v>
      </c>
    </row>
    <row r="59" spans="1:6" x14ac:dyDescent="0.25">
      <c r="A59" s="11">
        <v>45482</v>
      </c>
      <c r="B59" s="12" t="s">
        <v>29</v>
      </c>
      <c r="C59" s="9" t="s">
        <v>30</v>
      </c>
      <c r="D59" s="13">
        <v>8.5</v>
      </c>
      <c r="E59" s="9">
        <v>4</v>
      </c>
      <c r="F59" s="9" t="s">
        <v>54</v>
      </c>
    </row>
    <row r="60" spans="1:6" x14ac:dyDescent="0.25">
      <c r="A60" s="11">
        <v>45483</v>
      </c>
      <c r="B60" s="12" t="s">
        <v>42</v>
      </c>
      <c r="C60" s="9" t="s">
        <v>43</v>
      </c>
      <c r="D60" s="13">
        <v>25</v>
      </c>
      <c r="E60" s="9">
        <v>60</v>
      </c>
      <c r="F60" s="9" t="s">
        <v>28</v>
      </c>
    </row>
    <row r="61" spans="1:6" x14ac:dyDescent="0.25">
      <c r="A61" s="11">
        <v>45483</v>
      </c>
      <c r="B61" s="12" t="s">
        <v>29</v>
      </c>
      <c r="C61" s="9" t="s">
        <v>30</v>
      </c>
      <c r="D61" s="13">
        <v>8.5</v>
      </c>
      <c r="E61" s="9">
        <v>20</v>
      </c>
      <c r="F61" s="9" t="s">
        <v>28</v>
      </c>
    </row>
    <row r="62" spans="1:6" x14ac:dyDescent="0.25">
      <c r="A62" s="11">
        <v>45483</v>
      </c>
      <c r="B62" s="12" t="s">
        <v>29</v>
      </c>
      <c r="C62" s="9" t="s">
        <v>30</v>
      </c>
      <c r="D62" s="13">
        <v>8.5</v>
      </c>
      <c r="E62" s="9">
        <v>20</v>
      </c>
      <c r="F62" s="9" t="s">
        <v>28</v>
      </c>
    </row>
    <row r="63" spans="1:6" x14ac:dyDescent="0.25">
      <c r="A63" s="11">
        <v>45484</v>
      </c>
      <c r="B63" s="12" t="s">
        <v>38</v>
      </c>
      <c r="C63" s="9" t="s">
        <v>39</v>
      </c>
      <c r="D63" s="13">
        <v>16</v>
      </c>
      <c r="E63" s="9">
        <v>30</v>
      </c>
      <c r="F63" s="9" t="s">
        <v>49</v>
      </c>
    </row>
    <row r="64" spans="1:6" x14ac:dyDescent="0.25">
      <c r="A64" s="11">
        <v>45484</v>
      </c>
      <c r="B64" s="12" t="s">
        <v>38</v>
      </c>
      <c r="C64" s="9" t="s">
        <v>39</v>
      </c>
      <c r="D64" s="13">
        <v>16</v>
      </c>
      <c r="E64" s="9">
        <v>25</v>
      </c>
      <c r="F64" s="9" t="s">
        <v>49</v>
      </c>
    </row>
    <row r="65" spans="1:6" x14ac:dyDescent="0.25">
      <c r="A65" s="11">
        <v>45484</v>
      </c>
      <c r="B65" s="12" t="s">
        <v>38</v>
      </c>
      <c r="C65" s="9" t="s">
        <v>39</v>
      </c>
      <c r="D65" s="13">
        <v>16</v>
      </c>
      <c r="E65" s="9">
        <v>25</v>
      </c>
      <c r="F65" s="9" t="s">
        <v>49</v>
      </c>
    </row>
    <row r="66" spans="1:6" x14ac:dyDescent="0.25">
      <c r="A66" s="11">
        <v>45484</v>
      </c>
      <c r="B66" s="12" t="s">
        <v>42</v>
      </c>
      <c r="C66" s="9" t="s">
        <v>43</v>
      </c>
      <c r="D66" s="13">
        <v>25</v>
      </c>
      <c r="E66" s="9">
        <v>24</v>
      </c>
      <c r="F66" s="9" t="s">
        <v>33</v>
      </c>
    </row>
    <row r="67" spans="1:6" x14ac:dyDescent="0.25">
      <c r="A67" s="11">
        <v>45485</v>
      </c>
      <c r="B67" s="12" t="s">
        <v>44</v>
      </c>
      <c r="C67" s="9" t="s">
        <v>45</v>
      </c>
      <c r="D67" s="13">
        <v>45.2</v>
      </c>
      <c r="E67" s="9">
        <v>40</v>
      </c>
      <c r="F67" s="9" t="s">
        <v>33</v>
      </c>
    </row>
    <row r="68" spans="1:6" x14ac:dyDescent="0.25">
      <c r="A68" s="11">
        <v>45485</v>
      </c>
      <c r="B68" s="12" t="s">
        <v>29</v>
      </c>
      <c r="C68" s="9" t="s">
        <v>30</v>
      </c>
      <c r="D68" s="13">
        <v>8.5</v>
      </c>
      <c r="E68" s="9">
        <v>24</v>
      </c>
      <c r="F68" s="9" t="s">
        <v>33</v>
      </c>
    </row>
    <row r="69" spans="1:6" x14ac:dyDescent="0.25">
      <c r="A69" s="11">
        <v>45485</v>
      </c>
      <c r="B69" s="12" t="s">
        <v>31</v>
      </c>
      <c r="C69" s="9" t="s">
        <v>32</v>
      </c>
      <c r="D69" s="13">
        <v>8.4</v>
      </c>
      <c r="E69" s="9">
        <v>6</v>
      </c>
      <c r="F69" s="9" t="s">
        <v>33</v>
      </c>
    </row>
    <row r="70" spans="1:6" x14ac:dyDescent="0.25">
      <c r="A70" s="11">
        <v>45488</v>
      </c>
      <c r="B70" s="12" t="s">
        <v>40</v>
      </c>
      <c r="C70" s="9" t="s">
        <v>41</v>
      </c>
      <c r="D70" s="13">
        <v>23.5</v>
      </c>
      <c r="E70" s="9">
        <v>60</v>
      </c>
      <c r="F70" s="9" t="s">
        <v>37</v>
      </c>
    </row>
    <row r="71" spans="1:6" x14ac:dyDescent="0.25">
      <c r="A71" s="11">
        <v>45488</v>
      </c>
      <c r="B71" s="12" t="s">
        <v>38</v>
      </c>
      <c r="C71" s="9" t="s">
        <v>39</v>
      </c>
      <c r="D71" s="13">
        <v>16</v>
      </c>
      <c r="E71" s="9">
        <v>33</v>
      </c>
      <c r="F71" s="9" t="s">
        <v>37</v>
      </c>
    </row>
    <row r="72" spans="1:6" x14ac:dyDescent="0.25">
      <c r="A72" s="11">
        <v>45488</v>
      </c>
      <c r="B72" s="12" t="s">
        <v>38</v>
      </c>
      <c r="C72" s="9" t="s">
        <v>39</v>
      </c>
      <c r="D72" s="13">
        <v>16</v>
      </c>
      <c r="E72" s="9">
        <v>24</v>
      </c>
      <c r="F72" s="9" t="s">
        <v>37</v>
      </c>
    </row>
    <row r="73" spans="1:6" x14ac:dyDescent="0.25">
      <c r="A73" s="11">
        <v>45488</v>
      </c>
      <c r="B73" s="12" t="s">
        <v>44</v>
      </c>
      <c r="C73" s="9" t="s">
        <v>45</v>
      </c>
      <c r="D73" s="13">
        <v>45.2</v>
      </c>
      <c r="E73" s="9">
        <v>15</v>
      </c>
      <c r="F73" s="9" t="s">
        <v>37</v>
      </c>
    </row>
    <row r="74" spans="1:6" x14ac:dyDescent="0.25">
      <c r="A74" s="11">
        <v>45488</v>
      </c>
      <c r="B74" s="12" t="s">
        <v>42</v>
      </c>
      <c r="C74" s="9" t="s">
        <v>43</v>
      </c>
      <c r="D74" s="13">
        <v>25</v>
      </c>
      <c r="E74" s="9">
        <v>20</v>
      </c>
      <c r="F74" s="9" t="s">
        <v>37</v>
      </c>
    </row>
    <row r="75" spans="1:6" x14ac:dyDescent="0.25">
      <c r="A75" s="11">
        <v>45489</v>
      </c>
      <c r="B75" s="12" t="s">
        <v>42</v>
      </c>
      <c r="C75" s="9" t="s">
        <v>43</v>
      </c>
      <c r="D75" s="13">
        <v>25</v>
      </c>
      <c r="E75" s="9">
        <v>20</v>
      </c>
      <c r="F75" s="9" t="s">
        <v>33</v>
      </c>
    </row>
    <row r="76" spans="1:6" x14ac:dyDescent="0.25">
      <c r="A76" s="11">
        <v>45489</v>
      </c>
      <c r="B76" s="12" t="s">
        <v>29</v>
      </c>
      <c r="C76" s="9" t="s">
        <v>30</v>
      </c>
      <c r="D76" s="13">
        <v>8.5</v>
      </c>
      <c r="E76" s="9">
        <v>7</v>
      </c>
      <c r="F76" s="9" t="s">
        <v>33</v>
      </c>
    </row>
    <row r="77" spans="1:6" x14ac:dyDescent="0.25">
      <c r="A77" s="11">
        <v>45490</v>
      </c>
      <c r="B77" s="12" t="s">
        <v>26</v>
      </c>
      <c r="C77" s="9" t="s">
        <v>27</v>
      </c>
      <c r="D77" s="13">
        <v>16.5</v>
      </c>
      <c r="E77" s="9">
        <v>6</v>
      </c>
      <c r="F77" s="9" t="s">
        <v>49</v>
      </c>
    </row>
    <row r="78" spans="1:6" x14ac:dyDescent="0.25">
      <c r="A78" s="11">
        <v>45490</v>
      </c>
      <c r="B78" s="12" t="s">
        <v>44</v>
      </c>
      <c r="C78" s="9" t="s">
        <v>45</v>
      </c>
      <c r="D78" s="13">
        <v>45.2</v>
      </c>
      <c r="E78" s="9">
        <v>12</v>
      </c>
      <c r="F78" s="9" t="s">
        <v>49</v>
      </c>
    </row>
    <row r="79" spans="1:6" x14ac:dyDescent="0.25">
      <c r="A79" s="11">
        <v>45491</v>
      </c>
      <c r="B79" s="12" t="s">
        <v>38</v>
      </c>
      <c r="C79" s="9" t="s">
        <v>39</v>
      </c>
      <c r="D79" s="13">
        <v>16</v>
      </c>
      <c r="E79" s="9">
        <v>15</v>
      </c>
      <c r="F79" s="9" t="s">
        <v>54</v>
      </c>
    </row>
    <row r="80" spans="1:6" x14ac:dyDescent="0.25">
      <c r="A80" s="11">
        <v>45491</v>
      </c>
      <c r="B80" s="12" t="s">
        <v>38</v>
      </c>
      <c r="C80" s="9" t="s">
        <v>39</v>
      </c>
      <c r="D80" s="13">
        <v>16</v>
      </c>
      <c r="E80" s="9">
        <v>10</v>
      </c>
      <c r="F80" s="9" t="s">
        <v>54</v>
      </c>
    </row>
    <row r="81" spans="1:6" x14ac:dyDescent="0.25">
      <c r="A81" s="11">
        <v>45492</v>
      </c>
      <c r="B81" s="12" t="s">
        <v>31</v>
      </c>
      <c r="C81" s="9" t="s">
        <v>58</v>
      </c>
      <c r="D81" s="13">
        <v>118</v>
      </c>
      <c r="E81" s="9">
        <v>20</v>
      </c>
      <c r="F81" s="9" t="s">
        <v>55</v>
      </c>
    </row>
    <row r="82" spans="1:6" x14ac:dyDescent="0.25">
      <c r="A82" s="11">
        <v>45492</v>
      </c>
      <c r="B82" s="12" t="s">
        <v>50</v>
      </c>
      <c r="C82" s="9" t="s">
        <v>51</v>
      </c>
      <c r="D82" s="13">
        <v>12.4</v>
      </c>
      <c r="E82" s="9">
        <v>12</v>
      </c>
      <c r="F82" s="9" t="s">
        <v>55</v>
      </c>
    </row>
    <row r="83" spans="1:6" x14ac:dyDescent="0.25">
      <c r="A83" s="11">
        <v>45495</v>
      </c>
      <c r="B83" s="12" t="s">
        <v>26</v>
      </c>
      <c r="C83" s="9" t="s">
        <v>27</v>
      </c>
      <c r="D83" s="13">
        <v>16.5</v>
      </c>
      <c r="E83" s="9">
        <v>15</v>
      </c>
      <c r="F83" s="9" t="s">
        <v>54</v>
      </c>
    </row>
    <row r="84" spans="1:6" x14ac:dyDescent="0.25">
      <c r="A84" s="11">
        <v>45495</v>
      </c>
      <c r="B84" s="12" t="s">
        <v>31</v>
      </c>
      <c r="C84" s="9" t="s">
        <v>58</v>
      </c>
      <c r="D84" s="13">
        <v>118</v>
      </c>
      <c r="E84" s="9">
        <v>25</v>
      </c>
      <c r="F84" s="9" t="s">
        <v>54</v>
      </c>
    </row>
    <row r="85" spans="1:6" x14ac:dyDescent="0.25">
      <c r="A85" s="11">
        <v>45495</v>
      </c>
      <c r="B85" s="12" t="s">
        <v>59</v>
      </c>
      <c r="C85" s="9" t="s">
        <v>60</v>
      </c>
      <c r="D85" s="13">
        <v>4.5</v>
      </c>
      <c r="E85" s="9">
        <v>25</v>
      </c>
      <c r="F85" s="9" t="s">
        <v>54</v>
      </c>
    </row>
    <row r="86" spans="1:6" x14ac:dyDescent="0.25">
      <c r="A86" s="11">
        <v>45495</v>
      </c>
      <c r="B86" s="12" t="s">
        <v>38</v>
      </c>
      <c r="C86" s="9" t="s">
        <v>39</v>
      </c>
      <c r="D86" s="13">
        <v>16</v>
      </c>
      <c r="E86" s="9">
        <v>16</v>
      </c>
      <c r="F86" s="9" t="s">
        <v>54</v>
      </c>
    </row>
    <row r="87" spans="1:6" x14ac:dyDescent="0.25">
      <c r="A87" s="11">
        <v>45496</v>
      </c>
      <c r="B87" s="12" t="s">
        <v>40</v>
      </c>
      <c r="C87" s="9" t="s">
        <v>41</v>
      </c>
      <c r="D87" s="13">
        <v>23.5</v>
      </c>
      <c r="E87" s="9">
        <v>15</v>
      </c>
      <c r="F87" s="9" t="s">
        <v>54</v>
      </c>
    </row>
    <row r="88" spans="1:6" x14ac:dyDescent="0.25">
      <c r="A88" s="11">
        <v>45497</v>
      </c>
      <c r="B88" s="12" t="s">
        <v>31</v>
      </c>
      <c r="C88" s="9" t="s">
        <v>58</v>
      </c>
      <c r="D88" s="13">
        <v>118</v>
      </c>
      <c r="E88" s="9">
        <v>30</v>
      </c>
      <c r="F88" s="9" t="s">
        <v>55</v>
      </c>
    </row>
    <row r="89" spans="1:6" x14ac:dyDescent="0.25">
      <c r="A89" s="11">
        <v>45497</v>
      </c>
      <c r="B89" s="12" t="s">
        <v>46</v>
      </c>
      <c r="C89" s="9" t="s">
        <v>47</v>
      </c>
      <c r="D89" s="13">
        <v>34.200000000000003</v>
      </c>
      <c r="E89" s="9">
        <v>20</v>
      </c>
      <c r="F89" s="9" t="s">
        <v>55</v>
      </c>
    </row>
    <row r="90" spans="1:6" x14ac:dyDescent="0.25">
      <c r="A90" s="11">
        <v>45497</v>
      </c>
      <c r="B90" s="12" t="s">
        <v>50</v>
      </c>
      <c r="C90" s="9" t="s">
        <v>51</v>
      </c>
      <c r="D90" s="13">
        <v>12.4</v>
      </c>
      <c r="E90" s="9">
        <v>8</v>
      </c>
      <c r="F90" s="9" t="s">
        <v>36</v>
      </c>
    </row>
    <row r="91" spans="1:6" x14ac:dyDescent="0.25">
      <c r="A91" s="11">
        <v>45497</v>
      </c>
      <c r="B91" s="12" t="s">
        <v>44</v>
      </c>
      <c r="C91" s="9" t="s">
        <v>45</v>
      </c>
      <c r="D91" s="13">
        <v>45.2</v>
      </c>
      <c r="E91" s="9">
        <v>12</v>
      </c>
      <c r="F91" s="9" t="s">
        <v>55</v>
      </c>
    </row>
    <row r="92" spans="1:6" x14ac:dyDescent="0.25">
      <c r="A92" s="11">
        <v>45497</v>
      </c>
      <c r="B92" s="12" t="s">
        <v>44</v>
      </c>
      <c r="C92" s="9" t="s">
        <v>45</v>
      </c>
      <c r="D92" s="13">
        <v>45.2</v>
      </c>
      <c r="E92" s="9">
        <v>6</v>
      </c>
      <c r="F92" s="9" t="s">
        <v>36</v>
      </c>
    </row>
    <row r="93" spans="1:6" x14ac:dyDescent="0.25">
      <c r="A93" s="11">
        <v>45497</v>
      </c>
      <c r="B93" s="12" t="s">
        <v>50</v>
      </c>
      <c r="C93" s="9" t="s">
        <v>51</v>
      </c>
      <c r="D93" s="13">
        <v>12.4</v>
      </c>
      <c r="E93" s="9">
        <v>40</v>
      </c>
      <c r="F93" s="9" t="s">
        <v>36</v>
      </c>
    </row>
    <row r="94" spans="1:6" x14ac:dyDescent="0.25">
      <c r="A94" s="11">
        <v>45498</v>
      </c>
      <c r="B94" s="12" t="s">
        <v>46</v>
      </c>
      <c r="C94" s="9" t="s">
        <v>47</v>
      </c>
      <c r="D94" s="13">
        <v>34.200000000000003</v>
      </c>
      <c r="E94" s="9">
        <v>6</v>
      </c>
      <c r="F94" s="9" t="s">
        <v>36</v>
      </c>
    </row>
    <row r="95" spans="1:6" x14ac:dyDescent="0.25">
      <c r="A95" s="11">
        <v>45498</v>
      </c>
      <c r="B95" s="12" t="s">
        <v>26</v>
      </c>
      <c r="C95" s="9" t="s">
        <v>27</v>
      </c>
      <c r="D95" s="13">
        <v>16.5</v>
      </c>
      <c r="E95" s="9">
        <v>2</v>
      </c>
      <c r="F95" s="9" t="s">
        <v>36</v>
      </c>
    </row>
    <row r="96" spans="1:6" x14ac:dyDescent="0.25">
      <c r="A96" s="11">
        <v>45499</v>
      </c>
      <c r="B96" s="12" t="s">
        <v>40</v>
      </c>
      <c r="C96" s="9" t="s">
        <v>41</v>
      </c>
      <c r="D96" s="13">
        <v>23.5</v>
      </c>
      <c r="E96" s="9">
        <v>35</v>
      </c>
      <c r="F96" s="9" t="s">
        <v>37</v>
      </c>
    </row>
    <row r="97" spans="1:6" x14ac:dyDescent="0.25">
      <c r="A97" s="11">
        <v>45499</v>
      </c>
      <c r="B97" s="12" t="s">
        <v>42</v>
      </c>
      <c r="C97" s="9" t="s">
        <v>43</v>
      </c>
      <c r="D97" s="13">
        <v>25</v>
      </c>
      <c r="E97" s="9">
        <v>20</v>
      </c>
      <c r="F97" s="9" t="s">
        <v>37</v>
      </c>
    </row>
    <row r="98" spans="1:6" x14ac:dyDescent="0.25">
      <c r="A98" s="11">
        <v>45499</v>
      </c>
      <c r="B98" s="12" t="s">
        <v>50</v>
      </c>
      <c r="C98" s="9" t="s">
        <v>51</v>
      </c>
      <c r="D98" s="13">
        <v>12.4</v>
      </c>
      <c r="E98" s="9">
        <v>18</v>
      </c>
      <c r="F98" s="9" t="s">
        <v>37</v>
      </c>
    </row>
    <row r="99" spans="1:6" x14ac:dyDescent="0.25">
      <c r="A99" s="11">
        <v>45499</v>
      </c>
      <c r="B99" s="12" t="s">
        <v>29</v>
      </c>
      <c r="C99" s="9" t="s">
        <v>30</v>
      </c>
      <c r="D99" s="13">
        <v>8.5</v>
      </c>
      <c r="E99" s="9">
        <v>3</v>
      </c>
      <c r="F99" s="9" t="s">
        <v>37</v>
      </c>
    </row>
    <row r="100" spans="1:6" x14ac:dyDescent="0.25">
      <c r="A100" s="11">
        <v>45502</v>
      </c>
      <c r="B100" s="12" t="s">
        <v>40</v>
      </c>
      <c r="C100" s="9" t="s">
        <v>41</v>
      </c>
      <c r="D100" s="13">
        <v>23.5</v>
      </c>
      <c r="E100" s="9">
        <v>20</v>
      </c>
      <c r="F100" s="9" t="s">
        <v>36</v>
      </c>
    </row>
    <row r="101" spans="1:6" x14ac:dyDescent="0.25">
      <c r="A101" s="11">
        <v>45502</v>
      </c>
      <c r="B101" s="12" t="s">
        <v>31</v>
      </c>
      <c r="C101" s="9" t="s">
        <v>32</v>
      </c>
      <c r="D101" s="13">
        <v>8.4</v>
      </c>
      <c r="E101" s="9">
        <v>15</v>
      </c>
      <c r="F101" s="9" t="s">
        <v>36</v>
      </c>
    </row>
    <row r="102" spans="1:6" x14ac:dyDescent="0.25">
      <c r="A102" s="11">
        <v>45502</v>
      </c>
      <c r="B102" s="12" t="s">
        <v>38</v>
      </c>
      <c r="C102" s="9" t="s">
        <v>39</v>
      </c>
      <c r="D102" s="13">
        <v>16</v>
      </c>
      <c r="E102" s="9">
        <v>21</v>
      </c>
      <c r="F102" s="9" t="s">
        <v>36</v>
      </c>
    </row>
    <row r="103" spans="1:6" x14ac:dyDescent="0.25">
      <c r="A103" s="11">
        <v>45502</v>
      </c>
      <c r="B103" s="12" t="s">
        <v>38</v>
      </c>
      <c r="C103" s="9" t="s">
        <v>39</v>
      </c>
      <c r="D103" s="13">
        <v>16</v>
      </c>
      <c r="E103" s="9">
        <v>5</v>
      </c>
      <c r="F103" s="9" t="s">
        <v>36</v>
      </c>
    </row>
    <row r="104" spans="1:6" x14ac:dyDescent="0.25">
      <c r="A104" s="11">
        <v>45503</v>
      </c>
      <c r="B104" s="12" t="s">
        <v>26</v>
      </c>
      <c r="C104" s="9" t="s">
        <v>27</v>
      </c>
      <c r="D104" s="13">
        <v>16.5</v>
      </c>
      <c r="E104" s="9">
        <v>36</v>
      </c>
      <c r="F104" s="9" t="s">
        <v>49</v>
      </c>
    </row>
    <row r="105" spans="1:6" x14ac:dyDescent="0.25">
      <c r="A105" s="11">
        <v>45503</v>
      </c>
      <c r="B105" s="12" t="s">
        <v>40</v>
      </c>
      <c r="C105" s="9" t="s">
        <v>41</v>
      </c>
      <c r="D105" s="13">
        <v>23.5</v>
      </c>
      <c r="E105" s="9">
        <v>45</v>
      </c>
      <c r="F105" s="9" t="s">
        <v>49</v>
      </c>
    </row>
    <row r="106" spans="1:6" x14ac:dyDescent="0.25">
      <c r="A106" s="11">
        <v>45503</v>
      </c>
      <c r="B106" s="12" t="s">
        <v>40</v>
      </c>
      <c r="C106" s="9" t="s">
        <v>41</v>
      </c>
      <c r="D106" s="13">
        <v>23.5</v>
      </c>
      <c r="E106" s="9">
        <v>40</v>
      </c>
      <c r="F106" s="9" t="s">
        <v>49</v>
      </c>
    </row>
    <row r="107" spans="1:6" x14ac:dyDescent="0.25">
      <c r="A107" s="11">
        <v>45504</v>
      </c>
      <c r="B107" s="12" t="s">
        <v>50</v>
      </c>
      <c r="C107" s="9" t="s">
        <v>51</v>
      </c>
      <c r="D107" s="13">
        <v>12.4</v>
      </c>
      <c r="E107" s="9">
        <v>40</v>
      </c>
      <c r="F107" s="9" t="s">
        <v>54</v>
      </c>
    </row>
    <row r="108" spans="1:6" x14ac:dyDescent="0.25">
      <c r="A108" s="11">
        <v>45504</v>
      </c>
      <c r="B108" s="12" t="s">
        <v>50</v>
      </c>
      <c r="C108" s="9" t="s">
        <v>51</v>
      </c>
      <c r="D108" s="13">
        <v>12.4</v>
      </c>
      <c r="E108" s="9">
        <v>100</v>
      </c>
      <c r="F108" s="9" t="s">
        <v>54</v>
      </c>
    </row>
    <row r="109" spans="1:6" x14ac:dyDescent="0.25">
      <c r="A109" s="11">
        <v>45505</v>
      </c>
      <c r="B109" s="12" t="s">
        <v>26</v>
      </c>
      <c r="C109" s="9" t="s">
        <v>27</v>
      </c>
      <c r="D109" s="13">
        <v>16.5</v>
      </c>
      <c r="E109" s="9">
        <v>40</v>
      </c>
      <c r="F109" s="9" t="s">
        <v>54</v>
      </c>
    </row>
    <row r="110" spans="1:6" x14ac:dyDescent="0.25">
      <c r="A110" s="11">
        <v>45505</v>
      </c>
      <c r="B110" s="12" t="s">
        <v>31</v>
      </c>
      <c r="C110" s="9" t="s">
        <v>58</v>
      </c>
      <c r="D110" s="13">
        <v>118</v>
      </c>
      <c r="E110" s="9">
        <v>20</v>
      </c>
      <c r="F110" s="9" t="s">
        <v>54</v>
      </c>
    </row>
    <row r="111" spans="1:6" x14ac:dyDescent="0.25">
      <c r="A111" s="11">
        <v>45505</v>
      </c>
      <c r="B111" s="12" t="s">
        <v>50</v>
      </c>
      <c r="C111" s="9" t="s">
        <v>51</v>
      </c>
      <c r="D111" s="13">
        <v>12.4</v>
      </c>
      <c r="E111" s="9">
        <v>15</v>
      </c>
      <c r="F111" s="9" t="s">
        <v>54</v>
      </c>
    </row>
    <row r="112" spans="1:6" x14ac:dyDescent="0.25">
      <c r="A112" s="11">
        <v>45506</v>
      </c>
      <c r="B112" s="12" t="s">
        <v>56</v>
      </c>
      <c r="C112" s="9" t="s">
        <v>57</v>
      </c>
      <c r="D112" s="13">
        <v>39</v>
      </c>
      <c r="E112" s="9">
        <v>10</v>
      </c>
      <c r="F112" s="9" t="s">
        <v>36</v>
      </c>
    </row>
    <row r="113" spans="1:6" x14ac:dyDescent="0.25">
      <c r="A113" s="11">
        <v>45506</v>
      </c>
      <c r="B113" s="12" t="s">
        <v>31</v>
      </c>
      <c r="C113" s="9" t="s">
        <v>32</v>
      </c>
      <c r="D113" s="13">
        <v>8.4</v>
      </c>
      <c r="E113" s="9">
        <v>3</v>
      </c>
      <c r="F113" s="9" t="s">
        <v>36</v>
      </c>
    </row>
    <row r="114" spans="1:6" x14ac:dyDescent="0.25">
      <c r="A114" s="11">
        <v>45509</v>
      </c>
      <c r="B114" s="12" t="s">
        <v>40</v>
      </c>
      <c r="C114" s="9" t="s">
        <v>41</v>
      </c>
      <c r="D114" s="13">
        <v>23.5</v>
      </c>
      <c r="E114" s="9">
        <v>30</v>
      </c>
      <c r="F114" s="9" t="s">
        <v>61</v>
      </c>
    </row>
    <row r="115" spans="1:6" x14ac:dyDescent="0.25">
      <c r="A115" s="11">
        <v>45509</v>
      </c>
      <c r="B115" s="12" t="s">
        <v>59</v>
      </c>
      <c r="C115" s="9" t="s">
        <v>60</v>
      </c>
      <c r="D115" s="13">
        <v>4.5</v>
      </c>
      <c r="E115" s="9">
        <v>30</v>
      </c>
      <c r="F115" s="9" t="s">
        <v>61</v>
      </c>
    </row>
    <row r="116" spans="1:6" x14ac:dyDescent="0.25">
      <c r="A116" s="11">
        <v>45510</v>
      </c>
      <c r="B116" s="12" t="s">
        <v>56</v>
      </c>
      <c r="C116" s="9" t="s">
        <v>57</v>
      </c>
      <c r="D116" s="13">
        <v>39</v>
      </c>
      <c r="E116" s="9">
        <v>15</v>
      </c>
      <c r="F116" s="9" t="s">
        <v>54</v>
      </c>
    </row>
    <row r="117" spans="1:6" x14ac:dyDescent="0.25">
      <c r="A117" s="11">
        <v>45510</v>
      </c>
      <c r="B117" s="12" t="s">
        <v>38</v>
      </c>
      <c r="C117" s="9" t="s">
        <v>39</v>
      </c>
      <c r="D117" s="13">
        <v>16</v>
      </c>
      <c r="E117" s="9">
        <v>24</v>
      </c>
      <c r="F117" s="9" t="s">
        <v>33</v>
      </c>
    </row>
    <row r="118" spans="1:6" x14ac:dyDescent="0.25">
      <c r="A118" s="11">
        <v>45510</v>
      </c>
      <c r="B118" s="12" t="s">
        <v>40</v>
      </c>
      <c r="C118" s="9" t="s">
        <v>41</v>
      </c>
      <c r="D118" s="13">
        <v>23.5</v>
      </c>
      <c r="E118" s="9">
        <v>20</v>
      </c>
      <c r="F118" s="9" t="s">
        <v>54</v>
      </c>
    </row>
    <row r="119" spans="1:6" x14ac:dyDescent="0.25">
      <c r="A119" s="11">
        <v>45510</v>
      </c>
      <c r="B119" s="12" t="s">
        <v>29</v>
      </c>
      <c r="C119" s="9" t="s">
        <v>30</v>
      </c>
      <c r="D119" s="13">
        <v>8.5</v>
      </c>
      <c r="E119" s="9">
        <v>15</v>
      </c>
      <c r="F119" s="9" t="s">
        <v>54</v>
      </c>
    </row>
    <row r="120" spans="1:6" x14ac:dyDescent="0.25">
      <c r="A120" s="11">
        <v>45510</v>
      </c>
      <c r="B120" s="12" t="s">
        <v>46</v>
      </c>
      <c r="C120" s="9" t="s">
        <v>47</v>
      </c>
      <c r="D120" s="13">
        <v>34.200000000000003</v>
      </c>
      <c r="E120" s="9">
        <v>10</v>
      </c>
      <c r="F120" s="9" t="s">
        <v>54</v>
      </c>
    </row>
    <row r="121" spans="1:6" x14ac:dyDescent="0.25">
      <c r="A121" s="11">
        <v>45510</v>
      </c>
      <c r="B121" s="12" t="s">
        <v>38</v>
      </c>
      <c r="C121" s="9" t="s">
        <v>39</v>
      </c>
      <c r="D121" s="13">
        <v>16</v>
      </c>
      <c r="E121" s="9">
        <v>20</v>
      </c>
      <c r="F121" s="9" t="s">
        <v>33</v>
      </c>
    </row>
    <row r="122" spans="1:6" x14ac:dyDescent="0.25">
      <c r="A122" s="11">
        <v>45510</v>
      </c>
      <c r="B122" s="12" t="s">
        <v>29</v>
      </c>
      <c r="C122" s="9" t="s">
        <v>30</v>
      </c>
      <c r="D122" s="13">
        <v>8.5</v>
      </c>
      <c r="E122" s="9">
        <v>2</v>
      </c>
      <c r="F122" s="9" t="s">
        <v>33</v>
      </c>
    </row>
    <row r="123" spans="1:6" x14ac:dyDescent="0.25">
      <c r="A123" s="11">
        <v>45511</v>
      </c>
      <c r="B123" s="12" t="s">
        <v>31</v>
      </c>
      <c r="C123" s="9" t="s">
        <v>32</v>
      </c>
      <c r="D123" s="13">
        <v>8.4</v>
      </c>
      <c r="E123" s="9">
        <v>20</v>
      </c>
      <c r="F123" s="9" t="s">
        <v>49</v>
      </c>
    </row>
    <row r="124" spans="1:6" x14ac:dyDescent="0.25">
      <c r="A124" s="11">
        <v>45512</v>
      </c>
      <c r="B124" s="12" t="s">
        <v>40</v>
      </c>
      <c r="C124" s="9" t="s">
        <v>41</v>
      </c>
      <c r="D124" s="13">
        <v>23.5</v>
      </c>
      <c r="E124" s="9">
        <v>12</v>
      </c>
      <c r="F124" s="9" t="s">
        <v>49</v>
      </c>
    </row>
    <row r="125" spans="1:6" x14ac:dyDescent="0.25">
      <c r="A125" s="11">
        <v>45512</v>
      </c>
      <c r="B125" s="12" t="s">
        <v>59</v>
      </c>
      <c r="C125" s="9" t="s">
        <v>60</v>
      </c>
      <c r="D125" s="13">
        <v>4.5</v>
      </c>
      <c r="E125" s="9">
        <v>60</v>
      </c>
      <c r="F125" s="9" t="s">
        <v>49</v>
      </c>
    </row>
    <row r="126" spans="1:6" x14ac:dyDescent="0.25">
      <c r="A126" s="11">
        <v>45512</v>
      </c>
      <c r="B126" s="12" t="s">
        <v>31</v>
      </c>
      <c r="C126" s="9" t="s">
        <v>58</v>
      </c>
      <c r="D126" s="13">
        <v>118</v>
      </c>
      <c r="E126" s="9">
        <v>6</v>
      </c>
      <c r="F126" s="9" t="s">
        <v>49</v>
      </c>
    </row>
    <row r="127" spans="1:6" x14ac:dyDescent="0.25">
      <c r="A127" s="11">
        <v>45512</v>
      </c>
      <c r="B127" s="12" t="s">
        <v>44</v>
      </c>
      <c r="C127" s="9" t="s">
        <v>45</v>
      </c>
      <c r="D127" s="13">
        <v>45.2</v>
      </c>
      <c r="E127" s="9">
        <v>10</v>
      </c>
      <c r="F127" s="9" t="s">
        <v>49</v>
      </c>
    </row>
    <row r="128" spans="1:6" x14ac:dyDescent="0.25">
      <c r="A128" s="11">
        <v>45513</v>
      </c>
      <c r="B128" s="12" t="s">
        <v>40</v>
      </c>
      <c r="C128" s="9" t="s">
        <v>41</v>
      </c>
      <c r="D128" s="13">
        <v>23.5</v>
      </c>
      <c r="E128" s="9">
        <v>21</v>
      </c>
      <c r="F128" s="9" t="s">
        <v>36</v>
      </c>
    </row>
    <row r="129" spans="1:6" x14ac:dyDescent="0.25">
      <c r="A129" s="11">
        <v>45513</v>
      </c>
      <c r="B129" s="12" t="s">
        <v>38</v>
      </c>
      <c r="C129" s="9" t="s">
        <v>39</v>
      </c>
      <c r="D129" s="13">
        <v>16</v>
      </c>
      <c r="E129" s="9">
        <v>15</v>
      </c>
      <c r="F129" s="9" t="s">
        <v>36</v>
      </c>
    </row>
    <row r="130" spans="1:6" x14ac:dyDescent="0.25">
      <c r="A130" s="11">
        <v>45513</v>
      </c>
      <c r="B130" s="12" t="s">
        <v>40</v>
      </c>
      <c r="C130" s="9" t="s">
        <v>41</v>
      </c>
      <c r="D130" s="13">
        <v>23.5</v>
      </c>
      <c r="E130" s="9">
        <v>15</v>
      </c>
      <c r="F130" s="9" t="s">
        <v>36</v>
      </c>
    </row>
    <row r="131" spans="1:6" x14ac:dyDescent="0.25">
      <c r="A131" s="11">
        <v>45513</v>
      </c>
      <c r="B131" s="12" t="s">
        <v>40</v>
      </c>
      <c r="C131" s="9" t="s">
        <v>41</v>
      </c>
      <c r="D131" s="13">
        <v>23.5</v>
      </c>
      <c r="E131" s="9">
        <v>18</v>
      </c>
      <c r="F131" s="9" t="s">
        <v>36</v>
      </c>
    </row>
    <row r="132" spans="1:6" x14ac:dyDescent="0.25">
      <c r="A132" s="11">
        <v>45513</v>
      </c>
      <c r="B132" s="12" t="s">
        <v>31</v>
      </c>
      <c r="C132" s="9" t="s">
        <v>58</v>
      </c>
      <c r="D132" s="13">
        <v>118</v>
      </c>
      <c r="E132" s="9">
        <v>6</v>
      </c>
      <c r="F132" s="9" t="s">
        <v>36</v>
      </c>
    </row>
    <row r="133" spans="1:6" x14ac:dyDescent="0.25">
      <c r="A133" s="11">
        <v>45516</v>
      </c>
      <c r="B133" s="12" t="s">
        <v>44</v>
      </c>
      <c r="C133" s="9" t="s">
        <v>45</v>
      </c>
      <c r="D133" s="13">
        <v>45.2</v>
      </c>
      <c r="E133" s="9">
        <v>10</v>
      </c>
      <c r="F133" s="9" t="s">
        <v>55</v>
      </c>
    </row>
    <row r="134" spans="1:6" x14ac:dyDescent="0.25">
      <c r="A134" s="11">
        <v>45517</v>
      </c>
      <c r="B134" s="12" t="s">
        <v>26</v>
      </c>
      <c r="C134" s="9" t="s">
        <v>27</v>
      </c>
      <c r="D134" s="13">
        <v>16.5</v>
      </c>
      <c r="E134" s="9">
        <v>30</v>
      </c>
      <c r="F134" s="9" t="s">
        <v>33</v>
      </c>
    </row>
    <row r="135" spans="1:6" x14ac:dyDescent="0.25">
      <c r="A135" s="11">
        <v>45517</v>
      </c>
      <c r="B135" s="12" t="s">
        <v>38</v>
      </c>
      <c r="C135" s="9" t="s">
        <v>39</v>
      </c>
      <c r="D135" s="13">
        <v>16</v>
      </c>
      <c r="E135" s="9">
        <v>15</v>
      </c>
      <c r="F135" s="9" t="s">
        <v>33</v>
      </c>
    </row>
    <row r="136" spans="1:6" x14ac:dyDescent="0.25">
      <c r="A136" s="11">
        <v>45517</v>
      </c>
      <c r="B136" s="12" t="s">
        <v>26</v>
      </c>
      <c r="C136" s="9" t="s">
        <v>27</v>
      </c>
      <c r="D136" s="13">
        <v>16.5</v>
      </c>
      <c r="E136" s="9">
        <v>12</v>
      </c>
      <c r="F136" s="9" t="s">
        <v>33</v>
      </c>
    </row>
    <row r="137" spans="1:6" x14ac:dyDescent="0.25">
      <c r="A137" s="11">
        <v>45518</v>
      </c>
      <c r="B137" s="12" t="s">
        <v>40</v>
      </c>
      <c r="C137" s="9" t="s">
        <v>41</v>
      </c>
      <c r="D137" s="13">
        <v>23.5</v>
      </c>
      <c r="E137" s="9">
        <v>60</v>
      </c>
      <c r="F137" s="9" t="s">
        <v>28</v>
      </c>
    </row>
    <row r="138" spans="1:6" x14ac:dyDescent="0.25">
      <c r="A138" s="11">
        <v>45518</v>
      </c>
      <c r="B138" s="12" t="s">
        <v>29</v>
      </c>
      <c r="C138" s="9" t="s">
        <v>30</v>
      </c>
      <c r="D138" s="13">
        <v>8.5</v>
      </c>
      <c r="E138" s="9">
        <v>20</v>
      </c>
      <c r="F138" s="9" t="s">
        <v>28</v>
      </c>
    </row>
    <row r="139" spans="1:6" x14ac:dyDescent="0.25">
      <c r="A139" s="11">
        <v>45519</v>
      </c>
      <c r="B139" s="12" t="s">
        <v>26</v>
      </c>
      <c r="C139" s="9" t="s">
        <v>27</v>
      </c>
      <c r="D139" s="13">
        <v>16.5</v>
      </c>
      <c r="E139" s="9">
        <v>30</v>
      </c>
      <c r="F139" s="9" t="s">
        <v>33</v>
      </c>
    </row>
    <row r="140" spans="1:6" x14ac:dyDescent="0.25">
      <c r="A140" s="11">
        <v>45519</v>
      </c>
      <c r="B140" s="12" t="s">
        <v>38</v>
      </c>
      <c r="C140" s="9" t="s">
        <v>39</v>
      </c>
      <c r="D140" s="13">
        <v>16</v>
      </c>
      <c r="E140" s="9">
        <v>40</v>
      </c>
      <c r="F140" s="9" t="s">
        <v>33</v>
      </c>
    </row>
    <row r="141" spans="1:6" x14ac:dyDescent="0.25">
      <c r="A141" s="11">
        <v>45519</v>
      </c>
      <c r="B141" s="12" t="s">
        <v>40</v>
      </c>
      <c r="C141" s="9" t="s">
        <v>41</v>
      </c>
      <c r="D141" s="13">
        <v>23.5</v>
      </c>
      <c r="E141" s="9">
        <v>40</v>
      </c>
      <c r="F141" s="9" t="s">
        <v>33</v>
      </c>
    </row>
    <row r="142" spans="1:6" x14ac:dyDescent="0.25">
      <c r="A142" s="11">
        <v>45519</v>
      </c>
      <c r="B142" s="12" t="s">
        <v>50</v>
      </c>
      <c r="C142" s="9" t="s">
        <v>51</v>
      </c>
      <c r="D142" s="13">
        <v>12.4</v>
      </c>
      <c r="E142" s="9">
        <v>15</v>
      </c>
      <c r="F142" s="9" t="s">
        <v>33</v>
      </c>
    </row>
    <row r="143" spans="1:6" x14ac:dyDescent="0.25">
      <c r="A143" s="11">
        <v>45520</v>
      </c>
      <c r="B143" s="12" t="s">
        <v>46</v>
      </c>
      <c r="C143" s="9" t="s">
        <v>47</v>
      </c>
      <c r="D143" s="13">
        <v>34.200000000000003</v>
      </c>
      <c r="E143" s="9">
        <v>20</v>
      </c>
      <c r="F143" s="9" t="s">
        <v>36</v>
      </c>
    </row>
    <row r="144" spans="1:6" x14ac:dyDescent="0.25">
      <c r="A144" s="11">
        <v>45520</v>
      </c>
      <c r="B144" s="12" t="s">
        <v>50</v>
      </c>
      <c r="C144" s="9" t="s">
        <v>51</v>
      </c>
      <c r="D144" s="13">
        <v>12.4</v>
      </c>
      <c r="E144" s="9">
        <v>15</v>
      </c>
      <c r="F144" s="9" t="s">
        <v>36</v>
      </c>
    </row>
    <row r="145" spans="1:6" x14ac:dyDescent="0.25">
      <c r="A145" s="11">
        <v>45523</v>
      </c>
      <c r="B145" s="12" t="s">
        <v>29</v>
      </c>
      <c r="C145" s="9" t="s">
        <v>30</v>
      </c>
      <c r="D145" s="13">
        <v>8.5</v>
      </c>
      <c r="E145" s="9">
        <v>30</v>
      </c>
      <c r="F145" s="9" t="s">
        <v>55</v>
      </c>
    </row>
    <row r="146" spans="1:6" x14ac:dyDescent="0.25">
      <c r="A146" s="11">
        <v>45523</v>
      </c>
      <c r="B146" s="12" t="s">
        <v>44</v>
      </c>
      <c r="C146" s="9" t="s">
        <v>45</v>
      </c>
      <c r="D146" s="13">
        <v>45.2</v>
      </c>
      <c r="E146" s="9">
        <v>20</v>
      </c>
      <c r="F146" s="9" t="s">
        <v>54</v>
      </c>
    </row>
    <row r="147" spans="1:6" x14ac:dyDescent="0.25">
      <c r="A147" s="11">
        <v>45523</v>
      </c>
      <c r="B147" s="12" t="s">
        <v>31</v>
      </c>
      <c r="C147" s="9" t="s">
        <v>32</v>
      </c>
      <c r="D147" s="13">
        <v>8.4</v>
      </c>
      <c r="E147" s="9">
        <v>20</v>
      </c>
      <c r="F147" s="9" t="s">
        <v>55</v>
      </c>
    </row>
    <row r="148" spans="1:6" x14ac:dyDescent="0.25">
      <c r="A148" s="11">
        <v>45523</v>
      </c>
      <c r="B148" s="12" t="s">
        <v>40</v>
      </c>
      <c r="C148" s="9" t="s">
        <v>41</v>
      </c>
      <c r="D148" s="13">
        <v>23.5</v>
      </c>
      <c r="E148" s="9">
        <v>10</v>
      </c>
      <c r="F148" s="9" t="s">
        <v>54</v>
      </c>
    </row>
    <row r="149" spans="1:6" x14ac:dyDescent="0.25">
      <c r="A149" s="11">
        <v>45524</v>
      </c>
      <c r="B149" s="12" t="s">
        <v>40</v>
      </c>
      <c r="C149" s="9" t="s">
        <v>41</v>
      </c>
      <c r="D149" s="13">
        <v>23.5</v>
      </c>
      <c r="E149" s="9">
        <v>40</v>
      </c>
      <c r="F149" s="9" t="s">
        <v>36</v>
      </c>
    </row>
    <row r="150" spans="1:6" x14ac:dyDescent="0.25">
      <c r="A150" s="11">
        <v>45524</v>
      </c>
      <c r="B150" s="12" t="s">
        <v>31</v>
      </c>
      <c r="C150" s="9" t="s">
        <v>58</v>
      </c>
      <c r="D150" s="13">
        <v>118</v>
      </c>
      <c r="E150" s="9">
        <v>28</v>
      </c>
      <c r="F150" s="9" t="s">
        <v>36</v>
      </c>
    </row>
    <row r="151" spans="1:6" x14ac:dyDescent="0.25">
      <c r="A151" s="11">
        <v>45524</v>
      </c>
      <c r="B151" s="12" t="s">
        <v>38</v>
      </c>
      <c r="C151" s="9" t="s">
        <v>39</v>
      </c>
      <c r="D151" s="13">
        <v>16</v>
      </c>
      <c r="E151" s="9">
        <v>12</v>
      </c>
      <c r="F151" s="9" t="s">
        <v>36</v>
      </c>
    </row>
    <row r="152" spans="1:6" x14ac:dyDescent="0.25">
      <c r="A152" s="11">
        <v>45525</v>
      </c>
      <c r="B152" s="12" t="s">
        <v>40</v>
      </c>
      <c r="C152" s="9" t="s">
        <v>41</v>
      </c>
      <c r="D152" s="13">
        <v>23.5</v>
      </c>
      <c r="E152" s="9">
        <v>40</v>
      </c>
      <c r="F152" s="9" t="s">
        <v>61</v>
      </c>
    </row>
    <row r="153" spans="1:6" x14ac:dyDescent="0.25">
      <c r="A153" s="11">
        <v>45525</v>
      </c>
      <c r="B153" s="12" t="s">
        <v>29</v>
      </c>
      <c r="C153" s="9" t="s">
        <v>30</v>
      </c>
      <c r="D153" s="13">
        <v>8.5</v>
      </c>
      <c r="E153" s="9">
        <v>30</v>
      </c>
      <c r="F153" s="9" t="s">
        <v>61</v>
      </c>
    </row>
    <row r="154" spans="1:6" x14ac:dyDescent="0.25">
      <c r="A154" s="11">
        <v>45525</v>
      </c>
      <c r="B154" s="12" t="s">
        <v>31</v>
      </c>
      <c r="C154" s="9" t="s">
        <v>32</v>
      </c>
      <c r="D154" s="13">
        <v>8.4</v>
      </c>
      <c r="E154" s="9">
        <v>15</v>
      </c>
      <c r="F154" s="9" t="s">
        <v>61</v>
      </c>
    </row>
    <row r="155" spans="1:6" x14ac:dyDescent="0.25">
      <c r="A155" s="11">
        <v>45526</v>
      </c>
      <c r="B155" s="12" t="s">
        <v>29</v>
      </c>
      <c r="C155" s="9" t="s">
        <v>30</v>
      </c>
      <c r="D155" s="13">
        <v>8.5</v>
      </c>
      <c r="E155" s="9">
        <v>30</v>
      </c>
      <c r="F155" s="9" t="s">
        <v>49</v>
      </c>
    </row>
    <row r="156" spans="1:6" x14ac:dyDescent="0.25">
      <c r="A156" s="11">
        <v>45526</v>
      </c>
      <c r="B156" s="12" t="s">
        <v>26</v>
      </c>
      <c r="C156" s="9" t="s">
        <v>27</v>
      </c>
      <c r="D156" s="13">
        <v>16.5</v>
      </c>
      <c r="E156" s="9">
        <v>10</v>
      </c>
      <c r="F156" s="9" t="s">
        <v>49</v>
      </c>
    </row>
    <row r="157" spans="1:6" x14ac:dyDescent="0.25">
      <c r="A157" s="11">
        <v>45526</v>
      </c>
      <c r="B157" s="12" t="s">
        <v>42</v>
      </c>
      <c r="C157" s="9" t="s">
        <v>43</v>
      </c>
      <c r="D157" s="13">
        <v>25</v>
      </c>
      <c r="E157" s="9">
        <v>2</v>
      </c>
      <c r="F157" s="9" t="s">
        <v>49</v>
      </c>
    </row>
    <row r="158" spans="1:6" x14ac:dyDescent="0.25">
      <c r="A158" s="11">
        <v>45527</v>
      </c>
      <c r="B158" s="12" t="s">
        <v>40</v>
      </c>
      <c r="C158" s="9" t="s">
        <v>41</v>
      </c>
      <c r="D158" s="13">
        <v>23.5</v>
      </c>
      <c r="E158" s="9">
        <v>30</v>
      </c>
      <c r="F158" s="9" t="s">
        <v>54</v>
      </c>
    </row>
    <row r="159" spans="1:6" x14ac:dyDescent="0.25">
      <c r="A159" s="11">
        <v>45527</v>
      </c>
      <c r="B159" s="12" t="s">
        <v>56</v>
      </c>
      <c r="C159" s="9" t="s">
        <v>57</v>
      </c>
      <c r="D159" s="13">
        <v>39</v>
      </c>
      <c r="E159" s="9">
        <v>25</v>
      </c>
      <c r="F159" s="9" t="s">
        <v>54</v>
      </c>
    </row>
    <row r="160" spans="1:6" x14ac:dyDescent="0.25">
      <c r="A160" s="11">
        <v>45527</v>
      </c>
      <c r="B160" s="12" t="s">
        <v>40</v>
      </c>
      <c r="C160" s="9" t="s">
        <v>41</v>
      </c>
      <c r="D160" s="13">
        <v>23.5</v>
      </c>
      <c r="E160" s="9">
        <v>25</v>
      </c>
      <c r="F160" s="9" t="s">
        <v>54</v>
      </c>
    </row>
    <row r="161" spans="1:6" x14ac:dyDescent="0.25">
      <c r="A161" s="11">
        <v>45530</v>
      </c>
      <c r="B161" s="12" t="s">
        <v>26</v>
      </c>
      <c r="C161" s="9" t="s">
        <v>27</v>
      </c>
      <c r="D161" s="13">
        <v>16.5</v>
      </c>
      <c r="E161" s="9">
        <v>10</v>
      </c>
      <c r="F161" s="9" t="s">
        <v>49</v>
      </c>
    </row>
    <row r="162" spans="1:6" x14ac:dyDescent="0.25">
      <c r="A162" s="11">
        <v>45530</v>
      </c>
      <c r="B162" s="12" t="s">
        <v>46</v>
      </c>
      <c r="C162" s="9" t="s">
        <v>47</v>
      </c>
      <c r="D162" s="13">
        <v>34.200000000000003</v>
      </c>
      <c r="E162" s="9">
        <v>10</v>
      </c>
      <c r="F162" s="9" t="s">
        <v>49</v>
      </c>
    </row>
    <row r="163" spans="1:6" x14ac:dyDescent="0.25">
      <c r="A163" s="11">
        <v>45530</v>
      </c>
      <c r="B163" s="12" t="s">
        <v>56</v>
      </c>
      <c r="C163" s="9" t="s">
        <v>57</v>
      </c>
      <c r="D163" s="13">
        <v>39</v>
      </c>
      <c r="E163" s="9">
        <v>5</v>
      </c>
      <c r="F163" s="9" t="s">
        <v>49</v>
      </c>
    </row>
    <row r="164" spans="1:6" x14ac:dyDescent="0.25">
      <c r="A164" s="11">
        <v>45531</v>
      </c>
      <c r="B164" s="12" t="s">
        <v>50</v>
      </c>
      <c r="C164" s="9" t="s">
        <v>51</v>
      </c>
      <c r="D164" s="13">
        <v>12.4</v>
      </c>
      <c r="E164" s="9">
        <v>10</v>
      </c>
      <c r="F164" s="9" t="s">
        <v>55</v>
      </c>
    </row>
    <row r="165" spans="1:6" x14ac:dyDescent="0.25">
      <c r="A165" s="11">
        <v>45531</v>
      </c>
      <c r="B165" s="12" t="s">
        <v>31</v>
      </c>
      <c r="C165" s="9" t="s">
        <v>32</v>
      </c>
      <c r="D165" s="13">
        <v>8.4</v>
      </c>
      <c r="E165" s="9">
        <v>3</v>
      </c>
      <c r="F165" s="9" t="s">
        <v>55</v>
      </c>
    </row>
    <row r="166" spans="1:6" x14ac:dyDescent="0.25">
      <c r="A166" s="11">
        <v>45532</v>
      </c>
      <c r="B166" s="12" t="s">
        <v>46</v>
      </c>
      <c r="C166" s="9" t="s">
        <v>47</v>
      </c>
      <c r="D166" s="13">
        <v>34.200000000000003</v>
      </c>
      <c r="E166" s="9">
        <v>5</v>
      </c>
      <c r="F166" s="9" t="s">
        <v>61</v>
      </c>
    </row>
    <row r="167" spans="1:6" x14ac:dyDescent="0.25">
      <c r="A167" s="11">
        <v>45532</v>
      </c>
      <c r="B167" s="12" t="s">
        <v>38</v>
      </c>
      <c r="C167" s="9" t="s">
        <v>39</v>
      </c>
      <c r="D167" s="13">
        <v>16</v>
      </c>
      <c r="E167" s="9">
        <v>1</v>
      </c>
      <c r="F167" s="9" t="s">
        <v>61</v>
      </c>
    </row>
    <row r="168" spans="1:6" x14ac:dyDescent="0.25">
      <c r="A168" s="11">
        <v>45533</v>
      </c>
      <c r="B168" s="12" t="s">
        <v>44</v>
      </c>
      <c r="C168" s="9" t="s">
        <v>45</v>
      </c>
      <c r="D168" s="13">
        <v>45.2</v>
      </c>
      <c r="E168" s="9">
        <v>30</v>
      </c>
      <c r="F168" s="9" t="s">
        <v>37</v>
      </c>
    </row>
    <row r="169" spans="1:6" x14ac:dyDescent="0.25">
      <c r="A169" s="11">
        <v>45533</v>
      </c>
      <c r="B169" s="12" t="s">
        <v>38</v>
      </c>
      <c r="C169" s="9" t="s">
        <v>39</v>
      </c>
      <c r="D169" s="13">
        <v>16</v>
      </c>
      <c r="E169" s="9">
        <v>20</v>
      </c>
      <c r="F169" s="9" t="s">
        <v>37</v>
      </c>
    </row>
    <row r="170" spans="1:6" x14ac:dyDescent="0.25">
      <c r="A170" s="11">
        <v>45533</v>
      </c>
      <c r="B170" s="12" t="s">
        <v>40</v>
      </c>
      <c r="C170" s="9" t="s">
        <v>41</v>
      </c>
      <c r="D170" s="13">
        <v>23.5</v>
      </c>
      <c r="E170" s="9">
        <v>20</v>
      </c>
      <c r="F170" s="9" t="s">
        <v>37</v>
      </c>
    </row>
    <row r="171" spans="1:6" x14ac:dyDescent="0.25">
      <c r="A171" s="11">
        <v>45533</v>
      </c>
      <c r="B171" s="12" t="s">
        <v>42</v>
      </c>
      <c r="C171" s="9" t="s">
        <v>43</v>
      </c>
      <c r="D171" s="13">
        <v>25</v>
      </c>
      <c r="E171" s="9">
        <v>3</v>
      </c>
      <c r="F171" s="9" t="s">
        <v>37</v>
      </c>
    </row>
    <row r="172" spans="1:6" x14ac:dyDescent="0.25">
      <c r="A172" s="11">
        <v>45533</v>
      </c>
      <c r="B172" s="12" t="s">
        <v>31</v>
      </c>
      <c r="C172" s="9" t="s">
        <v>32</v>
      </c>
      <c r="D172" s="13">
        <v>8.4</v>
      </c>
      <c r="E172" s="9">
        <v>6</v>
      </c>
      <c r="F172" s="9" t="s">
        <v>37</v>
      </c>
    </row>
    <row r="173" spans="1:6" x14ac:dyDescent="0.25">
      <c r="A173" s="11">
        <v>45534</v>
      </c>
      <c r="B173" s="12" t="s">
        <v>38</v>
      </c>
      <c r="C173" s="9" t="s">
        <v>39</v>
      </c>
      <c r="D173" s="13">
        <v>16</v>
      </c>
      <c r="E173" s="9">
        <v>7</v>
      </c>
      <c r="F173" s="9" t="s">
        <v>49</v>
      </c>
    </row>
    <row r="174" spans="1:6" x14ac:dyDescent="0.25">
      <c r="A174" s="11">
        <v>45534</v>
      </c>
      <c r="B174" s="12" t="s">
        <v>50</v>
      </c>
      <c r="C174" s="9" t="s">
        <v>51</v>
      </c>
      <c r="D174" s="13">
        <v>12.4</v>
      </c>
      <c r="E174" s="9">
        <v>5</v>
      </c>
      <c r="F174" s="9" t="s">
        <v>54</v>
      </c>
    </row>
    <row r="175" spans="1:6" x14ac:dyDescent="0.25">
      <c r="A175" s="11">
        <v>45534</v>
      </c>
      <c r="B175" s="12" t="s">
        <v>26</v>
      </c>
      <c r="C175" s="9" t="s">
        <v>27</v>
      </c>
      <c r="D175" s="13">
        <v>16.5</v>
      </c>
      <c r="E175" s="9">
        <v>10</v>
      </c>
      <c r="F175" s="9" t="s">
        <v>54</v>
      </c>
    </row>
    <row r="176" spans="1:6" x14ac:dyDescent="0.25">
      <c r="A176" s="11">
        <v>45534</v>
      </c>
      <c r="B176" s="12" t="s">
        <v>31</v>
      </c>
      <c r="C176" s="9" t="s">
        <v>32</v>
      </c>
      <c r="D176" s="13">
        <v>8.4</v>
      </c>
      <c r="E176" s="9">
        <v>6</v>
      </c>
      <c r="F176" s="9" t="s">
        <v>49</v>
      </c>
    </row>
    <row r="177" spans="1:6" x14ac:dyDescent="0.25">
      <c r="A177" s="11">
        <v>45537</v>
      </c>
      <c r="B177" s="12" t="s">
        <v>38</v>
      </c>
      <c r="C177" s="9" t="s">
        <v>39</v>
      </c>
      <c r="D177" s="13">
        <v>16</v>
      </c>
      <c r="E177" s="9">
        <v>24</v>
      </c>
      <c r="F177" s="9" t="s">
        <v>55</v>
      </c>
    </row>
    <row r="178" spans="1:6" x14ac:dyDescent="0.25">
      <c r="A178" s="11">
        <v>45537</v>
      </c>
      <c r="B178" s="12" t="s">
        <v>26</v>
      </c>
      <c r="C178" s="9" t="s">
        <v>27</v>
      </c>
      <c r="D178" s="13">
        <v>16.5</v>
      </c>
      <c r="E178" s="9">
        <v>20</v>
      </c>
      <c r="F178" s="9" t="s">
        <v>55</v>
      </c>
    </row>
    <row r="179" spans="1:6" x14ac:dyDescent="0.25">
      <c r="A179" s="11">
        <v>45537</v>
      </c>
      <c r="B179" s="12" t="s">
        <v>31</v>
      </c>
      <c r="C179" s="9" t="s">
        <v>58</v>
      </c>
      <c r="D179" s="13">
        <v>118</v>
      </c>
      <c r="E179" s="9">
        <v>4</v>
      </c>
      <c r="F179" s="9" t="s">
        <v>55</v>
      </c>
    </row>
    <row r="180" spans="1:6" x14ac:dyDescent="0.25">
      <c r="A180" s="11">
        <v>45537</v>
      </c>
      <c r="B180" s="12" t="s">
        <v>31</v>
      </c>
      <c r="C180" s="9" t="s">
        <v>58</v>
      </c>
      <c r="D180" s="13">
        <v>118</v>
      </c>
      <c r="E180" s="9">
        <v>10</v>
      </c>
      <c r="F180" s="9" t="s">
        <v>55</v>
      </c>
    </row>
    <row r="181" spans="1:6" x14ac:dyDescent="0.25">
      <c r="A181" s="11">
        <v>45538</v>
      </c>
      <c r="B181" s="12" t="s">
        <v>38</v>
      </c>
      <c r="C181" s="9" t="s">
        <v>39</v>
      </c>
      <c r="D181" s="13">
        <v>16</v>
      </c>
      <c r="E181" s="9">
        <v>12</v>
      </c>
      <c r="F181" s="9" t="s">
        <v>55</v>
      </c>
    </row>
    <row r="182" spans="1:6" x14ac:dyDescent="0.25">
      <c r="A182" s="11">
        <v>45539</v>
      </c>
      <c r="B182" s="12" t="s">
        <v>29</v>
      </c>
      <c r="C182" s="9" t="s">
        <v>30</v>
      </c>
      <c r="D182" s="13">
        <v>8.5</v>
      </c>
      <c r="E182" s="9">
        <v>40</v>
      </c>
      <c r="F182" s="9" t="s">
        <v>49</v>
      </c>
    </row>
    <row r="183" spans="1:6" x14ac:dyDescent="0.25">
      <c r="A183" s="11">
        <v>45539</v>
      </c>
      <c r="B183" s="12" t="s">
        <v>42</v>
      </c>
      <c r="C183" s="9" t="s">
        <v>43</v>
      </c>
      <c r="D183" s="13">
        <v>25</v>
      </c>
      <c r="E183" s="9">
        <v>30</v>
      </c>
      <c r="F183" s="9" t="s">
        <v>49</v>
      </c>
    </row>
    <row r="184" spans="1:6" x14ac:dyDescent="0.25">
      <c r="A184" s="11">
        <v>45539</v>
      </c>
      <c r="B184" s="12" t="s">
        <v>50</v>
      </c>
      <c r="C184" s="9" t="s">
        <v>51</v>
      </c>
      <c r="D184" s="13">
        <v>12.4</v>
      </c>
      <c r="E184" s="9">
        <v>25</v>
      </c>
      <c r="F184" s="9" t="s">
        <v>49</v>
      </c>
    </row>
    <row r="185" spans="1:6" x14ac:dyDescent="0.25">
      <c r="A185" s="11">
        <v>45540</v>
      </c>
      <c r="B185" s="12" t="s">
        <v>46</v>
      </c>
      <c r="C185" s="9" t="s">
        <v>47</v>
      </c>
      <c r="D185" s="13">
        <v>34.200000000000003</v>
      </c>
      <c r="E185" s="9">
        <v>30</v>
      </c>
      <c r="F185" s="9" t="s">
        <v>36</v>
      </c>
    </row>
    <row r="186" spans="1:6" x14ac:dyDescent="0.25">
      <c r="A186" s="11">
        <v>45540</v>
      </c>
      <c r="B186" s="12" t="s">
        <v>31</v>
      </c>
      <c r="C186" s="9" t="s">
        <v>58</v>
      </c>
      <c r="D186" s="13">
        <v>118</v>
      </c>
      <c r="E186" s="9">
        <v>14</v>
      </c>
      <c r="F186" s="9" t="s">
        <v>36</v>
      </c>
    </row>
    <row r="187" spans="1:6" x14ac:dyDescent="0.25">
      <c r="A187" s="11">
        <v>45541</v>
      </c>
      <c r="B187" s="12" t="s">
        <v>50</v>
      </c>
      <c r="C187" s="9" t="s">
        <v>51</v>
      </c>
      <c r="D187" s="13">
        <v>12.4</v>
      </c>
      <c r="E187" s="9">
        <v>70</v>
      </c>
      <c r="F187" s="9" t="s">
        <v>49</v>
      </c>
    </row>
    <row r="188" spans="1:6" x14ac:dyDescent="0.25">
      <c r="A188" s="11">
        <v>45541</v>
      </c>
      <c r="B188" s="12" t="s">
        <v>38</v>
      </c>
      <c r="C188" s="9" t="s">
        <v>39</v>
      </c>
      <c r="D188" s="13">
        <v>16</v>
      </c>
      <c r="E188" s="9">
        <v>10</v>
      </c>
      <c r="F188" s="9" t="s">
        <v>49</v>
      </c>
    </row>
    <row r="189" spans="1:6" x14ac:dyDescent="0.25">
      <c r="A189" s="11">
        <v>45544</v>
      </c>
      <c r="B189" s="12" t="s">
        <v>40</v>
      </c>
      <c r="C189" s="9" t="s">
        <v>41</v>
      </c>
      <c r="D189" s="13">
        <v>23.5</v>
      </c>
      <c r="E189" s="9">
        <v>20</v>
      </c>
      <c r="F189" s="9" t="s">
        <v>33</v>
      </c>
    </row>
    <row r="190" spans="1:6" x14ac:dyDescent="0.25">
      <c r="A190" s="11">
        <v>45545</v>
      </c>
      <c r="B190" s="12" t="s">
        <v>38</v>
      </c>
      <c r="C190" s="9" t="s">
        <v>39</v>
      </c>
      <c r="D190" s="13">
        <v>16</v>
      </c>
      <c r="E190" s="9">
        <v>20</v>
      </c>
      <c r="F190" s="9" t="s">
        <v>54</v>
      </c>
    </row>
    <row r="191" spans="1:6" x14ac:dyDescent="0.25">
      <c r="A191" s="11">
        <v>45545</v>
      </c>
      <c r="B191" s="12" t="s">
        <v>38</v>
      </c>
      <c r="C191" s="9" t="s">
        <v>39</v>
      </c>
      <c r="D191" s="13">
        <v>16</v>
      </c>
      <c r="E191" s="9">
        <v>6</v>
      </c>
      <c r="F191" s="9" t="s">
        <v>54</v>
      </c>
    </row>
    <row r="192" spans="1:6" x14ac:dyDescent="0.25">
      <c r="A192" s="11">
        <v>45546</v>
      </c>
      <c r="B192" s="12" t="s">
        <v>38</v>
      </c>
      <c r="C192" s="9" t="s">
        <v>39</v>
      </c>
      <c r="D192" s="13">
        <v>16</v>
      </c>
      <c r="E192" s="9">
        <v>30</v>
      </c>
      <c r="F192" s="9" t="s">
        <v>61</v>
      </c>
    </row>
    <row r="193" spans="1:6" x14ac:dyDescent="0.25">
      <c r="A193" s="11">
        <v>45546</v>
      </c>
      <c r="B193" s="12" t="s">
        <v>31</v>
      </c>
      <c r="C193" s="9" t="s">
        <v>58</v>
      </c>
      <c r="D193" s="13">
        <v>118</v>
      </c>
      <c r="E193" s="9">
        <v>14</v>
      </c>
      <c r="F193" s="9" t="s">
        <v>61</v>
      </c>
    </row>
    <row r="194" spans="1:6" x14ac:dyDescent="0.25">
      <c r="A194" s="11">
        <v>45546</v>
      </c>
      <c r="B194" s="12" t="s">
        <v>40</v>
      </c>
      <c r="C194" s="9" t="s">
        <v>41</v>
      </c>
      <c r="D194" s="13">
        <v>23.5</v>
      </c>
      <c r="E194" s="9">
        <v>8</v>
      </c>
      <c r="F194" s="9" t="s">
        <v>61</v>
      </c>
    </row>
    <row r="195" spans="1:6" x14ac:dyDescent="0.25">
      <c r="A195" s="11">
        <v>45547</v>
      </c>
      <c r="B195" s="12" t="s">
        <v>42</v>
      </c>
      <c r="C195" s="9" t="s">
        <v>43</v>
      </c>
      <c r="D195" s="13">
        <v>25</v>
      </c>
      <c r="E195" s="9">
        <v>30</v>
      </c>
      <c r="F195" s="9" t="s">
        <v>28</v>
      </c>
    </row>
    <row r="196" spans="1:6" x14ac:dyDescent="0.25">
      <c r="A196" s="11">
        <v>45547</v>
      </c>
      <c r="B196" s="12" t="s">
        <v>50</v>
      </c>
      <c r="C196" s="9" t="s">
        <v>51</v>
      </c>
      <c r="D196" s="13">
        <v>12.4</v>
      </c>
      <c r="E196" s="9">
        <v>10</v>
      </c>
      <c r="F196" s="9" t="s">
        <v>37</v>
      </c>
    </row>
    <row r="197" spans="1:6" x14ac:dyDescent="0.25">
      <c r="A197" s="11">
        <v>45548</v>
      </c>
      <c r="B197" s="12" t="s">
        <v>42</v>
      </c>
      <c r="C197" s="9" t="s">
        <v>43</v>
      </c>
      <c r="D197" s="13">
        <v>25</v>
      </c>
      <c r="E197" s="9">
        <v>20</v>
      </c>
      <c r="F197" s="9" t="s">
        <v>61</v>
      </c>
    </row>
    <row r="198" spans="1:6" x14ac:dyDescent="0.25">
      <c r="A198" s="11">
        <v>45551</v>
      </c>
      <c r="B198" s="12" t="s">
        <v>42</v>
      </c>
      <c r="C198" s="9" t="s">
        <v>43</v>
      </c>
      <c r="D198" s="13">
        <v>25</v>
      </c>
      <c r="E198" s="9">
        <v>5</v>
      </c>
      <c r="F198" s="9" t="s">
        <v>36</v>
      </c>
    </row>
    <row r="199" spans="1:6" x14ac:dyDescent="0.25">
      <c r="A199" s="11">
        <v>45551</v>
      </c>
      <c r="B199" s="12" t="s">
        <v>40</v>
      </c>
      <c r="C199" s="9" t="s">
        <v>41</v>
      </c>
      <c r="D199" s="13">
        <v>23.5</v>
      </c>
      <c r="E199" s="9">
        <v>4</v>
      </c>
      <c r="F199" s="9" t="s">
        <v>36</v>
      </c>
    </row>
    <row r="200" spans="1:6" x14ac:dyDescent="0.25">
      <c r="A200" s="11">
        <v>45551</v>
      </c>
      <c r="B200" s="12" t="s">
        <v>46</v>
      </c>
      <c r="C200" s="9" t="s">
        <v>47</v>
      </c>
      <c r="D200" s="13">
        <v>34.200000000000003</v>
      </c>
      <c r="E200" s="9">
        <v>4</v>
      </c>
      <c r="F200" s="9" t="s">
        <v>36</v>
      </c>
    </row>
  </sheetData>
  <autoFilter ref="A1:F200" xr:uid="{6AFF344F-FA28-49BC-9405-E27F45658B99}"/>
  <pageMargins left="0.7" right="0.7" top="0.78740157499999996" bottom="0.78740157499999996" header="0.3" footer="0.3"/>
  <pageSetup paperSize="9"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2D538-EB6A-43E9-9A5F-3F2823C1115C}">
  <sheetPr>
    <tabColor rgb="FFFFC000"/>
  </sheetPr>
  <dimension ref="A1:H201"/>
  <sheetViews>
    <sheetView zoomScale="110" zoomScaleNormal="110" workbookViewId="0">
      <selection activeCell="C61" sqref="C61"/>
    </sheetView>
  </sheetViews>
  <sheetFormatPr baseColWidth="10" defaultColWidth="11.5703125" defaultRowHeight="15" x14ac:dyDescent="0.25"/>
  <cols>
    <col min="1" max="1" width="15.140625" style="14" bestFit="1" customWidth="1"/>
    <col min="2" max="2" width="14.85546875" style="15" customWidth="1"/>
    <col min="3" max="3" width="21.28515625" style="10" customWidth="1"/>
    <col min="4" max="4" width="11.42578125" style="16" customWidth="1"/>
    <col min="5" max="5" width="12.85546875" style="10" customWidth="1"/>
    <col min="6" max="6" width="19.140625" style="10" customWidth="1"/>
    <col min="7" max="7" width="4.28515625" style="10" customWidth="1"/>
    <col min="8" max="8" width="11.5703125" style="10"/>
    <col min="9" max="9" width="3.28515625" style="10" customWidth="1"/>
    <col min="10" max="10" width="7.7109375" style="10" customWidth="1"/>
    <col min="11" max="16384" width="11.5703125" style="10"/>
  </cols>
  <sheetData>
    <row r="1" spans="1:8" ht="31.5" customHeight="1" x14ac:dyDescent="0.25">
      <c r="A1" s="5" t="s">
        <v>23</v>
      </c>
      <c r="B1" s="6" t="s">
        <v>63</v>
      </c>
      <c r="C1" s="4" t="s">
        <v>24</v>
      </c>
      <c r="D1" s="7" t="s">
        <v>146</v>
      </c>
      <c r="E1" s="8" t="s">
        <v>62</v>
      </c>
      <c r="F1" s="4" t="s">
        <v>25</v>
      </c>
      <c r="G1" s="9"/>
    </row>
    <row r="2" spans="1:8" hidden="1" x14ac:dyDescent="0.25">
      <c r="A2" s="11">
        <v>45456</v>
      </c>
      <c r="B2" s="12" t="s">
        <v>26</v>
      </c>
      <c r="C2" s="9" t="s">
        <v>27</v>
      </c>
      <c r="D2" s="13">
        <v>16.5</v>
      </c>
      <c r="E2" s="9">
        <v>12</v>
      </c>
      <c r="F2" s="9" t="s">
        <v>28</v>
      </c>
      <c r="G2" s="9"/>
    </row>
    <row r="3" spans="1:8" x14ac:dyDescent="0.25">
      <c r="A3" s="11">
        <v>45456</v>
      </c>
      <c r="B3" s="12" t="s">
        <v>29</v>
      </c>
      <c r="C3" s="9" t="s">
        <v>30</v>
      </c>
      <c r="D3" s="13">
        <v>8.5</v>
      </c>
      <c r="E3" s="9">
        <v>5</v>
      </c>
      <c r="F3" s="9" t="s">
        <v>28</v>
      </c>
      <c r="G3" s="9"/>
    </row>
    <row r="4" spans="1:8" hidden="1" x14ac:dyDescent="0.25">
      <c r="A4" s="11">
        <v>45456</v>
      </c>
      <c r="B4" s="12" t="s">
        <v>31</v>
      </c>
      <c r="C4" s="9" t="s">
        <v>32</v>
      </c>
      <c r="D4" s="13">
        <v>8.4</v>
      </c>
      <c r="E4" s="9">
        <v>10</v>
      </c>
      <c r="F4" s="9" t="s">
        <v>28</v>
      </c>
      <c r="G4" s="9"/>
    </row>
    <row r="5" spans="1:8" hidden="1" x14ac:dyDescent="0.25">
      <c r="A5" s="11">
        <v>45457</v>
      </c>
      <c r="B5" s="12" t="s">
        <v>29</v>
      </c>
      <c r="C5" s="9" t="s">
        <v>30</v>
      </c>
      <c r="D5" s="13">
        <v>8.5</v>
      </c>
      <c r="E5" s="9">
        <v>40</v>
      </c>
      <c r="F5" s="9" t="s">
        <v>33</v>
      </c>
      <c r="G5" s="9"/>
    </row>
    <row r="6" spans="1:8" hidden="1" x14ac:dyDescent="0.25">
      <c r="A6" s="11">
        <v>45457</v>
      </c>
      <c r="B6" s="12" t="s">
        <v>34</v>
      </c>
      <c r="C6" s="9" t="s">
        <v>35</v>
      </c>
      <c r="D6" s="13">
        <v>180</v>
      </c>
      <c r="E6" s="9">
        <v>3</v>
      </c>
      <c r="F6" s="9" t="s">
        <v>33</v>
      </c>
      <c r="G6" s="9"/>
    </row>
    <row r="7" spans="1:8" hidden="1" x14ac:dyDescent="0.25">
      <c r="A7" s="11">
        <v>45457</v>
      </c>
      <c r="B7" s="12" t="s">
        <v>34</v>
      </c>
      <c r="C7" s="9" t="s">
        <v>35</v>
      </c>
      <c r="D7" s="13">
        <v>180</v>
      </c>
      <c r="E7" s="9">
        <v>9</v>
      </c>
      <c r="F7" s="9" t="s">
        <v>33</v>
      </c>
      <c r="G7" s="9"/>
    </row>
    <row r="8" spans="1:8" hidden="1" x14ac:dyDescent="0.25">
      <c r="A8" s="11">
        <v>45460</v>
      </c>
      <c r="B8" s="12" t="s">
        <v>29</v>
      </c>
      <c r="C8" s="9" t="s">
        <v>30</v>
      </c>
      <c r="D8" s="13">
        <v>8.5</v>
      </c>
      <c r="E8" s="9">
        <v>35</v>
      </c>
      <c r="F8" s="9" t="s">
        <v>36</v>
      </c>
      <c r="G8" s="9"/>
    </row>
    <row r="9" spans="1:8" hidden="1" x14ac:dyDescent="0.25">
      <c r="A9" s="11">
        <v>45460</v>
      </c>
      <c r="B9" s="12" t="s">
        <v>29</v>
      </c>
      <c r="C9" s="9" t="s">
        <v>30</v>
      </c>
      <c r="D9" s="13">
        <v>8.5</v>
      </c>
      <c r="E9" s="9">
        <v>20</v>
      </c>
      <c r="F9" s="9" t="s">
        <v>37</v>
      </c>
      <c r="G9" s="9"/>
    </row>
    <row r="10" spans="1:8" hidden="1" x14ac:dyDescent="0.25">
      <c r="A10" s="11">
        <v>45460</v>
      </c>
      <c r="B10" s="12" t="s">
        <v>29</v>
      </c>
      <c r="C10" s="9" t="s">
        <v>30</v>
      </c>
      <c r="D10" s="13">
        <v>8.5</v>
      </c>
      <c r="E10" s="9">
        <v>15</v>
      </c>
      <c r="F10" s="9" t="s">
        <v>36</v>
      </c>
      <c r="G10" s="9"/>
    </row>
    <row r="11" spans="1:8" hidden="1" x14ac:dyDescent="0.25">
      <c r="A11" s="11">
        <v>45460</v>
      </c>
      <c r="B11" s="12" t="s">
        <v>26</v>
      </c>
      <c r="C11" s="9" t="s">
        <v>27</v>
      </c>
      <c r="D11" s="13">
        <v>16.5</v>
      </c>
      <c r="E11" s="9">
        <v>15</v>
      </c>
      <c r="F11" s="9" t="s">
        <v>37</v>
      </c>
      <c r="G11" s="9"/>
    </row>
    <row r="12" spans="1:8" hidden="1" x14ac:dyDescent="0.25">
      <c r="A12" s="11">
        <v>45460</v>
      </c>
      <c r="B12" s="12" t="s">
        <v>38</v>
      </c>
      <c r="C12" s="9" t="s">
        <v>39</v>
      </c>
      <c r="D12" s="13">
        <v>44</v>
      </c>
      <c r="E12" s="9">
        <v>6</v>
      </c>
      <c r="F12" s="9" t="s">
        <v>37</v>
      </c>
      <c r="G12" s="9"/>
    </row>
    <row r="13" spans="1:8" hidden="1" x14ac:dyDescent="0.25">
      <c r="A13" s="11">
        <v>45460</v>
      </c>
      <c r="B13" s="12" t="s">
        <v>38</v>
      </c>
      <c r="C13" s="9" t="s">
        <v>39</v>
      </c>
      <c r="D13" s="13">
        <v>16</v>
      </c>
      <c r="E13" s="9">
        <v>10</v>
      </c>
      <c r="F13" s="9" t="s">
        <v>36</v>
      </c>
      <c r="G13" s="9"/>
    </row>
    <row r="14" spans="1:8" hidden="1" x14ac:dyDescent="0.25">
      <c r="A14" s="11">
        <v>45461</v>
      </c>
      <c r="B14" s="12" t="s">
        <v>31</v>
      </c>
      <c r="C14" s="9" t="s">
        <v>32</v>
      </c>
      <c r="D14" s="13">
        <v>8.4</v>
      </c>
      <c r="E14" s="9">
        <v>40</v>
      </c>
      <c r="F14" s="9" t="s">
        <v>36</v>
      </c>
      <c r="G14" s="9"/>
    </row>
    <row r="15" spans="1:8" hidden="1" x14ac:dyDescent="0.25">
      <c r="A15" s="11">
        <v>45461</v>
      </c>
      <c r="B15" s="12" t="s">
        <v>40</v>
      </c>
      <c r="C15" s="9" t="s">
        <v>41</v>
      </c>
      <c r="D15" s="13">
        <v>23.5</v>
      </c>
      <c r="E15" s="9">
        <v>40</v>
      </c>
      <c r="F15" s="9" t="s">
        <v>36</v>
      </c>
      <c r="G15" s="9"/>
    </row>
    <row r="16" spans="1:8" hidden="1" x14ac:dyDescent="0.25">
      <c r="A16" s="11">
        <v>45461</v>
      </c>
      <c r="B16" s="12" t="s">
        <v>42</v>
      </c>
      <c r="C16" s="9" t="s">
        <v>43</v>
      </c>
      <c r="D16" s="13">
        <v>25</v>
      </c>
      <c r="E16" s="9">
        <v>25</v>
      </c>
      <c r="F16" s="9" t="s">
        <v>36</v>
      </c>
      <c r="G16" s="9"/>
      <c r="H16" s="10">
        <f>tbl_TabFilter[[#This Row],[EP]]*tbl_TabFilter[[#This Row],[VK_Menge]]</f>
        <v>625</v>
      </c>
    </row>
    <row r="17" spans="1:7" hidden="1" x14ac:dyDescent="0.25">
      <c r="A17" s="11">
        <v>45462</v>
      </c>
      <c r="B17" s="12" t="s">
        <v>29</v>
      </c>
      <c r="C17" s="9" t="s">
        <v>30</v>
      </c>
      <c r="D17" s="13">
        <v>8.5</v>
      </c>
      <c r="E17" s="9">
        <v>40</v>
      </c>
      <c r="F17" s="9" t="s">
        <v>37</v>
      </c>
      <c r="G17" s="9"/>
    </row>
    <row r="18" spans="1:7" hidden="1" x14ac:dyDescent="0.25">
      <c r="A18" s="11">
        <v>45462</v>
      </c>
      <c r="B18" s="12" t="s">
        <v>40</v>
      </c>
      <c r="C18" s="9" t="s">
        <v>41</v>
      </c>
      <c r="D18" s="13">
        <v>23.5</v>
      </c>
      <c r="E18" s="9">
        <v>42</v>
      </c>
      <c r="F18" s="9" t="s">
        <v>37</v>
      </c>
    </row>
    <row r="19" spans="1:7" hidden="1" x14ac:dyDescent="0.25">
      <c r="A19" s="11">
        <v>45462</v>
      </c>
      <c r="B19" s="12" t="s">
        <v>44</v>
      </c>
      <c r="C19" s="9" t="s">
        <v>45</v>
      </c>
      <c r="D19" s="13">
        <v>45.2</v>
      </c>
      <c r="E19" s="9">
        <v>20</v>
      </c>
      <c r="F19" s="9" t="s">
        <v>37</v>
      </c>
    </row>
    <row r="20" spans="1:7" hidden="1" x14ac:dyDescent="0.25">
      <c r="A20" s="11">
        <v>45463</v>
      </c>
      <c r="B20" s="12" t="s">
        <v>46</v>
      </c>
      <c r="C20" s="9" t="s">
        <v>47</v>
      </c>
      <c r="D20" s="13">
        <v>34.200000000000003</v>
      </c>
      <c r="E20" s="9">
        <v>21</v>
      </c>
      <c r="F20" s="9" t="s">
        <v>28</v>
      </c>
    </row>
    <row r="21" spans="1:7" x14ac:dyDescent="0.25">
      <c r="A21" s="11">
        <v>45463</v>
      </c>
      <c r="B21" s="12" t="s">
        <v>29</v>
      </c>
      <c r="C21" s="9" t="s">
        <v>30</v>
      </c>
      <c r="D21" s="13">
        <v>8.5</v>
      </c>
      <c r="E21" s="9">
        <v>21</v>
      </c>
      <c r="F21" s="9" t="s">
        <v>28</v>
      </c>
    </row>
    <row r="22" spans="1:7" hidden="1" x14ac:dyDescent="0.25">
      <c r="A22" s="11">
        <v>45463</v>
      </c>
      <c r="B22" s="12" t="s">
        <v>44</v>
      </c>
      <c r="C22" s="9" t="s">
        <v>45</v>
      </c>
      <c r="D22" s="13">
        <v>45.2</v>
      </c>
      <c r="E22" s="9">
        <v>15</v>
      </c>
      <c r="F22" s="9" t="s">
        <v>28</v>
      </c>
    </row>
    <row r="23" spans="1:7" hidden="1" x14ac:dyDescent="0.25">
      <c r="A23" s="11">
        <v>45464</v>
      </c>
      <c r="B23" s="12" t="s">
        <v>26</v>
      </c>
      <c r="C23" s="9" t="s">
        <v>27</v>
      </c>
      <c r="D23" s="13">
        <v>16.5</v>
      </c>
      <c r="E23" s="9">
        <v>30</v>
      </c>
      <c r="F23" s="9" t="s">
        <v>48</v>
      </c>
    </row>
    <row r="24" spans="1:7" hidden="1" x14ac:dyDescent="0.25">
      <c r="A24" s="11">
        <v>45464</v>
      </c>
      <c r="B24" s="12" t="s">
        <v>26</v>
      </c>
      <c r="C24" s="9" t="s">
        <v>27</v>
      </c>
      <c r="D24" s="13">
        <v>16.5</v>
      </c>
      <c r="E24" s="9">
        <v>35</v>
      </c>
      <c r="F24" s="9" t="s">
        <v>48</v>
      </c>
    </row>
    <row r="25" spans="1:7" hidden="1" x14ac:dyDescent="0.25">
      <c r="A25" s="11">
        <v>45464</v>
      </c>
      <c r="B25" s="12" t="s">
        <v>38</v>
      </c>
      <c r="C25" s="9" t="s">
        <v>39</v>
      </c>
      <c r="D25" s="13">
        <v>16</v>
      </c>
      <c r="E25" s="9">
        <v>25</v>
      </c>
      <c r="F25" s="9" t="s">
        <v>48</v>
      </c>
    </row>
    <row r="26" spans="1:7" hidden="1" x14ac:dyDescent="0.25">
      <c r="A26" s="11">
        <v>45464</v>
      </c>
      <c r="B26" s="12" t="s">
        <v>40</v>
      </c>
      <c r="C26" s="9" t="s">
        <v>41</v>
      </c>
      <c r="D26" s="13">
        <v>23.5</v>
      </c>
      <c r="E26" s="9">
        <v>20</v>
      </c>
      <c r="F26" s="9" t="s">
        <v>48</v>
      </c>
    </row>
    <row r="27" spans="1:7" hidden="1" x14ac:dyDescent="0.25">
      <c r="A27" s="11">
        <v>45467</v>
      </c>
      <c r="B27" s="12" t="s">
        <v>26</v>
      </c>
      <c r="C27" s="9" t="s">
        <v>27</v>
      </c>
      <c r="D27" s="13">
        <v>16.5</v>
      </c>
      <c r="E27" s="9">
        <v>15</v>
      </c>
      <c r="F27" s="9" t="s">
        <v>37</v>
      </c>
    </row>
    <row r="28" spans="1:7" hidden="1" x14ac:dyDescent="0.25">
      <c r="A28" s="11">
        <v>45467</v>
      </c>
      <c r="B28" s="12" t="s">
        <v>46</v>
      </c>
      <c r="C28" s="9" t="s">
        <v>47</v>
      </c>
      <c r="D28" s="13">
        <v>34.200000000000003</v>
      </c>
      <c r="E28" s="9">
        <v>12</v>
      </c>
      <c r="F28" s="9" t="s">
        <v>37</v>
      </c>
    </row>
    <row r="29" spans="1:7" hidden="1" x14ac:dyDescent="0.25">
      <c r="A29" s="11">
        <v>45468</v>
      </c>
      <c r="B29" s="12" t="s">
        <v>31</v>
      </c>
      <c r="C29" s="9" t="s">
        <v>32</v>
      </c>
      <c r="D29" s="13">
        <v>8.4</v>
      </c>
      <c r="E29" s="9">
        <v>25</v>
      </c>
      <c r="F29" s="9" t="s">
        <v>36</v>
      </c>
    </row>
    <row r="30" spans="1:7" hidden="1" x14ac:dyDescent="0.25">
      <c r="A30" s="11">
        <v>45468</v>
      </c>
      <c r="B30" s="12" t="s">
        <v>46</v>
      </c>
      <c r="C30" s="9" t="s">
        <v>47</v>
      </c>
      <c r="D30" s="13">
        <v>34.200000000000003</v>
      </c>
      <c r="E30" s="9">
        <v>15</v>
      </c>
      <c r="F30" s="9" t="s">
        <v>36</v>
      </c>
    </row>
    <row r="31" spans="1:7" hidden="1" x14ac:dyDescent="0.25">
      <c r="A31" s="11">
        <v>45468</v>
      </c>
      <c r="B31" s="12" t="s">
        <v>40</v>
      </c>
      <c r="C31" s="9" t="s">
        <v>41</v>
      </c>
      <c r="D31" s="13">
        <v>23.5</v>
      </c>
      <c r="E31" s="9">
        <v>6</v>
      </c>
      <c r="F31" s="9" t="s">
        <v>36</v>
      </c>
    </row>
    <row r="32" spans="1:7" hidden="1" x14ac:dyDescent="0.25">
      <c r="A32" s="11">
        <v>45469</v>
      </c>
      <c r="B32" s="12" t="s">
        <v>40</v>
      </c>
      <c r="C32" s="9" t="s">
        <v>41</v>
      </c>
      <c r="D32" s="13">
        <v>23.5</v>
      </c>
      <c r="E32" s="9">
        <v>65</v>
      </c>
      <c r="F32" s="9" t="s">
        <v>49</v>
      </c>
    </row>
    <row r="33" spans="1:6" hidden="1" x14ac:dyDescent="0.25">
      <c r="A33" s="11">
        <v>45469</v>
      </c>
      <c r="B33" s="12" t="s">
        <v>40</v>
      </c>
      <c r="C33" s="9" t="s">
        <v>41</v>
      </c>
      <c r="D33" s="13">
        <v>23.5</v>
      </c>
      <c r="E33" s="9">
        <v>50</v>
      </c>
      <c r="F33" s="9" t="s">
        <v>49</v>
      </c>
    </row>
    <row r="34" spans="1:6" hidden="1" x14ac:dyDescent="0.25">
      <c r="A34" s="11">
        <v>45469</v>
      </c>
      <c r="B34" s="12" t="s">
        <v>29</v>
      </c>
      <c r="C34" s="9" t="s">
        <v>30</v>
      </c>
      <c r="D34" s="13">
        <v>8.5</v>
      </c>
      <c r="E34" s="9">
        <v>6</v>
      </c>
      <c r="F34" s="9" t="s">
        <v>49</v>
      </c>
    </row>
    <row r="35" spans="1:6" hidden="1" x14ac:dyDescent="0.25">
      <c r="A35" s="11">
        <v>45470</v>
      </c>
      <c r="B35" s="12" t="s">
        <v>31</v>
      </c>
      <c r="C35" s="9" t="s">
        <v>32</v>
      </c>
      <c r="D35" s="13">
        <v>8.4</v>
      </c>
      <c r="E35" s="9">
        <v>10</v>
      </c>
      <c r="F35" s="9" t="s">
        <v>36</v>
      </c>
    </row>
    <row r="36" spans="1:6" hidden="1" x14ac:dyDescent="0.25">
      <c r="A36" s="11">
        <v>45470</v>
      </c>
      <c r="B36" s="12" t="s">
        <v>44</v>
      </c>
      <c r="C36" s="9" t="s">
        <v>45</v>
      </c>
      <c r="D36" s="13">
        <v>45.2</v>
      </c>
      <c r="E36" s="9">
        <v>15</v>
      </c>
      <c r="F36" s="9" t="s">
        <v>36</v>
      </c>
    </row>
    <row r="37" spans="1:6" hidden="1" x14ac:dyDescent="0.25">
      <c r="A37" s="11">
        <v>45471</v>
      </c>
      <c r="B37" s="12" t="s">
        <v>26</v>
      </c>
      <c r="C37" s="9" t="s">
        <v>27</v>
      </c>
      <c r="D37" s="13">
        <v>16.5</v>
      </c>
      <c r="E37" s="9">
        <v>50</v>
      </c>
      <c r="F37" s="9" t="s">
        <v>36</v>
      </c>
    </row>
    <row r="38" spans="1:6" hidden="1" x14ac:dyDescent="0.25">
      <c r="A38" s="11">
        <v>45471</v>
      </c>
      <c r="B38" s="12" t="s">
        <v>50</v>
      </c>
      <c r="C38" s="9" t="s">
        <v>51</v>
      </c>
      <c r="D38" s="13">
        <v>12.4</v>
      </c>
      <c r="E38" s="9">
        <v>15</v>
      </c>
      <c r="F38" s="9" t="s">
        <v>36</v>
      </c>
    </row>
    <row r="39" spans="1:6" hidden="1" x14ac:dyDescent="0.25">
      <c r="A39" s="11">
        <v>45471</v>
      </c>
      <c r="B39" s="12" t="s">
        <v>50</v>
      </c>
      <c r="C39" s="9" t="s">
        <v>51</v>
      </c>
      <c r="D39" s="13">
        <v>12.4</v>
      </c>
      <c r="E39" s="9">
        <v>20</v>
      </c>
      <c r="F39" s="9" t="s">
        <v>36</v>
      </c>
    </row>
    <row r="40" spans="1:6" hidden="1" x14ac:dyDescent="0.25">
      <c r="A40" s="11">
        <v>45471</v>
      </c>
      <c r="B40" s="12" t="s">
        <v>46</v>
      </c>
      <c r="C40" s="9" t="s">
        <v>47</v>
      </c>
      <c r="D40" s="13">
        <v>34.200000000000003</v>
      </c>
      <c r="E40" s="9">
        <v>21</v>
      </c>
      <c r="F40" s="9" t="s">
        <v>36</v>
      </c>
    </row>
    <row r="41" spans="1:6" hidden="1" x14ac:dyDescent="0.25">
      <c r="A41" s="11">
        <v>45471</v>
      </c>
      <c r="B41" s="12" t="s">
        <v>31</v>
      </c>
      <c r="C41" s="9" t="s">
        <v>32</v>
      </c>
      <c r="D41" s="13">
        <v>8.4</v>
      </c>
      <c r="E41" s="9">
        <v>20</v>
      </c>
      <c r="F41" s="9" t="s">
        <v>36</v>
      </c>
    </row>
    <row r="42" spans="1:6" hidden="1" x14ac:dyDescent="0.25">
      <c r="A42" s="11">
        <v>45471</v>
      </c>
      <c r="B42" s="12" t="s">
        <v>38</v>
      </c>
      <c r="C42" s="9" t="s">
        <v>39</v>
      </c>
      <c r="D42" s="13">
        <v>16</v>
      </c>
      <c r="E42" s="9">
        <v>16</v>
      </c>
      <c r="F42" s="9" t="s">
        <v>36</v>
      </c>
    </row>
    <row r="43" spans="1:6" hidden="1" x14ac:dyDescent="0.25">
      <c r="A43" s="11">
        <v>45474</v>
      </c>
      <c r="B43" s="12" t="s">
        <v>52</v>
      </c>
      <c r="C43" s="9" t="s">
        <v>53</v>
      </c>
      <c r="D43" s="13">
        <v>44</v>
      </c>
      <c r="E43" s="9">
        <v>15</v>
      </c>
      <c r="F43" s="9" t="s">
        <v>54</v>
      </c>
    </row>
    <row r="44" spans="1:6" hidden="1" x14ac:dyDescent="0.25">
      <c r="A44" s="11">
        <v>45474</v>
      </c>
      <c r="B44" s="12" t="s">
        <v>40</v>
      </c>
      <c r="C44" s="9" t="s">
        <v>41</v>
      </c>
      <c r="D44" s="13">
        <v>23.5</v>
      </c>
      <c r="E44" s="9">
        <v>12</v>
      </c>
      <c r="F44" s="9" t="s">
        <v>54</v>
      </c>
    </row>
    <row r="45" spans="1:6" hidden="1" x14ac:dyDescent="0.25">
      <c r="A45" s="11">
        <v>45474</v>
      </c>
      <c r="B45" s="12" t="s">
        <v>44</v>
      </c>
      <c r="C45" s="9" t="s">
        <v>45</v>
      </c>
      <c r="D45" s="13">
        <v>45.2</v>
      </c>
      <c r="E45" s="9">
        <v>30</v>
      </c>
      <c r="F45" s="9" t="s">
        <v>54</v>
      </c>
    </row>
    <row r="46" spans="1:6" hidden="1" x14ac:dyDescent="0.25">
      <c r="A46" s="11">
        <v>45475</v>
      </c>
      <c r="B46" s="12" t="s">
        <v>46</v>
      </c>
      <c r="C46" s="9" t="s">
        <v>47</v>
      </c>
      <c r="D46" s="13">
        <v>34.200000000000003</v>
      </c>
      <c r="E46" s="9">
        <v>60</v>
      </c>
      <c r="F46" s="9" t="s">
        <v>48</v>
      </c>
    </row>
    <row r="47" spans="1:6" hidden="1" x14ac:dyDescent="0.25">
      <c r="A47" s="11">
        <v>45475</v>
      </c>
      <c r="B47" s="12" t="s">
        <v>26</v>
      </c>
      <c r="C47" s="9" t="s">
        <v>27</v>
      </c>
      <c r="D47" s="13">
        <v>16.5</v>
      </c>
      <c r="E47" s="9">
        <v>60</v>
      </c>
      <c r="F47" s="9" t="s">
        <v>48</v>
      </c>
    </row>
    <row r="48" spans="1:6" hidden="1" x14ac:dyDescent="0.25">
      <c r="A48" s="11">
        <v>45475</v>
      </c>
      <c r="B48" s="12" t="s">
        <v>29</v>
      </c>
      <c r="C48" s="9" t="s">
        <v>30</v>
      </c>
      <c r="D48" s="13">
        <v>8.5</v>
      </c>
      <c r="E48" s="9">
        <v>36</v>
      </c>
      <c r="F48" s="9" t="s">
        <v>48</v>
      </c>
    </row>
    <row r="49" spans="1:6" hidden="1" x14ac:dyDescent="0.25">
      <c r="A49" s="11">
        <v>45475</v>
      </c>
      <c r="B49" s="12" t="s">
        <v>44</v>
      </c>
      <c r="C49" s="9" t="s">
        <v>45</v>
      </c>
      <c r="D49" s="13">
        <v>45.2</v>
      </c>
      <c r="E49" s="9">
        <v>28</v>
      </c>
      <c r="F49" s="9" t="s">
        <v>48</v>
      </c>
    </row>
    <row r="50" spans="1:6" hidden="1" x14ac:dyDescent="0.25">
      <c r="A50" s="11">
        <v>45476</v>
      </c>
      <c r="B50" s="12" t="s">
        <v>40</v>
      </c>
      <c r="C50" s="9" t="s">
        <v>41</v>
      </c>
      <c r="D50" s="13">
        <v>23.5</v>
      </c>
      <c r="E50" s="9">
        <v>35</v>
      </c>
      <c r="F50" s="9" t="s">
        <v>33</v>
      </c>
    </row>
    <row r="51" spans="1:6" hidden="1" x14ac:dyDescent="0.25">
      <c r="A51" s="11">
        <v>45476</v>
      </c>
      <c r="B51" s="12" t="s">
        <v>38</v>
      </c>
      <c r="C51" s="9" t="s">
        <v>39</v>
      </c>
      <c r="D51" s="13">
        <v>16</v>
      </c>
      <c r="E51" s="9">
        <v>25</v>
      </c>
      <c r="F51" s="9" t="s">
        <v>33</v>
      </c>
    </row>
    <row r="52" spans="1:6" hidden="1" x14ac:dyDescent="0.25">
      <c r="A52" s="11">
        <v>45477</v>
      </c>
      <c r="B52" s="12" t="s">
        <v>40</v>
      </c>
      <c r="C52" s="9" t="s">
        <v>41</v>
      </c>
      <c r="D52" s="13">
        <v>23.5</v>
      </c>
      <c r="E52" s="9">
        <v>30</v>
      </c>
      <c r="F52" s="9" t="s">
        <v>55</v>
      </c>
    </row>
    <row r="53" spans="1:6" hidden="1" x14ac:dyDescent="0.25">
      <c r="A53" s="11">
        <v>45477</v>
      </c>
      <c r="B53" s="12" t="s">
        <v>46</v>
      </c>
      <c r="C53" s="9" t="s">
        <v>47</v>
      </c>
      <c r="D53" s="13">
        <v>34.200000000000003</v>
      </c>
      <c r="E53" s="9">
        <v>20</v>
      </c>
      <c r="F53" s="9" t="s">
        <v>55</v>
      </c>
    </row>
    <row r="54" spans="1:6" hidden="1" x14ac:dyDescent="0.25">
      <c r="A54" s="11">
        <v>45478</v>
      </c>
      <c r="B54" s="12" t="s">
        <v>26</v>
      </c>
      <c r="C54" s="9" t="s">
        <v>27</v>
      </c>
      <c r="D54" s="13">
        <v>16.5</v>
      </c>
      <c r="E54" s="9">
        <v>12</v>
      </c>
      <c r="F54" s="9" t="s">
        <v>37</v>
      </c>
    </row>
    <row r="55" spans="1:6" hidden="1" x14ac:dyDescent="0.25">
      <c r="A55" s="11">
        <v>45481</v>
      </c>
      <c r="B55" s="12" t="s">
        <v>40</v>
      </c>
      <c r="C55" s="9" t="s">
        <v>41</v>
      </c>
      <c r="D55" s="13">
        <v>23.5</v>
      </c>
      <c r="E55" s="9">
        <v>50</v>
      </c>
      <c r="F55" s="9" t="s">
        <v>36</v>
      </c>
    </row>
    <row r="56" spans="1:6" hidden="1" x14ac:dyDescent="0.25">
      <c r="A56" s="11">
        <v>45481</v>
      </c>
      <c r="B56" s="12" t="s">
        <v>26</v>
      </c>
      <c r="C56" s="9" t="s">
        <v>27</v>
      </c>
      <c r="D56" s="13">
        <v>16.5</v>
      </c>
      <c r="E56" s="9">
        <v>70</v>
      </c>
      <c r="F56" s="9" t="s">
        <v>36</v>
      </c>
    </row>
    <row r="57" spans="1:6" hidden="1" x14ac:dyDescent="0.25">
      <c r="A57" s="11">
        <v>45481</v>
      </c>
      <c r="B57" s="12" t="s">
        <v>38</v>
      </c>
      <c r="C57" s="9" t="s">
        <v>39</v>
      </c>
      <c r="D57" s="13">
        <v>16</v>
      </c>
      <c r="E57" s="9">
        <v>15</v>
      </c>
      <c r="F57" s="9" t="s">
        <v>36</v>
      </c>
    </row>
    <row r="58" spans="1:6" hidden="1" x14ac:dyDescent="0.25">
      <c r="A58" s="11">
        <v>45482</v>
      </c>
      <c r="B58" s="12" t="s">
        <v>56</v>
      </c>
      <c r="C58" s="9" t="s">
        <v>57</v>
      </c>
      <c r="D58" s="13">
        <v>39</v>
      </c>
      <c r="E58" s="9">
        <v>10</v>
      </c>
      <c r="F58" s="9" t="s">
        <v>54</v>
      </c>
    </row>
    <row r="59" spans="1:6" hidden="1" x14ac:dyDescent="0.25">
      <c r="A59" s="11">
        <v>45482</v>
      </c>
      <c r="B59" s="12" t="s">
        <v>29</v>
      </c>
      <c r="C59" s="9" t="s">
        <v>30</v>
      </c>
      <c r="D59" s="13">
        <v>8.5</v>
      </c>
      <c r="E59" s="9">
        <v>4</v>
      </c>
      <c r="F59" s="9" t="s">
        <v>54</v>
      </c>
    </row>
    <row r="60" spans="1:6" hidden="1" x14ac:dyDescent="0.25">
      <c r="A60" s="11">
        <v>45483</v>
      </c>
      <c r="B60" s="12" t="s">
        <v>42</v>
      </c>
      <c r="C60" s="9" t="s">
        <v>43</v>
      </c>
      <c r="D60" s="13">
        <v>25</v>
      </c>
      <c r="E60" s="9">
        <v>60</v>
      </c>
      <c r="F60" s="9" t="s">
        <v>28</v>
      </c>
    </row>
    <row r="61" spans="1:6" x14ac:dyDescent="0.25">
      <c r="A61" s="11">
        <v>45483</v>
      </c>
      <c r="B61" s="12" t="s">
        <v>29</v>
      </c>
      <c r="C61" s="9" t="s">
        <v>30</v>
      </c>
      <c r="D61" s="13">
        <v>8.5</v>
      </c>
      <c r="E61" s="9">
        <v>20</v>
      </c>
      <c r="F61" s="9" t="s">
        <v>28</v>
      </c>
    </row>
    <row r="62" spans="1:6" x14ac:dyDescent="0.25">
      <c r="A62" s="11">
        <v>45483</v>
      </c>
      <c r="B62" s="12" t="s">
        <v>29</v>
      </c>
      <c r="C62" s="9" t="s">
        <v>30</v>
      </c>
      <c r="D62" s="13">
        <v>8.5</v>
      </c>
      <c r="E62" s="9">
        <v>20</v>
      </c>
      <c r="F62" s="9" t="s">
        <v>28</v>
      </c>
    </row>
    <row r="63" spans="1:6" hidden="1" x14ac:dyDescent="0.25">
      <c r="A63" s="11">
        <v>45484</v>
      </c>
      <c r="B63" s="12" t="s">
        <v>38</v>
      </c>
      <c r="C63" s="9" t="s">
        <v>39</v>
      </c>
      <c r="D63" s="13">
        <v>16</v>
      </c>
      <c r="E63" s="9">
        <v>30</v>
      </c>
      <c r="F63" s="9" t="s">
        <v>49</v>
      </c>
    </row>
    <row r="64" spans="1:6" hidden="1" x14ac:dyDescent="0.25">
      <c r="A64" s="11">
        <v>45484</v>
      </c>
      <c r="B64" s="12" t="s">
        <v>38</v>
      </c>
      <c r="C64" s="9" t="s">
        <v>39</v>
      </c>
      <c r="D64" s="13">
        <v>16</v>
      </c>
      <c r="E64" s="9">
        <v>25</v>
      </c>
      <c r="F64" s="9" t="s">
        <v>49</v>
      </c>
    </row>
    <row r="65" spans="1:6" hidden="1" x14ac:dyDescent="0.25">
      <c r="A65" s="11">
        <v>45484</v>
      </c>
      <c r="B65" s="12" t="s">
        <v>38</v>
      </c>
      <c r="C65" s="9" t="s">
        <v>39</v>
      </c>
      <c r="D65" s="13">
        <v>16</v>
      </c>
      <c r="E65" s="9">
        <v>25</v>
      </c>
      <c r="F65" s="9" t="s">
        <v>49</v>
      </c>
    </row>
    <row r="66" spans="1:6" hidden="1" x14ac:dyDescent="0.25">
      <c r="A66" s="11">
        <v>45484</v>
      </c>
      <c r="B66" s="12" t="s">
        <v>42</v>
      </c>
      <c r="C66" s="9" t="s">
        <v>43</v>
      </c>
      <c r="D66" s="13">
        <v>25</v>
      </c>
      <c r="E66" s="9">
        <v>24</v>
      </c>
      <c r="F66" s="9" t="s">
        <v>33</v>
      </c>
    </row>
    <row r="67" spans="1:6" hidden="1" x14ac:dyDescent="0.25">
      <c r="A67" s="11">
        <v>45485</v>
      </c>
      <c r="B67" s="12" t="s">
        <v>44</v>
      </c>
      <c r="C67" s="9" t="s">
        <v>45</v>
      </c>
      <c r="D67" s="13">
        <v>45.2</v>
      </c>
      <c r="E67" s="9">
        <v>40</v>
      </c>
      <c r="F67" s="9" t="s">
        <v>33</v>
      </c>
    </row>
    <row r="68" spans="1:6" hidden="1" x14ac:dyDescent="0.25">
      <c r="A68" s="11">
        <v>45485</v>
      </c>
      <c r="B68" s="12" t="s">
        <v>29</v>
      </c>
      <c r="C68" s="9" t="s">
        <v>30</v>
      </c>
      <c r="D68" s="13">
        <v>8.5</v>
      </c>
      <c r="E68" s="9">
        <v>24</v>
      </c>
      <c r="F68" s="9" t="s">
        <v>33</v>
      </c>
    </row>
    <row r="69" spans="1:6" hidden="1" x14ac:dyDescent="0.25">
      <c r="A69" s="11">
        <v>45485</v>
      </c>
      <c r="B69" s="12" t="s">
        <v>31</v>
      </c>
      <c r="C69" s="9" t="s">
        <v>32</v>
      </c>
      <c r="D69" s="13">
        <v>8.4</v>
      </c>
      <c r="E69" s="9">
        <v>6</v>
      </c>
      <c r="F69" s="9" t="s">
        <v>33</v>
      </c>
    </row>
    <row r="70" spans="1:6" hidden="1" x14ac:dyDescent="0.25">
      <c r="A70" s="11">
        <v>45488</v>
      </c>
      <c r="B70" s="12" t="s">
        <v>40</v>
      </c>
      <c r="C70" s="9" t="s">
        <v>41</v>
      </c>
      <c r="D70" s="13">
        <v>23.5</v>
      </c>
      <c r="E70" s="9">
        <v>60</v>
      </c>
      <c r="F70" s="9" t="s">
        <v>37</v>
      </c>
    </row>
    <row r="71" spans="1:6" hidden="1" x14ac:dyDescent="0.25">
      <c r="A71" s="11">
        <v>45488</v>
      </c>
      <c r="B71" s="12" t="s">
        <v>38</v>
      </c>
      <c r="C71" s="9" t="s">
        <v>39</v>
      </c>
      <c r="D71" s="13">
        <v>16</v>
      </c>
      <c r="E71" s="9">
        <v>33</v>
      </c>
      <c r="F71" s="9" t="s">
        <v>37</v>
      </c>
    </row>
    <row r="72" spans="1:6" hidden="1" x14ac:dyDescent="0.25">
      <c r="A72" s="11">
        <v>45488</v>
      </c>
      <c r="B72" s="12" t="s">
        <v>38</v>
      </c>
      <c r="C72" s="9" t="s">
        <v>39</v>
      </c>
      <c r="D72" s="13">
        <v>16</v>
      </c>
      <c r="E72" s="9">
        <v>24</v>
      </c>
      <c r="F72" s="9" t="s">
        <v>37</v>
      </c>
    </row>
    <row r="73" spans="1:6" hidden="1" x14ac:dyDescent="0.25">
      <c r="A73" s="11">
        <v>45488</v>
      </c>
      <c r="B73" s="12" t="s">
        <v>44</v>
      </c>
      <c r="C73" s="9" t="s">
        <v>45</v>
      </c>
      <c r="D73" s="13">
        <v>45.2</v>
      </c>
      <c r="E73" s="9">
        <v>15</v>
      </c>
      <c r="F73" s="9" t="s">
        <v>37</v>
      </c>
    </row>
    <row r="74" spans="1:6" hidden="1" x14ac:dyDescent="0.25">
      <c r="A74" s="11">
        <v>45488</v>
      </c>
      <c r="B74" s="12" t="s">
        <v>42</v>
      </c>
      <c r="C74" s="9" t="s">
        <v>43</v>
      </c>
      <c r="D74" s="13">
        <v>25</v>
      </c>
      <c r="E74" s="9">
        <v>20</v>
      </c>
      <c r="F74" s="9" t="s">
        <v>37</v>
      </c>
    </row>
    <row r="75" spans="1:6" hidden="1" x14ac:dyDescent="0.25">
      <c r="A75" s="11">
        <v>45489</v>
      </c>
      <c r="B75" s="12" t="s">
        <v>42</v>
      </c>
      <c r="C75" s="9" t="s">
        <v>43</v>
      </c>
      <c r="D75" s="13">
        <v>25</v>
      </c>
      <c r="E75" s="9">
        <v>20</v>
      </c>
      <c r="F75" s="9" t="s">
        <v>33</v>
      </c>
    </row>
    <row r="76" spans="1:6" hidden="1" x14ac:dyDescent="0.25">
      <c r="A76" s="11">
        <v>45489</v>
      </c>
      <c r="B76" s="12" t="s">
        <v>29</v>
      </c>
      <c r="C76" s="9" t="s">
        <v>30</v>
      </c>
      <c r="D76" s="13">
        <v>8.5</v>
      </c>
      <c r="E76" s="9">
        <v>7</v>
      </c>
      <c r="F76" s="9" t="s">
        <v>33</v>
      </c>
    </row>
    <row r="77" spans="1:6" hidden="1" x14ac:dyDescent="0.25">
      <c r="A77" s="11">
        <v>45490</v>
      </c>
      <c r="B77" s="12" t="s">
        <v>26</v>
      </c>
      <c r="C77" s="9" t="s">
        <v>27</v>
      </c>
      <c r="D77" s="13">
        <v>16.5</v>
      </c>
      <c r="E77" s="9">
        <v>6</v>
      </c>
      <c r="F77" s="9" t="s">
        <v>49</v>
      </c>
    </row>
    <row r="78" spans="1:6" hidden="1" x14ac:dyDescent="0.25">
      <c r="A78" s="11">
        <v>45490</v>
      </c>
      <c r="B78" s="12" t="s">
        <v>44</v>
      </c>
      <c r="C78" s="9" t="s">
        <v>45</v>
      </c>
      <c r="D78" s="13">
        <v>45.2</v>
      </c>
      <c r="E78" s="9">
        <v>12</v>
      </c>
      <c r="F78" s="9" t="s">
        <v>49</v>
      </c>
    </row>
    <row r="79" spans="1:6" hidden="1" x14ac:dyDescent="0.25">
      <c r="A79" s="11">
        <v>45491</v>
      </c>
      <c r="B79" s="12" t="s">
        <v>38</v>
      </c>
      <c r="C79" s="9" t="s">
        <v>39</v>
      </c>
      <c r="D79" s="13">
        <v>16</v>
      </c>
      <c r="E79" s="9">
        <v>15</v>
      </c>
      <c r="F79" s="9" t="s">
        <v>54</v>
      </c>
    </row>
    <row r="80" spans="1:6" hidden="1" x14ac:dyDescent="0.25">
      <c r="A80" s="11">
        <v>45491</v>
      </c>
      <c r="B80" s="12" t="s">
        <v>38</v>
      </c>
      <c r="C80" s="9" t="s">
        <v>39</v>
      </c>
      <c r="D80" s="13">
        <v>16</v>
      </c>
      <c r="E80" s="9">
        <v>10</v>
      </c>
      <c r="F80" s="9" t="s">
        <v>54</v>
      </c>
    </row>
    <row r="81" spans="1:6" hidden="1" x14ac:dyDescent="0.25">
      <c r="A81" s="11">
        <v>45492</v>
      </c>
      <c r="B81" s="12" t="s">
        <v>31</v>
      </c>
      <c r="C81" s="9" t="s">
        <v>58</v>
      </c>
      <c r="D81" s="13">
        <v>118</v>
      </c>
      <c r="E81" s="9">
        <v>20</v>
      </c>
      <c r="F81" s="9" t="s">
        <v>55</v>
      </c>
    </row>
    <row r="82" spans="1:6" hidden="1" x14ac:dyDescent="0.25">
      <c r="A82" s="11">
        <v>45492</v>
      </c>
      <c r="B82" s="12" t="s">
        <v>50</v>
      </c>
      <c r="C82" s="9" t="s">
        <v>51</v>
      </c>
      <c r="D82" s="13">
        <v>12.4</v>
      </c>
      <c r="E82" s="9">
        <v>12</v>
      </c>
      <c r="F82" s="9" t="s">
        <v>55</v>
      </c>
    </row>
    <row r="83" spans="1:6" hidden="1" x14ac:dyDescent="0.25">
      <c r="A83" s="11">
        <v>45495</v>
      </c>
      <c r="B83" s="12" t="s">
        <v>26</v>
      </c>
      <c r="C83" s="9" t="s">
        <v>27</v>
      </c>
      <c r="D83" s="13">
        <v>16.5</v>
      </c>
      <c r="E83" s="9">
        <v>15</v>
      </c>
      <c r="F83" s="9" t="s">
        <v>54</v>
      </c>
    </row>
    <row r="84" spans="1:6" hidden="1" x14ac:dyDescent="0.25">
      <c r="A84" s="11">
        <v>45495</v>
      </c>
      <c r="B84" s="12" t="s">
        <v>31</v>
      </c>
      <c r="C84" s="9" t="s">
        <v>58</v>
      </c>
      <c r="D84" s="13">
        <v>118</v>
      </c>
      <c r="E84" s="9">
        <v>25</v>
      </c>
      <c r="F84" s="9" t="s">
        <v>54</v>
      </c>
    </row>
    <row r="85" spans="1:6" hidden="1" x14ac:dyDescent="0.25">
      <c r="A85" s="11">
        <v>45495</v>
      </c>
      <c r="B85" s="12" t="s">
        <v>59</v>
      </c>
      <c r="C85" s="9" t="s">
        <v>60</v>
      </c>
      <c r="D85" s="13">
        <v>4.5</v>
      </c>
      <c r="E85" s="9">
        <v>25</v>
      </c>
      <c r="F85" s="9" t="s">
        <v>54</v>
      </c>
    </row>
    <row r="86" spans="1:6" hidden="1" x14ac:dyDescent="0.25">
      <c r="A86" s="11">
        <v>45495</v>
      </c>
      <c r="B86" s="12" t="s">
        <v>38</v>
      </c>
      <c r="C86" s="9" t="s">
        <v>39</v>
      </c>
      <c r="D86" s="13">
        <v>16</v>
      </c>
      <c r="E86" s="9">
        <v>16</v>
      </c>
      <c r="F86" s="9" t="s">
        <v>54</v>
      </c>
    </row>
    <row r="87" spans="1:6" hidden="1" x14ac:dyDescent="0.25">
      <c r="A87" s="11">
        <v>45496</v>
      </c>
      <c r="B87" s="12" t="s">
        <v>40</v>
      </c>
      <c r="C87" s="9" t="s">
        <v>41</v>
      </c>
      <c r="D87" s="13">
        <v>23.5</v>
      </c>
      <c r="E87" s="9">
        <v>15</v>
      </c>
      <c r="F87" s="9" t="s">
        <v>54</v>
      </c>
    </row>
    <row r="88" spans="1:6" hidden="1" x14ac:dyDescent="0.25">
      <c r="A88" s="11">
        <v>45497</v>
      </c>
      <c r="B88" s="12" t="s">
        <v>31</v>
      </c>
      <c r="C88" s="9" t="s">
        <v>58</v>
      </c>
      <c r="D88" s="13">
        <v>118</v>
      </c>
      <c r="E88" s="9">
        <v>30</v>
      </c>
      <c r="F88" s="9" t="s">
        <v>55</v>
      </c>
    </row>
    <row r="89" spans="1:6" hidden="1" x14ac:dyDescent="0.25">
      <c r="A89" s="11">
        <v>45497</v>
      </c>
      <c r="B89" s="12" t="s">
        <v>46</v>
      </c>
      <c r="C89" s="9" t="s">
        <v>47</v>
      </c>
      <c r="D89" s="13">
        <v>34.200000000000003</v>
      </c>
      <c r="E89" s="9">
        <v>20</v>
      </c>
      <c r="F89" s="9" t="s">
        <v>55</v>
      </c>
    </row>
    <row r="90" spans="1:6" hidden="1" x14ac:dyDescent="0.25">
      <c r="A90" s="11">
        <v>45497</v>
      </c>
      <c r="B90" s="12" t="s">
        <v>50</v>
      </c>
      <c r="C90" s="9" t="s">
        <v>51</v>
      </c>
      <c r="D90" s="13">
        <v>12.4</v>
      </c>
      <c r="E90" s="9">
        <v>8</v>
      </c>
      <c r="F90" s="9" t="s">
        <v>36</v>
      </c>
    </row>
    <row r="91" spans="1:6" hidden="1" x14ac:dyDescent="0.25">
      <c r="A91" s="11">
        <v>45497</v>
      </c>
      <c r="B91" s="12" t="s">
        <v>44</v>
      </c>
      <c r="C91" s="9" t="s">
        <v>45</v>
      </c>
      <c r="D91" s="13">
        <v>45.2</v>
      </c>
      <c r="E91" s="9">
        <v>12</v>
      </c>
      <c r="F91" s="9" t="s">
        <v>55</v>
      </c>
    </row>
    <row r="92" spans="1:6" hidden="1" x14ac:dyDescent="0.25">
      <c r="A92" s="11">
        <v>45497</v>
      </c>
      <c r="B92" s="12" t="s">
        <v>44</v>
      </c>
      <c r="C92" s="9" t="s">
        <v>45</v>
      </c>
      <c r="D92" s="13">
        <v>45.2</v>
      </c>
      <c r="E92" s="9">
        <v>6</v>
      </c>
      <c r="F92" s="9" t="s">
        <v>36</v>
      </c>
    </row>
    <row r="93" spans="1:6" hidden="1" x14ac:dyDescent="0.25">
      <c r="A93" s="11">
        <v>45497</v>
      </c>
      <c r="B93" s="12" t="s">
        <v>50</v>
      </c>
      <c r="C93" s="9" t="s">
        <v>51</v>
      </c>
      <c r="D93" s="13">
        <v>12.4</v>
      </c>
      <c r="E93" s="9">
        <v>40</v>
      </c>
      <c r="F93" s="9" t="s">
        <v>36</v>
      </c>
    </row>
    <row r="94" spans="1:6" hidden="1" x14ac:dyDescent="0.25">
      <c r="A94" s="11">
        <v>45498</v>
      </c>
      <c r="B94" s="12" t="s">
        <v>46</v>
      </c>
      <c r="C94" s="9" t="s">
        <v>47</v>
      </c>
      <c r="D94" s="13">
        <v>34.200000000000003</v>
      </c>
      <c r="E94" s="9">
        <v>6</v>
      </c>
      <c r="F94" s="9" t="s">
        <v>36</v>
      </c>
    </row>
    <row r="95" spans="1:6" hidden="1" x14ac:dyDescent="0.25">
      <c r="A95" s="11">
        <v>45498</v>
      </c>
      <c r="B95" s="12" t="s">
        <v>26</v>
      </c>
      <c r="C95" s="9" t="s">
        <v>27</v>
      </c>
      <c r="D95" s="13">
        <v>16.5</v>
      </c>
      <c r="E95" s="9">
        <v>2</v>
      </c>
      <c r="F95" s="9" t="s">
        <v>36</v>
      </c>
    </row>
    <row r="96" spans="1:6" hidden="1" x14ac:dyDescent="0.25">
      <c r="A96" s="11">
        <v>45499</v>
      </c>
      <c r="B96" s="12" t="s">
        <v>40</v>
      </c>
      <c r="C96" s="9" t="s">
        <v>41</v>
      </c>
      <c r="D96" s="13">
        <v>23.5</v>
      </c>
      <c r="E96" s="9">
        <v>35</v>
      </c>
      <c r="F96" s="9" t="s">
        <v>37</v>
      </c>
    </row>
    <row r="97" spans="1:6" hidden="1" x14ac:dyDescent="0.25">
      <c r="A97" s="11">
        <v>45499</v>
      </c>
      <c r="B97" s="12" t="s">
        <v>42</v>
      </c>
      <c r="C97" s="9" t="s">
        <v>43</v>
      </c>
      <c r="D97" s="13">
        <v>25</v>
      </c>
      <c r="E97" s="9">
        <v>20</v>
      </c>
      <c r="F97" s="9" t="s">
        <v>37</v>
      </c>
    </row>
    <row r="98" spans="1:6" hidden="1" x14ac:dyDescent="0.25">
      <c r="A98" s="11">
        <v>45499</v>
      </c>
      <c r="B98" s="12" t="s">
        <v>50</v>
      </c>
      <c r="C98" s="9" t="s">
        <v>51</v>
      </c>
      <c r="D98" s="13">
        <v>12.4</v>
      </c>
      <c r="E98" s="9">
        <v>18</v>
      </c>
      <c r="F98" s="9" t="s">
        <v>37</v>
      </c>
    </row>
    <row r="99" spans="1:6" hidden="1" x14ac:dyDescent="0.25">
      <c r="A99" s="11">
        <v>45499</v>
      </c>
      <c r="B99" s="12" t="s">
        <v>29</v>
      </c>
      <c r="C99" s="9" t="s">
        <v>30</v>
      </c>
      <c r="D99" s="13">
        <v>8.5</v>
      </c>
      <c r="E99" s="9">
        <v>3</v>
      </c>
      <c r="F99" s="9" t="s">
        <v>37</v>
      </c>
    </row>
    <row r="100" spans="1:6" hidden="1" x14ac:dyDescent="0.25">
      <c r="A100" s="11">
        <v>45502</v>
      </c>
      <c r="B100" s="12" t="s">
        <v>40</v>
      </c>
      <c r="C100" s="9" t="s">
        <v>41</v>
      </c>
      <c r="D100" s="13">
        <v>23.5</v>
      </c>
      <c r="E100" s="9">
        <v>20</v>
      </c>
      <c r="F100" s="9" t="s">
        <v>36</v>
      </c>
    </row>
    <row r="101" spans="1:6" hidden="1" x14ac:dyDescent="0.25">
      <c r="A101" s="11">
        <v>45502</v>
      </c>
      <c r="B101" s="12" t="s">
        <v>31</v>
      </c>
      <c r="C101" s="9" t="s">
        <v>32</v>
      </c>
      <c r="D101" s="13">
        <v>8.4</v>
      </c>
      <c r="E101" s="9">
        <v>15</v>
      </c>
      <c r="F101" s="9" t="s">
        <v>36</v>
      </c>
    </row>
    <row r="102" spans="1:6" hidden="1" x14ac:dyDescent="0.25">
      <c r="A102" s="11">
        <v>45502</v>
      </c>
      <c r="B102" s="12" t="s">
        <v>38</v>
      </c>
      <c r="C102" s="9" t="s">
        <v>39</v>
      </c>
      <c r="D102" s="13">
        <v>16</v>
      </c>
      <c r="E102" s="9">
        <v>21</v>
      </c>
      <c r="F102" s="9" t="s">
        <v>36</v>
      </c>
    </row>
    <row r="103" spans="1:6" hidden="1" x14ac:dyDescent="0.25">
      <c r="A103" s="11">
        <v>45502</v>
      </c>
      <c r="B103" s="12" t="s">
        <v>38</v>
      </c>
      <c r="C103" s="9" t="s">
        <v>39</v>
      </c>
      <c r="D103" s="13">
        <v>16</v>
      </c>
      <c r="E103" s="9">
        <v>5</v>
      </c>
      <c r="F103" s="9" t="s">
        <v>36</v>
      </c>
    </row>
    <row r="104" spans="1:6" hidden="1" x14ac:dyDescent="0.25">
      <c r="A104" s="11">
        <v>45503</v>
      </c>
      <c r="B104" s="12" t="s">
        <v>26</v>
      </c>
      <c r="C104" s="9" t="s">
        <v>27</v>
      </c>
      <c r="D104" s="13">
        <v>16.5</v>
      </c>
      <c r="E104" s="9">
        <v>36</v>
      </c>
      <c r="F104" s="9" t="s">
        <v>49</v>
      </c>
    </row>
    <row r="105" spans="1:6" hidden="1" x14ac:dyDescent="0.25">
      <c r="A105" s="11">
        <v>45503</v>
      </c>
      <c r="B105" s="12" t="s">
        <v>40</v>
      </c>
      <c r="C105" s="9" t="s">
        <v>41</v>
      </c>
      <c r="D105" s="13">
        <v>23.5</v>
      </c>
      <c r="E105" s="9">
        <v>45</v>
      </c>
      <c r="F105" s="9" t="s">
        <v>49</v>
      </c>
    </row>
    <row r="106" spans="1:6" hidden="1" x14ac:dyDescent="0.25">
      <c r="A106" s="11">
        <v>45503</v>
      </c>
      <c r="B106" s="12" t="s">
        <v>40</v>
      </c>
      <c r="C106" s="9" t="s">
        <v>41</v>
      </c>
      <c r="D106" s="13">
        <v>23.5</v>
      </c>
      <c r="E106" s="9">
        <v>40</v>
      </c>
      <c r="F106" s="9" t="s">
        <v>49</v>
      </c>
    </row>
    <row r="107" spans="1:6" hidden="1" x14ac:dyDescent="0.25">
      <c r="A107" s="11">
        <v>45504</v>
      </c>
      <c r="B107" s="12" t="s">
        <v>50</v>
      </c>
      <c r="C107" s="9" t="s">
        <v>51</v>
      </c>
      <c r="D107" s="13">
        <v>12.4</v>
      </c>
      <c r="E107" s="9">
        <v>40</v>
      </c>
      <c r="F107" s="9" t="s">
        <v>54</v>
      </c>
    </row>
    <row r="108" spans="1:6" hidden="1" x14ac:dyDescent="0.25">
      <c r="A108" s="11">
        <v>45504</v>
      </c>
      <c r="B108" s="12" t="s">
        <v>50</v>
      </c>
      <c r="C108" s="9" t="s">
        <v>51</v>
      </c>
      <c r="D108" s="13">
        <v>12.4</v>
      </c>
      <c r="E108" s="9">
        <v>100</v>
      </c>
      <c r="F108" s="9" t="s">
        <v>54</v>
      </c>
    </row>
    <row r="109" spans="1:6" hidden="1" x14ac:dyDescent="0.25">
      <c r="A109" s="11">
        <v>45505</v>
      </c>
      <c r="B109" s="12" t="s">
        <v>26</v>
      </c>
      <c r="C109" s="9" t="s">
        <v>27</v>
      </c>
      <c r="D109" s="13">
        <v>16.5</v>
      </c>
      <c r="E109" s="9">
        <v>40</v>
      </c>
      <c r="F109" s="9" t="s">
        <v>54</v>
      </c>
    </row>
    <row r="110" spans="1:6" hidden="1" x14ac:dyDescent="0.25">
      <c r="A110" s="11">
        <v>45505</v>
      </c>
      <c r="B110" s="12" t="s">
        <v>31</v>
      </c>
      <c r="C110" s="9" t="s">
        <v>58</v>
      </c>
      <c r="D110" s="13">
        <v>118</v>
      </c>
      <c r="E110" s="9">
        <v>20</v>
      </c>
      <c r="F110" s="9" t="s">
        <v>54</v>
      </c>
    </row>
    <row r="111" spans="1:6" hidden="1" x14ac:dyDescent="0.25">
      <c r="A111" s="11">
        <v>45505</v>
      </c>
      <c r="B111" s="12" t="s">
        <v>50</v>
      </c>
      <c r="C111" s="9" t="s">
        <v>51</v>
      </c>
      <c r="D111" s="13">
        <v>12.4</v>
      </c>
      <c r="E111" s="9">
        <v>15</v>
      </c>
      <c r="F111" s="9" t="s">
        <v>54</v>
      </c>
    </row>
    <row r="112" spans="1:6" hidden="1" x14ac:dyDescent="0.25">
      <c r="A112" s="11">
        <v>45506</v>
      </c>
      <c r="B112" s="12" t="s">
        <v>56</v>
      </c>
      <c r="C112" s="9" t="s">
        <v>57</v>
      </c>
      <c r="D112" s="13">
        <v>39</v>
      </c>
      <c r="E112" s="9">
        <v>10</v>
      </c>
      <c r="F112" s="9" t="s">
        <v>36</v>
      </c>
    </row>
    <row r="113" spans="1:6" hidden="1" x14ac:dyDescent="0.25">
      <c r="A113" s="11">
        <v>45506</v>
      </c>
      <c r="B113" s="12" t="s">
        <v>31</v>
      </c>
      <c r="C113" s="9" t="s">
        <v>32</v>
      </c>
      <c r="D113" s="13">
        <v>8.4</v>
      </c>
      <c r="E113" s="9">
        <v>3</v>
      </c>
      <c r="F113" s="9" t="s">
        <v>36</v>
      </c>
    </row>
    <row r="114" spans="1:6" hidden="1" x14ac:dyDescent="0.25">
      <c r="A114" s="11">
        <v>45509</v>
      </c>
      <c r="B114" s="12" t="s">
        <v>40</v>
      </c>
      <c r="C114" s="9" t="s">
        <v>41</v>
      </c>
      <c r="D114" s="13">
        <v>23.5</v>
      </c>
      <c r="E114" s="9">
        <v>30</v>
      </c>
      <c r="F114" s="9" t="s">
        <v>61</v>
      </c>
    </row>
    <row r="115" spans="1:6" hidden="1" x14ac:dyDescent="0.25">
      <c r="A115" s="11">
        <v>45509</v>
      </c>
      <c r="B115" s="12" t="s">
        <v>59</v>
      </c>
      <c r="C115" s="9" t="s">
        <v>60</v>
      </c>
      <c r="D115" s="13">
        <v>4.5</v>
      </c>
      <c r="E115" s="9">
        <v>30</v>
      </c>
      <c r="F115" s="9" t="s">
        <v>61</v>
      </c>
    </row>
    <row r="116" spans="1:6" hidden="1" x14ac:dyDescent="0.25">
      <c r="A116" s="11">
        <v>45510</v>
      </c>
      <c r="B116" s="12" t="s">
        <v>56</v>
      </c>
      <c r="C116" s="9" t="s">
        <v>57</v>
      </c>
      <c r="D116" s="13">
        <v>39</v>
      </c>
      <c r="E116" s="9">
        <v>15</v>
      </c>
      <c r="F116" s="9" t="s">
        <v>54</v>
      </c>
    </row>
    <row r="117" spans="1:6" hidden="1" x14ac:dyDescent="0.25">
      <c r="A117" s="11">
        <v>45510</v>
      </c>
      <c r="B117" s="12" t="s">
        <v>38</v>
      </c>
      <c r="C117" s="9" t="s">
        <v>39</v>
      </c>
      <c r="D117" s="13">
        <v>16</v>
      </c>
      <c r="E117" s="9">
        <v>24</v>
      </c>
      <c r="F117" s="9" t="s">
        <v>33</v>
      </c>
    </row>
    <row r="118" spans="1:6" hidden="1" x14ac:dyDescent="0.25">
      <c r="A118" s="11">
        <v>45510</v>
      </c>
      <c r="B118" s="12" t="s">
        <v>40</v>
      </c>
      <c r="C118" s="9" t="s">
        <v>41</v>
      </c>
      <c r="D118" s="13">
        <v>23.5</v>
      </c>
      <c r="E118" s="9">
        <v>20</v>
      </c>
      <c r="F118" s="9" t="s">
        <v>54</v>
      </c>
    </row>
    <row r="119" spans="1:6" hidden="1" x14ac:dyDescent="0.25">
      <c r="A119" s="11">
        <v>45510</v>
      </c>
      <c r="B119" s="12" t="s">
        <v>29</v>
      </c>
      <c r="C119" s="9" t="s">
        <v>30</v>
      </c>
      <c r="D119" s="13">
        <v>8.5</v>
      </c>
      <c r="E119" s="9">
        <v>15</v>
      </c>
      <c r="F119" s="9" t="s">
        <v>54</v>
      </c>
    </row>
    <row r="120" spans="1:6" hidden="1" x14ac:dyDescent="0.25">
      <c r="A120" s="11">
        <v>45510</v>
      </c>
      <c r="B120" s="12" t="s">
        <v>46</v>
      </c>
      <c r="C120" s="9" t="s">
        <v>47</v>
      </c>
      <c r="D120" s="13">
        <v>34.200000000000003</v>
      </c>
      <c r="E120" s="9">
        <v>10</v>
      </c>
      <c r="F120" s="9" t="s">
        <v>54</v>
      </c>
    </row>
    <row r="121" spans="1:6" hidden="1" x14ac:dyDescent="0.25">
      <c r="A121" s="11">
        <v>45510</v>
      </c>
      <c r="B121" s="12" t="s">
        <v>38</v>
      </c>
      <c r="C121" s="9" t="s">
        <v>39</v>
      </c>
      <c r="D121" s="13">
        <v>16</v>
      </c>
      <c r="E121" s="9">
        <v>20</v>
      </c>
      <c r="F121" s="9" t="s">
        <v>33</v>
      </c>
    </row>
    <row r="122" spans="1:6" hidden="1" x14ac:dyDescent="0.25">
      <c r="A122" s="11">
        <v>45510</v>
      </c>
      <c r="B122" s="12" t="s">
        <v>29</v>
      </c>
      <c r="C122" s="9" t="s">
        <v>30</v>
      </c>
      <c r="D122" s="13">
        <v>8.5</v>
      </c>
      <c r="E122" s="9">
        <v>2</v>
      </c>
      <c r="F122" s="9" t="s">
        <v>33</v>
      </c>
    </row>
    <row r="123" spans="1:6" hidden="1" x14ac:dyDescent="0.25">
      <c r="A123" s="11">
        <v>45511</v>
      </c>
      <c r="B123" s="12" t="s">
        <v>31</v>
      </c>
      <c r="C123" s="9" t="s">
        <v>32</v>
      </c>
      <c r="D123" s="13">
        <v>8.4</v>
      </c>
      <c r="E123" s="9">
        <v>20</v>
      </c>
      <c r="F123" s="9" t="s">
        <v>49</v>
      </c>
    </row>
    <row r="124" spans="1:6" hidden="1" x14ac:dyDescent="0.25">
      <c r="A124" s="11">
        <v>45512</v>
      </c>
      <c r="B124" s="12" t="s">
        <v>40</v>
      </c>
      <c r="C124" s="9" t="s">
        <v>41</v>
      </c>
      <c r="D124" s="13">
        <v>23.5</v>
      </c>
      <c r="E124" s="9">
        <v>12</v>
      </c>
      <c r="F124" s="9" t="s">
        <v>49</v>
      </c>
    </row>
    <row r="125" spans="1:6" hidden="1" x14ac:dyDescent="0.25">
      <c r="A125" s="11">
        <v>45512</v>
      </c>
      <c r="B125" s="12" t="s">
        <v>59</v>
      </c>
      <c r="C125" s="9" t="s">
        <v>60</v>
      </c>
      <c r="D125" s="13">
        <v>4.5</v>
      </c>
      <c r="E125" s="9">
        <v>60</v>
      </c>
      <c r="F125" s="9" t="s">
        <v>49</v>
      </c>
    </row>
    <row r="126" spans="1:6" hidden="1" x14ac:dyDescent="0.25">
      <c r="A126" s="11">
        <v>45512</v>
      </c>
      <c r="B126" s="12" t="s">
        <v>31</v>
      </c>
      <c r="C126" s="9" t="s">
        <v>58</v>
      </c>
      <c r="D126" s="13">
        <v>118</v>
      </c>
      <c r="E126" s="9">
        <v>6</v>
      </c>
      <c r="F126" s="9" t="s">
        <v>49</v>
      </c>
    </row>
    <row r="127" spans="1:6" hidden="1" x14ac:dyDescent="0.25">
      <c r="A127" s="11">
        <v>45512</v>
      </c>
      <c r="B127" s="12" t="s">
        <v>44</v>
      </c>
      <c r="C127" s="9" t="s">
        <v>45</v>
      </c>
      <c r="D127" s="13">
        <v>45.2</v>
      </c>
      <c r="E127" s="9">
        <v>10</v>
      </c>
      <c r="F127" s="9" t="s">
        <v>49</v>
      </c>
    </row>
    <row r="128" spans="1:6" hidden="1" x14ac:dyDescent="0.25">
      <c r="A128" s="11">
        <v>45513</v>
      </c>
      <c r="B128" s="12" t="s">
        <v>40</v>
      </c>
      <c r="C128" s="9" t="s">
        <v>41</v>
      </c>
      <c r="D128" s="13">
        <v>23.5</v>
      </c>
      <c r="E128" s="9">
        <v>21</v>
      </c>
      <c r="F128" s="9" t="s">
        <v>36</v>
      </c>
    </row>
    <row r="129" spans="1:6" hidden="1" x14ac:dyDescent="0.25">
      <c r="A129" s="11">
        <v>45513</v>
      </c>
      <c r="B129" s="12" t="s">
        <v>38</v>
      </c>
      <c r="C129" s="9" t="s">
        <v>39</v>
      </c>
      <c r="D129" s="13">
        <v>16</v>
      </c>
      <c r="E129" s="9">
        <v>15</v>
      </c>
      <c r="F129" s="9" t="s">
        <v>36</v>
      </c>
    </row>
    <row r="130" spans="1:6" hidden="1" x14ac:dyDescent="0.25">
      <c r="A130" s="11">
        <v>45513</v>
      </c>
      <c r="B130" s="12" t="s">
        <v>40</v>
      </c>
      <c r="C130" s="9" t="s">
        <v>41</v>
      </c>
      <c r="D130" s="13">
        <v>23.5</v>
      </c>
      <c r="E130" s="9">
        <v>15</v>
      </c>
      <c r="F130" s="9" t="s">
        <v>36</v>
      </c>
    </row>
    <row r="131" spans="1:6" hidden="1" x14ac:dyDescent="0.25">
      <c r="A131" s="11">
        <v>45513</v>
      </c>
      <c r="B131" s="12" t="s">
        <v>40</v>
      </c>
      <c r="C131" s="9" t="s">
        <v>41</v>
      </c>
      <c r="D131" s="13">
        <v>23.5</v>
      </c>
      <c r="E131" s="9">
        <v>18</v>
      </c>
      <c r="F131" s="9" t="s">
        <v>36</v>
      </c>
    </row>
    <row r="132" spans="1:6" hidden="1" x14ac:dyDescent="0.25">
      <c r="A132" s="11">
        <v>45513</v>
      </c>
      <c r="B132" s="12" t="s">
        <v>31</v>
      </c>
      <c r="C132" s="9" t="s">
        <v>58</v>
      </c>
      <c r="D132" s="13">
        <v>118</v>
      </c>
      <c r="E132" s="9">
        <v>6</v>
      </c>
      <c r="F132" s="9" t="s">
        <v>36</v>
      </c>
    </row>
    <row r="133" spans="1:6" hidden="1" x14ac:dyDescent="0.25">
      <c r="A133" s="11">
        <v>45516</v>
      </c>
      <c r="B133" s="12" t="s">
        <v>44</v>
      </c>
      <c r="C133" s="9" t="s">
        <v>45</v>
      </c>
      <c r="D133" s="13">
        <v>45.2</v>
      </c>
      <c r="E133" s="9">
        <v>10</v>
      </c>
      <c r="F133" s="9" t="s">
        <v>55</v>
      </c>
    </row>
    <row r="134" spans="1:6" hidden="1" x14ac:dyDescent="0.25">
      <c r="A134" s="11">
        <v>45517</v>
      </c>
      <c r="B134" s="12" t="s">
        <v>26</v>
      </c>
      <c r="C134" s="9" t="s">
        <v>27</v>
      </c>
      <c r="D134" s="13">
        <v>16.5</v>
      </c>
      <c r="E134" s="9">
        <v>30</v>
      </c>
      <c r="F134" s="9" t="s">
        <v>33</v>
      </c>
    </row>
    <row r="135" spans="1:6" hidden="1" x14ac:dyDescent="0.25">
      <c r="A135" s="11">
        <v>45517</v>
      </c>
      <c r="B135" s="12" t="s">
        <v>38</v>
      </c>
      <c r="C135" s="9" t="s">
        <v>39</v>
      </c>
      <c r="D135" s="13">
        <v>16</v>
      </c>
      <c r="E135" s="9">
        <v>15</v>
      </c>
      <c r="F135" s="9" t="s">
        <v>33</v>
      </c>
    </row>
    <row r="136" spans="1:6" hidden="1" x14ac:dyDescent="0.25">
      <c r="A136" s="11">
        <v>45517</v>
      </c>
      <c r="B136" s="12" t="s">
        <v>26</v>
      </c>
      <c r="C136" s="9" t="s">
        <v>27</v>
      </c>
      <c r="D136" s="13">
        <v>16.5</v>
      </c>
      <c r="E136" s="9">
        <v>12</v>
      </c>
      <c r="F136" s="9" t="s">
        <v>33</v>
      </c>
    </row>
    <row r="137" spans="1:6" hidden="1" x14ac:dyDescent="0.25">
      <c r="A137" s="11">
        <v>45518</v>
      </c>
      <c r="B137" s="12" t="s">
        <v>40</v>
      </c>
      <c r="C137" s="9" t="s">
        <v>41</v>
      </c>
      <c r="D137" s="13">
        <v>23.5</v>
      </c>
      <c r="E137" s="9">
        <v>60</v>
      </c>
      <c r="F137" s="9" t="s">
        <v>28</v>
      </c>
    </row>
    <row r="138" spans="1:6" x14ac:dyDescent="0.25">
      <c r="A138" s="11">
        <v>45518</v>
      </c>
      <c r="B138" s="12" t="s">
        <v>29</v>
      </c>
      <c r="C138" s="9" t="s">
        <v>30</v>
      </c>
      <c r="D138" s="13">
        <v>8.5</v>
      </c>
      <c r="E138" s="9">
        <v>20</v>
      </c>
      <c r="F138" s="9" t="s">
        <v>28</v>
      </c>
    </row>
    <row r="139" spans="1:6" hidden="1" x14ac:dyDescent="0.25">
      <c r="A139" s="11">
        <v>45519</v>
      </c>
      <c r="B139" s="12" t="s">
        <v>26</v>
      </c>
      <c r="C139" s="9" t="s">
        <v>27</v>
      </c>
      <c r="D139" s="13">
        <v>16.5</v>
      </c>
      <c r="E139" s="9">
        <v>30</v>
      </c>
      <c r="F139" s="9" t="s">
        <v>33</v>
      </c>
    </row>
    <row r="140" spans="1:6" hidden="1" x14ac:dyDescent="0.25">
      <c r="A140" s="11">
        <v>45519</v>
      </c>
      <c r="B140" s="12" t="s">
        <v>38</v>
      </c>
      <c r="C140" s="9" t="s">
        <v>39</v>
      </c>
      <c r="D140" s="13">
        <v>16</v>
      </c>
      <c r="E140" s="9">
        <v>40</v>
      </c>
      <c r="F140" s="9" t="s">
        <v>33</v>
      </c>
    </row>
    <row r="141" spans="1:6" hidden="1" x14ac:dyDescent="0.25">
      <c r="A141" s="11">
        <v>45519</v>
      </c>
      <c r="B141" s="12" t="s">
        <v>40</v>
      </c>
      <c r="C141" s="9" t="s">
        <v>41</v>
      </c>
      <c r="D141" s="13">
        <v>23.5</v>
      </c>
      <c r="E141" s="9">
        <v>40</v>
      </c>
      <c r="F141" s="9" t="s">
        <v>33</v>
      </c>
    </row>
    <row r="142" spans="1:6" hidden="1" x14ac:dyDescent="0.25">
      <c r="A142" s="11">
        <v>45519</v>
      </c>
      <c r="B142" s="12" t="s">
        <v>50</v>
      </c>
      <c r="C142" s="9" t="s">
        <v>51</v>
      </c>
      <c r="D142" s="13">
        <v>12.4</v>
      </c>
      <c r="E142" s="9">
        <v>15</v>
      </c>
      <c r="F142" s="9" t="s">
        <v>33</v>
      </c>
    </row>
    <row r="143" spans="1:6" hidden="1" x14ac:dyDescent="0.25">
      <c r="A143" s="11">
        <v>45520</v>
      </c>
      <c r="B143" s="12" t="s">
        <v>46</v>
      </c>
      <c r="C143" s="9" t="s">
        <v>47</v>
      </c>
      <c r="D143" s="13">
        <v>34.200000000000003</v>
      </c>
      <c r="E143" s="9">
        <v>20</v>
      </c>
      <c r="F143" s="9" t="s">
        <v>36</v>
      </c>
    </row>
    <row r="144" spans="1:6" hidden="1" x14ac:dyDescent="0.25">
      <c r="A144" s="11">
        <v>45520</v>
      </c>
      <c r="B144" s="12" t="s">
        <v>50</v>
      </c>
      <c r="C144" s="9" t="s">
        <v>51</v>
      </c>
      <c r="D144" s="13">
        <v>12.4</v>
      </c>
      <c r="E144" s="9">
        <v>15</v>
      </c>
      <c r="F144" s="9" t="s">
        <v>36</v>
      </c>
    </row>
    <row r="145" spans="1:6" hidden="1" x14ac:dyDescent="0.25">
      <c r="A145" s="11">
        <v>45523</v>
      </c>
      <c r="B145" s="12" t="s">
        <v>29</v>
      </c>
      <c r="C145" s="9" t="s">
        <v>30</v>
      </c>
      <c r="D145" s="13">
        <v>8.5</v>
      </c>
      <c r="E145" s="9">
        <v>30</v>
      </c>
      <c r="F145" s="9" t="s">
        <v>55</v>
      </c>
    </row>
    <row r="146" spans="1:6" hidden="1" x14ac:dyDescent="0.25">
      <c r="A146" s="11">
        <v>45523</v>
      </c>
      <c r="B146" s="12" t="s">
        <v>44</v>
      </c>
      <c r="C146" s="9" t="s">
        <v>45</v>
      </c>
      <c r="D146" s="13">
        <v>45.2</v>
      </c>
      <c r="E146" s="9">
        <v>20</v>
      </c>
      <c r="F146" s="9" t="s">
        <v>54</v>
      </c>
    </row>
    <row r="147" spans="1:6" hidden="1" x14ac:dyDescent="0.25">
      <c r="A147" s="11">
        <v>45523</v>
      </c>
      <c r="B147" s="12" t="s">
        <v>31</v>
      </c>
      <c r="C147" s="9" t="s">
        <v>32</v>
      </c>
      <c r="D147" s="13">
        <v>8.4</v>
      </c>
      <c r="E147" s="9">
        <v>20</v>
      </c>
      <c r="F147" s="9" t="s">
        <v>55</v>
      </c>
    </row>
    <row r="148" spans="1:6" hidden="1" x14ac:dyDescent="0.25">
      <c r="A148" s="11">
        <v>45523</v>
      </c>
      <c r="B148" s="12" t="s">
        <v>40</v>
      </c>
      <c r="C148" s="9" t="s">
        <v>41</v>
      </c>
      <c r="D148" s="13">
        <v>23.5</v>
      </c>
      <c r="E148" s="9">
        <v>10</v>
      </c>
      <c r="F148" s="9" t="s">
        <v>54</v>
      </c>
    </row>
    <row r="149" spans="1:6" hidden="1" x14ac:dyDescent="0.25">
      <c r="A149" s="11">
        <v>45524</v>
      </c>
      <c r="B149" s="12" t="s">
        <v>40</v>
      </c>
      <c r="C149" s="9" t="s">
        <v>41</v>
      </c>
      <c r="D149" s="13">
        <v>23.5</v>
      </c>
      <c r="E149" s="9">
        <v>40</v>
      </c>
      <c r="F149" s="9" t="s">
        <v>36</v>
      </c>
    </row>
    <row r="150" spans="1:6" hidden="1" x14ac:dyDescent="0.25">
      <c r="A150" s="11">
        <v>45524</v>
      </c>
      <c r="B150" s="12" t="s">
        <v>31</v>
      </c>
      <c r="C150" s="9" t="s">
        <v>58</v>
      </c>
      <c r="D150" s="13">
        <v>118</v>
      </c>
      <c r="E150" s="9">
        <v>28</v>
      </c>
      <c r="F150" s="9" t="s">
        <v>36</v>
      </c>
    </row>
    <row r="151" spans="1:6" hidden="1" x14ac:dyDescent="0.25">
      <c r="A151" s="11">
        <v>45524</v>
      </c>
      <c r="B151" s="12" t="s">
        <v>38</v>
      </c>
      <c r="C151" s="9" t="s">
        <v>39</v>
      </c>
      <c r="D151" s="13">
        <v>16</v>
      </c>
      <c r="E151" s="9">
        <v>12</v>
      </c>
      <c r="F151" s="9" t="s">
        <v>36</v>
      </c>
    </row>
    <row r="152" spans="1:6" hidden="1" x14ac:dyDescent="0.25">
      <c r="A152" s="11">
        <v>45525</v>
      </c>
      <c r="B152" s="12" t="s">
        <v>40</v>
      </c>
      <c r="C152" s="9" t="s">
        <v>41</v>
      </c>
      <c r="D152" s="13">
        <v>23.5</v>
      </c>
      <c r="E152" s="9">
        <v>40</v>
      </c>
      <c r="F152" s="9" t="s">
        <v>61</v>
      </c>
    </row>
    <row r="153" spans="1:6" hidden="1" x14ac:dyDescent="0.25">
      <c r="A153" s="11">
        <v>45525</v>
      </c>
      <c r="B153" s="12" t="s">
        <v>29</v>
      </c>
      <c r="C153" s="9" t="s">
        <v>30</v>
      </c>
      <c r="D153" s="13">
        <v>8.5</v>
      </c>
      <c r="E153" s="9">
        <v>30</v>
      </c>
      <c r="F153" s="9" t="s">
        <v>61</v>
      </c>
    </row>
    <row r="154" spans="1:6" hidden="1" x14ac:dyDescent="0.25">
      <c r="A154" s="11">
        <v>45525</v>
      </c>
      <c r="B154" s="12" t="s">
        <v>31</v>
      </c>
      <c r="C154" s="9" t="s">
        <v>32</v>
      </c>
      <c r="D154" s="13">
        <v>8.4</v>
      </c>
      <c r="E154" s="9">
        <v>15</v>
      </c>
      <c r="F154" s="9" t="s">
        <v>61</v>
      </c>
    </row>
    <row r="155" spans="1:6" hidden="1" x14ac:dyDescent="0.25">
      <c r="A155" s="11">
        <v>45526</v>
      </c>
      <c r="B155" s="12" t="s">
        <v>29</v>
      </c>
      <c r="C155" s="9" t="s">
        <v>30</v>
      </c>
      <c r="D155" s="13">
        <v>8.5</v>
      </c>
      <c r="E155" s="9">
        <v>30</v>
      </c>
      <c r="F155" s="9" t="s">
        <v>49</v>
      </c>
    </row>
    <row r="156" spans="1:6" hidden="1" x14ac:dyDescent="0.25">
      <c r="A156" s="11">
        <v>45526</v>
      </c>
      <c r="B156" s="12" t="s">
        <v>26</v>
      </c>
      <c r="C156" s="9" t="s">
        <v>27</v>
      </c>
      <c r="D156" s="13">
        <v>16.5</v>
      </c>
      <c r="E156" s="9">
        <v>10</v>
      </c>
      <c r="F156" s="9" t="s">
        <v>49</v>
      </c>
    </row>
    <row r="157" spans="1:6" hidden="1" x14ac:dyDescent="0.25">
      <c r="A157" s="11">
        <v>45526</v>
      </c>
      <c r="B157" s="12" t="s">
        <v>42</v>
      </c>
      <c r="C157" s="9" t="s">
        <v>43</v>
      </c>
      <c r="D157" s="13">
        <v>25</v>
      </c>
      <c r="E157" s="9">
        <v>2</v>
      </c>
      <c r="F157" s="9" t="s">
        <v>49</v>
      </c>
    </row>
    <row r="158" spans="1:6" hidden="1" x14ac:dyDescent="0.25">
      <c r="A158" s="11">
        <v>45527</v>
      </c>
      <c r="B158" s="12" t="s">
        <v>40</v>
      </c>
      <c r="C158" s="9" t="s">
        <v>41</v>
      </c>
      <c r="D158" s="13">
        <v>23.5</v>
      </c>
      <c r="E158" s="9">
        <v>30</v>
      </c>
      <c r="F158" s="9" t="s">
        <v>54</v>
      </c>
    </row>
    <row r="159" spans="1:6" hidden="1" x14ac:dyDescent="0.25">
      <c r="A159" s="11">
        <v>45527</v>
      </c>
      <c r="B159" s="12" t="s">
        <v>56</v>
      </c>
      <c r="C159" s="9" t="s">
        <v>57</v>
      </c>
      <c r="D159" s="13">
        <v>39</v>
      </c>
      <c r="E159" s="9">
        <v>25</v>
      </c>
      <c r="F159" s="9" t="s">
        <v>54</v>
      </c>
    </row>
    <row r="160" spans="1:6" hidden="1" x14ac:dyDescent="0.25">
      <c r="A160" s="11">
        <v>45527</v>
      </c>
      <c r="B160" s="12" t="s">
        <v>40</v>
      </c>
      <c r="C160" s="9" t="s">
        <v>41</v>
      </c>
      <c r="D160" s="13">
        <v>23.5</v>
      </c>
      <c r="E160" s="9">
        <v>25</v>
      </c>
      <c r="F160" s="9" t="s">
        <v>54</v>
      </c>
    </row>
    <row r="161" spans="1:6" hidden="1" x14ac:dyDescent="0.25">
      <c r="A161" s="11">
        <v>45530</v>
      </c>
      <c r="B161" s="12" t="s">
        <v>26</v>
      </c>
      <c r="C161" s="9" t="s">
        <v>27</v>
      </c>
      <c r="D161" s="13">
        <v>16.5</v>
      </c>
      <c r="E161" s="9">
        <v>10</v>
      </c>
      <c r="F161" s="9" t="s">
        <v>49</v>
      </c>
    </row>
    <row r="162" spans="1:6" hidden="1" x14ac:dyDescent="0.25">
      <c r="A162" s="11">
        <v>45530</v>
      </c>
      <c r="B162" s="12" t="s">
        <v>46</v>
      </c>
      <c r="C162" s="9" t="s">
        <v>47</v>
      </c>
      <c r="D162" s="13">
        <v>34.200000000000003</v>
      </c>
      <c r="E162" s="9">
        <v>10</v>
      </c>
      <c r="F162" s="9" t="s">
        <v>49</v>
      </c>
    </row>
    <row r="163" spans="1:6" hidden="1" x14ac:dyDescent="0.25">
      <c r="A163" s="11">
        <v>45530</v>
      </c>
      <c r="B163" s="12" t="s">
        <v>56</v>
      </c>
      <c r="C163" s="9" t="s">
        <v>57</v>
      </c>
      <c r="D163" s="13">
        <v>39</v>
      </c>
      <c r="E163" s="9">
        <v>5</v>
      </c>
      <c r="F163" s="9" t="s">
        <v>49</v>
      </c>
    </row>
    <row r="164" spans="1:6" hidden="1" x14ac:dyDescent="0.25">
      <c r="A164" s="11">
        <v>45531</v>
      </c>
      <c r="B164" s="12" t="s">
        <v>50</v>
      </c>
      <c r="C164" s="9" t="s">
        <v>51</v>
      </c>
      <c r="D164" s="13">
        <v>12.4</v>
      </c>
      <c r="E164" s="9">
        <v>10</v>
      </c>
      <c r="F164" s="9" t="s">
        <v>55</v>
      </c>
    </row>
    <row r="165" spans="1:6" hidden="1" x14ac:dyDescent="0.25">
      <c r="A165" s="11">
        <v>45531</v>
      </c>
      <c r="B165" s="12" t="s">
        <v>31</v>
      </c>
      <c r="C165" s="9" t="s">
        <v>32</v>
      </c>
      <c r="D165" s="13">
        <v>8.4</v>
      </c>
      <c r="E165" s="9">
        <v>3</v>
      </c>
      <c r="F165" s="9" t="s">
        <v>55</v>
      </c>
    </row>
    <row r="166" spans="1:6" hidden="1" x14ac:dyDescent="0.25">
      <c r="A166" s="11">
        <v>45532</v>
      </c>
      <c r="B166" s="12" t="s">
        <v>46</v>
      </c>
      <c r="C166" s="9" t="s">
        <v>47</v>
      </c>
      <c r="D166" s="13">
        <v>34.200000000000003</v>
      </c>
      <c r="E166" s="9">
        <v>5</v>
      </c>
      <c r="F166" s="9" t="s">
        <v>61</v>
      </c>
    </row>
    <row r="167" spans="1:6" hidden="1" x14ac:dyDescent="0.25">
      <c r="A167" s="11">
        <v>45532</v>
      </c>
      <c r="B167" s="12" t="s">
        <v>38</v>
      </c>
      <c r="C167" s="9" t="s">
        <v>39</v>
      </c>
      <c r="D167" s="13">
        <v>16</v>
      </c>
      <c r="E167" s="9">
        <v>1</v>
      </c>
      <c r="F167" s="9" t="s">
        <v>61</v>
      </c>
    </row>
    <row r="168" spans="1:6" hidden="1" x14ac:dyDescent="0.25">
      <c r="A168" s="11">
        <v>45533</v>
      </c>
      <c r="B168" s="12" t="s">
        <v>44</v>
      </c>
      <c r="C168" s="9" t="s">
        <v>45</v>
      </c>
      <c r="D168" s="13">
        <v>45.2</v>
      </c>
      <c r="E168" s="9">
        <v>30</v>
      </c>
      <c r="F168" s="9" t="s">
        <v>37</v>
      </c>
    </row>
    <row r="169" spans="1:6" hidden="1" x14ac:dyDescent="0.25">
      <c r="A169" s="11">
        <v>45533</v>
      </c>
      <c r="B169" s="12" t="s">
        <v>38</v>
      </c>
      <c r="C169" s="9" t="s">
        <v>39</v>
      </c>
      <c r="D169" s="13">
        <v>16</v>
      </c>
      <c r="E169" s="9">
        <v>20</v>
      </c>
      <c r="F169" s="9" t="s">
        <v>37</v>
      </c>
    </row>
    <row r="170" spans="1:6" hidden="1" x14ac:dyDescent="0.25">
      <c r="A170" s="11">
        <v>45533</v>
      </c>
      <c r="B170" s="12" t="s">
        <v>40</v>
      </c>
      <c r="C170" s="9" t="s">
        <v>41</v>
      </c>
      <c r="D170" s="13">
        <v>23.5</v>
      </c>
      <c r="E170" s="9">
        <v>20</v>
      </c>
      <c r="F170" s="9" t="s">
        <v>37</v>
      </c>
    </row>
    <row r="171" spans="1:6" hidden="1" x14ac:dyDescent="0.25">
      <c r="A171" s="11">
        <v>45533</v>
      </c>
      <c r="B171" s="12" t="s">
        <v>42</v>
      </c>
      <c r="C171" s="9" t="s">
        <v>43</v>
      </c>
      <c r="D171" s="13">
        <v>25</v>
      </c>
      <c r="E171" s="9">
        <v>3</v>
      </c>
      <c r="F171" s="9" t="s">
        <v>37</v>
      </c>
    </row>
    <row r="172" spans="1:6" hidden="1" x14ac:dyDescent="0.25">
      <c r="A172" s="11">
        <v>45533</v>
      </c>
      <c r="B172" s="12" t="s">
        <v>31</v>
      </c>
      <c r="C172" s="9" t="s">
        <v>32</v>
      </c>
      <c r="D172" s="13">
        <v>8.4</v>
      </c>
      <c r="E172" s="9">
        <v>6</v>
      </c>
      <c r="F172" s="9" t="s">
        <v>37</v>
      </c>
    </row>
    <row r="173" spans="1:6" hidden="1" x14ac:dyDescent="0.25">
      <c r="A173" s="11">
        <v>45534</v>
      </c>
      <c r="B173" s="12" t="s">
        <v>38</v>
      </c>
      <c r="C173" s="9" t="s">
        <v>39</v>
      </c>
      <c r="D173" s="13">
        <v>16</v>
      </c>
      <c r="E173" s="9">
        <v>7</v>
      </c>
      <c r="F173" s="9" t="s">
        <v>49</v>
      </c>
    </row>
    <row r="174" spans="1:6" hidden="1" x14ac:dyDescent="0.25">
      <c r="A174" s="11">
        <v>45534</v>
      </c>
      <c r="B174" s="12" t="s">
        <v>50</v>
      </c>
      <c r="C174" s="9" t="s">
        <v>51</v>
      </c>
      <c r="D174" s="13">
        <v>12.4</v>
      </c>
      <c r="E174" s="9">
        <v>5</v>
      </c>
      <c r="F174" s="9" t="s">
        <v>54</v>
      </c>
    </row>
    <row r="175" spans="1:6" hidden="1" x14ac:dyDescent="0.25">
      <c r="A175" s="11">
        <v>45534</v>
      </c>
      <c r="B175" s="12" t="s">
        <v>26</v>
      </c>
      <c r="C175" s="9" t="s">
        <v>27</v>
      </c>
      <c r="D175" s="13">
        <v>16.5</v>
      </c>
      <c r="E175" s="9">
        <v>10</v>
      </c>
      <c r="F175" s="9" t="s">
        <v>54</v>
      </c>
    </row>
    <row r="176" spans="1:6" hidden="1" x14ac:dyDescent="0.25">
      <c r="A176" s="11">
        <v>45534</v>
      </c>
      <c r="B176" s="12" t="s">
        <v>31</v>
      </c>
      <c r="C176" s="9" t="s">
        <v>32</v>
      </c>
      <c r="D176" s="13">
        <v>8.4</v>
      </c>
      <c r="E176" s="9">
        <v>6</v>
      </c>
      <c r="F176" s="9" t="s">
        <v>49</v>
      </c>
    </row>
    <row r="177" spans="1:6" hidden="1" x14ac:dyDescent="0.25">
      <c r="A177" s="11">
        <v>45537</v>
      </c>
      <c r="B177" s="12" t="s">
        <v>38</v>
      </c>
      <c r="C177" s="9" t="s">
        <v>39</v>
      </c>
      <c r="D177" s="13">
        <v>16</v>
      </c>
      <c r="E177" s="9">
        <v>24</v>
      </c>
      <c r="F177" s="9" t="s">
        <v>55</v>
      </c>
    </row>
    <row r="178" spans="1:6" hidden="1" x14ac:dyDescent="0.25">
      <c r="A178" s="11">
        <v>45537</v>
      </c>
      <c r="B178" s="12" t="s">
        <v>26</v>
      </c>
      <c r="C178" s="9" t="s">
        <v>27</v>
      </c>
      <c r="D178" s="13">
        <v>16.5</v>
      </c>
      <c r="E178" s="9">
        <v>20</v>
      </c>
      <c r="F178" s="9" t="s">
        <v>55</v>
      </c>
    </row>
    <row r="179" spans="1:6" hidden="1" x14ac:dyDescent="0.25">
      <c r="A179" s="11">
        <v>45537</v>
      </c>
      <c r="B179" s="12" t="s">
        <v>31</v>
      </c>
      <c r="C179" s="9" t="s">
        <v>58</v>
      </c>
      <c r="D179" s="13">
        <v>118</v>
      </c>
      <c r="E179" s="9">
        <v>4</v>
      </c>
      <c r="F179" s="9" t="s">
        <v>55</v>
      </c>
    </row>
    <row r="180" spans="1:6" hidden="1" x14ac:dyDescent="0.25">
      <c r="A180" s="11">
        <v>45537</v>
      </c>
      <c r="B180" s="12" t="s">
        <v>31</v>
      </c>
      <c r="C180" s="9" t="s">
        <v>58</v>
      </c>
      <c r="D180" s="13">
        <v>118</v>
      </c>
      <c r="E180" s="9">
        <v>10</v>
      </c>
      <c r="F180" s="9" t="s">
        <v>55</v>
      </c>
    </row>
    <row r="181" spans="1:6" hidden="1" x14ac:dyDescent="0.25">
      <c r="A181" s="11">
        <v>45538</v>
      </c>
      <c r="B181" s="12" t="s">
        <v>38</v>
      </c>
      <c r="C181" s="9" t="s">
        <v>39</v>
      </c>
      <c r="D181" s="13">
        <v>16</v>
      </c>
      <c r="E181" s="9">
        <v>12</v>
      </c>
      <c r="F181" s="9" t="s">
        <v>55</v>
      </c>
    </row>
    <row r="182" spans="1:6" hidden="1" x14ac:dyDescent="0.25">
      <c r="A182" s="11">
        <v>45539</v>
      </c>
      <c r="B182" s="12" t="s">
        <v>29</v>
      </c>
      <c r="C182" s="9" t="s">
        <v>30</v>
      </c>
      <c r="D182" s="13">
        <v>8.5</v>
      </c>
      <c r="E182" s="9">
        <v>40</v>
      </c>
      <c r="F182" s="9" t="s">
        <v>49</v>
      </c>
    </row>
    <row r="183" spans="1:6" hidden="1" x14ac:dyDescent="0.25">
      <c r="A183" s="11">
        <v>45539</v>
      </c>
      <c r="B183" s="12" t="s">
        <v>42</v>
      </c>
      <c r="C183" s="9" t="s">
        <v>43</v>
      </c>
      <c r="D183" s="13">
        <v>25</v>
      </c>
      <c r="E183" s="9">
        <v>30</v>
      </c>
      <c r="F183" s="9" t="s">
        <v>49</v>
      </c>
    </row>
    <row r="184" spans="1:6" hidden="1" x14ac:dyDescent="0.25">
      <c r="A184" s="11">
        <v>45539</v>
      </c>
      <c r="B184" s="12" t="s">
        <v>50</v>
      </c>
      <c r="C184" s="9" t="s">
        <v>51</v>
      </c>
      <c r="D184" s="13">
        <v>12.4</v>
      </c>
      <c r="E184" s="9">
        <v>25</v>
      </c>
      <c r="F184" s="9" t="s">
        <v>49</v>
      </c>
    </row>
    <row r="185" spans="1:6" hidden="1" x14ac:dyDescent="0.25">
      <c r="A185" s="11">
        <v>45540</v>
      </c>
      <c r="B185" s="12" t="s">
        <v>46</v>
      </c>
      <c r="C185" s="9" t="s">
        <v>47</v>
      </c>
      <c r="D185" s="13">
        <v>34.200000000000003</v>
      </c>
      <c r="E185" s="9">
        <v>30</v>
      </c>
      <c r="F185" s="9" t="s">
        <v>36</v>
      </c>
    </row>
    <row r="186" spans="1:6" hidden="1" x14ac:dyDescent="0.25">
      <c r="A186" s="11">
        <v>45540</v>
      </c>
      <c r="B186" s="12" t="s">
        <v>31</v>
      </c>
      <c r="C186" s="9" t="s">
        <v>58</v>
      </c>
      <c r="D186" s="13">
        <v>118</v>
      </c>
      <c r="E186" s="9">
        <v>14</v>
      </c>
      <c r="F186" s="9" t="s">
        <v>36</v>
      </c>
    </row>
    <row r="187" spans="1:6" hidden="1" x14ac:dyDescent="0.25">
      <c r="A187" s="11">
        <v>45541</v>
      </c>
      <c r="B187" s="12" t="s">
        <v>50</v>
      </c>
      <c r="C187" s="9" t="s">
        <v>51</v>
      </c>
      <c r="D187" s="13">
        <v>12.4</v>
      </c>
      <c r="E187" s="9">
        <v>70</v>
      </c>
      <c r="F187" s="9" t="s">
        <v>49</v>
      </c>
    </row>
    <row r="188" spans="1:6" hidden="1" x14ac:dyDescent="0.25">
      <c r="A188" s="11">
        <v>45541</v>
      </c>
      <c r="B188" s="12" t="s">
        <v>38</v>
      </c>
      <c r="C188" s="9" t="s">
        <v>39</v>
      </c>
      <c r="D188" s="13">
        <v>16</v>
      </c>
      <c r="E188" s="9">
        <v>10</v>
      </c>
      <c r="F188" s="9" t="s">
        <v>49</v>
      </c>
    </row>
    <row r="189" spans="1:6" hidden="1" x14ac:dyDescent="0.25">
      <c r="A189" s="11">
        <v>45544</v>
      </c>
      <c r="B189" s="12" t="s">
        <v>40</v>
      </c>
      <c r="C189" s="9" t="s">
        <v>41</v>
      </c>
      <c r="D189" s="13">
        <v>23.5</v>
      </c>
      <c r="E189" s="9">
        <v>20</v>
      </c>
      <c r="F189" s="9" t="s">
        <v>33</v>
      </c>
    </row>
    <row r="190" spans="1:6" hidden="1" x14ac:dyDescent="0.25">
      <c r="A190" s="11">
        <v>45545</v>
      </c>
      <c r="B190" s="12" t="s">
        <v>38</v>
      </c>
      <c r="C190" s="9" t="s">
        <v>39</v>
      </c>
      <c r="D190" s="13">
        <v>16</v>
      </c>
      <c r="E190" s="9">
        <v>20</v>
      </c>
      <c r="F190" s="9" t="s">
        <v>54</v>
      </c>
    </row>
    <row r="191" spans="1:6" hidden="1" x14ac:dyDescent="0.25">
      <c r="A191" s="11">
        <v>45545</v>
      </c>
      <c r="B191" s="12" t="s">
        <v>38</v>
      </c>
      <c r="C191" s="9" t="s">
        <v>39</v>
      </c>
      <c r="D191" s="13">
        <v>16</v>
      </c>
      <c r="E191" s="9">
        <v>6</v>
      </c>
      <c r="F191" s="9" t="s">
        <v>54</v>
      </c>
    </row>
    <row r="192" spans="1:6" hidden="1" x14ac:dyDescent="0.25">
      <c r="A192" s="11">
        <v>45546</v>
      </c>
      <c r="B192" s="12" t="s">
        <v>38</v>
      </c>
      <c r="C192" s="9" t="s">
        <v>39</v>
      </c>
      <c r="D192" s="13">
        <v>16</v>
      </c>
      <c r="E192" s="9">
        <v>30</v>
      </c>
      <c r="F192" s="9" t="s">
        <v>61</v>
      </c>
    </row>
    <row r="193" spans="1:8" hidden="1" x14ac:dyDescent="0.25">
      <c r="A193" s="11">
        <v>45546</v>
      </c>
      <c r="B193" s="12" t="s">
        <v>31</v>
      </c>
      <c r="C193" s="9" t="s">
        <v>58</v>
      </c>
      <c r="D193" s="13">
        <v>118</v>
      </c>
      <c r="E193" s="9">
        <v>14</v>
      </c>
      <c r="F193" s="9" t="s">
        <v>61</v>
      </c>
    </row>
    <row r="194" spans="1:8" hidden="1" x14ac:dyDescent="0.25">
      <c r="A194" s="11">
        <v>45546</v>
      </c>
      <c r="B194" s="12" t="s">
        <v>40</v>
      </c>
      <c r="C194" s="9" t="s">
        <v>41</v>
      </c>
      <c r="D194" s="13">
        <v>23.5</v>
      </c>
      <c r="E194" s="9">
        <v>8</v>
      </c>
      <c r="F194" s="9" t="s">
        <v>61</v>
      </c>
    </row>
    <row r="195" spans="1:8" hidden="1" x14ac:dyDescent="0.25">
      <c r="A195" s="11">
        <v>45547</v>
      </c>
      <c r="B195" s="12" t="s">
        <v>42</v>
      </c>
      <c r="C195" s="9" t="s">
        <v>43</v>
      </c>
      <c r="D195" s="13">
        <v>25</v>
      </c>
      <c r="E195" s="9">
        <v>30</v>
      </c>
      <c r="F195" s="9" t="s">
        <v>28</v>
      </c>
    </row>
    <row r="196" spans="1:8" hidden="1" x14ac:dyDescent="0.25">
      <c r="A196" s="11">
        <v>45547</v>
      </c>
      <c r="B196" s="12" t="s">
        <v>50</v>
      </c>
      <c r="C196" s="9" t="s">
        <v>51</v>
      </c>
      <c r="D196" s="13">
        <v>12.4</v>
      </c>
      <c r="E196" s="9">
        <v>10</v>
      </c>
      <c r="F196" s="9" t="s">
        <v>37</v>
      </c>
    </row>
    <row r="197" spans="1:8" hidden="1" x14ac:dyDescent="0.25">
      <c r="A197" s="11">
        <v>45548</v>
      </c>
      <c r="B197" s="12" t="s">
        <v>42</v>
      </c>
      <c r="C197" s="9" t="s">
        <v>43</v>
      </c>
      <c r="D197" s="13">
        <v>25</v>
      </c>
      <c r="E197" s="9">
        <v>20</v>
      </c>
      <c r="F197" s="9" t="s">
        <v>61</v>
      </c>
    </row>
    <row r="198" spans="1:8" hidden="1" x14ac:dyDescent="0.25">
      <c r="A198" s="11">
        <v>45551</v>
      </c>
      <c r="B198" s="12" t="s">
        <v>42</v>
      </c>
      <c r="C198" s="9" t="s">
        <v>43</v>
      </c>
      <c r="D198" s="13">
        <v>25</v>
      </c>
      <c r="E198" s="9">
        <v>5</v>
      </c>
      <c r="F198" s="9" t="s">
        <v>36</v>
      </c>
      <c r="H198" s="10">
        <f>tbl_TabFilter[[#This Row],[EP]]*tbl_TabFilter[[#This Row],[VK_Menge]]</f>
        <v>125</v>
      </c>
    </row>
    <row r="199" spans="1:8" hidden="1" x14ac:dyDescent="0.25">
      <c r="A199" s="11">
        <v>45551</v>
      </c>
      <c r="B199" s="12" t="s">
        <v>40</v>
      </c>
      <c r="C199" s="9" t="s">
        <v>41</v>
      </c>
      <c r="D199" s="13">
        <v>23.5</v>
      </c>
      <c r="E199" s="9">
        <v>4</v>
      </c>
      <c r="F199" s="9" t="s">
        <v>36</v>
      </c>
    </row>
    <row r="200" spans="1:8" hidden="1" x14ac:dyDescent="0.25">
      <c r="A200" s="11">
        <v>45551</v>
      </c>
      <c r="B200" s="12" t="s">
        <v>46</v>
      </c>
      <c r="C200" s="9" t="s">
        <v>47</v>
      </c>
      <c r="D200" s="13">
        <v>34.200000000000003</v>
      </c>
      <c r="E200" s="9">
        <v>4</v>
      </c>
      <c r="F200" s="9" t="s">
        <v>36</v>
      </c>
    </row>
    <row r="201" spans="1:8" x14ac:dyDescent="0.25">
      <c r="A201" s="17" t="s">
        <v>64</v>
      </c>
      <c r="B201" s="17"/>
      <c r="C201" s="17"/>
      <c r="D201" s="31">
        <f>SUBTOTAL(109,tbl_TabFilter[EP])</f>
        <v>42.5</v>
      </c>
      <c r="E201" s="17">
        <f>SUBTOTAL(109,tbl_TabFilter[VK_Menge])</f>
        <v>86</v>
      </c>
      <c r="F201" s="17">
        <f>SUBTOTAL(103,tbl_TabFilter[Verkäufer])</f>
        <v>5</v>
      </c>
    </row>
  </sheetData>
  <pageMargins left="0.7" right="0.7" top="0.78740157499999996" bottom="0.78740157499999996" header="0.3" footer="0.3"/>
  <pageSetup paperSize="9" orientation="landscape" horizontalDpi="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08DF-F9A3-4AF5-9486-59BE3860F0B5}">
  <sheetPr>
    <tabColor rgb="FFFFC000"/>
  </sheetPr>
  <dimension ref="A1:C8"/>
  <sheetViews>
    <sheetView workbookViewId="0">
      <selection activeCell="B2" sqref="B2"/>
    </sheetView>
  </sheetViews>
  <sheetFormatPr baseColWidth="10" defaultRowHeight="15" x14ac:dyDescent="0.25"/>
  <cols>
    <col min="1" max="1" width="22.7109375" bestFit="1" customWidth="1"/>
    <col min="2" max="2" width="10.5703125" bestFit="1" customWidth="1"/>
    <col min="3" max="3" width="14.85546875" bestFit="1" customWidth="1"/>
    <col min="4" max="4" width="12.7109375" bestFit="1" customWidth="1"/>
    <col min="5" max="69" width="10.140625" bestFit="1" customWidth="1"/>
    <col min="70" max="70" width="15.85546875" bestFit="1" customWidth="1"/>
  </cols>
  <sheetData>
    <row r="1" spans="1:3" ht="21" customHeight="1" x14ac:dyDescent="0.25">
      <c r="A1" s="18" t="s">
        <v>65</v>
      </c>
      <c r="B1" s="26" t="s">
        <v>145</v>
      </c>
      <c r="C1" s="26" t="s">
        <v>139</v>
      </c>
    </row>
    <row r="2" spans="1:3" x14ac:dyDescent="0.25">
      <c r="A2" s="19" t="s">
        <v>36</v>
      </c>
      <c r="B2" s="23"/>
    </row>
    <row r="3" spans="1:3" x14ac:dyDescent="0.25">
      <c r="A3" s="20" t="s">
        <v>43</v>
      </c>
      <c r="B3" s="23"/>
    </row>
    <row r="4" spans="1:3" x14ac:dyDescent="0.25">
      <c r="A4" s="24" t="s">
        <v>143</v>
      </c>
      <c r="B4" s="23">
        <v>25</v>
      </c>
      <c r="C4">
        <v>625</v>
      </c>
    </row>
    <row r="5" spans="1:3" x14ac:dyDescent="0.25">
      <c r="A5" s="24" t="s">
        <v>144</v>
      </c>
      <c r="B5" s="23">
        <v>5</v>
      </c>
      <c r="C5">
        <v>155</v>
      </c>
    </row>
    <row r="7" spans="1:3" ht="18" customHeight="1" thickBot="1" x14ac:dyDescent="0.3">
      <c r="C7" s="33">
        <f>SUM(C4:C6)</f>
        <v>780</v>
      </c>
    </row>
    <row r="8" spans="1:3" ht="15.75" thickTop="1" x14ac:dyDescent="0.25"/>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4C33B-D31A-40AB-8A31-40E6D29FCF20}">
  <sheetPr>
    <tabColor rgb="FFFFC000"/>
  </sheetPr>
  <dimension ref="A1:I203"/>
  <sheetViews>
    <sheetView zoomScale="110" zoomScaleNormal="110" workbookViewId="0">
      <selection activeCell="I202" sqref="I202"/>
    </sheetView>
  </sheetViews>
  <sheetFormatPr baseColWidth="10" defaultColWidth="11.5703125" defaultRowHeight="15" x14ac:dyDescent="0.25"/>
  <cols>
    <col min="1" max="1" width="15.140625" style="14" bestFit="1" customWidth="1"/>
    <col min="2" max="2" width="14.85546875" style="15" customWidth="1"/>
    <col min="3" max="3" width="20.28515625" style="10" customWidth="1"/>
    <col min="4" max="4" width="15.42578125" style="16" customWidth="1"/>
    <col min="5" max="5" width="12.85546875" style="10" customWidth="1"/>
    <col min="6" max="6" width="17.42578125" style="10" customWidth="1"/>
    <col min="7" max="7" width="6.140625" style="10" customWidth="1"/>
    <col min="8" max="8" width="14.5703125" style="10" bestFit="1" customWidth="1"/>
    <col min="9" max="16384" width="11.5703125" style="10"/>
  </cols>
  <sheetData>
    <row r="1" spans="1:8" ht="31.5" customHeight="1" x14ac:dyDescent="0.25">
      <c r="A1" s="5" t="s">
        <v>23</v>
      </c>
      <c r="B1" s="6" t="s">
        <v>63</v>
      </c>
      <c r="C1" s="4" t="s">
        <v>24</v>
      </c>
      <c r="D1" s="7" t="s">
        <v>146</v>
      </c>
      <c r="E1" s="8" t="s">
        <v>62</v>
      </c>
      <c r="F1" s="4" t="s">
        <v>25</v>
      </c>
      <c r="G1" s="9"/>
    </row>
    <row r="2" spans="1:8" hidden="1" x14ac:dyDescent="0.25">
      <c r="A2" s="11">
        <v>45456</v>
      </c>
      <c r="B2" s="12" t="s">
        <v>26</v>
      </c>
      <c r="C2" s="9" t="s">
        <v>27</v>
      </c>
      <c r="D2" s="21">
        <v>84</v>
      </c>
      <c r="E2" s="9">
        <v>12</v>
      </c>
      <c r="F2" s="9" t="s">
        <v>28</v>
      </c>
      <c r="G2" s="9"/>
    </row>
    <row r="3" spans="1:8" hidden="1" x14ac:dyDescent="0.25">
      <c r="A3" s="11">
        <v>45456</v>
      </c>
      <c r="B3" s="12" t="s">
        <v>29</v>
      </c>
      <c r="C3" s="9" t="s">
        <v>30</v>
      </c>
      <c r="D3" s="21">
        <v>60.75</v>
      </c>
      <c r="E3" s="9">
        <v>5</v>
      </c>
      <c r="F3" s="9" t="s">
        <v>28</v>
      </c>
      <c r="G3" s="9"/>
    </row>
    <row r="4" spans="1:8" hidden="1" x14ac:dyDescent="0.25">
      <c r="A4" s="11">
        <v>45456</v>
      </c>
      <c r="B4" s="12" t="s">
        <v>31</v>
      </c>
      <c r="C4" s="9" t="s">
        <v>32</v>
      </c>
      <c r="D4" s="21">
        <v>49</v>
      </c>
      <c r="E4" s="9">
        <v>10</v>
      </c>
      <c r="F4" s="9" t="s">
        <v>28</v>
      </c>
      <c r="G4" s="9"/>
    </row>
    <row r="5" spans="1:8" hidden="1" x14ac:dyDescent="0.25">
      <c r="A5" s="11">
        <v>45457</v>
      </c>
      <c r="B5" s="12" t="s">
        <v>29</v>
      </c>
      <c r="C5" s="9" t="s">
        <v>30</v>
      </c>
      <c r="D5" s="21">
        <v>848</v>
      </c>
      <c r="E5" s="9">
        <v>40</v>
      </c>
      <c r="F5" s="9" t="s">
        <v>33</v>
      </c>
      <c r="G5" s="9"/>
    </row>
    <row r="6" spans="1:8" hidden="1" x14ac:dyDescent="0.25">
      <c r="A6" s="11">
        <v>45457</v>
      </c>
      <c r="B6" s="12" t="s">
        <v>34</v>
      </c>
      <c r="C6" s="9" t="s">
        <v>35</v>
      </c>
      <c r="D6" s="21">
        <v>83.7</v>
      </c>
      <c r="E6" s="9">
        <v>9</v>
      </c>
      <c r="F6" s="9" t="s">
        <v>33</v>
      </c>
      <c r="G6" s="9"/>
    </row>
    <row r="7" spans="1:8" hidden="1" x14ac:dyDescent="0.25">
      <c r="A7" s="11">
        <v>45457</v>
      </c>
      <c r="B7" s="12" t="s">
        <v>34</v>
      </c>
      <c r="C7" s="9" t="s">
        <v>35</v>
      </c>
      <c r="D7" s="21">
        <v>83.7</v>
      </c>
      <c r="E7" s="9">
        <v>9</v>
      </c>
      <c r="F7" s="9" t="s">
        <v>33</v>
      </c>
      <c r="G7" s="9"/>
    </row>
    <row r="8" spans="1:8" hidden="1" x14ac:dyDescent="0.25">
      <c r="A8" s="11">
        <v>45460</v>
      </c>
      <c r="B8" s="12" t="s">
        <v>29</v>
      </c>
      <c r="C8" s="9" t="s">
        <v>30</v>
      </c>
      <c r="D8" s="21">
        <v>742</v>
      </c>
      <c r="E8" s="9">
        <v>35</v>
      </c>
      <c r="F8" s="9" t="s">
        <v>36</v>
      </c>
      <c r="G8" s="9"/>
    </row>
    <row r="9" spans="1:8" hidden="1" x14ac:dyDescent="0.25">
      <c r="A9" s="11">
        <v>45460</v>
      </c>
      <c r="B9" s="12" t="s">
        <v>29</v>
      </c>
      <c r="C9" s="9" t="s">
        <v>30</v>
      </c>
      <c r="D9" s="21">
        <v>168</v>
      </c>
      <c r="E9" s="9">
        <v>20</v>
      </c>
      <c r="F9" s="9" t="s">
        <v>37</v>
      </c>
      <c r="G9" s="9"/>
    </row>
    <row r="10" spans="1:8" hidden="1" x14ac:dyDescent="0.25">
      <c r="A10" s="11">
        <v>45460</v>
      </c>
      <c r="B10" s="12" t="s">
        <v>29</v>
      </c>
      <c r="C10" s="9" t="s">
        <v>30</v>
      </c>
      <c r="D10" s="21">
        <v>126</v>
      </c>
      <c r="E10" s="9">
        <v>15</v>
      </c>
      <c r="F10" s="9" t="s">
        <v>36</v>
      </c>
      <c r="G10" s="9"/>
    </row>
    <row r="11" spans="1:8" hidden="1" x14ac:dyDescent="0.25">
      <c r="A11" s="11">
        <v>45460</v>
      </c>
      <c r="B11" s="12" t="s">
        <v>26</v>
      </c>
      <c r="C11" s="9" t="s">
        <v>27</v>
      </c>
      <c r="D11" s="21">
        <v>117</v>
      </c>
      <c r="E11" s="9">
        <v>15</v>
      </c>
      <c r="F11" s="9" t="s">
        <v>37</v>
      </c>
      <c r="G11" s="9"/>
    </row>
    <row r="12" spans="1:8" hidden="1" x14ac:dyDescent="0.25">
      <c r="A12" s="11">
        <v>45460</v>
      </c>
      <c r="B12" s="12" t="s">
        <v>38</v>
      </c>
      <c r="C12" s="9" t="s">
        <v>39</v>
      </c>
      <c r="D12" s="21">
        <v>50.4</v>
      </c>
      <c r="E12" s="9">
        <v>6</v>
      </c>
      <c r="F12" s="9" t="s">
        <v>37</v>
      </c>
      <c r="G12" s="9"/>
    </row>
    <row r="13" spans="1:8" hidden="1" x14ac:dyDescent="0.25">
      <c r="A13" s="11">
        <v>45460</v>
      </c>
      <c r="B13" s="12" t="s">
        <v>38</v>
      </c>
      <c r="C13" s="9" t="s">
        <v>39</v>
      </c>
      <c r="D13" s="21">
        <v>38.5</v>
      </c>
      <c r="E13" s="9">
        <v>10</v>
      </c>
      <c r="F13" s="9" t="s">
        <v>36</v>
      </c>
      <c r="G13" s="9"/>
    </row>
    <row r="14" spans="1:8" hidden="1" x14ac:dyDescent="0.25">
      <c r="A14" s="11">
        <v>45461</v>
      </c>
      <c r="B14" s="12" t="s">
        <v>31</v>
      </c>
      <c r="C14" s="9" t="s">
        <v>32</v>
      </c>
      <c r="D14" s="21">
        <v>1296</v>
      </c>
      <c r="E14" s="9">
        <v>40</v>
      </c>
      <c r="F14" s="9" t="s">
        <v>36</v>
      </c>
      <c r="G14" s="9"/>
    </row>
    <row r="15" spans="1:8" hidden="1" x14ac:dyDescent="0.25">
      <c r="A15" s="11">
        <v>45461</v>
      </c>
      <c r="B15" s="12" t="s">
        <v>40</v>
      </c>
      <c r="C15" s="9" t="s">
        <v>41</v>
      </c>
      <c r="D15" s="21">
        <v>544</v>
      </c>
      <c r="E15" s="9">
        <v>40</v>
      </c>
      <c r="F15" s="9" t="s">
        <v>36</v>
      </c>
      <c r="G15" s="9"/>
    </row>
    <row r="16" spans="1:8" x14ac:dyDescent="0.25">
      <c r="A16" s="11">
        <v>45461</v>
      </c>
      <c r="B16" s="12" t="s">
        <v>42</v>
      </c>
      <c r="C16" s="9" t="s">
        <v>43</v>
      </c>
      <c r="D16" s="21">
        <v>25</v>
      </c>
      <c r="E16" s="9">
        <v>25</v>
      </c>
      <c r="F16" s="9" t="s">
        <v>36</v>
      </c>
      <c r="G16" s="9"/>
      <c r="H16" s="28">
        <f>tbl_TabFehler[[#This Row],[EP]]*tbl_TabFehler[[#This Row],[VK_Menge]]</f>
        <v>625</v>
      </c>
    </row>
    <row r="17" spans="1:8" hidden="1" x14ac:dyDescent="0.25">
      <c r="A17" s="11">
        <v>45462</v>
      </c>
      <c r="B17" s="12" t="s">
        <v>29</v>
      </c>
      <c r="C17" s="9" t="s">
        <v>30</v>
      </c>
      <c r="D17" s="21">
        <v>320</v>
      </c>
      <c r="E17" s="9">
        <v>40</v>
      </c>
      <c r="F17" s="9" t="s">
        <v>37</v>
      </c>
      <c r="G17" s="9"/>
      <c r="H17" s="28">
        <f>tbl_TabFehler[[#This Row],[EP]]*tbl_TabFehler[[#This Row],[VK_Menge]]</f>
        <v>12800</v>
      </c>
    </row>
    <row r="18" spans="1:8" hidden="1" x14ac:dyDescent="0.25">
      <c r="A18" s="11">
        <v>45462</v>
      </c>
      <c r="B18" s="12" t="s">
        <v>40</v>
      </c>
      <c r="C18" s="9" t="s">
        <v>41</v>
      </c>
      <c r="D18" s="21">
        <v>302.39999999999998</v>
      </c>
      <c r="E18" s="9">
        <v>42</v>
      </c>
      <c r="F18" s="9" t="s">
        <v>37</v>
      </c>
      <c r="H18" s="28">
        <f>tbl_TabFehler[[#This Row],[EP]]*tbl_TabFehler[[#This Row],[VK_Menge]]</f>
        <v>12700.8</v>
      </c>
    </row>
    <row r="19" spans="1:8" hidden="1" x14ac:dyDescent="0.25">
      <c r="A19" s="11">
        <v>45462</v>
      </c>
      <c r="B19" s="12" t="s">
        <v>44</v>
      </c>
      <c r="C19" s="9" t="s">
        <v>45</v>
      </c>
      <c r="D19" s="21">
        <v>100</v>
      </c>
      <c r="E19" s="9">
        <v>20</v>
      </c>
      <c r="F19" s="9" t="s">
        <v>37</v>
      </c>
      <c r="H19" s="28">
        <f>tbl_TabFehler[[#This Row],[EP]]*tbl_TabFehler[[#This Row],[VK_Menge]]</f>
        <v>2000</v>
      </c>
    </row>
    <row r="20" spans="1:8" hidden="1" x14ac:dyDescent="0.25">
      <c r="A20" s="11">
        <v>45463</v>
      </c>
      <c r="B20" s="12" t="s">
        <v>46</v>
      </c>
      <c r="C20" s="9" t="s">
        <v>47</v>
      </c>
      <c r="D20" s="21">
        <v>201.6</v>
      </c>
      <c r="E20" s="9">
        <v>21</v>
      </c>
      <c r="F20" s="9" t="s">
        <v>28</v>
      </c>
      <c r="H20" s="28">
        <f>tbl_TabFehler[[#This Row],[EP]]*tbl_TabFehler[[#This Row],[VK_Menge]]</f>
        <v>4233.5999999999995</v>
      </c>
    </row>
    <row r="21" spans="1:8" hidden="1" x14ac:dyDescent="0.25">
      <c r="A21" s="11">
        <v>45463</v>
      </c>
      <c r="B21" s="12" t="s">
        <v>29</v>
      </c>
      <c r="C21" s="9" t="s">
        <v>30</v>
      </c>
      <c r="D21" s="21">
        <v>84</v>
      </c>
      <c r="E21" s="9">
        <v>21</v>
      </c>
      <c r="F21" s="9" t="s">
        <v>28</v>
      </c>
      <c r="H21" s="28">
        <f>tbl_TabFehler[[#This Row],[EP]]*tbl_TabFehler[[#This Row],[VK_Menge]]</f>
        <v>1764</v>
      </c>
    </row>
    <row r="22" spans="1:8" hidden="1" x14ac:dyDescent="0.25">
      <c r="A22" s="11">
        <v>45463</v>
      </c>
      <c r="B22" s="12" t="s">
        <v>44</v>
      </c>
      <c r="C22" s="9" t="s">
        <v>45</v>
      </c>
      <c r="D22" s="21">
        <v>27</v>
      </c>
      <c r="E22" s="9">
        <v>15</v>
      </c>
      <c r="F22" s="9" t="s">
        <v>28</v>
      </c>
      <c r="H22" s="28">
        <f>tbl_TabFehler[[#This Row],[EP]]*tbl_TabFehler[[#This Row],[VK_Menge]]</f>
        <v>405</v>
      </c>
    </row>
    <row r="23" spans="1:8" hidden="1" x14ac:dyDescent="0.25">
      <c r="A23" s="11">
        <v>45464</v>
      </c>
      <c r="B23" s="12" t="s">
        <v>26</v>
      </c>
      <c r="C23" s="9" t="s">
        <v>27</v>
      </c>
      <c r="D23" s="21">
        <v>660</v>
      </c>
      <c r="E23" s="9">
        <v>30</v>
      </c>
      <c r="F23" s="9" t="s">
        <v>48</v>
      </c>
      <c r="H23" s="28">
        <f>tbl_TabFehler[[#This Row],[EP]]*tbl_TabFehler[[#This Row],[VK_Menge]]</f>
        <v>19800</v>
      </c>
    </row>
    <row r="24" spans="1:8" hidden="1" x14ac:dyDescent="0.25">
      <c r="A24" s="11">
        <v>45464</v>
      </c>
      <c r="B24" s="12" t="s">
        <v>26</v>
      </c>
      <c r="C24" s="9" t="s">
        <v>27</v>
      </c>
      <c r="D24" s="21">
        <v>243.25</v>
      </c>
      <c r="E24" s="9">
        <v>35</v>
      </c>
      <c r="F24" s="9" t="s">
        <v>48</v>
      </c>
      <c r="H24" s="28">
        <f>tbl_TabFehler[[#This Row],[EP]]*tbl_TabFehler[[#This Row],[VK_Menge]]</f>
        <v>8513.75</v>
      </c>
    </row>
    <row r="25" spans="1:8" hidden="1" x14ac:dyDescent="0.25">
      <c r="A25" s="11">
        <v>45464</v>
      </c>
      <c r="B25" s="12" t="s">
        <v>38</v>
      </c>
      <c r="C25" s="9" t="s">
        <v>39</v>
      </c>
      <c r="D25" s="21">
        <v>190</v>
      </c>
      <c r="E25" s="9">
        <v>25</v>
      </c>
      <c r="F25" s="9" t="s">
        <v>48</v>
      </c>
      <c r="H25" s="28">
        <f>tbl_TabFehler[[#This Row],[EP]]*tbl_TabFehler[[#This Row],[VK_Menge]]</f>
        <v>4750</v>
      </c>
    </row>
    <row r="26" spans="1:8" hidden="1" x14ac:dyDescent="0.25">
      <c r="A26" s="11">
        <v>45464</v>
      </c>
      <c r="B26" s="12" t="s">
        <v>40</v>
      </c>
      <c r="C26" s="9" t="s">
        <v>41</v>
      </c>
      <c r="D26" s="21">
        <v>152</v>
      </c>
      <c r="E26" s="9">
        <v>20</v>
      </c>
      <c r="F26" s="9" t="s">
        <v>48</v>
      </c>
      <c r="H26" s="28">
        <f>tbl_TabFehler[[#This Row],[EP]]*tbl_TabFehler[[#This Row],[VK_Menge]]</f>
        <v>3040</v>
      </c>
    </row>
    <row r="27" spans="1:8" hidden="1" x14ac:dyDescent="0.25">
      <c r="A27" s="11">
        <v>45467</v>
      </c>
      <c r="B27" s="12" t="s">
        <v>26</v>
      </c>
      <c r="C27" s="9" t="s">
        <v>27</v>
      </c>
      <c r="D27" s="21">
        <v>196.5</v>
      </c>
      <c r="E27" s="9">
        <v>15</v>
      </c>
      <c r="F27" s="9" t="s">
        <v>37</v>
      </c>
      <c r="H27" s="28">
        <f>tbl_TabFehler[[#This Row],[EP]]*tbl_TabFehler[[#This Row],[VK_Menge]]</f>
        <v>2947.5</v>
      </c>
    </row>
    <row r="28" spans="1:8" hidden="1" x14ac:dyDescent="0.25">
      <c r="A28" s="11">
        <v>45467</v>
      </c>
      <c r="B28" s="12" t="s">
        <v>46</v>
      </c>
      <c r="C28" s="9" t="s">
        <v>47</v>
      </c>
      <c r="D28" s="21">
        <v>62.4</v>
      </c>
      <c r="E28" s="9">
        <v>12</v>
      </c>
      <c r="F28" s="9" t="s">
        <v>37</v>
      </c>
      <c r="H28" s="28">
        <f>tbl_TabFehler[[#This Row],[EP]]*tbl_TabFehler[[#This Row],[VK_Menge]]</f>
        <v>748.8</v>
      </c>
    </row>
    <row r="29" spans="1:8" hidden="1" x14ac:dyDescent="0.25">
      <c r="A29" s="11">
        <v>45468</v>
      </c>
      <c r="B29" s="12" t="s">
        <v>31</v>
      </c>
      <c r="C29" s="9" t="s">
        <v>32</v>
      </c>
      <c r="D29" s="21">
        <v>438.75</v>
      </c>
      <c r="E29" s="9">
        <v>25</v>
      </c>
      <c r="F29" s="9" t="s">
        <v>36</v>
      </c>
      <c r="H29" s="28">
        <f>tbl_TabFehler[[#This Row],[EP]]*tbl_TabFehler[[#This Row],[VK_Menge]]</f>
        <v>10968.75</v>
      </c>
    </row>
    <row r="30" spans="1:8" hidden="1" x14ac:dyDescent="0.25">
      <c r="A30" s="11">
        <v>45468</v>
      </c>
      <c r="B30" s="12" t="s">
        <v>46</v>
      </c>
      <c r="C30" s="9" t="s">
        <v>47</v>
      </c>
      <c r="D30" s="21">
        <v>78</v>
      </c>
      <c r="E30" s="9">
        <v>15</v>
      </c>
      <c r="F30" s="9" t="s">
        <v>36</v>
      </c>
      <c r="H30" s="28">
        <f>tbl_TabFehler[[#This Row],[EP]]*tbl_TabFehler[[#This Row],[VK_Menge]]</f>
        <v>1170</v>
      </c>
    </row>
    <row r="31" spans="1:8" hidden="1" x14ac:dyDescent="0.25">
      <c r="A31" s="11">
        <v>45468</v>
      </c>
      <c r="B31" s="12" t="s">
        <v>40</v>
      </c>
      <c r="C31" s="9" t="s">
        <v>41</v>
      </c>
      <c r="D31" s="21">
        <v>43.2</v>
      </c>
      <c r="E31" s="9">
        <v>6</v>
      </c>
      <c r="F31" s="9" t="s">
        <v>36</v>
      </c>
      <c r="H31" s="28">
        <f>tbl_TabFehler[[#This Row],[EP]]*tbl_TabFehler[[#This Row],[VK_Menge]]</f>
        <v>259.20000000000005</v>
      </c>
    </row>
    <row r="32" spans="1:8" hidden="1" x14ac:dyDescent="0.25">
      <c r="A32" s="11">
        <v>45469</v>
      </c>
      <c r="B32" s="12" t="s">
        <v>40</v>
      </c>
      <c r="C32" s="9" t="s">
        <v>41</v>
      </c>
      <c r="D32" s="21">
        <v>552.5</v>
      </c>
      <c r="E32" s="9">
        <v>65</v>
      </c>
      <c r="F32" s="9" t="s">
        <v>49</v>
      </c>
      <c r="H32" s="28">
        <f>tbl_TabFehler[[#This Row],[EP]]*tbl_TabFehler[[#This Row],[VK_Menge]]</f>
        <v>35912.5</v>
      </c>
    </row>
    <row r="33" spans="1:8" hidden="1" x14ac:dyDescent="0.25">
      <c r="A33" s="11">
        <v>45469</v>
      </c>
      <c r="B33" s="12" t="s">
        <v>40</v>
      </c>
      <c r="C33" s="9" t="s">
        <v>41</v>
      </c>
      <c r="D33" s="21">
        <v>380</v>
      </c>
      <c r="E33" s="9">
        <v>50</v>
      </c>
      <c r="F33" s="9" t="s">
        <v>49</v>
      </c>
      <c r="H33" s="28">
        <f>tbl_TabFehler[[#This Row],[EP]]*tbl_TabFehler[[#This Row],[VK_Menge]]</f>
        <v>19000</v>
      </c>
    </row>
    <row r="34" spans="1:8" hidden="1" x14ac:dyDescent="0.25">
      <c r="A34" s="11">
        <v>45469</v>
      </c>
      <c r="B34" s="12" t="s">
        <v>29</v>
      </c>
      <c r="C34" s="9" t="s">
        <v>30</v>
      </c>
      <c r="D34" s="21">
        <v>76.8</v>
      </c>
      <c r="E34" s="9">
        <v>6</v>
      </c>
      <c r="F34" s="9" t="s">
        <v>49</v>
      </c>
      <c r="H34" s="28">
        <f>tbl_TabFehler[[#This Row],[EP]]*tbl_TabFehler[[#This Row],[VK_Menge]]</f>
        <v>460.79999999999995</v>
      </c>
    </row>
    <row r="35" spans="1:8" hidden="1" x14ac:dyDescent="0.25">
      <c r="A35" s="11">
        <v>45470</v>
      </c>
      <c r="B35" s="12" t="s">
        <v>31</v>
      </c>
      <c r="C35" s="9" t="s">
        <v>32</v>
      </c>
      <c r="D35" s="21">
        <v>40</v>
      </c>
      <c r="E35" s="9">
        <v>10</v>
      </c>
      <c r="F35" s="9" t="s">
        <v>36</v>
      </c>
      <c r="H35" s="28">
        <f>tbl_TabFehler[[#This Row],[EP]]*tbl_TabFehler[[#This Row],[VK_Menge]]</f>
        <v>400</v>
      </c>
    </row>
    <row r="36" spans="1:8" hidden="1" x14ac:dyDescent="0.25">
      <c r="A36" s="11">
        <v>45470</v>
      </c>
      <c r="B36" s="12" t="s">
        <v>44</v>
      </c>
      <c r="C36" s="9" t="s">
        <v>45</v>
      </c>
      <c r="D36" s="21">
        <v>10.4</v>
      </c>
      <c r="E36" s="9">
        <v>1</v>
      </c>
      <c r="F36" s="9" t="s">
        <v>36</v>
      </c>
      <c r="H36" s="28">
        <f>tbl_TabFehler[[#This Row],[EP]]*tbl_TabFehler[[#This Row],[VK_Menge]]</f>
        <v>10.4</v>
      </c>
    </row>
    <row r="37" spans="1:8" hidden="1" x14ac:dyDescent="0.25">
      <c r="A37" s="11">
        <v>45471</v>
      </c>
      <c r="B37" s="12" t="s">
        <v>26</v>
      </c>
      <c r="C37" s="9" t="s">
        <v>27</v>
      </c>
      <c r="D37" s="21">
        <v>390</v>
      </c>
      <c r="E37" s="9">
        <v>50</v>
      </c>
      <c r="F37" s="9" t="s">
        <v>36</v>
      </c>
      <c r="H37" s="28">
        <f>tbl_TabFehler[[#This Row],[EP]]*tbl_TabFehler[[#This Row],[VK_Menge]]</f>
        <v>19500</v>
      </c>
    </row>
    <row r="38" spans="1:8" hidden="1" x14ac:dyDescent="0.25">
      <c r="A38" s="11">
        <v>45471</v>
      </c>
      <c r="B38" s="12" t="s">
        <v>50</v>
      </c>
      <c r="C38" s="9" t="s">
        <v>51</v>
      </c>
      <c r="D38" s="21">
        <v>295.5</v>
      </c>
      <c r="E38" s="9">
        <v>15</v>
      </c>
      <c r="F38" s="9" t="s">
        <v>36</v>
      </c>
      <c r="H38" s="28">
        <f>tbl_TabFehler[[#This Row],[EP]]*tbl_TabFehler[[#This Row],[VK_Menge]]</f>
        <v>4432.5</v>
      </c>
    </row>
    <row r="39" spans="1:8" hidden="1" x14ac:dyDescent="0.25">
      <c r="A39" s="11">
        <v>45471</v>
      </c>
      <c r="B39" s="12" t="s">
        <v>50</v>
      </c>
      <c r="C39" s="9" t="s">
        <v>51</v>
      </c>
      <c r="D39" s="21">
        <v>144</v>
      </c>
      <c r="E39" s="9">
        <v>20</v>
      </c>
      <c r="F39" s="9" t="s">
        <v>36</v>
      </c>
      <c r="H39" s="28">
        <f>tbl_TabFehler[[#This Row],[EP]]*tbl_TabFehler[[#This Row],[VK_Menge]]</f>
        <v>2880</v>
      </c>
    </row>
    <row r="40" spans="1:8" hidden="1" x14ac:dyDescent="0.25">
      <c r="A40" s="11">
        <v>45471</v>
      </c>
      <c r="B40" s="12" t="s">
        <v>46</v>
      </c>
      <c r="C40" s="9" t="s">
        <v>47</v>
      </c>
      <c r="D40" s="21">
        <v>126</v>
      </c>
      <c r="E40" s="9">
        <v>21</v>
      </c>
      <c r="F40" s="9" t="s">
        <v>36</v>
      </c>
      <c r="H40" s="28">
        <f>tbl_TabFehler[[#This Row],[EP]]*tbl_TabFehler[[#This Row],[VK_Menge]]</f>
        <v>2646</v>
      </c>
    </row>
    <row r="41" spans="1:8" hidden="1" x14ac:dyDescent="0.25">
      <c r="A41" s="11">
        <v>45471</v>
      </c>
      <c r="B41" s="12" t="s">
        <v>31</v>
      </c>
      <c r="C41" s="9" t="s">
        <v>32</v>
      </c>
      <c r="D41" s="21">
        <v>80</v>
      </c>
      <c r="E41" s="9">
        <v>20</v>
      </c>
      <c r="F41" s="9" t="s">
        <v>36</v>
      </c>
      <c r="H41" s="28">
        <f>tbl_TabFehler[[#This Row],[EP]]*tbl_TabFehler[[#This Row],[VK_Menge]]</f>
        <v>1600</v>
      </c>
    </row>
    <row r="42" spans="1:8" hidden="1" x14ac:dyDescent="0.25">
      <c r="A42" s="11">
        <v>45471</v>
      </c>
      <c r="B42" s="12" t="s">
        <v>38</v>
      </c>
      <c r="C42" s="9" t="s">
        <v>39</v>
      </c>
      <c r="D42" s="21">
        <v>61.6</v>
      </c>
      <c r="E42" s="9">
        <v>16</v>
      </c>
      <c r="F42" s="9" t="s">
        <v>36</v>
      </c>
      <c r="H42" s="28">
        <f>tbl_TabFehler[[#This Row],[EP]]*tbl_TabFehler[[#This Row],[VK_Menge]]</f>
        <v>985.6</v>
      </c>
    </row>
    <row r="43" spans="1:8" hidden="1" x14ac:dyDescent="0.25">
      <c r="A43" s="11">
        <v>45474</v>
      </c>
      <c r="B43" s="12" t="s">
        <v>52</v>
      </c>
      <c r="C43" s="9" t="s">
        <v>53</v>
      </c>
      <c r="D43" s="21">
        <v>180</v>
      </c>
      <c r="E43" s="9">
        <v>15</v>
      </c>
      <c r="F43" s="9" t="s">
        <v>54</v>
      </c>
      <c r="H43" s="28">
        <f>tbl_TabFehler[[#This Row],[EP]]*tbl_TabFehler[[#This Row],[VK_Menge]]</f>
        <v>2700</v>
      </c>
    </row>
    <row r="44" spans="1:8" hidden="1" x14ac:dyDescent="0.25">
      <c r="A44" s="11">
        <v>45474</v>
      </c>
      <c r="B44" s="12" t="s">
        <v>40</v>
      </c>
      <c r="C44" s="9" t="s">
        <v>41</v>
      </c>
      <c r="D44" s="21">
        <v>102</v>
      </c>
      <c r="E44" s="9">
        <v>12</v>
      </c>
      <c r="F44" s="9" t="s">
        <v>54</v>
      </c>
      <c r="H44" s="28">
        <f>tbl_TabFehler[[#This Row],[EP]]*tbl_TabFehler[[#This Row],[VK_Menge]]</f>
        <v>1224</v>
      </c>
    </row>
    <row r="45" spans="1:8" hidden="1" x14ac:dyDescent="0.25">
      <c r="A45" s="11">
        <v>45474</v>
      </c>
      <c r="B45" s="12" t="s">
        <v>44</v>
      </c>
      <c r="C45" s="9" t="s">
        <v>45</v>
      </c>
      <c r="D45" s="21">
        <v>30.4</v>
      </c>
      <c r="E45" s="9">
        <v>2</v>
      </c>
      <c r="F45" s="9" t="s">
        <v>54</v>
      </c>
      <c r="H45" s="28">
        <f>tbl_TabFehler[[#This Row],[EP]]*tbl_TabFehler[[#This Row],[VK_Menge]]</f>
        <v>60.8</v>
      </c>
    </row>
    <row r="46" spans="1:8" hidden="1" x14ac:dyDescent="0.25">
      <c r="A46" s="11">
        <v>45475</v>
      </c>
      <c r="B46" s="12" t="s">
        <v>46</v>
      </c>
      <c r="C46" s="9" t="s">
        <v>47</v>
      </c>
      <c r="D46" s="21">
        <v>621</v>
      </c>
      <c r="E46" s="9">
        <v>60</v>
      </c>
      <c r="F46" s="9" t="s">
        <v>48</v>
      </c>
      <c r="H46" s="28">
        <f>tbl_TabFehler[[#This Row],[EP]]*tbl_TabFehler[[#This Row],[VK_Menge]]</f>
        <v>37260</v>
      </c>
    </row>
    <row r="47" spans="1:8" hidden="1" x14ac:dyDescent="0.25">
      <c r="A47" s="11">
        <v>45475</v>
      </c>
      <c r="B47" s="12" t="s">
        <v>26</v>
      </c>
      <c r="C47" s="9" t="s">
        <v>27</v>
      </c>
      <c r="D47" s="21">
        <v>417</v>
      </c>
      <c r="E47" s="9">
        <v>60</v>
      </c>
      <c r="F47" s="9" t="s">
        <v>48</v>
      </c>
      <c r="H47" s="28">
        <f>tbl_TabFehler[[#This Row],[EP]]*tbl_TabFehler[[#This Row],[VK_Menge]]</f>
        <v>25020</v>
      </c>
    </row>
    <row r="48" spans="1:8" hidden="1" x14ac:dyDescent="0.25">
      <c r="A48" s="11">
        <v>45475</v>
      </c>
      <c r="B48" s="12" t="s">
        <v>29</v>
      </c>
      <c r="C48" s="9" t="s">
        <v>30</v>
      </c>
      <c r="D48" s="21">
        <v>144</v>
      </c>
      <c r="E48" s="9">
        <v>36</v>
      </c>
      <c r="F48" s="9" t="s">
        <v>48</v>
      </c>
      <c r="H48" s="28">
        <f>tbl_TabFehler[[#This Row],[EP]]*tbl_TabFehler[[#This Row],[VK_Menge]]</f>
        <v>5184</v>
      </c>
    </row>
    <row r="49" spans="1:8" hidden="1" x14ac:dyDescent="0.25">
      <c r="A49" s="11">
        <v>45475</v>
      </c>
      <c r="B49" s="12" t="s">
        <v>44</v>
      </c>
      <c r="C49" s="9" t="s">
        <v>45</v>
      </c>
      <c r="D49" s="21">
        <v>50.4</v>
      </c>
      <c r="E49" s="9">
        <v>28</v>
      </c>
      <c r="F49" s="9" t="s">
        <v>48</v>
      </c>
      <c r="H49" s="28">
        <f>tbl_TabFehler[[#This Row],[EP]]*tbl_TabFehler[[#This Row],[VK_Menge]]</f>
        <v>1411.2</v>
      </c>
    </row>
    <row r="50" spans="1:8" hidden="1" x14ac:dyDescent="0.25">
      <c r="A50" s="11">
        <v>45476</v>
      </c>
      <c r="B50" s="12" t="s">
        <v>40</v>
      </c>
      <c r="C50" s="9" t="s">
        <v>41</v>
      </c>
      <c r="D50" s="21">
        <v>266</v>
      </c>
      <c r="E50" s="9">
        <v>35</v>
      </c>
      <c r="F50" s="9" t="s">
        <v>33</v>
      </c>
      <c r="H50" s="28">
        <f>tbl_TabFehler[[#This Row],[EP]]*tbl_TabFehler[[#This Row],[VK_Menge]]</f>
        <v>9310</v>
      </c>
    </row>
    <row r="51" spans="1:8" hidden="1" x14ac:dyDescent="0.25">
      <c r="A51" s="11">
        <v>45476</v>
      </c>
      <c r="B51" s="12" t="s">
        <v>38</v>
      </c>
      <c r="C51" s="9" t="s">
        <v>39</v>
      </c>
      <c r="D51" s="21">
        <v>96.25</v>
      </c>
      <c r="E51" s="9">
        <v>25</v>
      </c>
      <c r="F51" s="9" t="s">
        <v>33</v>
      </c>
      <c r="H51" s="28">
        <f>tbl_TabFehler[[#This Row],[EP]]*tbl_TabFehler[[#This Row],[VK_Menge]]</f>
        <v>2406.25</v>
      </c>
    </row>
    <row r="52" spans="1:8" hidden="1" x14ac:dyDescent="0.25">
      <c r="A52" s="11">
        <v>45477</v>
      </c>
      <c r="B52" s="12" t="s">
        <v>40</v>
      </c>
      <c r="C52" s="9" t="s">
        <v>41</v>
      </c>
      <c r="D52" s="21">
        <v>468</v>
      </c>
      <c r="E52" s="9">
        <v>30</v>
      </c>
      <c r="F52" s="9" t="s">
        <v>55</v>
      </c>
      <c r="H52" s="28">
        <f>tbl_TabFehler[[#This Row],[EP]]*tbl_TabFehler[[#This Row],[VK_Menge]]</f>
        <v>14040</v>
      </c>
    </row>
    <row r="53" spans="1:8" hidden="1" x14ac:dyDescent="0.25">
      <c r="A53" s="11">
        <v>45477</v>
      </c>
      <c r="B53" s="12" t="s">
        <v>46</v>
      </c>
      <c r="C53" s="9" t="s">
        <v>47</v>
      </c>
      <c r="D53" s="21">
        <v>120</v>
      </c>
      <c r="E53" s="9">
        <v>20</v>
      </c>
      <c r="F53" s="9" t="s">
        <v>55</v>
      </c>
      <c r="H53" s="28">
        <f>tbl_TabFehler[[#This Row],[EP]]*tbl_TabFehler[[#This Row],[VK_Menge]]</f>
        <v>2400</v>
      </c>
    </row>
    <row r="54" spans="1:8" hidden="1" x14ac:dyDescent="0.25">
      <c r="A54" s="11">
        <v>45478</v>
      </c>
      <c r="B54" s="12" t="s">
        <v>26</v>
      </c>
      <c r="C54" s="9" t="s">
        <v>27</v>
      </c>
      <c r="D54" s="21">
        <v>182.4</v>
      </c>
      <c r="E54" s="9">
        <v>12</v>
      </c>
      <c r="F54" s="9" t="s">
        <v>37</v>
      </c>
      <c r="H54" s="28">
        <f>tbl_TabFehler[[#This Row],[EP]]*tbl_TabFehler[[#This Row],[VK_Menge]]</f>
        <v>2188.8000000000002</v>
      </c>
    </row>
    <row r="55" spans="1:8" hidden="1" x14ac:dyDescent="0.25">
      <c r="A55" s="11">
        <v>45481</v>
      </c>
      <c r="B55" s="12" t="s">
        <v>40</v>
      </c>
      <c r="C55" s="9" t="s">
        <v>41</v>
      </c>
      <c r="D55" s="21">
        <v>367.5</v>
      </c>
      <c r="E55" s="9">
        <v>50</v>
      </c>
      <c r="F55" s="9" t="s">
        <v>36</v>
      </c>
      <c r="H55" s="28">
        <f>tbl_TabFehler[[#This Row],[EP]]*tbl_TabFehler[[#This Row],[VK_Menge]]</f>
        <v>18375</v>
      </c>
    </row>
    <row r="56" spans="1:8" hidden="1" x14ac:dyDescent="0.25">
      <c r="A56" s="11">
        <v>45481</v>
      </c>
      <c r="B56" s="12" t="s">
        <v>26</v>
      </c>
      <c r="C56" s="9" t="s">
        <v>27</v>
      </c>
      <c r="D56" s="21">
        <v>1540</v>
      </c>
      <c r="E56" s="9">
        <v>70</v>
      </c>
      <c r="F56" s="9" t="s">
        <v>36</v>
      </c>
      <c r="H56" s="28">
        <f>tbl_TabFehler[[#This Row],[EP]]*tbl_TabFehler[[#This Row],[VK_Menge]]</f>
        <v>107800</v>
      </c>
    </row>
    <row r="57" spans="1:8" hidden="1" x14ac:dyDescent="0.25">
      <c r="A57" s="11">
        <v>45481</v>
      </c>
      <c r="B57" s="12" t="s">
        <v>38</v>
      </c>
      <c r="C57" s="9" t="s">
        <v>39</v>
      </c>
      <c r="D57" s="21">
        <v>108</v>
      </c>
      <c r="E57" s="9">
        <v>15</v>
      </c>
      <c r="F57" s="9" t="s">
        <v>36</v>
      </c>
      <c r="H57" s="28">
        <f>tbl_TabFehler[[#This Row],[EP]]*tbl_TabFehler[[#This Row],[VK_Menge]]</f>
        <v>1620</v>
      </c>
    </row>
    <row r="58" spans="1:8" hidden="1" x14ac:dyDescent="0.25">
      <c r="A58" s="11">
        <v>45482</v>
      </c>
      <c r="B58" s="12" t="s">
        <v>56</v>
      </c>
      <c r="C58" s="9" t="s">
        <v>57</v>
      </c>
      <c r="D58" s="21">
        <v>495</v>
      </c>
      <c r="E58" s="9">
        <v>10</v>
      </c>
      <c r="F58" s="9" t="s">
        <v>54</v>
      </c>
      <c r="H58" s="28">
        <f>tbl_TabFehler[[#This Row],[EP]]*tbl_TabFehler[[#This Row],[VK_Menge]]</f>
        <v>4950</v>
      </c>
    </row>
    <row r="59" spans="1:8" hidden="1" x14ac:dyDescent="0.25">
      <c r="A59" s="11">
        <v>45482</v>
      </c>
      <c r="B59" s="12" t="s">
        <v>29</v>
      </c>
      <c r="C59" s="9" t="s">
        <v>30</v>
      </c>
      <c r="D59" s="21">
        <v>55.6</v>
      </c>
      <c r="E59" s="9">
        <v>4</v>
      </c>
      <c r="F59" s="9" t="s">
        <v>54</v>
      </c>
      <c r="H59" s="28">
        <f>tbl_TabFehler[[#This Row],[EP]]*tbl_TabFehler[[#This Row],[VK_Menge]]</f>
        <v>222.4</v>
      </c>
    </row>
    <row r="60" spans="1:8" hidden="1" x14ac:dyDescent="0.25">
      <c r="A60" s="11">
        <v>45483</v>
      </c>
      <c r="B60" s="12" t="s">
        <v>42</v>
      </c>
      <c r="C60" s="9" t="s">
        <v>43</v>
      </c>
      <c r="D60" s="21">
        <v>60</v>
      </c>
      <c r="E60" s="9">
        <v>60</v>
      </c>
      <c r="F60" s="9" t="s">
        <v>28</v>
      </c>
      <c r="H60" s="28">
        <f>tbl_TabFehler[[#This Row],[EP]]*tbl_TabFehler[[#This Row],[VK_Menge]]</f>
        <v>3600</v>
      </c>
    </row>
    <row r="61" spans="1:8" hidden="1" x14ac:dyDescent="0.25">
      <c r="A61" s="11">
        <v>45483</v>
      </c>
      <c r="B61" s="12" t="s">
        <v>29</v>
      </c>
      <c r="C61" s="9" t="s">
        <v>30</v>
      </c>
      <c r="D61" s="21">
        <v>278</v>
      </c>
      <c r="E61" s="9">
        <v>20</v>
      </c>
      <c r="F61" s="9" t="s">
        <v>28</v>
      </c>
      <c r="H61" s="28">
        <f>tbl_TabFehler[[#This Row],[EP]]*tbl_TabFehler[[#This Row],[VK_Menge]]</f>
        <v>5560</v>
      </c>
    </row>
    <row r="62" spans="1:8" hidden="1" x14ac:dyDescent="0.25">
      <c r="A62" s="11">
        <v>45483</v>
      </c>
      <c r="B62" s="12" t="s">
        <v>29</v>
      </c>
      <c r="C62" s="9" t="s">
        <v>30</v>
      </c>
      <c r="D62" s="21">
        <v>278</v>
      </c>
      <c r="E62" s="9">
        <v>20</v>
      </c>
      <c r="F62" s="9" t="s">
        <v>28</v>
      </c>
      <c r="H62" s="28">
        <f>tbl_TabFehler[[#This Row],[EP]]*tbl_TabFehler[[#This Row],[VK_Menge]]</f>
        <v>5560</v>
      </c>
    </row>
    <row r="63" spans="1:8" hidden="1" x14ac:dyDescent="0.25">
      <c r="A63" s="11">
        <v>45484</v>
      </c>
      <c r="B63" s="12" t="s">
        <v>38</v>
      </c>
      <c r="C63" s="9" t="s">
        <v>39</v>
      </c>
      <c r="D63" s="21">
        <v>228</v>
      </c>
      <c r="E63" s="9">
        <v>30</v>
      </c>
      <c r="F63" s="9" t="s">
        <v>49</v>
      </c>
      <c r="H63" s="28">
        <f>tbl_TabFehler[[#This Row],[EP]]*tbl_TabFehler[[#This Row],[VK_Menge]]</f>
        <v>6840</v>
      </c>
    </row>
    <row r="64" spans="1:8" hidden="1" x14ac:dyDescent="0.25">
      <c r="A64" s="11">
        <v>45484</v>
      </c>
      <c r="B64" s="12" t="s">
        <v>38</v>
      </c>
      <c r="C64" s="9" t="s">
        <v>39</v>
      </c>
      <c r="D64" s="21">
        <v>460</v>
      </c>
      <c r="E64" s="9">
        <v>25</v>
      </c>
      <c r="F64" s="9" t="s">
        <v>49</v>
      </c>
      <c r="H64" s="28">
        <f>tbl_TabFehler[[#This Row],[EP]]*tbl_TabFehler[[#This Row],[VK_Menge]]</f>
        <v>11500</v>
      </c>
    </row>
    <row r="65" spans="1:8" hidden="1" x14ac:dyDescent="0.25">
      <c r="A65" s="11">
        <v>45484</v>
      </c>
      <c r="B65" s="12" t="s">
        <v>38</v>
      </c>
      <c r="C65" s="9" t="s">
        <v>39</v>
      </c>
      <c r="D65" s="21">
        <v>460</v>
      </c>
      <c r="E65" s="9">
        <v>25</v>
      </c>
      <c r="F65" s="9" t="s">
        <v>49</v>
      </c>
      <c r="H65" s="28">
        <f>tbl_TabFehler[[#This Row],[EP]]*tbl_TabFehler[[#This Row],[VK_Menge]]</f>
        <v>11500</v>
      </c>
    </row>
    <row r="66" spans="1:8" hidden="1" x14ac:dyDescent="0.25">
      <c r="A66" s="11">
        <v>45484</v>
      </c>
      <c r="B66" s="12" t="s">
        <v>42</v>
      </c>
      <c r="C66" s="9" t="s">
        <v>43</v>
      </c>
      <c r="D66" s="21">
        <v>24</v>
      </c>
      <c r="E66" s="9">
        <v>24</v>
      </c>
      <c r="F66" s="9" t="s">
        <v>33</v>
      </c>
      <c r="H66" s="28">
        <f>tbl_TabFehler[[#This Row],[EP]]*tbl_TabFehler[[#This Row],[VK_Menge]]</f>
        <v>576</v>
      </c>
    </row>
    <row r="67" spans="1:8" hidden="1" x14ac:dyDescent="0.25">
      <c r="A67" s="11">
        <v>45485</v>
      </c>
      <c r="B67" s="12" t="s">
        <v>44</v>
      </c>
      <c r="C67" s="9" t="s">
        <v>45</v>
      </c>
      <c r="D67" s="21">
        <v>200</v>
      </c>
      <c r="E67" s="9">
        <v>40</v>
      </c>
      <c r="F67" s="9" t="s">
        <v>33</v>
      </c>
      <c r="H67" s="28">
        <f>tbl_TabFehler[[#This Row],[EP]]*tbl_TabFehler[[#This Row],[VK_Menge]]</f>
        <v>8000</v>
      </c>
    </row>
    <row r="68" spans="1:8" hidden="1" x14ac:dyDescent="0.25">
      <c r="A68" s="11">
        <v>45485</v>
      </c>
      <c r="B68" s="12" t="s">
        <v>29</v>
      </c>
      <c r="C68" s="9" t="s">
        <v>30</v>
      </c>
      <c r="D68" s="21">
        <v>333.6</v>
      </c>
      <c r="E68" s="9">
        <v>24</v>
      </c>
      <c r="F68" s="9" t="s">
        <v>33</v>
      </c>
      <c r="H68" s="28">
        <f>tbl_TabFehler[[#This Row],[EP]]*tbl_TabFehler[[#This Row],[VK_Menge]]</f>
        <v>8006.4000000000005</v>
      </c>
    </row>
    <row r="69" spans="1:8" hidden="1" x14ac:dyDescent="0.25">
      <c r="A69" s="11">
        <v>45485</v>
      </c>
      <c r="B69" s="12" t="s">
        <v>31</v>
      </c>
      <c r="C69" s="9" t="s">
        <v>32</v>
      </c>
      <c r="D69" s="21">
        <v>194.4</v>
      </c>
      <c r="E69" s="9">
        <v>6</v>
      </c>
      <c r="F69" s="9" t="s">
        <v>33</v>
      </c>
      <c r="H69" s="28">
        <f>tbl_TabFehler[[#This Row],[EP]]*tbl_TabFehler[[#This Row],[VK_Menge]]</f>
        <v>1166.4000000000001</v>
      </c>
    </row>
    <row r="70" spans="1:8" hidden="1" x14ac:dyDescent="0.25">
      <c r="A70" s="11">
        <v>45488</v>
      </c>
      <c r="B70" s="12" t="s">
        <v>40</v>
      </c>
      <c r="C70" s="9" t="s">
        <v>41</v>
      </c>
      <c r="D70" s="21">
        <v>441</v>
      </c>
      <c r="E70" s="9">
        <v>60</v>
      </c>
      <c r="F70" s="9" t="s">
        <v>37</v>
      </c>
      <c r="H70" s="28">
        <f>tbl_TabFehler[[#This Row],[EP]]*tbl_TabFehler[[#This Row],[VK_Menge]]</f>
        <v>26460</v>
      </c>
    </row>
    <row r="71" spans="1:8" hidden="1" x14ac:dyDescent="0.25">
      <c r="A71" s="11">
        <v>45488</v>
      </c>
      <c r="B71" s="12" t="s">
        <v>38</v>
      </c>
      <c r="C71" s="9" t="s">
        <v>39</v>
      </c>
      <c r="D71" s="21">
        <v>237.6</v>
      </c>
      <c r="E71" s="9">
        <v>33</v>
      </c>
      <c r="F71" s="9" t="s">
        <v>37</v>
      </c>
      <c r="H71" s="28">
        <f>tbl_TabFehler[[#This Row],[EP]]*tbl_TabFehler[[#This Row],[VK_Menge]]</f>
        <v>7840.8</v>
      </c>
    </row>
    <row r="72" spans="1:8" hidden="1" x14ac:dyDescent="0.25">
      <c r="A72" s="11">
        <v>45488</v>
      </c>
      <c r="B72" s="12" t="s">
        <v>38</v>
      </c>
      <c r="C72" s="9" t="s">
        <v>39</v>
      </c>
      <c r="D72" s="21">
        <v>297.60000000000002</v>
      </c>
      <c r="E72" s="9">
        <v>24</v>
      </c>
      <c r="F72" s="9" t="s">
        <v>37</v>
      </c>
      <c r="H72" s="28">
        <f>tbl_TabFehler[[#This Row],[EP]]*tbl_TabFehler[[#This Row],[VK_Menge]]</f>
        <v>7142.4000000000005</v>
      </c>
    </row>
    <row r="73" spans="1:8" hidden="1" x14ac:dyDescent="0.25">
      <c r="A73" s="11">
        <v>45488</v>
      </c>
      <c r="B73" s="12" t="s">
        <v>44</v>
      </c>
      <c r="C73" s="9" t="s">
        <v>45</v>
      </c>
      <c r="D73" s="21">
        <v>75</v>
      </c>
      <c r="E73" s="9">
        <v>15</v>
      </c>
      <c r="F73" s="9" t="s">
        <v>37</v>
      </c>
      <c r="H73" s="28">
        <f>tbl_TabFehler[[#This Row],[EP]]*tbl_TabFehler[[#This Row],[VK_Menge]]</f>
        <v>1125</v>
      </c>
    </row>
    <row r="74" spans="1:8" hidden="1" x14ac:dyDescent="0.25">
      <c r="A74" s="11">
        <v>45488</v>
      </c>
      <c r="B74" s="12" t="s">
        <v>42</v>
      </c>
      <c r="C74" s="9" t="s">
        <v>43</v>
      </c>
      <c r="D74" s="21">
        <v>20</v>
      </c>
      <c r="E74" s="9">
        <v>20</v>
      </c>
      <c r="F74" s="9" t="s">
        <v>37</v>
      </c>
      <c r="H74" s="28">
        <f>tbl_TabFehler[[#This Row],[EP]]*tbl_TabFehler[[#This Row],[VK_Menge]]</f>
        <v>400</v>
      </c>
    </row>
    <row r="75" spans="1:8" hidden="1" x14ac:dyDescent="0.25">
      <c r="A75" s="11">
        <v>45489</v>
      </c>
      <c r="B75" s="12" t="s">
        <v>42</v>
      </c>
      <c r="C75" s="9" t="s">
        <v>43</v>
      </c>
      <c r="D75" s="21">
        <v>172</v>
      </c>
      <c r="E75" s="9">
        <v>20</v>
      </c>
      <c r="F75" s="9" t="s">
        <v>33</v>
      </c>
      <c r="H75" s="28">
        <f>tbl_TabFehler[[#This Row],[EP]]*tbl_TabFehler[[#This Row],[VK_Menge]]</f>
        <v>3440</v>
      </c>
    </row>
    <row r="76" spans="1:8" hidden="1" x14ac:dyDescent="0.25">
      <c r="A76" s="11">
        <v>45489</v>
      </c>
      <c r="B76" s="12" t="s">
        <v>29</v>
      </c>
      <c r="C76" s="9" t="s">
        <v>30</v>
      </c>
      <c r="D76" s="21">
        <v>97.3</v>
      </c>
      <c r="E76" s="9">
        <v>7</v>
      </c>
      <c r="F76" s="9" t="s">
        <v>33</v>
      </c>
      <c r="H76" s="28">
        <f>tbl_TabFehler[[#This Row],[EP]]*tbl_TabFehler[[#This Row],[VK_Menge]]</f>
        <v>681.1</v>
      </c>
    </row>
    <row r="77" spans="1:8" hidden="1" x14ac:dyDescent="0.25">
      <c r="A77" s="11">
        <v>45490</v>
      </c>
      <c r="B77" s="12" t="s">
        <v>26</v>
      </c>
      <c r="C77" s="9" t="s">
        <v>27</v>
      </c>
      <c r="D77" s="21">
        <v>132</v>
      </c>
      <c r="E77" s="9">
        <v>6</v>
      </c>
      <c r="F77" s="9" t="s">
        <v>49</v>
      </c>
      <c r="H77" s="28">
        <f>tbl_TabFehler[[#This Row],[EP]]*tbl_TabFehler[[#This Row],[VK_Menge]]</f>
        <v>792</v>
      </c>
    </row>
    <row r="78" spans="1:8" hidden="1" x14ac:dyDescent="0.25">
      <c r="A78" s="11">
        <v>45490</v>
      </c>
      <c r="B78" s="12" t="s">
        <v>44</v>
      </c>
      <c r="C78" s="9" t="s">
        <v>45</v>
      </c>
      <c r="D78" s="21">
        <v>21.6</v>
      </c>
      <c r="E78" s="9">
        <v>12</v>
      </c>
      <c r="F78" s="9" t="s">
        <v>49</v>
      </c>
      <c r="H78" s="28">
        <f>tbl_TabFehler[[#This Row],[EP]]*tbl_TabFehler[[#This Row],[VK_Menge]]</f>
        <v>259.20000000000005</v>
      </c>
    </row>
    <row r="79" spans="1:8" hidden="1" x14ac:dyDescent="0.25">
      <c r="A79" s="11">
        <v>45491</v>
      </c>
      <c r="B79" s="12" t="s">
        <v>38</v>
      </c>
      <c r="C79" s="9" t="s">
        <v>39</v>
      </c>
      <c r="D79" s="21">
        <v>186</v>
      </c>
      <c r="E79" s="9">
        <v>15</v>
      </c>
      <c r="F79" s="9" t="s">
        <v>54</v>
      </c>
      <c r="H79" s="28">
        <f>tbl_TabFehler[[#This Row],[EP]]*tbl_TabFehler[[#This Row],[VK_Menge]]</f>
        <v>2790</v>
      </c>
    </row>
    <row r="80" spans="1:8" hidden="1" x14ac:dyDescent="0.25">
      <c r="A80" s="11">
        <v>45491</v>
      </c>
      <c r="B80" s="12" t="s">
        <v>38</v>
      </c>
      <c r="C80" s="9" t="s">
        <v>39</v>
      </c>
      <c r="D80" s="21">
        <v>24</v>
      </c>
      <c r="E80" s="9">
        <v>10</v>
      </c>
      <c r="F80" s="9" t="s">
        <v>54</v>
      </c>
      <c r="H80" s="28">
        <f>tbl_TabFehler[[#This Row],[EP]]*tbl_TabFehler[[#This Row],[VK_Menge]]</f>
        <v>240</v>
      </c>
    </row>
    <row r="81" spans="1:8" hidden="1" x14ac:dyDescent="0.25">
      <c r="A81" s="11">
        <v>45492</v>
      </c>
      <c r="B81" s="12" t="s">
        <v>31</v>
      </c>
      <c r="C81" s="9" t="s">
        <v>58</v>
      </c>
      <c r="D81" s="21">
        <v>364</v>
      </c>
      <c r="E81" s="9">
        <v>20</v>
      </c>
      <c r="F81" s="9" t="s">
        <v>55</v>
      </c>
      <c r="H81" s="28">
        <f>tbl_TabFehler[[#This Row],[EP]]*tbl_TabFehler[[#This Row],[VK_Menge]]</f>
        <v>7280</v>
      </c>
    </row>
    <row r="82" spans="1:8" hidden="1" x14ac:dyDescent="0.25">
      <c r="A82" s="11">
        <v>45492</v>
      </c>
      <c r="B82" s="12" t="s">
        <v>50</v>
      </c>
      <c r="C82" s="9" t="s">
        <v>51</v>
      </c>
      <c r="D82" s="21">
        <v>236.4</v>
      </c>
      <c r="E82" s="9">
        <v>12</v>
      </c>
      <c r="F82" s="9" t="s">
        <v>55</v>
      </c>
      <c r="H82" s="28">
        <f>tbl_TabFehler[[#This Row],[EP]]*tbl_TabFehler[[#This Row],[VK_Menge]]</f>
        <v>2836.8</v>
      </c>
    </row>
    <row r="83" spans="1:8" hidden="1" x14ac:dyDescent="0.25">
      <c r="A83" s="11">
        <v>45495</v>
      </c>
      <c r="B83" s="12" t="s">
        <v>26</v>
      </c>
      <c r="C83" s="9" t="s">
        <v>27</v>
      </c>
      <c r="D83" s="21">
        <v>330</v>
      </c>
      <c r="E83" s="9">
        <v>15</v>
      </c>
      <c r="F83" s="9" t="s">
        <v>54</v>
      </c>
      <c r="H83" s="28">
        <f>tbl_TabFehler[[#This Row],[EP]]*tbl_TabFehler[[#This Row],[VK_Menge]]</f>
        <v>4950</v>
      </c>
    </row>
    <row r="84" spans="1:8" hidden="1" x14ac:dyDescent="0.25">
      <c r="A84" s="11">
        <v>45495</v>
      </c>
      <c r="B84" s="12" t="s">
        <v>31</v>
      </c>
      <c r="C84" s="9" t="s">
        <v>58</v>
      </c>
      <c r="D84" s="21">
        <v>150</v>
      </c>
      <c r="E84" s="9">
        <v>25</v>
      </c>
      <c r="F84" s="9" t="s">
        <v>54</v>
      </c>
      <c r="H84" s="28">
        <f>tbl_TabFehler[[#This Row],[EP]]*tbl_TabFehler[[#This Row],[VK_Menge]]</f>
        <v>3750</v>
      </c>
    </row>
    <row r="85" spans="1:8" hidden="1" x14ac:dyDescent="0.25">
      <c r="A85" s="11">
        <v>45495</v>
      </c>
      <c r="B85" s="12" t="s">
        <v>59</v>
      </c>
      <c r="C85" s="9" t="s">
        <v>60</v>
      </c>
      <c r="D85" s="21">
        <v>140.4</v>
      </c>
      <c r="E85" s="9">
        <v>8</v>
      </c>
      <c r="F85" s="9" t="s">
        <v>54</v>
      </c>
      <c r="H85" s="28">
        <f>tbl_TabFehler[[#This Row],[EP]]*tbl_TabFehler[[#This Row],[VK_Menge]]</f>
        <v>1123.2</v>
      </c>
    </row>
    <row r="86" spans="1:8" hidden="1" x14ac:dyDescent="0.25">
      <c r="A86" s="11">
        <v>45495</v>
      </c>
      <c r="B86" s="12" t="s">
        <v>38</v>
      </c>
      <c r="C86" s="9" t="s">
        <v>39</v>
      </c>
      <c r="D86" s="21">
        <v>124</v>
      </c>
      <c r="E86" s="9">
        <v>16</v>
      </c>
      <c r="F86" s="9" t="s">
        <v>54</v>
      </c>
      <c r="H86" s="28">
        <f>tbl_TabFehler[[#This Row],[EP]]*tbl_TabFehler[[#This Row],[VK_Menge]]</f>
        <v>1984</v>
      </c>
    </row>
    <row r="87" spans="1:8" hidden="1" x14ac:dyDescent="0.25">
      <c r="A87" s="11">
        <v>45496</v>
      </c>
      <c r="B87" s="12" t="s">
        <v>40</v>
      </c>
      <c r="C87" s="9" t="s">
        <v>41</v>
      </c>
      <c r="D87" s="21">
        <v>234</v>
      </c>
      <c r="E87" s="9">
        <v>15</v>
      </c>
      <c r="F87" s="9" t="s">
        <v>54</v>
      </c>
      <c r="H87" s="28">
        <f>tbl_TabFehler[[#This Row],[EP]]*tbl_TabFehler[[#This Row],[VK_Menge]]</f>
        <v>3510</v>
      </c>
    </row>
    <row r="88" spans="1:8" hidden="1" x14ac:dyDescent="0.25">
      <c r="A88" s="11">
        <v>45497</v>
      </c>
      <c r="B88" s="12" t="s">
        <v>31</v>
      </c>
      <c r="C88" s="9" t="s">
        <v>58</v>
      </c>
      <c r="D88" s="21">
        <v>93</v>
      </c>
      <c r="E88" s="9">
        <v>30</v>
      </c>
      <c r="F88" s="9" t="s">
        <v>55</v>
      </c>
      <c r="H88" s="28">
        <f>tbl_TabFehler[[#This Row],[EP]]*tbl_TabFehler[[#This Row],[VK_Menge]]</f>
        <v>2790</v>
      </c>
    </row>
    <row r="89" spans="1:8" hidden="1" x14ac:dyDescent="0.25">
      <c r="A89" s="11">
        <v>45497</v>
      </c>
      <c r="B89" s="12" t="s">
        <v>46</v>
      </c>
      <c r="C89" s="9" t="s">
        <v>47</v>
      </c>
      <c r="D89" s="21">
        <v>192</v>
      </c>
      <c r="E89" s="9">
        <v>20</v>
      </c>
      <c r="F89" s="9" t="s">
        <v>55</v>
      </c>
      <c r="H89" s="28">
        <f>tbl_TabFehler[[#This Row],[EP]]*tbl_TabFehler[[#This Row],[VK_Menge]]</f>
        <v>3840</v>
      </c>
    </row>
    <row r="90" spans="1:8" hidden="1" x14ac:dyDescent="0.25">
      <c r="A90" s="11">
        <v>45497</v>
      </c>
      <c r="B90" s="12" t="s">
        <v>50</v>
      </c>
      <c r="C90" s="9" t="s">
        <v>51</v>
      </c>
      <c r="D90" s="21">
        <v>28.8</v>
      </c>
      <c r="E90" s="9">
        <v>4</v>
      </c>
      <c r="F90" s="9" t="s">
        <v>36</v>
      </c>
      <c r="H90" s="28">
        <f>tbl_TabFehler[[#This Row],[EP]]*tbl_TabFehler[[#This Row],[VK_Menge]]</f>
        <v>115.2</v>
      </c>
    </row>
    <row r="91" spans="1:8" hidden="1" x14ac:dyDescent="0.25">
      <c r="A91" s="11">
        <v>45497</v>
      </c>
      <c r="B91" s="12" t="s">
        <v>44</v>
      </c>
      <c r="C91" s="9" t="s">
        <v>45</v>
      </c>
      <c r="D91" s="21">
        <v>21.6</v>
      </c>
      <c r="E91" s="9">
        <v>12</v>
      </c>
      <c r="F91" s="9" t="s">
        <v>55</v>
      </c>
      <c r="H91" s="28">
        <f>tbl_TabFehler[[#This Row],[EP]]*tbl_TabFehler[[#This Row],[VK_Menge]]</f>
        <v>259.20000000000005</v>
      </c>
    </row>
    <row r="92" spans="1:8" hidden="1" x14ac:dyDescent="0.25">
      <c r="A92" s="11">
        <v>45497</v>
      </c>
      <c r="B92" s="12" t="s">
        <v>44</v>
      </c>
      <c r="C92" s="9" t="s">
        <v>45</v>
      </c>
      <c r="D92" s="21">
        <v>10.8</v>
      </c>
      <c r="E92" s="9">
        <v>6</v>
      </c>
      <c r="F92" s="9" t="s">
        <v>36</v>
      </c>
      <c r="H92" s="28">
        <f>tbl_TabFehler[[#This Row],[EP]]*tbl_TabFehler[[#This Row],[VK_Menge]]</f>
        <v>64.800000000000011</v>
      </c>
    </row>
    <row r="93" spans="1:8" hidden="1" x14ac:dyDescent="0.25">
      <c r="A93" s="11">
        <v>45497</v>
      </c>
      <c r="B93" s="12" t="s">
        <v>50</v>
      </c>
      <c r="C93" s="9" t="s">
        <v>51</v>
      </c>
      <c r="D93" s="21">
        <v>3.65</v>
      </c>
      <c r="E93" s="9">
        <v>1</v>
      </c>
      <c r="F93" s="9" t="s">
        <v>36</v>
      </c>
      <c r="H93" s="28">
        <f>tbl_TabFehler[[#This Row],[EP]]*tbl_TabFehler[[#This Row],[VK_Menge]]</f>
        <v>3.65</v>
      </c>
    </row>
    <row r="94" spans="1:8" hidden="1" x14ac:dyDescent="0.25">
      <c r="A94" s="11">
        <v>45498</v>
      </c>
      <c r="B94" s="12" t="s">
        <v>46</v>
      </c>
      <c r="C94" s="9" t="s">
        <v>47</v>
      </c>
      <c r="D94" s="21">
        <v>62.1</v>
      </c>
      <c r="E94" s="9">
        <v>6</v>
      </c>
      <c r="F94" s="9" t="s">
        <v>36</v>
      </c>
      <c r="H94" s="28">
        <f>tbl_TabFehler[[#This Row],[EP]]*tbl_TabFehler[[#This Row],[VK_Menge]]</f>
        <v>372.6</v>
      </c>
    </row>
    <row r="95" spans="1:8" hidden="1" x14ac:dyDescent="0.25">
      <c r="A95" s="11">
        <v>45498</v>
      </c>
      <c r="B95" s="12" t="s">
        <v>26</v>
      </c>
      <c r="C95" s="9" t="s">
        <v>27</v>
      </c>
      <c r="D95" s="21">
        <v>15.6</v>
      </c>
      <c r="E95" s="9">
        <v>2</v>
      </c>
      <c r="F95" s="9" t="s">
        <v>36</v>
      </c>
      <c r="H95" s="28">
        <f>tbl_TabFehler[[#This Row],[EP]]*tbl_TabFehler[[#This Row],[VK_Menge]]</f>
        <v>31.2</v>
      </c>
    </row>
    <row r="96" spans="1:8" hidden="1" x14ac:dyDescent="0.25">
      <c r="A96" s="11">
        <v>45499</v>
      </c>
      <c r="B96" s="12" t="s">
        <v>40</v>
      </c>
      <c r="C96" s="9" t="s">
        <v>41</v>
      </c>
      <c r="D96" s="21">
        <v>476</v>
      </c>
      <c r="E96" s="9">
        <v>35</v>
      </c>
      <c r="F96" s="9" t="s">
        <v>37</v>
      </c>
      <c r="H96" s="28">
        <f>tbl_TabFehler[[#This Row],[EP]]*tbl_TabFehler[[#This Row],[VK_Menge]]</f>
        <v>16660</v>
      </c>
    </row>
    <row r="97" spans="1:8" hidden="1" x14ac:dyDescent="0.25">
      <c r="A97" s="11">
        <v>45499</v>
      </c>
      <c r="B97" s="12" t="s">
        <v>42</v>
      </c>
      <c r="C97" s="9" t="s">
        <v>43</v>
      </c>
      <c r="D97" s="21">
        <v>124</v>
      </c>
      <c r="E97" s="9">
        <v>20</v>
      </c>
      <c r="F97" s="9" t="s">
        <v>37</v>
      </c>
      <c r="H97" s="28">
        <f>tbl_TabFehler[[#This Row],[EP]]*tbl_TabFehler[[#This Row],[VK_Menge]]</f>
        <v>2480</v>
      </c>
    </row>
    <row r="98" spans="1:8" hidden="1" x14ac:dyDescent="0.25">
      <c r="A98" s="11">
        <v>45499</v>
      </c>
      <c r="B98" s="12" t="s">
        <v>50</v>
      </c>
      <c r="C98" s="9" t="s">
        <v>51</v>
      </c>
      <c r="D98" s="21">
        <v>65.7</v>
      </c>
      <c r="E98" s="9">
        <v>18</v>
      </c>
      <c r="F98" s="9" t="s">
        <v>37</v>
      </c>
      <c r="H98" s="28">
        <f>tbl_TabFehler[[#This Row],[EP]]*tbl_TabFehler[[#This Row],[VK_Menge]]</f>
        <v>1182.6000000000001</v>
      </c>
    </row>
    <row r="99" spans="1:8" hidden="1" x14ac:dyDescent="0.25">
      <c r="A99" s="11">
        <v>45499</v>
      </c>
      <c r="B99" s="12" t="s">
        <v>29</v>
      </c>
      <c r="C99" s="9" t="s">
        <v>30</v>
      </c>
      <c r="D99" s="21">
        <v>41.7</v>
      </c>
      <c r="E99" s="9">
        <v>3</v>
      </c>
      <c r="F99" s="9" t="s">
        <v>37</v>
      </c>
      <c r="H99" s="28">
        <f>tbl_TabFehler[[#This Row],[EP]]*tbl_TabFehler[[#This Row],[VK_Menge]]</f>
        <v>125.10000000000001</v>
      </c>
    </row>
    <row r="100" spans="1:8" hidden="1" x14ac:dyDescent="0.25">
      <c r="A100" s="11">
        <v>45502</v>
      </c>
      <c r="B100" s="12" t="s">
        <v>40</v>
      </c>
      <c r="C100" s="9" t="s">
        <v>41</v>
      </c>
      <c r="D100" s="21">
        <v>272</v>
      </c>
      <c r="E100" s="9">
        <v>20</v>
      </c>
      <c r="F100" s="9" t="s">
        <v>36</v>
      </c>
      <c r="H100" s="28">
        <f>tbl_TabFehler[[#This Row],[EP]]*tbl_TabFehler[[#This Row],[VK_Menge]]</f>
        <v>5440</v>
      </c>
    </row>
    <row r="101" spans="1:8" hidden="1" x14ac:dyDescent="0.25">
      <c r="A101" s="11">
        <v>45502</v>
      </c>
      <c r="B101" s="12" t="s">
        <v>31</v>
      </c>
      <c r="C101" s="9" t="s">
        <v>32</v>
      </c>
      <c r="D101" s="21">
        <v>263.25</v>
      </c>
      <c r="E101" s="9">
        <v>15</v>
      </c>
      <c r="F101" s="9" t="s">
        <v>36</v>
      </c>
      <c r="H101" s="28">
        <f>tbl_TabFehler[[#This Row],[EP]]*tbl_TabFehler[[#This Row],[VK_Menge]]</f>
        <v>3948.75</v>
      </c>
    </row>
    <row r="102" spans="1:8" hidden="1" x14ac:dyDescent="0.25">
      <c r="A102" s="11">
        <v>45502</v>
      </c>
      <c r="B102" s="12" t="s">
        <v>38</v>
      </c>
      <c r="C102" s="9" t="s">
        <v>39</v>
      </c>
      <c r="D102" s="21">
        <v>162.75</v>
      </c>
      <c r="E102" s="9">
        <v>21</v>
      </c>
      <c r="F102" s="9" t="s">
        <v>36</v>
      </c>
      <c r="H102" s="28">
        <f>tbl_TabFehler[[#This Row],[EP]]*tbl_TabFehler[[#This Row],[VK_Menge]]</f>
        <v>3417.75</v>
      </c>
    </row>
    <row r="103" spans="1:8" hidden="1" x14ac:dyDescent="0.25">
      <c r="A103" s="11">
        <v>45502</v>
      </c>
      <c r="B103" s="12" t="s">
        <v>38</v>
      </c>
      <c r="C103" s="9" t="s">
        <v>39</v>
      </c>
      <c r="D103" s="21">
        <v>28</v>
      </c>
      <c r="E103" s="9">
        <v>5</v>
      </c>
      <c r="F103" s="9" t="s">
        <v>36</v>
      </c>
      <c r="H103" s="28">
        <f>tbl_TabFehler[[#This Row],[EP]]*tbl_TabFehler[[#This Row],[VK_Menge]]</f>
        <v>140</v>
      </c>
    </row>
    <row r="104" spans="1:8" hidden="1" x14ac:dyDescent="0.25">
      <c r="A104" s="11">
        <v>45503</v>
      </c>
      <c r="B104" s="12" t="s">
        <v>26</v>
      </c>
      <c r="C104" s="9" t="s">
        <v>27</v>
      </c>
      <c r="D104" s="21">
        <v>471.6</v>
      </c>
      <c r="E104" s="9">
        <v>36</v>
      </c>
      <c r="F104" s="9" t="s">
        <v>49</v>
      </c>
      <c r="H104" s="28">
        <f>tbl_TabFehler[[#This Row],[EP]]*tbl_TabFehler[[#This Row],[VK_Menge]]</f>
        <v>16977.600000000002</v>
      </c>
    </row>
    <row r="105" spans="1:8" hidden="1" x14ac:dyDescent="0.25">
      <c r="A105" s="11">
        <v>45503</v>
      </c>
      <c r="B105" s="12" t="s">
        <v>40</v>
      </c>
      <c r="C105" s="9" t="s">
        <v>41</v>
      </c>
      <c r="D105" s="21">
        <v>324</v>
      </c>
      <c r="E105" s="9">
        <v>45</v>
      </c>
      <c r="F105" s="9" t="s">
        <v>49</v>
      </c>
      <c r="H105" s="28">
        <f>tbl_TabFehler[[#This Row],[EP]]*tbl_TabFehler[[#This Row],[VK_Menge]]</f>
        <v>14580</v>
      </c>
    </row>
    <row r="106" spans="1:8" hidden="1" x14ac:dyDescent="0.25">
      <c r="A106" s="11">
        <v>45503</v>
      </c>
      <c r="B106" s="12" t="s">
        <v>40</v>
      </c>
      <c r="C106" s="9" t="s">
        <v>41</v>
      </c>
      <c r="D106" s="21">
        <v>294</v>
      </c>
      <c r="E106" s="9">
        <v>40</v>
      </c>
      <c r="F106" s="9" t="s">
        <v>49</v>
      </c>
      <c r="H106" s="28">
        <f>tbl_TabFehler[[#This Row],[EP]]*tbl_TabFehler[[#This Row],[VK_Menge]]</f>
        <v>11760</v>
      </c>
    </row>
    <row r="107" spans="1:8" hidden="1" x14ac:dyDescent="0.25">
      <c r="A107" s="11">
        <v>45504</v>
      </c>
      <c r="B107" s="12" t="s">
        <v>50</v>
      </c>
      <c r="C107" s="9" t="s">
        <v>51</v>
      </c>
      <c r="D107" s="21">
        <v>788</v>
      </c>
      <c r="E107" s="9">
        <v>40</v>
      </c>
      <c r="F107" s="9" t="s">
        <v>54</v>
      </c>
      <c r="H107" s="28">
        <f>tbl_TabFehler[[#This Row],[EP]]*tbl_TabFehler[[#This Row],[VK_Menge]]</f>
        <v>31520</v>
      </c>
    </row>
    <row r="108" spans="1:8" hidden="1" x14ac:dyDescent="0.25">
      <c r="A108" s="11">
        <v>45504</v>
      </c>
      <c r="B108" s="12" t="s">
        <v>50</v>
      </c>
      <c r="C108" s="9" t="s">
        <v>51</v>
      </c>
      <c r="D108" s="21">
        <v>720</v>
      </c>
      <c r="E108" s="9">
        <v>100</v>
      </c>
      <c r="F108" s="9" t="s">
        <v>54</v>
      </c>
      <c r="H108" s="28">
        <f>tbl_TabFehler[[#This Row],[EP]]*tbl_TabFehler[[#This Row],[VK_Menge]]</f>
        <v>72000</v>
      </c>
    </row>
    <row r="109" spans="1:8" hidden="1" x14ac:dyDescent="0.25">
      <c r="A109" s="11">
        <v>45505</v>
      </c>
      <c r="B109" s="12" t="s">
        <v>26</v>
      </c>
      <c r="C109" s="9" t="s">
        <v>27</v>
      </c>
      <c r="D109" s="21">
        <v>278</v>
      </c>
      <c r="E109" s="9">
        <v>40</v>
      </c>
      <c r="F109" s="9" t="s">
        <v>54</v>
      </c>
      <c r="H109" s="28">
        <f>tbl_TabFehler[[#This Row],[EP]]*tbl_TabFehler[[#This Row],[VK_Menge]]</f>
        <v>11120</v>
      </c>
    </row>
    <row r="110" spans="1:8" hidden="1" x14ac:dyDescent="0.25">
      <c r="A110" s="11">
        <v>45505</v>
      </c>
      <c r="B110" s="12" t="s">
        <v>31</v>
      </c>
      <c r="C110" s="9" t="s">
        <v>58</v>
      </c>
      <c r="D110" s="21">
        <v>112</v>
      </c>
      <c r="E110" s="9">
        <v>20</v>
      </c>
      <c r="F110" s="9" t="s">
        <v>54</v>
      </c>
      <c r="H110" s="28">
        <f>tbl_TabFehler[[#This Row],[EP]]*tbl_TabFehler[[#This Row],[VK_Menge]]</f>
        <v>2240</v>
      </c>
    </row>
    <row r="111" spans="1:8" hidden="1" x14ac:dyDescent="0.25">
      <c r="A111" s="11">
        <v>45505</v>
      </c>
      <c r="B111" s="12" t="s">
        <v>50</v>
      </c>
      <c r="C111" s="9" t="s">
        <v>51</v>
      </c>
      <c r="D111" s="21">
        <v>72</v>
      </c>
      <c r="E111" s="9">
        <v>15</v>
      </c>
      <c r="F111" s="9" t="s">
        <v>54</v>
      </c>
      <c r="H111" s="28">
        <f>tbl_TabFehler[[#This Row],[EP]]*tbl_TabFehler[[#This Row],[VK_Menge]]</f>
        <v>1080</v>
      </c>
    </row>
    <row r="112" spans="1:8" hidden="1" x14ac:dyDescent="0.25">
      <c r="A112" s="11">
        <v>45506</v>
      </c>
      <c r="B112" s="12" t="s">
        <v>56</v>
      </c>
      <c r="C112" s="9" t="s">
        <v>57</v>
      </c>
      <c r="D112" s="21">
        <v>29.5</v>
      </c>
      <c r="E112" s="9">
        <v>10</v>
      </c>
      <c r="F112" s="9" t="s">
        <v>36</v>
      </c>
      <c r="H112" s="28">
        <f>tbl_TabFehler[[#This Row],[EP]]*tbl_TabFehler[[#This Row],[VK_Menge]]</f>
        <v>295</v>
      </c>
    </row>
    <row r="113" spans="1:8" hidden="1" x14ac:dyDescent="0.25">
      <c r="A113" s="11">
        <v>45506</v>
      </c>
      <c r="B113" s="12" t="s">
        <v>31</v>
      </c>
      <c r="C113" s="9" t="s">
        <v>32</v>
      </c>
      <c r="D113" s="21">
        <v>15</v>
      </c>
      <c r="E113" s="9">
        <v>3</v>
      </c>
      <c r="F113" s="9" t="s">
        <v>36</v>
      </c>
      <c r="H113" s="28">
        <f>tbl_TabFehler[[#This Row],[EP]]*tbl_TabFehler[[#This Row],[VK_Menge]]</f>
        <v>45</v>
      </c>
    </row>
    <row r="114" spans="1:8" hidden="1" x14ac:dyDescent="0.25">
      <c r="A114" s="11">
        <v>45509</v>
      </c>
      <c r="B114" s="12" t="s">
        <v>40</v>
      </c>
      <c r="C114" s="9" t="s">
        <v>41</v>
      </c>
      <c r="D114" s="21">
        <v>120</v>
      </c>
      <c r="E114" s="9">
        <v>30</v>
      </c>
      <c r="F114" s="9" t="s">
        <v>61</v>
      </c>
      <c r="H114" s="28">
        <f>tbl_TabFehler[[#This Row],[EP]]*tbl_TabFehler[[#This Row],[VK_Menge]]</f>
        <v>3600</v>
      </c>
    </row>
    <row r="115" spans="1:8" hidden="1" x14ac:dyDescent="0.25">
      <c r="A115" s="11">
        <v>45509</v>
      </c>
      <c r="B115" s="12" t="s">
        <v>59</v>
      </c>
      <c r="C115" s="9" t="s">
        <v>60</v>
      </c>
      <c r="D115" s="21">
        <v>119.7</v>
      </c>
      <c r="E115" s="9">
        <v>9</v>
      </c>
      <c r="F115" s="9" t="s">
        <v>61</v>
      </c>
      <c r="H115" s="28">
        <f>tbl_TabFehler[[#This Row],[EP]]*tbl_TabFehler[[#This Row],[VK_Menge]]</f>
        <v>1077.3</v>
      </c>
    </row>
    <row r="116" spans="1:8" hidden="1" x14ac:dyDescent="0.25">
      <c r="A116" s="11">
        <v>45510</v>
      </c>
      <c r="B116" s="12" t="s">
        <v>56</v>
      </c>
      <c r="C116" s="9" t="s">
        <v>57</v>
      </c>
      <c r="D116" s="21">
        <v>742.5</v>
      </c>
      <c r="E116" s="9">
        <v>15</v>
      </c>
      <c r="F116" s="9" t="s">
        <v>54</v>
      </c>
      <c r="H116" s="28">
        <f>tbl_TabFehler[[#This Row],[EP]]*tbl_TabFehler[[#This Row],[VK_Menge]]</f>
        <v>11137.5</v>
      </c>
    </row>
    <row r="117" spans="1:8" hidden="1" x14ac:dyDescent="0.25">
      <c r="A117" s="11">
        <v>45510</v>
      </c>
      <c r="B117" s="12" t="s">
        <v>38</v>
      </c>
      <c r="C117" s="9" t="s">
        <v>39</v>
      </c>
      <c r="D117" s="21">
        <v>186</v>
      </c>
      <c r="E117" s="9">
        <v>24</v>
      </c>
      <c r="F117" s="9" t="s">
        <v>33</v>
      </c>
      <c r="H117" s="28">
        <f>tbl_TabFehler[[#This Row],[EP]]*tbl_TabFehler[[#This Row],[VK_Menge]]</f>
        <v>4464</v>
      </c>
    </row>
    <row r="118" spans="1:8" hidden="1" x14ac:dyDescent="0.25">
      <c r="A118" s="11">
        <v>45510</v>
      </c>
      <c r="B118" s="12" t="s">
        <v>40</v>
      </c>
      <c r="C118" s="9" t="s">
        <v>41</v>
      </c>
      <c r="D118" s="21">
        <v>170</v>
      </c>
      <c r="E118" s="9">
        <v>20</v>
      </c>
      <c r="F118" s="9" t="s">
        <v>54</v>
      </c>
      <c r="H118" s="28">
        <f>tbl_TabFehler[[#This Row],[EP]]*tbl_TabFehler[[#This Row],[VK_Menge]]</f>
        <v>3400</v>
      </c>
    </row>
    <row r="119" spans="1:8" hidden="1" x14ac:dyDescent="0.25">
      <c r="A119" s="11">
        <v>45510</v>
      </c>
      <c r="B119" s="12" t="s">
        <v>29</v>
      </c>
      <c r="C119" s="9" t="s">
        <v>30</v>
      </c>
      <c r="D119" s="21">
        <v>120</v>
      </c>
      <c r="E119" s="9">
        <v>15</v>
      </c>
      <c r="F119" s="9" t="s">
        <v>54</v>
      </c>
      <c r="H119" s="28">
        <f>tbl_TabFehler[[#This Row],[EP]]*tbl_TabFehler[[#This Row],[VK_Menge]]</f>
        <v>1800</v>
      </c>
    </row>
    <row r="120" spans="1:8" hidden="1" x14ac:dyDescent="0.25">
      <c r="A120" s="11">
        <v>45510</v>
      </c>
      <c r="B120" s="12" t="s">
        <v>46</v>
      </c>
      <c r="C120" s="9" t="s">
        <v>47</v>
      </c>
      <c r="D120" s="21">
        <v>52</v>
      </c>
      <c r="E120" s="9">
        <v>10</v>
      </c>
      <c r="F120" s="9" t="s">
        <v>54</v>
      </c>
      <c r="H120" s="28">
        <f>tbl_TabFehler[[#This Row],[EP]]*tbl_TabFehler[[#This Row],[VK_Menge]]</f>
        <v>520</v>
      </c>
    </row>
    <row r="121" spans="1:8" hidden="1" x14ac:dyDescent="0.25">
      <c r="A121" s="11">
        <v>45510</v>
      </c>
      <c r="B121" s="12" t="s">
        <v>38</v>
      </c>
      <c r="C121" s="9" t="s">
        <v>39</v>
      </c>
      <c r="D121" s="21">
        <v>48</v>
      </c>
      <c r="E121" s="9">
        <v>20</v>
      </c>
      <c r="F121" s="9" t="s">
        <v>33</v>
      </c>
      <c r="H121" s="28">
        <f>tbl_TabFehler[[#This Row],[EP]]*tbl_TabFehler[[#This Row],[VK_Menge]]</f>
        <v>960</v>
      </c>
    </row>
    <row r="122" spans="1:8" hidden="1" x14ac:dyDescent="0.25">
      <c r="A122" s="11">
        <v>45510</v>
      </c>
      <c r="B122" s="12" t="s">
        <v>29</v>
      </c>
      <c r="C122" s="9" t="s">
        <v>30</v>
      </c>
      <c r="D122" s="21">
        <v>42.4</v>
      </c>
      <c r="E122" s="9">
        <v>2</v>
      </c>
      <c r="F122" s="9" t="s">
        <v>33</v>
      </c>
      <c r="H122" s="28">
        <f>tbl_TabFehler[[#This Row],[EP]]*tbl_TabFehler[[#This Row],[VK_Menge]]</f>
        <v>84.8</v>
      </c>
    </row>
    <row r="123" spans="1:8" hidden="1" x14ac:dyDescent="0.25">
      <c r="A123" s="11">
        <v>45511</v>
      </c>
      <c r="B123" s="12" t="s">
        <v>31</v>
      </c>
      <c r="C123" s="9" t="s">
        <v>32</v>
      </c>
      <c r="D123" s="21">
        <v>648</v>
      </c>
      <c r="E123" s="9">
        <v>20</v>
      </c>
      <c r="F123" s="9" t="s">
        <v>49</v>
      </c>
      <c r="H123" s="28">
        <f>tbl_TabFehler[[#This Row],[EP]]*tbl_TabFehler[[#This Row],[VK_Menge]]</f>
        <v>12960</v>
      </c>
    </row>
    <row r="124" spans="1:8" hidden="1" x14ac:dyDescent="0.25">
      <c r="A124" s="11">
        <v>45512</v>
      </c>
      <c r="B124" s="12" t="s">
        <v>40</v>
      </c>
      <c r="C124" s="9" t="s">
        <v>41</v>
      </c>
      <c r="D124" s="21">
        <v>300</v>
      </c>
      <c r="E124" s="9">
        <v>12</v>
      </c>
      <c r="F124" s="9" t="s">
        <v>49</v>
      </c>
      <c r="H124" s="28">
        <f>tbl_TabFehler[[#This Row],[EP]]*tbl_TabFehler[[#This Row],[VK_Menge]]</f>
        <v>3600</v>
      </c>
    </row>
    <row r="125" spans="1:8" hidden="1" x14ac:dyDescent="0.25">
      <c r="A125" s="11">
        <v>45512</v>
      </c>
      <c r="B125" s="12" t="s">
        <v>59</v>
      </c>
      <c r="C125" s="9" t="s">
        <v>60</v>
      </c>
      <c r="D125" s="21">
        <v>87.75</v>
      </c>
      <c r="E125" s="9">
        <v>5</v>
      </c>
      <c r="F125" s="9" t="s">
        <v>49</v>
      </c>
      <c r="H125" s="28">
        <f>tbl_TabFehler[[#This Row],[EP]]*tbl_TabFehler[[#This Row],[VK_Menge]]</f>
        <v>438.75</v>
      </c>
    </row>
    <row r="126" spans="1:8" hidden="1" x14ac:dyDescent="0.25">
      <c r="A126" s="11">
        <v>45512</v>
      </c>
      <c r="B126" s="12" t="s">
        <v>31</v>
      </c>
      <c r="C126" s="9" t="s">
        <v>58</v>
      </c>
      <c r="D126" s="21">
        <v>18.600000000000001</v>
      </c>
      <c r="E126" s="9">
        <v>6</v>
      </c>
      <c r="F126" s="9" t="s">
        <v>49</v>
      </c>
      <c r="H126" s="28">
        <f>tbl_TabFehler[[#This Row],[EP]]*tbl_TabFehler[[#This Row],[VK_Menge]]</f>
        <v>111.60000000000001</v>
      </c>
    </row>
    <row r="127" spans="1:8" hidden="1" x14ac:dyDescent="0.25">
      <c r="A127" s="11">
        <v>45512</v>
      </c>
      <c r="B127" s="12" t="s">
        <v>44</v>
      </c>
      <c r="C127" s="9" t="s">
        <v>45</v>
      </c>
      <c r="D127" s="21">
        <v>18</v>
      </c>
      <c r="E127" s="9">
        <v>10</v>
      </c>
      <c r="F127" s="9" t="s">
        <v>49</v>
      </c>
      <c r="H127" s="28">
        <f>tbl_TabFehler[[#This Row],[EP]]*tbl_TabFehler[[#This Row],[VK_Menge]]</f>
        <v>180</v>
      </c>
    </row>
    <row r="128" spans="1:8" hidden="1" x14ac:dyDescent="0.25">
      <c r="A128" s="11">
        <v>45513</v>
      </c>
      <c r="B128" s="12" t="s">
        <v>40</v>
      </c>
      <c r="C128" s="9" t="s">
        <v>41</v>
      </c>
      <c r="D128" s="21">
        <v>285.60000000000002</v>
      </c>
      <c r="E128" s="9">
        <v>21</v>
      </c>
      <c r="F128" s="9" t="s">
        <v>36</v>
      </c>
      <c r="H128" s="28">
        <f>tbl_TabFehler[[#This Row],[EP]]*tbl_TabFehler[[#This Row],[VK_Menge]]</f>
        <v>5997.6</v>
      </c>
    </row>
    <row r="129" spans="1:8" hidden="1" x14ac:dyDescent="0.25">
      <c r="A129" s="11">
        <v>45513</v>
      </c>
      <c r="B129" s="12" t="s">
        <v>38</v>
      </c>
      <c r="C129" s="9" t="s">
        <v>39</v>
      </c>
      <c r="D129" s="21">
        <v>276</v>
      </c>
      <c r="E129" s="9">
        <v>15</v>
      </c>
      <c r="F129" s="9" t="s">
        <v>36</v>
      </c>
      <c r="H129" s="28">
        <f>tbl_TabFehler[[#This Row],[EP]]*tbl_TabFehler[[#This Row],[VK_Menge]]</f>
        <v>4140</v>
      </c>
    </row>
    <row r="130" spans="1:8" hidden="1" x14ac:dyDescent="0.25">
      <c r="A130" s="11">
        <v>45513</v>
      </c>
      <c r="B130" s="12" t="s">
        <v>40</v>
      </c>
      <c r="C130" s="9" t="s">
        <v>41</v>
      </c>
      <c r="D130" s="21">
        <v>234</v>
      </c>
      <c r="E130" s="9">
        <v>15</v>
      </c>
      <c r="F130" s="9" t="s">
        <v>36</v>
      </c>
      <c r="H130" s="28">
        <f>tbl_TabFehler[[#This Row],[EP]]*tbl_TabFehler[[#This Row],[VK_Menge]]</f>
        <v>3510</v>
      </c>
    </row>
    <row r="131" spans="1:8" hidden="1" x14ac:dyDescent="0.25">
      <c r="A131" s="11">
        <v>45513</v>
      </c>
      <c r="B131" s="12" t="s">
        <v>40</v>
      </c>
      <c r="C131" s="9" t="s">
        <v>41</v>
      </c>
      <c r="D131" s="21">
        <v>129.6</v>
      </c>
      <c r="E131" s="9">
        <v>18</v>
      </c>
      <c r="F131" s="9" t="s">
        <v>36</v>
      </c>
      <c r="H131" s="28">
        <f>tbl_TabFehler[[#This Row],[EP]]*tbl_TabFehler[[#This Row],[VK_Menge]]</f>
        <v>2332.7999999999997</v>
      </c>
    </row>
    <row r="132" spans="1:8" hidden="1" x14ac:dyDescent="0.25">
      <c r="A132" s="11">
        <v>45513</v>
      </c>
      <c r="B132" s="12" t="s">
        <v>31</v>
      </c>
      <c r="C132" s="9" t="s">
        <v>58</v>
      </c>
      <c r="D132" s="21">
        <v>18.600000000000001</v>
      </c>
      <c r="E132" s="9">
        <v>6</v>
      </c>
      <c r="F132" s="9" t="s">
        <v>36</v>
      </c>
      <c r="H132" s="28">
        <f>tbl_TabFehler[[#This Row],[EP]]*tbl_TabFehler[[#This Row],[VK_Menge]]</f>
        <v>111.60000000000001</v>
      </c>
    </row>
    <row r="133" spans="1:8" hidden="1" x14ac:dyDescent="0.25">
      <c r="A133" s="11">
        <v>45516</v>
      </c>
      <c r="B133" s="12" t="s">
        <v>44</v>
      </c>
      <c r="C133" s="9" t="s">
        <v>45</v>
      </c>
      <c r="D133" s="21">
        <v>60.8</v>
      </c>
      <c r="E133" s="9">
        <v>4</v>
      </c>
      <c r="F133" s="9" t="s">
        <v>55</v>
      </c>
      <c r="H133" s="28">
        <f>tbl_TabFehler[[#This Row],[EP]]*tbl_TabFehler[[#This Row],[VK_Menge]]</f>
        <v>243.2</v>
      </c>
    </row>
    <row r="134" spans="1:8" hidden="1" x14ac:dyDescent="0.25">
      <c r="A134" s="11">
        <v>45517</v>
      </c>
      <c r="B134" s="12" t="s">
        <v>26</v>
      </c>
      <c r="C134" s="9" t="s">
        <v>27</v>
      </c>
      <c r="D134" s="21">
        <v>208.5</v>
      </c>
      <c r="E134" s="9">
        <v>30</v>
      </c>
      <c r="F134" s="9" t="s">
        <v>33</v>
      </c>
      <c r="H134" s="28">
        <f>tbl_TabFehler[[#This Row],[EP]]*tbl_TabFehler[[#This Row],[VK_Menge]]</f>
        <v>6255</v>
      </c>
    </row>
    <row r="135" spans="1:8" hidden="1" x14ac:dyDescent="0.25">
      <c r="A135" s="11">
        <v>45517</v>
      </c>
      <c r="B135" s="12" t="s">
        <v>38</v>
      </c>
      <c r="C135" s="9" t="s">
        <v>39</v>
      </c>
      <c r="D135" s="21">
        <v>216</v>
      </c>
      <c r="E135" s="9">
        <v>15</v>
      </c>
      <c r="F135" s="9" t="s">
        <v>33</v>
      </c>
      <c r="H135" s="28">
        <f>tbl_TabFehler[[#This Row],[EP]]*tbl_TabFehler[[#This Row],[VK_Menge]]</f>
        <v>3240</v>
      </c>
    </row>
    <row r="136" spans="1:8" hidden="1" x14ac:dyDescent="0.25">
      <c r="A136" s="11">
        <v>45517</v>
      </c>
      <c r="B136" s="12" t="s">
        <v>26</v>
      </c>
      <c r="C136" s="9" t="s">
        <v>27</v>
      </c>
      <c r="D136" s="21">
        <v>100.8</v>
      </c>
      <c r="E136" s="9">
        <v>12</v>
      </c>
      <c r="F136" s="9" t="s">
        <v>33</v>
      </c>
      <c r="H136" s="28">
        <f>tbl_TabFehler[[#This Row],[EP]]*tbl_TabFehler[[#This Row],[VK_Menge]]</f>
        <v>1209.5999999999999</v>
      </c>
    </row>
    <row r="137" spans="1:8" hidden="1" x14ac:dyDescent="0.25">
      <c r="A137" s="11">
        <v>45518</v>
      </c>
      <c r="B137" s="12" t="s">
        <v>40</v>
      </c>
      <c r="C137" s="9" t="s">
        <v>41</v>
      </c>
      <c r="D137" s="21">
        <v>432</v>
      </c>
      <c r="E137" s="9">
        <v>60</v>
      </c>
      <c r="F137" s="9" t="s">
        <v>28</v>
      </c>
      <c r="H137" s="28">
        <f>tbl_TabFehler[[#This Row],[EP]]*tbl_TabFehler[[#This Row],[VK_Menge]]</f>
        <v>25920</v>
      </c>
    </row>
    <row r="138" spans="1:8" hidden="1" x14ac:dyDescent="0.25">
      <c r="A138" s="11">
        <v>45518</v>
      </c>
      <c r="B138" s="12" t="s">
        <v>29</v>
      </c>
      <c r="C138" s="9" t="s">
        <v>30</v>
      </c>
      <c r="D138" s="21">
        <v>278</v>
      </c>
      <c r="E138" s="9">
        <v>20</v>
      </c>
      <c r="F138" s="9" t="s">
        <v>28</v>
      </c>
      <c r="H138" s="28">
        <f>tbl_TabFehler[[#This Row],[EP]]*tbl_TabFehler[[#This Row],[VK_Menge]]</f>
        <v>5560</v>
      </c>
    </row>
    <row r="139" spans="1:8" hidden="1" x14ac:dyDescent="0.25">
      <c r="A139" s="11">
        <v>45519</v>
      </c>
      <c r="B139" s="12" t="s">
        <v>26</v>
      </c>
      <c r="C139" s="9" t="s">
        <v>27</v>
      </c>
      <c r="D139" s="21">
        <v>660</v>
      </c>
      <c r="E139" s="9">
        <v>30</v>
      </c>
      <c r="F139" s="9" t="s">
        <v>33</v>
      </c>
      <c r="H139" s="28">
        <f>tbl_TabFehler[[#This Row],[EP]]*tbl_TabFehler[[#This Row],[VK_Menge]]</f>
        <v>19800</v>
      </c>
    </row>
    <row r="140" spans="1:8" hidden="1" x14ac:dyDescent="0.25">
      <c r="A140" s="11">
        <v>45519</v>
      </c>
      <c r="B140" s="12" t="s">
        <v>38</v>
      </c>
      <c r="C140" s="9" t="s">
        <v>39</v>
      </c>
      <c r="D140" s="21">
        <v>304</v>
      </c>
      <c r="E140" s="9">
        <v>40</v>
      </c>
      <c r="F140" s="9" t="s">
        <v>33</v>
      </c>
      <c r="H140" s="28">
        <f>tbl_TabFehler[[#This Row],[EP]]*tbl_TabFehler[[#This Row],[VK_Menge]]</f>
        <v>12160</v>
      </c>
    </row>
    <row r="141" spans="1:8" hidden="1" x14ac:dyDescent="0.25">
      <c r="A141" s="11">
        <v>45519</v>
      </c>
      <c r="B141" s="12" t="s">
        <v>40</v>
      </c>
      <c r="C141" s="9" t="s">
        <v>41</v>
      </c>
      <c r="D141" s="21">
        <v>304</v>
      </c>
      <c r="E141" s="9">
        <v>40</v>
      </c>
      <c r="F141" s="9" t="s">
        <v>33</v>
      </c>
      <c r="H141" s="28">
        <f>tbl_TabFehler[[#This Row],[EP]]*tbl_TabFehler[[#This Row],[VK_Menge]]</f>
        <v>12160</v>
      </c>
    </row>
    <row r="142" spans="1:8" hidden="1" x14ac:dyDescent="0.25">
      <c r="A142" s="11">
        <v>45519</v>
      </c>
      <c r="B142" s="12" t="s">
        <v>50</v>
      </c>
      <c r="C142" s="9" t="s">
        <v>51</v>
      </c>
      <c r="D142" s="21">
        <v>295.5</v>
      </c>
      <c r="E142" s="9">
        <v>15</v>
      </c>
      <c r="F142" s="9" t="s">
        <v>33</v>
      </c>
      <c r="H142" s="28">
        <f>tbl_TabFehler[[#This Row],[EP]]*tbl_TabFehler[[#This Row],[VK_Menge]]</f>
        <v>4432.5</v>
      </c>
    </row>
    <row r="143" spans="1:8" hidden="1" x14ac:dyDescent="0.25">
      <c r="A143" s="11">
        <v>45520</v>
      </c>
      <c r="B143" s="12" t="s">
        <v>46</v>
      </c>
      <c r="C143" s="9" t="s">
        <v>47</v>
      </c>
      <c r="D143" s="21">
        <v>120</v>
      </c>
      <c r="E143" s="9">
        <v>20</v>
      </c>
      <c r="F143" s="9" t="s">
        <v>36</v>
      </c>
      <c r="H143" s="28">
        <f>tbl_TabFehler[[#This Row],[EP]]*tbl_TabFehler[[#This Row],[VK_Menge]]</f>
        <v>2400</v>
      </c>
    </row>
    <row r="144" spans="1:8" hidden="1" x14ac:dyDescent="0.25">
      <c r="A144" s="11">
        <v>45520</v>
      </c>
      <c r="B144" s="12" t="s">
        <v>50</v>
      </c>
      <c r="C144" s="9" t="s">
        <v>51</v>
      </c>
      <c r="D144" s="21">
        <v>54.75</v>
      </c>
      <c r="E144" s="9">
        <v>15</v>
      </c>
      <c r="F144" s="9" t="s">
        <v>36</v>
      </c>
      <c r="H144" s="28">
        <f>tbl_TabFehler[[#This Row],[EP]]*tbl_TabFehler[[#This Row],[VK_Menge]]</f>
        <v>821.25</v>
      </c>
    </row>
    <row r="145" spans="1:8" hidden="1" x14ac:dyDescent="0.25">
      <c r="A145" s="11">
        <v>45523</v>
      </c>
      <c r="B145" s="12" t="s">
        <v>29</v>
      </c>
      <c r="C145" s="9" t="s">
        <v>30</v>
      </c>
      <c r="D145" s="21">
        <v>204</v>
      </c>
      <c r="E145" s="9">
        <v>30</v>
      </c>
      <c r="F145" s="9" t="s">
        <v>55</v>
      </c>
      <c r="H145" s="28">
        <f>tbl_TabFehler[[#This Row],[EP]]*tbl_TabFehler[[#This Row],[VK_Menge]]</f>
        <v>6120</v>
      </c>
    </row>
    <row r="146" spans="1:8" hidden="1" x14ac:dyDescent="0.25">
      <c r="A146" s="11">
        <v>45523</v>
      </c>
      <c r="B146" s="12" t="s">
        <v>44</v>
      </c>
      <c r="C146" s="9" t="s">
        <v>45</v>
      </c>
      <c r="D146" s="21">
        <v>304</v>
      </c>
      <c r="E146" s="9">
        <v>20</v>
      </c>
      <c r="F146" s="9" t="s">
        <v>54</v>
      </c>
      <c r="H146" s="28">
        <f>tbl_TabFehler[[#This Row],[EP]]*tbl_TabFehler[[#This Row],[VK_Menge]]</f>
        <v>6080</v>
      </c>
    </row>
    <row r="147" spans="1:8" hidden="1" x14ac:dyDescent="0.25">
      <c r="A147" s="11">
        <v>45523</v>
      </c>
      <c r="B147" s="12" t="s">
        <v>31</v>
      </c>
      <c r="C147" s="9" t="s">
        <v>32</v>
      </c>
      <c r="D147" s="21">
        <v>100</v>
      </c>
      <c r="E147" s="9">
        <v>20</v>
      </c>
      <c r="F147" s="9" t="s">
        <v>55</v>
      </c>
      <c r="H147" s="28">
        <f>tbl_TabFehler[[#This Row],[EP]]*tbl_TabFehler[[#This Row],[VK_Menge]]</f>
        <v>2000</v>
      </c>
    </row>
    <row r="148" spans="1:8" hidden="1" x14ac:dyDescent="0.25">
      <c r="A148" s="11">
        <v>45523</v>
      </c>
      <c r="B148" s="12" t="s">
        <v>40</v>
      </c>
      <c r="C148" s="9" t="s">
        <v>41</v>
      </c>
      <c r="D148" s="21">
        <v>73.5</v>
      </c>
      <c r="E148" s="9">
        <v>10</v>
      </c>
      <c r="F148" s="9" t="s">
        <v>54</v>
      </c>
      <c r="H148" s="28">
        <f>tbl_TabFehler[[#This Row],[EP]]*tbl_TabFehler[[#This Row],[VK_Menge]]</f>
        <v>735</v>
      </c>
    </row>
    <row r="149" spans="1:8" hidden="1" x14ac:dyDescent="0.25">
      <c r="A149" s="11">
        <v>45524</v>
      </c>
      <c r="B149" s="12" t="s">
        <v>40</v>
      </c>
      <c r="C149" s="9" t="s">
        <v>41</v>
      </c>
      <c r="D149" s="21">
        <v>624</v>
      </c>
      <c r="E149" s="9">
        <v>40</v>
      </c>
      <c r="F149" s="9" t="s">
        <v>36</v>
      </c>
      <c r="H149" s="28">
        <f>tbl_TabFehler[[#This Row],[EP]]*tbl_TabFehler[[#This Row],[VK_Menge]]</f>
        <v>24960</v>
      </c>
    </row>
    <row r="150" spans="1:8" hidden="1" x14ac:dyDescent="0.25">
      <c r="A150" s="11">
        <v>45524</v>
      </c>
      <c r="B150" s="12" t="s">
        <v>31</v>
      </c>
      <c r="C150" s="9" t="s">
        <v>58</v>
      </c>
      <c r="D150" s="21">
        <v>509.6</v>
      </c>
      <c r="E150" s="9">
        <v>28</v>
      </c>
      <c r="F150" s="9" t="s">
        <v>36</v>
      </c>
      <c r="H150" s="28">
        <f>tbl_TabFehler[[#This Row],[EP]]*tbl_TabFehler[[#This Row],[VK_Menge]]</f>
        <v>14268.800000000001</v>
      </c>
    </row>
    <row r="151" spans="1:8" hidden="1" x14ac:dyDescent="0.25">
      <c r="A151" s="11">
        <v>45524</v>
      </c>
      <c r="B151" s="12" t="s">
        <v>38</v>
      </c>
      <c r="C151" s="9" t="s">
        <v>39</v>
      </c>
      <c r="D151" s="21">
        <v>220.8</v>
      </c>
      <c r="E151" s="9">
        <v>12</v>
      </c>
      <c r="F151" s="9" t="s">
        <v>36</v>
      </c>
      <c r="H151" s="28">
        <f>tbl_TabFehler[[#This Row],[EP]]*tbl_TabFehler[[#This Row],[VK_Menge]]</f>
        <v>2649.6000000000004</v>
      </c>
    </row>
    <row r="152" spans="1:8" hidden="1" x14ac:dyDescent="0.25">
      <c r="A152" s="11">
        <v>45525</v>
      </c>
      <c r="B152" s="12" t="s">
        <v>40</v>
      </c>
      <c r="C152" s="9" t="s">
        <v>41</v>
      </c>
      <c r="D152" s="21">
        <v>294</v>
      </c>
      <c r="E152" s="9">
        <v>40</v>
      </c>
      <c r="F152" s="9" t="s">
        <v>61</v>
      </c>
      <c r="H152" s="28">
        <f>tbl_TabFehler[[#This Row],[EP]]*tbl_TabFehler[[#This Row],[VK_Menge]]</f>
        <v>11760</v>
      </c>
    </row>
    <row r="153" spans="1:8" hidden="1" x14ac:dyDescent="0.25">
      <c r="A153" s="11">
        <v>45525</v>
      </c>
      <c r="B153" s="12" t="s">
        <v>29</v>
      </c>
      <c r="C153" s="9" t="s">
        <v>30</v>
      </c>
      <c r="D153" s="21">
        <v>252</v>
      </c>
      <c r="E153" s="9">
        <v>30</v>
      </c>
      <c r="F153" s="9" t="s">
        <v>61</v>
      </c>
      <c r="H153" s="28">
        <f>tbl_TabFehler[[#This Row],[EP]]*tbl_TabFehler[[#This Row],[VK_Menge]]</f>
        <v>7560</v>
      </c>
    </row>
    <row r="154" spans="1:8" hidden="1" x14ac:dyDescent="0.25">
      <c r="A154" s="11">
        <v>45525</v>
      </c>
      <c r="B154" s="12" t="s">
        <v>31</v>
      </c>
      <c r="C154" s="9" t="s">
        <v>32</v>
      </c>
      <c r="D154" s="21">
        <v>75</v>
      </c>
      <c r="E154" s="9">
        <v>15</v>
      </c>
      <c r="F154" s="9" t="s">
        <v>61</v>
      </c>
      <c r="H154" s="28">
        <f>tbl_TabFehler[[#This Row],[EP]]*tbl_TabFehler[[#This Row],[VK_Menge]]</f>
        <v>1125</v>
      </c>
    </row>
    <row r="155" spans="1:8" hidden="1" x14ac:dyDescent="0.25">
      <c r="A155" s="11">
        <v>45526</v>
      </c>
      <c r="B155" s="12" t="s">
        <v>29</v>
      </c>
      <c r="C155" s="9" t="s">
        <v>30</v>
      </c>
      <c r="D155" s="21">
        <v>240</v>
      </c>
      <c r="E155" s="9">
        <v>30</v>
      </c>
      <c r="F155" s="9" t="s">
        <v>49</v>
      </c>
      <c r="H155" s="28">
        <f>tbl_TabFehler[[#This Row],[EP]]*tbl_TabFehler[[#This Row],[VK_Menge]]</f>
        <v>7200</v>
      </c>
    </row>
    <row r="156" spans="1:8" hidden="1" x14ac:dyDescent="0.25">
      <c r="A156" s="11">
        <v>45526</v>
      </c>
      <c r="B156" s="12" t="s">
        <v>26</v>
      </c>
      <c r="C156" s="9" t="s">
        <v>27</v>
      </c>
      <c r="D156" s="21">
        <v>220</v>
      </c>
      <c r="E156" s="9">
        <v>10</v>
      </c>
      <c r="F156" s="9" t="s">
        <v>49</v>
      </c>
      <c r="H156" s="28">
        <f>tbl_TabFehler[[#This Row],[EP]]*tbl_TabFehler[[#This Row],[VK_Menge]]</f>
        <v>2200</v>
      </c>
    </row>
    <row r="157" spans="1:8" hidden="1" x14ac:dyDescent="0.25">
      <c r="A157" s="11">
        <v>45526</v>
      </c>
      <c r="B157" s="12" t="s">
        <v>42</v>
      </c>
      <c r="C157" s="9" t="s">
        <v>43</v>
      </c>
      <c r="D157" s="21">
        <v>17.2</v>
      </c>
      <c r="E157" s="9">
        <v>2</v>
      </c>
      <c r="F157" s="9" t="s">
        <v>49</v>
      </c>
      <c r="H157" s="28">
        <f>tbl_TabFehler[[#This Row],[EP]]*tbl_TabFehler[[#This Row],[VK_Menge]]</f>
        <v>34.4</v>
      </c>
    </row>
    <row r="158" spans="1:8" hidden="1" x14ac:dyDescent="0.25">
      <c r="A158" s="11">
        <v>45527</v>
      </c>
      <c r="B158" s="12" t="s">
        <v>40</v>
      </c>
      <c r="C158" s="9" t="s">
        <v>41</v>
      </c>
      <c r="D158" s="21">
        <v>216</v>
      </c>
      <c r="E158" s="9">
        <v>30</v>
      </c>
      <c r="F158" s="9" t="s">
        <v>54</v>
      </c>
      <c r="H158" s="28">
        <f>tbl_TabFehler[[#This Row],[EP]]*tbl_TabFehler[[#This Row],[VK_Menge]]</f>
        <v>6480</v>
      </c>
    </row>
    <row r="159" spans="1:8" hidden="1" x14ac:dyDescent="0.25">
      <c r="A159" s="11">
        <v>45527</v>
      </c>
      <c r="B159" s="12" t="s">
        <v>56</v>
      </c>
      <c r="C159" s="9" t="s">
        <v>57</v>
      </c>
      <c r="D159" s="21">
        <v>1237.5</v>
      </c>
      <c r="E159" s="9">
        <v>25</v>
      </c>
      <c r="F159" s="9" t="s">
        <v>54</v>
      </c>
      <c r="H159" s="28">
        <f>tbl_TabFehler[[#This Row],[EP]]*tbl_TabFehler[[#This Row],[VK_Menge]]</f>
        <v>30937.5</v>
      </c>
    </row>
    <row r="160" spans="1:8" hidden="1" x14ac:dyDescent="0.25">
      <c r="A160" s="11">
        <v>45527</v>
      </c>
      <c r="B160" s="12" t="s">
        <v>40</v>
      </c>
      <c r="C160" s="9" t="s">
        <v>41</v>
      </c>
      <c r="D160" s="21">
        <v>625</v>
      </c>
      <c r="E160" s="9">
        <v>25</v>
      </c>
      <c r="F160" s="9" t="s">
        <v>54</v>
      </c>
      <c r="H160" s="28">
        <f>tbl_TabFehler[[#This Row],[EP]]*tbl_TabFehler[[#This Row],[VK_Menge]]</f>
        <v>15625</v>
      </c>
    </row>
    <row r="161" spans="1:8" hidden="1" x14ac:dyDescent="0.25">
      <c r="A161" s="11">
        <v>45530</v>
      </c>
      <c r="B161" s="12" t="s">
        <v>26</v>
      </c>
      <c r="C161" s="9" t="s">
        <v>27</v>
      </c>
      <c r="D161" s="21">
        <v>131</v>
      </c>
      <c r="E161" s="9">
        <v>10</v>
      </c>
      <c r="F161" s="9" t="s">
        <v>49</v>
      </c>
      <c r="H161" s="28">
        <f>tbl_TabFehler[[#This Row],[EP]]*tbl_TabFehler[[#This Row],[VK_Menge]]</f>
        <v>1310</v>
      </c>
    </row>
    <row r="162" spans="1:8" hidden="1" x14ac:dyDescent="0.25">
      <c r="A162" s="11">
        <v>45530</v>
      </c>
      <c r="B162" s="12" t="s">
        <v>46</v>
      </c>
      <c r="C162" s="9" t="s">
        <v>47</v>
      </c>
      <c r="D162" s="21">
        <v>103.5</v>
      </c>
      <c r="E162" s="9">
        <v>10</v>
      </c>
      <c r="F162" s="9" t="s">
        <v>49</v>
      </c>
      <c r="H162" s="28">
        <f>tbl_TabFehler[[#This Row],[EP]]*tbl_TabFehler[[#This Row],[VK_Menge]]</f>
        <v>1035</v>
      </c>
    </row>
    <row r="163" spans="1:8" hidden="1" x14ac:dyDescent="0.25">
      <c r="A163" s="11">
        <v>45530</v>
      </c>
      <c r="B163" s="12" t="s">
        <v>56</v>
      </c>
      <c r="C163" s="9" t="s">
        <v>57</v>
      </c>
      <c r="D163" s="21">
        <v>14.75</v>
      </c>
      <c r="E163" s="9">
        <v>5</v>
      </c>
      <c r="F163" s="9" t="s">
        <v>49</v>
      </c>
      <c r="H163" s="28">
        <f>tbl_TabFehler[[#This Row],[EP]]*tbl_TabFehler[[#This Row],[VK_Menge]]</f>
        <v>73.75</v>
      </c>
    </row>
    <row r="164" spans="1:8" hidden="1" x14ac:dyDescent="0.25">
      <c r="A164" s="11">
        <v>45531</v>
      </c>
      <c r="B164" s="12" t="s">
        <v>50</v>
      </c>
      <c r="C164" s="9" t="s">
        <v>51</v>
      </c>
      <c r="D164" s="21">
        <v>197</v>
      </c>
      <c r="E164" s="9">
        <v>10</v>
      </c>
      <c r="F164" s="9" t="s">
        <v>55</v>
      </c>
      <c r="H164" s="28">
        <f>tbl_TabFehler[[#This Row],[EP]]*tbl_TabFehler[[#This Row],[VK_Menge]]</f>
        <v>1970</v>
      </c>
    </row>
    <row r="165" spans="1:8" hidden="1" x14ac:dyDescent="0.25">
      <c r="A165" s="11">
        <v>45531</v>
      </c>
      <c r="B165" s="12" t="s">
        <v>31</v>
      </c>
      <c r="C165" s="9" t="s">
        <v>32</v>
      </c>
      <c r="D165" s="21">
        <v>15</v>
      </c>
      <c r="E165" s="9">
        <v>3</v>
      </c>
      <c r="F165" s="9" t="s">
        <v>55</v>
      </c>
      <c r="H165" s="28">
        <f>tbl_TabFehler[[#This Row],[EP]]*tbl_TabFehler[[#This Row],[VK_Menge]]</f>
        <v>45</v>
      </c>
    </row>
    <row r="166" spans="1:8" hidden="1" x14ac:dyDescent="0.25">
      <c r="A166" s="11">
        <v>45532</v>
      </c>
      <c r="B166" s="12" t="s">
        <v>46</v>
      </c>
      <c r="C166" s="9" t="s">
        <v>47</v>
      </c>
      <c r="D166" s="21">
        <v>30</v>
      </c>
      <c r="E166" s="9">
        <v>5</v>
      </c>
      <c r="F166" s="9" t="s">
        <v>61</v>
      </c>
      <c r="H166" s="28">
        <f>tbl_TabFehler[[#This Row],[EP]]*tbl_TabFehler[[#This Row],[VK_Menge]]</f>
        <v>150</v>
      </c>
    </row>
    <row r="167" spans="1:8" hidden="1" x14ac:dyDescent="0.25">
      <c r="A167" s="11">
        <v>45532</v>
      </c>
      <c r="B167" s="12" t="s">
        <v>38</v>
      </c>
      <c r="C167" s="9" t="s">
        <v>39</v>
      </c>
      <c r="D167" s="21">
        <v>14.4</v>
      </c>
      <c r="E167" s="9">
        <v>1</v>
      </c>
      <c r="F167" s="9" t="s">
        <v>61</v>
      </c>
      <c r="H167" s="28">
        <f>tbl_TabFehler[[#This Row],[EP]]*tbl_TabFehler[[#This Row],[VK_Menge]]</f>
        <v>14.4</v>
      </c>
    </row>
    <row r="168" spans="1:8" hidden="1" x14ac:dyDescent="0.25">
      <c r="A168" s="11">
        <v>45533</v>
      </c>
      <c r="B168" s="12" t="s">
        <v>44</v>
      </c>
      <c r="C168" s="9" t="s">
        <v>45</v>
      </c>
      <c r="D168" s="21">
        <v>300</v>
      </c>
      <c r="E168" s="9">
        <v>30</v>
      </c>
      <c r="F168" s="9" t="s">
        <v>37</v>
      </c>
      <c r="H168" s="28">
        <f>tbl_TabFehler[[#This Row],[EP]]*tbl_TabFehler[[#This Row],[VK_Menge]]</f>
        <v>9000</v>
      </c>
    </row>
    <row r="169" spans="1:8" hidden="1" x14ac:dyDescent="0.25">
      <c r="A169" s="11">
        <v>45533</v>
      </c>
      <c r="B169" s="12" t="s">
        <v>38</v>
      </c>
      <c r="C169" s="9" t="s">
        <v>39</v>
      </c>
      <c r="D169" s="21">
        <v>368</v>
      </c>
      <c r="E169" s="9">
        <v>20</v>
      </c>
      <c r="F169" s="9" t="s">
        <v>37</v>
      </c>
      <c r="H169" s="28">
        <f>tbl_TabFehler[[#This Row],[EP]]*tbl_TabFehler[[#This Row],[VK_Menge]]</f>
        <v>7360</v>
      </c>
    </row>
    <row r="170" spans="1:8" hidden="1" x14ac:dyDescent="0.25">
      <c r="A170" s="11">
        <v>45533</v>
      </c>
      <c r="B170" s="12" t="s">
        <v>40</v>
      </c>
      <c r="C170" s="9" t="s">
        <v>41</v>
      </c>
      <c r="D170" s="21">
        <v>176</v>
      </c>
      <c r="E170" s="9">
        <v>20</v>
      </c>
      <c r="F170" s="9" t="s">
        <v>37</v>
      </c>
      <c r="H170" s="28">
        <f>tbl_TabFehler[[#This Row],[EP]]*tbl_TabFehler[[#This Row],[VK_Menge]]</f>
        <v>3520</v>
      </c>
    </row>
    <row r="171" spans="1:8" hidden="1" x14ac:dyDescent="0.25">
      <c r="A171" s="11">
        <v>45533</v>
      </c>
      <c r="B171" s="12" t="s">
        <v>42</v>
      </c>
      <c r="C171" s="9" t="s">
        <v>43</v>
      </c>
      <c r="D171" s="21">
        <v>25.8</v>
      </c>
      <c r="E171" s="9">
        <v>3</v>
      </c>
      <c r="F171" s="9" t="s">
        <v>37</v>
      </c>
      <c r="H171" s="28">
        <f>tbl_TabFehler[[#This Row],[EP]]*tbl_TabFehler[[#This Row],[VK_Menge]]</f>
        <v>77.400000000000006</v>
      </c>
    </row>
    <row r="172" spans="1:8" hidden="1" x14ac:dyDescent="0.25">
      <c r="A172" s="11">
        <v>45533</v>
      </c>
      <c r="B172" s="12" t="s">
        <v>31</v>
      </c>
      <c r="C172" s="9" t="s">
        <v>32</v>
      </c>
      <c r="D172" s="21">
        <v>11.2</v>
      </c>
      <c r="E172" s="9">
        <v>2</v>
      </c>
      <c r="F172" s="9" t="s">
        <v>37</v>
      </c>
      <c r="H172" s="28">
        <f>tbl_TabFehler[[#This Row],[EP]]*tbl_TabFehler[[#This Row],[VK_Menge]]</f>
        <v>22.4</v>
      </c>
    </row>
    <row r="173" spans="1:8" hidden="1" x14ac:dyDescent="0.25">
      <c r="A173" s="11">
        <v>45534</v>
      </c>
      <c r="B173" s="12" t="s">
        <v>38</v>
      </c>
      <c r="C173" s="9" t="s">
        <v>39</v>
      </c>
      <c r="D173" s="21">
        <v>100.8</v>
      </c>
      <c r="E173" s="9">
        <v>7</v>
      </c>
      <c r="F173" s="9" t="s">
        <v>49</v>
      </c>
      <c r="H173" s="28">
        <f>tbl_TabFehler[[#This Row],[EP]]*tbl_TabFehler[[#This Row],[VK_Menge]]</f>
        <v>705.6</v>
      </c>
    </row>
    <row r="174" spans="1:8" hidden="1" x14ac:dyDescent="0.25">
      <c r="A174" s="11">
        <v>45534</v>
      </c>
      <c r="B174" s="12" t="s">
        <v>50</v>
      </c>
      <c r="C174" s="9" t="s">
        <v>51</v>
      </c>
      <c r="D174" s="21">
        <v>98.5</v>
      </c>
      <c r="E174" s="9">
        <v>5</v>
      </c>
      <c r="F174" s="9" t="s">
        <v>54</v>
      </c>
      <c r="H174" s="28">
        <f>tbl_TabFehler[[#This Row],[EP]]*tbl_TabFehler[[#This Row],[VK_Menge]]</f>
        <v>492.5</v>
      </c>
    </row>
    <row r="175" spans="1:8" hidden="1" x14ac:dyDescent="0.25">
      <c r="A175" s="11">
        <v>45534</v>
      </c>
      <c r="B175" s="12" t="s">
        <v>26</v>
      </c>
      <c r="C175" s="9" t="s">
        <v>27</v>
      </c>
      <c r="D175" s="21">
        <v>69.5</v>
      </c>
      <c r="E175" s="9">
        <v>10</v>
      </c>
      <c r="F175" s="9" t="s">
        <v>54</v>
      </c>
      <c r="H175" s="28">
        <f>tbl_TabFehler[[#This Row],[EP]]*tbl_TabFehler[[#This Row],[VK_Menge]]</f>
        <v>695</v>
      </c>
    </row>
    <row r="176" spans="1:8" hidden="1" x14ac:dyDescent="0.25">
      <c r="A176" s="11">
        <v>45534</v>
      </c>
      <c r="B176" s="12" t="s">
        <v>31</v>
      </c>
      <c r="C176" s="9" t="s">
        <v>32</v>
      </c>
      <c r="D176" s="21">
        <v>33.6</v>
      </c>
      <c r="E176" s="9">
        <v>6</v>
      </c>
      <c r="F176" s="9" t="s">
        <v>49</v>
      </c>
      <c r="H176" s="28">
        <f>tbl_TabFehler[[#This Row],[EP]]*tbl_TabFehler[[#This Row],[VK_Menge]]</f>
        <v>201.60000000000002</v>
      </c>
    </row>
    <row r="177" spans="1:8" hidden="1" x14ac:dyDescent="0.25">
      <c r="A177" s="11">
        <v>45537</v>
      </c>
      <c r="B177" s="12" t="s">
        <v>38</v>
      </c>
      <c r="C177" s="9" t="s">
        <v>39</v>
      </c>
      <c r="D177" s="21">
        <v>441.6</v>
      </c>
      <c r="E177" s="9">
        <v>24</v>
      </c>
      <c r="F177" s="9" t="s">
        <v>55</v>
      </c>
      <c r="H177" s="28">
        <f>tbl_TabFehler[[#This Row],[EP]]*tbl_TabFehler[[#This Row],[VK_Menge]]</f>
        <v>10598.400000000001</v>
      </c>
    </row>
    <row r="178" spans="1:8" hidden="1" x14ac:dyDescent="0.25">
      <c r="A178" s="11">
        <v>45537</v>
      </c>
      <c r="B178" s="12" t="s">
        <v>26</v>
      </c>
      <c r="C178" s="9" t="s">
        <v>27</v>
      </c>
      <c r="D178" s="21">
        <v>262</v>
      </c>
      <c r="E178" s="9">
        <v>20</v>
      </c>
      <c r="F178" s="9" t="s">
        <v>55</v>
      </c>
      <c r="H178" s="28">
        <f>tbl_TabFehler[[#This Row],[EP]]*tbl_TabFehler[[#This Row],[VK_Menge]]</f>
        <v>5240</v>
      </c>
    </row>
    <row r="179" spans="1:8" hidden="1" x14ac:dyDescent="0.25">
      <c r="A179" s="11">
        <v>45537</v>
      </c>
      <c r="B179" s="12" t="s">
        <v>31</v>
      </c>
      <c r="C179" s="9" t="s">
        <v>58</v>
      </c>
      <c r="D179" s="21">
        <v>72.8</v>
      </c>
      <c r="E179" s="9">
        <v>4</v>
      </c>
      <c r="F179" s="9" t="s">
        <v>55</v>
      </c>
      <c r="H179" s="28">
        <f>tbl_TabFehler[[#This Row],[EP]]*tbl_TabFehler[[#This Row],[VK_Menge]]</f>
        <v>291.2</v>
      </c>
    </row>
    <row r="180" spans="1:8" hidden="1" x14ac:dyDescent="0.25">
      <c r="A180" s="11">
        <v>45537</v>
      </c>
      <c r="B180" s="12" t="s">
        <v>31</v>
      </c>
      <c r="C180" s="9" t="s">
        <v>58</v>
      </c>
      <c r="D180" s="21">
        <v>31</v>
      </c>
      <c r="E180" s="9">
        <v>10</v>
      </c>
      <c r="F180" s="9" t="s">
        <v>55</v>
      </c>
      <c r="H180" s="28">
        <f>tbl_TabFehler[[#This Row],[EP]]*tbl_TabFehler[[#This Row],[VK_Menge]]</f>
        <v>310</v>
      </c>
    </row>
    <row r="181" spans="1:8" hidden="1" x14ac:dyDescent="0.25">
      <c r="A181" s="11">
        <v>45538</v>
      </c>
      <c r="B181" s="12" t="s">
        <v>38</v>
      </c>
      <c r="C181" s="9" t="s">
        <v>39</v>
      </c>
      <c r="D181" s="21">
        <v>91.2</v>
      </c>
      <c r="E181" s="9">
        <v>12</v>
      </c>
      <c r="F181" s="9" t="s">
        <v>55</v>
      </c>
      <c r="H181" s="28">
        <f>tbl_TabFehler[[#This Row],[EP]]*tbl_TabFehler[[#This Row],[VK_Menge]]</f>
        <v>1094.4000000000001</v>
      </c>
    </row>
    <row r="182" spans="1:8" hidden="1" x14ac:dyDescent="0.25">
      <c r="A182" s="11">
        <v>45539</v>
      </c>
      <c r="B182" s="12" t="s">
        <v>29</v>
      </c>
      <c r="C182" s="9" t="s">
        <v>30</v>
      </c>
      <c r="D182" s="21">
        <v>512</v>
      </c>
      <c r="E182" s="9">
        <v>40</v>
      </c>
      <c r="F182" s="9" t="s">
        <v>49</v>
      </c>
      <c r="H182" s="28">
        <f>tbl_TabFehler[[#This Row],[EP]]*tbl_TabFehler[[#This Row],[VK_Menge]]</f>
        <v>20480</v>
      </c>
    </row>
    <row r="183" spans="1:8" hidden="1" x14ac:dyDescent="0.25">
      <c r="A183" s="11">
        <v>45539</v>
      </c>
      <c r="B183" s="12" t="s">
        <v>42</v>
      </c>
      <c r="C183" s="9" t="s">
        <v>43</v>
      </c>
      <c r="D183" s="21">
        <v>159</v>
      </c>
      <c r="E183" s="9">
        <v>30</v>
      </c>
      <c r="F183" s="9" t="s">
        <v>49</v>
      </c>
      <c r="H183" s="28">
        <f>tbl_TabFehler[[#This Row],[EP]]*tbl_TabFehler[[#This Row],[VK_Menge]]</f>
        <v>4770</v>
      </c>
    </row>
    <row r="184" spans="1:8" hidden="1" x14ac:dyDescent="0.25">
      <c r="A184" s="11">
        <v>45539</v>
      </c>
      <c r="B184" s="12" t="s">
        <v>50</v>
      </c>
      <c r="C184" s="9" t="s">
        <v>51</v>
      </c>
      <c r="D184" s="21">
        <v>492.5</v>
      </c>
      <c r="E184" s="9">
        <v>25</v>
      </c>
      <c r="F184" s="9" t="s">
        <v>49</v>
      </c>
      <c r="H184" s="28">
        <f>tbl_TabFehler[[#This Row],[EP]]*tbl_TabFehler[[#This Row],[VK_Menge]]</f>
        <v>12312.5</v>
      </c>
    </row>
    <row r="185" spans="1:8" hidden="1" x14ac:dyDescent="0.25">
      <c r="A185" s="11">
        <v>45540</v>
      </c>
      <c r="B185" s="12" t="s">
        <v>46</v>
      </c>
      <c r="C185" s="9" t="s">
        <v>47</v>
      </c>
      <c r="D185" s="21">
        <v>180</v>
      </c>
      <c r="E185" s="9">
        <v>30</v>
      </c>
      <c r="F185" s="9" t="s">
        <v>36</v>
      </c>
      <c r="H185" s="28">
        <f>tbl_TabFehler[[#This Row],[EP]]*tbl_TabFehler[[#This Row],[VK_Menge]]</f>
        <v>5400</v>
      </c>
    </row>
    <row r="186" spans="1:8" hidden="1" x14ac:dyDescent="0.25">
      <c r="A186" s="11">
        <v>45540</v>
      </c>
      <c r="B186" s="12" t="s">
        <v>31</v>
      </c>
      <c r="C186" s="9" t="s">
        <v>58</v>
      </c>
      <c r="D186" s="21">
        <v>78.400000000000006</v>
      </c>
      <c r="E186" s="9">
        <v>14</v>
      </c>
      <c r="F186" s="9" t="s">
        <v>36</v>
      </c>
      <c r="H186" s="28">
        <f>tbl_TabFehler[[#This Row],[EP]]*tbl_TabFehler[[#This Row],[VK_Menge]]</f>
        <v>1097.6000000000001</v>
      </c>
    </row>
    <row r="187" spans="1:8" hidden="1" x14ac:dyDescent="0.25">
      <c r="A187" s="11">
        <v>45541</v>
      </c>
      <c r="B187" s="12" t="s">
        <v>50</v>
      </c>
      <c r="C187" s="9" t="s">
        <v>51</v>
      </c>
      <c r="D187" s="21">
        <v>1379</v>
      </c>
      <c r="E187" s="9">
        <v>70</v>
      </c>
      <c r="F187" s="9" t="s">
        <v>49</v>
      </c>
      <c r="H187" s="28">
        <f>tbl_TabFehler[[#This Row],[EP]]*tbl_TabFehler[[#This Row],[VK_Menge]]</f>
        <v>96530</v>
      </c>
    </row>
    <row r="188" spans="1:8" hidden="1" x14ac:dyDescent="0.25">
      <c r="A188" s="11">
        <v>45541</v>
      </c>
      <c r="B188" s="12" t="s">
        <v>38</v>
      </c>
      <c r="C188" s="9" t="s">
        <v>39</v>
      </c>
      <c r="D188" s="21">
        <v>38.5</v>
      </c>
      <c r="E188" s="9">
        <v>10</v>
      </c>
      <c r="F188" s="9" t="s">
        <v>49</v>
      </c>
      <c r="H188" s="28">
        <f>tbl_TabFehler[[#This Row],[EP]]*tbl_TabFehler[[#This Row],[VK_Menge]]</f>
        <v>385</v>
      </c>
    </row>
    <row r="189" spans="1:8" hidden="1" x14ac:dyDescent="0.25">
      <c r="A189" s="11">
        <v>45544</v>
      </c>
      <c r="B189" s="12" t="s">
        <v>40</v>
      </c>
      <c r="C189" s="9" t="s">
        <v>41</v>
      </c>
      <c r="D189" s="21">
        <v>144</v>
      </c>
      <c r="E189" s="9">
        <v>20</v>
      </c>
      <c r="F189" s="9" t="s">
        <v>33</v>
      </c>
      <c r="H189" s="28">
        <f>tbl_TabFehler[[#This Row],[EP]]*tbl_TabFehler[[#This Row],[VK_Menge]]</f>
        <v>2880</v>
      </c>
    </row>
    <row r="190" spans="1:8" hidden="1" x14ac:dyDescent="0.25">
      <c r="A190" s="11">
        <v>45545</v>
      </c>
      <c r="B190" s="12" t="s">
        <v>38</v>
      </c>
      <c r="C190" s="9" t="s">
        <v>39</v>
      </c>
      <c r="D190" s="21">
        <v>77</v>
      </c>
      <c r="E190" s="9">
        <v>20</v>
      </c>
      <c r="F190" s="9" t="s">
        <v>54</v>
      </c>
      <c r="H190" s="28">
        <f>tbl_TabFehler[[#This Row],[EP]]*tbl_TabFehler[[#This Row],[VK_Menge]]</f>
        <v>1540</v>
      </c>
    </row>
    <row r="191" spans="1:8" hidden="1" x14ac:dyDescent="0.25">
      <c r="A191" s="11">
        <v>45545</v>
      </c>
      <c r="B191" s="12" t="s">
        <v>38</v>
      </c>
      <c r="C191" s="9" t="s">
        <v>39</v>
      </c>
      <c r="D191" s="21">
        <v>43.2</v>
      </c>
      <c r="E191" s="9">
        <v>6</v>
      </c>
      <c r="F191" s="9" t="s">
        <v>54</v>
      </c>
      <c r="H191" s="28">
        <f>tbl_TabFehler[[#This Row],[EP]]*tbl_TabFehler[[#This Row],[VK_Menge]]</f>
        <v>259.20000000000005</v>
      </c>
    </row>
    <row r="192" spans="1:8" hidden="1" x14ac:dyDescent="0.25">
      <c r="A192" s="11">
        <v>45546</v>
      </c>
      <c r="B192" s="12" t="s">
        <v>38</v>
      </c>
      <c r="C192" s="9" t="s">
        <v>39</v>
      </c>
      <c r="D192" s="21">
        <v>216</v>
      </c>
      <c r="E192" s="9">
        <v>30</v>
      </c>
      <c r="F192" s="9" t="s">
        <v>61</v>
      </c>
      <c r="H192" s="28">
        <f>tbl_TabFehler[[#This Row],[EP]]*tbl_TabFehler[[#This Row],[VK_Menge]]</f>
        <v>6480</v>
      </c>
    </row>
    <row r="193" spans="1:9" hidden="1" x14ac:dyDescent="0.25">
      <c r="A193" s="11">
        <v>45546</v>
      </c>
      <c r="B193" s="12" t="s">
        <v>31</v>
      </c>
      <c r="C193" s="9" t="s">
        <v>58</v>
      </c>
      <c r="D193" s="21">
        <v>254.8</v>
      </c>
      <c r="E193" s="9">
        <v>14</v>
      </c>
      <c r="F193" s="9" t="s">
        <v>61</v>
      </c>
      <c r="H193" s="28">
        <f>tbl_TabFehler[[#This Row],[EP]]*tbl_TabFehler[[#This Row],[VK_Menge]]</f>
        <v>3567.2000000000003</v>
      </c>
    </row>
    <row r="194" spans="1:9" hidden="1" x14ac:dyDescent="0.25">
      <c r="A194" s="11">
        <v>45546</v>
      </c>
      <c r="B194" s="12" t="s">
        <v>40</v>
      </c>
      <c r="C194" s="9" t="s">
        <v>41</v>
      </c>
      <c r="D194" s="21">
        <v>124.8</v>
      </c>
      <c r="E194" s="9">
        <v>8</v>
      </c>
      <c r="F194" s="9" t="s">
        <v>61</v>
      </c>
      <c r="H194" s="28">
        <f>tbl_TabFehler[[#This Row],[EP]]*tbl_TabFehler[[#This Row],[VK_Menge]]</f>
        <v>998.4</v>
      </c>
    </row>
    <row r="195" spans="1:9" hidden="1" x14ac:dyDescent="0.25">
      <c r="A195" s="11">
        <v>45547</v>
      </c>
      <c r="B195" s="12" t="s">
        <v>42</v>
      </c>
      <c r="C195" s="9" t="s">
        <v>43</v>
      </c>
      <c r="D195" s="21">
        <v>258</v>
      </c>
      <c r="E195" s="9">
        <v>30</v>
      </c>
      <c r="F195" s="9" t="s">
        <v>28</v>
      </c>
      <c r="H195" s="28">
        <f>tbl_TabFehler[[#This Row],[EP]]*tbl_TabFehler[[#This Row],[VK_Menge]]</f>
        <v>7740</v>
      </c>
    </row>
    <row r="196" spans="1:9" hidden="1" x14ac:dyDescent="0.25">
      <c r="A196" s="11">
        <v>45547</v>
      </c>
      <c r="B196" s="12" t="s">
        <v>50</v>
      </c>
      <c r="C196" s="9" t="s">
        <v>51</v>
      </c>
      <c r="D196" s="21">
        <v>72</v>
      </c>
      <c r="E196" s="9">
        <v>10</v>
      </c>
      <c r="F196" s="9" t="s">
        <v>37</v>
      </c>
      <c r="H196" s="28">
        <f>tbl_TabFehler[[#This Row],[EP]]*tbl_TabFehler[[#This Row],[VK_Menge]]</f>
        <v>720</v>
      </c>
    </row>
    <row r="197" spans="1:9" hidden="1" x14ac:dyDescent="0.25">
      <c r="A197" s="11">
        <v>45548</v>
      </c>
      <c r="B197" s="12" t="s">
        <v>42</v>
      </c>
      <c r="C197" s="9" t="s">
        <v>43</v>
      </c>
      <c r="D197" s="21">
        <v>56</v>
      </c>
      <c r="E197" s="9">
        <v>20</v>
      </c>
      <c r="F197" s="9" t="s">
        <v>61</v>
      </c>
      <c r="H197" s="28">
        <f>tbl_TabFehler[[#This Row],[EP]]*tbl_TabFehler[[#This Row],[VK_Menge]]</f>
        <v>1120</v>
      </c>
    </row>
    <row r="198" spans="1:9" x14ac:dyDescent="0.25">
      <c r="A198" s="11">
        <v>45551</v>
      </c>
      <c r="B198" s="12" t="s">
        <v>42</v>
      </c>
      <c r="C198" s="9" t="s">
        <v>43</v>
      </c>
      <c r="D198" s="21">
        <v>31</v>
      </c>
      <c r="E198" s="9">
        <v>5</v>
      </c>
      <c r="F198" s="9" t="s">
        <v>36</v>
      </c>
      <c r="H198" s="28">
        <f>tbl_TabFehler[[#This Row],[EP]]*tbl_TabFehler[[#This Row],[VK_Menge]]</f>
        <v>155</v>
      </c>
    </row>
    <row r="199" spans="1:9" hidden="1" x14ac:dyDescent="0.25">
      <c r="A199" s="11">
        <v>45551</v>
      </c>
      <c r="B199" s="12" t="s">
        <v>40</v>
      </c>
      <c r="C199" s="9" t="s">
        <v>41</v>
      </c>
      <c r="D199" s="21">
        <v>28.8</v>
      </c>
      <c r="E199" s="9">
        <v>4</v>
      </c>
      <c r="F199" s="9" t="s">
        <v>36</v>
      </c>
    </row>
    <row r="200" spans="1:9" hidden="1" x14ac:dyDescent="0.25">
      <c r="A200" s="11">
        <v>45551</v>
      </c>
      <c r="B200" s="12" t="s">
        <v>46</v>
      </c>
      <c r="C200" s="9" t="s">
        <v>47</v>
      </c>
      <c r="D200" s="21">
        <v>22.4</v>
      </c>
      <c r="E200" s="9">
        <v>4</v>
      </c>
      <c r="F200" s="9" t="s">
        <v>36</v>
      </c>
    </row>
    <row r="201" spans="1:9" hidden="1" x14ac:dyDescent="0.25">
      <c r="A201" s="11">
        <v>45583</v>
      </c>
      <c r="B201" s="12" t="s">
        <v>67</v>
      </c>
      <c r="C201" s="9" t="s">
        <v>68</v>
      </c>
      <c r="D201" s="21">
        <v>1500000</v>
      </c>
      <c r="E201" s="9">
        <v>1</v>
      </c>
      <c r="F201" s="9" t="s">
        <v>36</v>
      </c>
    </row>
    <row r="202" spans="1:9" ht="15.75" thickBot="1" x14ac:dyDescent="0.3">
      <c r="A202" s="17" t="s">
        <v>64</v>
      </c>
      <c r="B202" s="17"/>
      <c r="C202" s="17">
        <f>SUBTOTAL(103,tbl_TabFehler[Artikelname])</f>
        <v>2</v>
      </c>
      <c r="D202" s="22">
        <f>SUBTOTAL(109,tbl_TabFehler[EP])</f>
        <v>56</v>
      </c>
      <c r="E202" s="17">
        <f>SUBTOTAL(109,tbl_TabFehler[VK_Menge])</f>
        <v>30</v>
      </c>
      <c r="F202" s="17">
        <f>SUBTOTAL(103,tbl_TabFehler[Verkäufer])</f>
        <v>2</v>
      </c>
      <c r="H202" s="29">
        <f>SUM(H198,H16)</f>
        <v>780</v>
      </c>
      <c r="I202" s="27">
        <f>tbl_TabFehler[[#Totals],[EP]]*tbl_TabFehler[[#Totals],[VK_Menge]]</f>
        <v>1680</v>
      </c>
    </row>
    <row r="203" spans="1:9" ht="15.75" thickTop="1" x14ac:dyDescent="0.25"/>
  </sheetData>
  <pageMargins left="0.7" right="0.7" top="0.78740157499999996" bottom="0.78740157499999996" header="0.3" footer="0.3"/>
  <pageSetup paperSize="9" orientation="landscape" horizontalDpi="0" verticalDpi="0"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A0A0C-27E0-4B57-BE06-EA52144994B5}">
  <sheetPr>
    <tabColor theme="9" tint="0.79998168889431442"/>
  </sheetPr>
  <dimension ref="A1:F328"/>
  <sheetViews>
    <sheetView workbookViewId="0"/>
  </sheetViews>
  <sheetFormatPr baseColWidth="10" defaultRowHeight="15" x14ac:dyDescent="0.25"/>
  <cols>
    <col min="1" max="1" width="36.85546875" bestFit="1" customWidth="1"/>
    <col min="2" max="2" width="14.5703125" bestFit="1" customWidth="1"/>
    <col min="3" max="3" width="10" bestFit="1" customWidth="1"/>
    <col min="4" max="4" width="18.28515625" bestFit="1" customWidth="1"/>
    <col min="5" max="5" width="7.85546875" customWidth="1"/>
    <col min="6" max="6" width="12" bestFit="1" customWidth="1"/>
  </cols>
  <sheetData>
    <row r="1" spans="1:6" ht="20.25" thickBot="1" x14ac:dyDescent="0.35">
      <c r="A1" s="30" t="s">
        <v>141</v>
      </c>
      <c r="B1" s="30"/>
      <c r="C1" s="30"/>
      <c r="D1" s="30"/>
      <c r="E1" s="19"/>
      <c r="F1" s="19"/>
    </row>
    <row r="2" spans="1:6" ht="15.75" thickTop="1" x14ac:dyDescent="0.25"/>
    <row r="3" spans="1:6" x14ac:dyDescent="0.25">
      <c r="A3" s="18" t="s">
        <v>142</v>
      </c>
      <c r="B3" t="s">
        <v>140</v>
      </c>
      <c r="C3" t="s">
        <v>138</v>
      </c>
      <c r="D3" s="26" t="s">
        <v>139</v>
      </c>
    </row>
    <row r="4" spans="1:6" x14ac:dyDescent="0.25">
      <c r="A4" s="19" t="s">
        <v>69</v>
      </c>
      <c r="B4" s="25"/>
      <c r="C4" s="34"/>
      <c r="D4" s="25"/>
    </row>
    <row r="5" spans="1:6" x14ac:dyDescent="0.25">
      <c r="A5" s="20" t="s">
        <v>28</v>
      </c>
      <c r="B5" s="25"/>
      <c r="C5" s="34"/>
      <c r="D5" s="25"/>
    </row>
    <row r="6" spans="1:6" x14ac:dyDescent="0.25">
      <c r="A6" s="24" t="s">
        <v>30</v>
      </c>
      <c r="B6" s="25">
        <v>60.75</v>
      </c>
      <c r="C6" s="34">
        <v>5</v>
      </c>
      <c r="D6" s="25">
        <v>303.75</v>
      </c>
    </row>
    <row r="7" spans="1:6" x14ac:dyDescent="0.25">
      <c r="A7" s="24" t="s">
        <v>27</v>
      </c>
      <c r="B7" s="25">
        <v>84</v>
      </c>
      <c r="C7" s="34">
        <v>12</v>
      </c>
      <c r="D7" s="25">
        <v>1008</v>
      </c>
    </row>
    <row r="8" spans="1:6" x14ac:dyDescent="0.25">
      <c r="A8" s="24" t="s">
        <v>32</v>
      </c>
      <c r="B8" s="25">
        <v>49</v>
      </c>
      <c r="C8" s="34">
        <v>10</v>
      </c>
      <c r="D8" s="25">
        <v>490</v>
      </c>
      <c r="F8" s="25">
        <f>SUM(D6:D8)</f>
        <v>1801.75</v>
      </c>
    </row>
    <row r="9" spans="1:6" x14ac:dyDescent="0.25">
      <c r="A9" s="19" t="s">
        <v>70</v>
      </c>
      <c r="B9" s="25"/>
      <c r="C9" s="34"/>
      <c r="D9" s="25"/>
      <c r="F9" s="25"/>
    </row>
    <row r="10" spans="1:6" x14ac:dyDescent="0.25">
      <c r="A10" s="20" t="s">
        <v>33</v>
      </c>
      <c r="B10" s="25"/>
      <c r="C10" s="34"/>
      <c r="D10" s="25"/>
      <c r="F10" s="25"/>
    </row>
    <row r="11" spans="1:6" x14ac:dyDescent="0.25">
      <c r="A11" s="24" t="s">
        <v>30</v>
      </c>
      <c r="B11" s="25">
        <v>848</v>
      </c>
      <c r="C11" s="34">
        <v>40</v>
      </c>
      <c r="D11" s="25">
        <v>33920</v>
      </c>
      <c r="F11" s="25"/>
    </row>
    <row r="12" spans="1:6" x14ac:dyDescent="0.25">
      <c r="A12" s="24" t="s">
        <v>35</v>
      </c>
      <c r="B12" s="25">
        <v>167.4</v>
      </c>
      <c r="C12" s="34">
        <v>18</v>
      </c>
      <c r="D12" s="25">
        <v>3013.2000000000003</v>
      </c>
      <c r="F12" s="25">
        <f>SUM(D11:D12)</f>
        <v>36933.199999999997</v>
      </c>
    </row>
    <row r="13" spans="1:6" x14ac:dyDescent="0.25">
      <c r="A13" s="19" t="s">
        <v>71</v>
      </c>
      <c r="B13" s="25"/>
      <c r="C13" s="34"/>
      <c r="D13" s="25"/>
    </row>
    <row r="14" spans="1:6" x14ac:dyDescent="0.25">
      <c r="A14" s="20" t="s">
        <v>36</v>
      </c>
      <c r="B14" s="25"/>
      <c r="C14" s="34"/>
      <c r="D14" s="25"/>
    </row>
    <row r="15" spans="1:6" x14ac:dyDescent="0.25">
      <c r="A15" s="24" t="s">
        <v>39</v>
      </c>
      <c r="B15" s="25">
        <v>38.5</v>
      </c>
      <c r="C15" s="34">
        <v>10</v>
      </c>
      <c r="D15" s="25">
        <v>385</v>
      </c>
    </row>
    <row r="16" spans="1:6" x14ac:dyDescent="0.25">
      <c r="A16" s="24" t="s">
        <v>30</v>
      </c>
      <c r="B16" s="25">
        <v>868</v>
      </c>
      <c r="C16" s="34">
        <v>50</v>
      </c>
      <c r="D16" s="25">
        <v>43400</v>
      </c>
      <c r="F16" s="25">
        <f>SUM(D15:D16)</f>
        <v>43785</v>
      </c>
    </row>
    <row r="17" spans="1:6" x14ac:dyDescent="0.25">
      <c r="A17" s="20" t="s">
        <v>37</v>
      </c>
      <c r="B17" s="25"/>
      <c r="C17" s="34"/>
      <c r="D17" s="25"/>
    </row>
    <row r="18" spans="1:6" x14ac:dyDescent="0.25">
      <c r="A18" s="24" t="s">
        <v>39</v>
      </c>
      <c r="B18" s="25">
        <v>50.4</v>
      </c>
      <c r="C18" s="34">
        <v>6</v>
      </c>
      <c r="D18" s="25">
        <v>302.39999999999998</v>
      </c>
    </row>
    <row r="19" spans="1:6" x14ac:dyDescent="0.25">
      <c r="A19" s="24" t="s">
        <v>30</v>
      </c>
      <c r="B19" s="25">
        <v>168</v>
      </c>
      <c r="C19" s="34">
        <v>20</v>
      </c>
      <c r="D19" s="25">
        <v>3360</v>
      </c>
    </row>
    <row r="20" spans="1:6" x14ac:dyDescent="0.25">
      <c r="A20" s="24" t="s">
        <v>27</v>
      </c>
      <c r="B20" s="25">
        <v>117</v>
      </c>
      <c r="C20" s="34">
        <v>15</v>
      </c>
      <c r="D20" s="25">
        <v>1755</v>
      </c>
      <c r="F20" s="25">
        <f>SUM(D18:D20)</f>
        <v>5417.4</v>
      </c>
    </row>
    <row r="21" spans="1:6" x14ac:dyDescent="0.25">
      <c r="A21" s="19" t="s">
        <v>72</v>
      </c>
      <c r="B21" s="25"/>
      <c r="C21" s="34"/>
      <c r="D21" s="25"/>
    </row>
    <row r="22" spans="1:6" x14ac:dyDescent="0.25">
      <c r="A22" s="20" t="s">
        <v>36</v>
      </c>
      <c r="B22" s="25"/>
      <c r="C22" s="34"/>
      <c r="D22" s="25"/>
    </row>
    <row r="23" spans="1:6" x14ac:dyDescent="0.25">
      <c r="A23" s="24" t="s">
        <v>41</v>
      </c>
      <c r="B23" s="25">
        <v>544</v>
      </c>
      <c r="C23" s="34">
        <v>40</v>
      </c>
      <c r="D23" s="25">
        <v>21760</v>
      </c>
    </row>
    <row r="24" spans="1:6" x14ac:dyDescent="0.25">
      <c r="A24" s="24" t="s">
        <v>43</v>
      </c>
      <c r="B24" s="25">
        <v>25</v>
      </c>
      <c r="C24" s="34">
        <v>25</v>
      </c>
      <c r="D24" s="25">
        <v>625</v>
      </c>
    </row>
    <row r="25" spans="1:6" x14ac:dyDescent="0.25">
      <c r="A25" s="24" t="s">
        <v>32</v>
      </c>
      <c r="B25" s="25">
        <v>1296</v>
      </c>
      <c r="C25" s="34">
        <v>40</v>
      </c>
      <c r="D25" s="25">
        <v>51840</v>
      </c>
    </row>
    <row r="26" spans="1:6" x14ac:dyDescent="0.25">
      <c r="A26" s="19" t="s">
        <v>73</v>
      </c>
      <c r="B26" s="25"/>
      <c r="C26" s="34"/>
      <c r="D26" s="25"/>
    </row>
    <row r="27" spans="1:6" x14ac:dyDescent="0.25">
      <c r="A27" s="20" t="s">
        <v>37</v>
      </c>
      <c r="B27" s="25"/>
      <c r="C27" s="34"/>
      <c r="D27" s="25"/>
    </row>
    <row r="28" spans="1:6" x14ac:dyDescent="0.25">
      <c r="A28" s="24" t="s">
        <v>41</v>
      </c>
      <c r="B28" s="25">
        <v>302.39999999999998</v>
      </c>
      <c r="C28" s="34">
        <v>42</v>
      </c>
      <c r="D28" s="25">
        <v>12700.8</v>
      </c>
    </row>
    <row r="29" spans="1:6" x14ac:dyDescent="0.25">
      <c r="A29" s="24" t="s">
        <v>30</v>
      </c>
      <c r="B29" s="25">
        <v>320</v>
      </c>
      <c r="C29" s="34">
        <v>40</v>
      </c>
      <c r="D29" s="25">
        <v>12800</v>
      </c>
    </row>
    <row r="30" spans="1:6" x14ac:dyDescent="0.25">
      <c r="A30" s="24" t="s">
        <v>45</v>
      </c>
      <c r="B30" s="25">
        <v>100</v>
      </c>
      <c r="C30" s="34">
        <v>20</v>
      </c>
      <c r="D30" s="25">
        <v>2000</v>
      </c>
    </row>
    <row r="31" spans="1:6" x14ac:dyDescent="0.25">
      <c r="A31" s="19" t="s">
        <v>74</v>
      </c>
      <c r="B31" s="25"/>
      <c r="C31" s="34"/>
      <c r="D31" s="25"/>
    </row>
    <row r="32" spans="1:6" x14ac:dyDescent="0.25">
      <c r="A32" s="20" t="s">
        <v>28</v>
      </c>
      <c r="B32" s="25"/>
      <c r="C32" s="34"/>
      <c r="D32" s="25"/>
    </row>
    <row r="33" spans="1:4" x14ac:dyDescent="0.25">
      <c r="A33" s="24" t="s">
        <v>30</v>
      </c>
      <c r="B33" s="25">
        <v>84</v>
      </c>
      <c r="C33" s="34">
        <v>21</v>
      </c>
      <c r="D33" s="25">
        <v>1764</v>
      </c>
    </row>
    <row r="34" spans="1:4" x14ac:dyDescent="0.25">
      <c r="A34" s="24" t="s">
        <v>47</v>
      </c>
      <c r="B34" s="25">
        <v>201.6</v>
      </c>
      <c r="C34" s="34">
        <v>21</v>
      </c>
      <c r="D34" s="25">
        <v>4233.5999999999995</v>
      </c>
    </row>
    <row r="35" spans="1:4" x14ac:dyDescent="0.25">
      <c r="A35" s="24" t="s">
        <v>45</v>
      </c>
      <c r="B35" s="25">
        <v>27</v>
      </c>
      <c r="C35" s="34">
        <v>15</v>
      </c>
      <c r="D35" s="25">
        <v>405</v>
      </c>
    </row>
    <row r="36" spans="1:4" x14ac:dyDescent="0.25">
      <c r="A36" s="19" t="s">
        <v>75</v>
      </c>
      <c r="B36" s="25"/>
      <c r="C36" s="34"/>
      <c r="D36" s="25"/>
    </row>
    <row r="37" spans="1:4" x14ac:dyDescent="0.25">
      <c r="A37" s="20" t="s">
        <v>48</v>
      </c>
      <c r="B37" s="25"/>
      <c r="C37" s="34"/>
      <c r="D37" s="25"/>
    </row>
    <row r="38" spans="1:4" x14ac:dyDescent="0.25">
      <c r="A38" s="24" t="s">
        <v>41</v>
      </c>
      <c r="B38" s="25">
        <v>152</v>
      </c>
      <c r="C38" s="34">
        <v>20</v>
      </c>
      <c r="D38" s="25">
        <v>3040</v>
      </c>
    </row>
    <row r="39" spans="1:4" x14ac:dyDescent="0.25">
      <c r="A39" s="24" t="s">
        <v>39</v>
      </c>
      <c r="B39" s="25">
        <v>190</v>
      </c>
      <c r="C39" s="34">
        <v>25</v>
      </c>
      <c r="D39" s="25">
        <v>4750</v>
      </c>
    </row>
    <row r="40" spans="1:4" x14ac:dyDescent="0.25">
      <c r="A40" s="24" t="s">
        <v>27</v>
      </c>
      <c r="B40" s="25">
        <v>903.25</v>
      </c>
      <c r="C40" s="34">
        <v>65</v>
      </c>
      <c r="D40" s="25">
        <v>58711.25</v>
      </c>
    </row>
    <row r="41" spans="1:4" x14ac:dyDescent="0.25">
      <c r="A41" s="19" t="s">
        <v>76</v>
      </c>
      <c r="B41" s="25"/>
      <c r="C41" s="34"/>
      <c r="D41" s="25"/>
    </row>
    <row r="42" spans="1:4" x14ac:dyDescent="0.25">
      <c r="A42" s="20" t="s">
        <v>37</v>
      </c>
      <c r="B42" s="25"/>
      <c r="C42" s="34"/>
      <c r="D42" s="25"/>
    </row>
    <row r="43" spans="1:4" x14ac:dyDescent="0.25">
      <c r="A43" s="24" t="s">
        <v>47</v>
      </c>
      <c r="B43" s="25">
        <v>62.4</v>
      </c>
      <c r="C43" s="34">
        <v>12</v>
      </c>
      <c r="D43" s="25">
        <v>748.8</v>
      </c>
    </row>
    <row r="44" spans="1:4" x14ac:dyDescent="0.25">
      <c r="A44" s="24" t="s">
        <v>27</v>
      </c>
      <c r="B44" s="25">
        <v>196.5</v>
      </c>
      <c r="C44" s="34">
        <v>15</v>
      </c>
      <c r="D44" s="25">
        <v>2947.5</v>
      </c>
    </row>
    <row r="45" spans="1:4" x14ac:dyDescent="0.25">
      <c r="A45" s="19" t="s">
        <v>77</v>
      </c>
      <c r="B45" s="25"/>
      <c r="C45" s="34"/>
      <c r="D45" s="25"/>
    </row>
    <row r="46" spans="1:4" x14ac:dyDescent="0.25">
      <c r="A46" s="20" t="s">
        <v>36</v>
      </c>
      <c r="B46" s="25"/>
      <c r="C46" s="34"/>
      <c r="D46" s="25"/>
    </row>
    <row r="47" spans="1:4" x14ac:dyDescent="0.25">
      <c r="A47" s="24" t="s">
        <v>41</v>
      </c>
      <c r="B47" s="25">
        <v>43.2</v>
      </c>
      <c r="C47" s="34">
        <v>6</v>
      </c>
      <c r="D47" s="25">
        <v>259.20000000000005</v>
      </c>
    </row>
    <row r="48" spans="1:4" x14ac:dyDescent="0.25">
      <c r="A48" s="24" t="s">
        <v>47</v>
      </c>
      <c r="B48" s="25">
        <v>78</v>
      </c>
      <c r="C48" s="34">
        <v>15</v>
      </c>
      <c r="D48" s="25">
        <v>1170</v>
      </c>
    </row>
    <row r="49" spans="1:4" x14ac:dyDescent="0.25">
      <c r="A49" s="24" t="s">
        <v>32</v>
      </c>
      <c r="B49" s="25">
        <v>438.75</v>
      </c>
      <c r="C49" s="34">
        <v>25</v>
      </c>
      <c r="D49" s="25">
        <v>10968.75</v>
      </c>
    </row>
    <row r="50" spans="1:4" x14ac:dyDescent="0.25">
      <c r="A50" s="19" t="s">
        <v>78</v>
      </c>
      <c r="B50" s="25"/>
      <c r="C50" s="34"/>
      <c r="D50" s="25"/>
    </row>
    <row r="51" spans="1:4" x14ac:dyDescent="0.25">
      <c r="A51" s="20" t="s">
        <v>49</v>
      </c>
      <c r="B51" s="25"/>
      <c r="C51" s="34"/>
      <c r="D51" s="25"/>
    </row>
    <row r="52" spans="1:4" x14ac:dyDescent="0.25">
      <c r="A52" s="24" t="s">
        <v>41</v>
      </c>
      <c r="B52" s="25">
        <v>932.5</v>
      </c>
      <c r="C52" s="34">
        <v>115</v>
      </c>
      <c r="D52" s="25">
        <v>107237.5</v>
      </c>
    </row>
    <row r="53" spans="1:4" x14ac:dyDescent="0.25">
      <c r="A53" s="24" t="s">
        <v>30</v>
      </c>
      <c r="B53" s="25">
        <v>76.8</v>
      </c>
      <c r="C53" s="34">
        <v>6</v>
      </c>
      <c r="D53" s="25">
        <v>460.79999999999995</v>
      </c>
    </row>
    <row r="54" spans="1:4" x14ac:dyDescent="0.25">
      <c r="A54" s="19" t="s">
        <v>79</v>
      </c>
      <c r="B54" s="25"/>
      <c r="C54" s="34"/>
      <c r="D54" s="25"/>
    </row>
    <row r="55" spans="1:4" x14ac:dyDescent="0.25">
      <c r="A55" s="20" t="s">
        <v>36</v>
      </c>
      <c r="B55" s="25"/>
      <c r="C55" s="34"/>
      <c r="D55" s="25"/>
    </row>
    <row r="56" spans="1:4" x14ac:dyDescent="0.25">
      <c r="A56" s="24" t="s">
        <v>45</v>
      </c>
      <c r="B56" s="25">
        <v>10.4</v>
      </c>
      <c r="C56" s="34">
        <v>1</v>
      </c>
      <c r="D56" s="25">
        <v>10.4</v>
      </c>
    </row>
    <row r="57" spans="1:4" x14ac:dyDescent="0.25">
      <c r="A57" s="24" t="s">
        <v>32</v>
      </c>
      <c r="B57" s="25">
        <v>40</v>
      </c>
      <c r="C57" s="34">
        <v>10</v>
      </c>
      <c r="D57" s="25">
        <v>400</v>
      </c>
    </row>
    <row r="58" spans="1:4" x14ac:dyDescent="0.25">
      <c r="A58" s="19" t="s">
        <v>80</v>
      </c>
      <c r="B58" s="25"/>
      <c r="C58" s="34"/>
      <c r="D58" s="25"/>
    </row>
    <row r="59" spans="1:4" x14ac:dyDescent="0.25">
      <c r="A59" s="20" t="s">
        <v>36</v>
      </c>
      <c r="B59" s="25"/>
      <c r="C59" s="34"/>
      <c r="D59" s="25"/>
    </row>
    <row r="60" spans="1:4" x14ac:dyDescent="0.25">
      <c r="A60" s="24" t="s">
        <v>39</v>
      </c>
      <c r="B60" s="25">
        <v>61.6</v>
      </c>
      <c r="C60" s="34">
        <v>16</v>
      </c>
      <c r="D60" s="25">
        <v>985.6</v>
      </c>
    </row>
    <row r="61" spans="1:4" x14ac:dyDescent="0.25">
      <c r="A61" s="24" t="s">
        <v>47</v>
      </c>
      <c r="B61" s="25">
        <v>126</v>
      </c>
      <c r="C61" s="34">
        <v>21</v>
      </c>
      <c r="D61" s="25">
        <v>2646</v>
      </c>
    </row>
    <row r="62" spans="1:4" x14ac:dyDescent="0.25">
      <c r="A62" s="24" t="s">
        <v>27</v>
      </c>
      <c r="B62" s="25">
        <v>390</v>
      </c>
      <c r="C62" s="34">
        <v>50</v>
      </c>
      <c r="D62" s="25">
        <v>19500</v>
      </c>
    </row>
    <row r="63" spans="1:4" x14ac:dyDescent="0.25">
      <c r="A63" s="24" t="s">
        <v>32</v>
      </c>
      <c r="B63" s="25">
        <v>80</v>
      </c>
      <c r="C63" s="34">
        <v>20</v>
      </c>
      <c r="D63" s="25">
        <v>1600</v>
      </c>
    </row>
    <row r="64" spans="1:4" x14ac:dyDescent="0.25">
      <c r="A64" s="24" t="s">
        <v>51</v>
      </c>
      <c r="B64" s="25">
        <v>439.5</v>
      </c>
      <c r="C64" s="34">
        <v>35</v>
      </c>
      <c r="D64" s="25">
        <v>15382.5</v>
      </c>
    </row>
    <row r="65" spans="1:4" x14ac:dyDescent="0.25">
      <c r="A65" s="19" t="s">
        <v>81</v>
      </c>
      <c r="B65" s="25"/>
      <c r="C65" s="34"/>
      <c r="D65" s="25"/>
    </row>
    <row r="66" spans="1:4" x14ac:dyDescent="0.25">
      <c r="A66" s="20" t="s">
        <v>54</v>
      </c>
      <c r="B66" s="25"/>
      <c r="C66" s="34"/>
      <c r="D66" s="25"/>
    </row>
    <row r="67" spans="1:4" x14ac:dyDescent="0.25">
      <c r="A67" s="24" t="s">
        <v>41</v>
      </c>
      <c r="B67" s="25">
        <v>102</v>
      </c>
      <c r="C67" s="34">
        <v>12</v>
      </c>
      <c r="D67" s="25">
        <v>1224</v>
      </c>
    </row>
    <row r="68" spans="1:4" x14ac:dyDescent="0.25">
      <c r="A68" s="24" t="s">
        <v>53</v>
      </c>
      <c r="B68" s="25">
        <v>180</v>
      </c>
      <c r="C68" s="34">
        <v>15</v>
      </c>
      <c r="D68" s="25">
        <v>2700</v>
      </c>
    </row>
    <row r="69" spans="1:4" x14ac:dyDescent="0.25">
      <c r="A69" s="24" t="s">
        <v>45</v>
      </c>
      <c r="B69" s="25">
        <v>30.4</v>
      </c>
      <c r="C69" s="34">
        <v>2</v>
      </c>
      <c r="D69" s="25">
        <v>60.8</v>
      </c>
    </row>
    <row r="70" spans="1:4" x14ac:dyDescent="0.25">
      <c r="A70" s="19" t="s">
        <v>82</v>
      </c>
      <c r="B70" s="25"/>
      <c r="C70" s="34"/>
      <c r="D70" s="25"/>
    </row>
    <row r="71" spans="1:4" x14ac:dyDescent="0.25">
      <c r="A71" s="20" t="s">
        <v>48</v>
      </c>
      <c r="B71" s="25"/>
      <c r="C71" s="34"/>
      <c r="D71" s="25"/>
    </row>
    <row r="72" spans="1:4" x14ac:dyDescent="0.25">
      <c r="A72" s="24" t="s">
        <v>30</v>
      </c>
      <c r="B72" s="25">
        <v>144</v>
      </c>
      <c r="C72" s="34">
        <v>36</v>
      </c>
      <c r="D72" s="25">
        <v>5184</v>
      </c>
    </row>
    <row r="73" spans="1:4" x14ac:dyDescent="0.25">
      <c r="A73" s="24" t="s">
        <v>47</v>
      </c>
      <c r="B73" s="25">
        <v>621</v>
      </c>
      <c r="C73" s="34">
        <v>60</v>
      </c>
      <c r="D73" s="25">
        <v>37260</v>
      </c>
    </row>
    <row r="74" spans="1:4" x14ac:dyDescent="0.25">
      <c r="A74" s="24" t="s">
        <v>27</v>
      </c>
      <c r="B74" s="25">
        <v>417</v>
      </c>
      <c r="C74" s="34">
        <v>60</v>
      </c>
      <c r="D74" s="25">
        <v>25020</v>
      </c>
    </row>
    <row r="75" spans="1:4" x14ac:dyDescent="0.25">
      <c r="A75" s="24" t="s">
        <v>45</v>
      </c>
      <c r="B75" s="25">
        <v>50.4</v>
      </c>
      <c r="C75" s="34">
        <v>28</v>
      </c>
      <c r="D75" s="25">
        <v>1411.2</v>
      </c>
    </row>
    <row r="76" spans="1:4" x14ac:dyDescent="0.25">
      <c r="A76" s="19" t="s">
        <v>83</v>
      </c>
      <c r="B76" s="25"/>
      <c r="C76" s="34"/>
      <c r="D76" s="25"/>
    </row>
    <row r="77" spans="1:4" x14ac:dyDescent="0.25">
      <c r="A77" s="20" t="s">
        <v>33</v>
      </c>
      <c r="B77" s="25"/>
      <c r="C77" s="34"/>
      <c r="D77" s="25"/>
    </row>
    <row r="78" spans="1:4" x14ac:dyDescent="0.25">
      <c r="A78" s="24" t="s">
        <v>41</v>
      </c>
      <c r="B78" s="25">
        <v>266</v>
      </c>
      <c r="C78" s="34">
        <v>35</v>
      </c>
      <c r="D78" s="25">
        <v>9310</v>
      </c>
    </row>
    <row r="79" spans="1:4" x14ac:dyDescent="0.25">
      <c r="A79" s="24" t="s">
        <v>39</v>
      </c>
      <c r="B79" s="25">
        <v>96.25</v>
      </c>
      <c r="C79" s="34">
        <v>25</v>
      </c>
      <c r="D79" s="25">
        <v>2406.25</v>
      </c>
    </row>
    <row r="80" spans="1:4" x14ac:dyDescent="0.25">
      <c r="A80" s="19" t="s">
        <v>84</v>
      </c>
      <c r="B80" s="25"/>
      <c r="C80" s="34"/>
      <c r="D80" s="25"/>
    </row>
    <row r="81" spans="1:4" x14ac:dyDescent="0.25">
      <c r="A81" s="20" t="s">
        <v>55</v>
      </c>
      <c r="B81" s="25"/>
      <c r="C81" s="34"/>
      <c r="D81" s="25"/>
    </row>
    <row r="82" spans="1:4" x14ac:dyDescent="0.25">
      <c r="A82" s="24" t="s">
        <v>41</v>
      </c>
      <c r="B82" s="25">
        <v>468</v>
      </c>
      <c r="C82" s="34">
        <v>30</v>
      </c>
      <c r="D82" s="25">
        <v>14040</v>
      </c>
    </row>
    <row r="83" spans="1:4" x14ac:dyDescent="0.25">
      <c r="A83" s="24" t="s">
        <v>47</v>
      </c>
      <c r="B83" s="25">
        <v>120</v>
      </c>
      <c r="C83" s="34">
        <v>20</v>
      </c>
      <c r="D83" s="25">
        <v>2400</v>
      </c>
    </row>
    <row r="84" spans="1:4" x14ac:dyDescent="0.25">
      <c r="A84" s="19" t="s">
        <v>85</v>
      </c>
      <c r="B84" s="25"/>
      <c r="C84" s="34"/>
      <c r="D84" s="25"/>
    </row>
    <row r="85" spans="1:4" x14ac:dyDescent="0.25">
      <c r="A85" s="20" t="s">
        <v>37</v>
      </c>
      <c r="B85" s="25"/>
      <c r="C85" s="34"/>
      <c r="D85" s="25"/>
    </row>
    <row r="86" spans="1:4" x14ac:dyDescent="0.25">
      <c r="A86" s="24" t="s">
        <v>27</v>
      </c>
      <c r="B86" s="25">
        <v>182.4</v>
      </c>
      <c r="C86" s="34">
        <v>12</v>
      </c>
      <c r="D86" s="25">
        <v>2188.8000000000002</v>
      </c>
    </row>
    <row r="87" spans="1:4" x14ac:dyDescent="0.25">
      <c r="A87" s="19" t="s">
        <v>86</v>
      </c>
      <c r="B87" s="25"/>
      <c r="C87" s="34"/>
      <c r="D87" s="25"/>
    </row>
    <row r="88" spans="1:4" x14ac:dyDescent="0.25">
      <c r="A88" s="20" t="s">
        <v>36</v>
      </c>
      <c r="B88" s="25"/>
      <c r="C88" s="34"/>
      <c r="D88" s="25"/>
    </row>
    <row r="89" spans="1:4" x14ac:dyDescent="0.25">
      <c r="A89" s="24" t="s">
        <v>41</v>
      </c>
      <c r="B89" s="25">
        <v>367.5</v>
      </c>
      <c r="C89" s="34">
        <v>50</v>
      </c>
      <c r="D89" s="25">
        <v>18375</v>
      </c>
    </row>
    <row r="90" spans="1:4" x14ac:dyDescent="0.25">
      <c r="A90" s="24" t="s">
        <v>39</v>
      </c>
      <c r="B90" s="25">
        <v>108</v>
      </c>
      <c r="C90" s="34">
        <v>15</v>
      </c>
      <c r="D90" s="25">
        <v>1620</v>
      </c>
    </row>
    <row r="91" spans="1:4" x14ac:dyDescent="0.25">
      <c r="A91" s="24" t="s">
        <v>27</v>
      </c>
      <c r="B91" s="25">
        <v>1540</v>
      </c>
      <c r="C91" s="34">
        <v>70</v>
      </c>
      <c r="D91" s="25">
        <v>107800</v>
      </c>
    </row>
    <row r="92" spans="1:4" x14ac:dyDescent="0.25">
      <c r="A92" s="19" t="s">
        <v>87</v>
      </c>
      <c r="B92" s="25"/>
      <c r="C92" s="34"/>
      <c r="D92" s="25"/>
    </row>
    <row r="93" spans="1:4" x14ac:dyDescent="0.25">
      <c r="A93" s="20" t="s">
        <v>54</v>
      </c>
      <c r="B93" s="25"/>
      <c r="C93" s="34"/>
      <c r="D93" s="25"/>
    </row>
    <row r="94" spans="1:4" x14ac:dyDescent="0.25">
      <c r="A94" s="24" t="s">
        <v>30</v>
      </c>
      <c r="B94" s="25">
        <v>55.6</v>
      </c>
      <c r="C94" s="34">
        <v>4</v>
      </c>
      <c r="D94" s="25">
        <v>222.4</v>
      </c>
    </row>
    <row r="95" spans="1:4" x14ac:dyDescent="0.25">
      <c r="A95" s="24" t="s">
        <v>57</v>
      </c>
      <c r="B95" s="25">
        <v>495</v>
      </c>
      <c r="C95" s="34">
        <v>10</v>
      </c>
      <c r="D95" s="25">
        <v>4950</v>
      </c>
    </row>
    <row r="96" spans="1:4" x14ac:dyDescent="0.25">
      <c r="A96" s="19" t="s">
        <v>88</v>
      </c>
      <c r="B96" s="25"/>
      <c r="C96" s="34"/>
      <c r="D96" s="25"/>
    </row>
    <row r="97" spans="1:4" x14ac:dyDescent="0.25">
      <c r="A97" s="20" t="s">
        <v>28</v>
      </c>
      <c r="B97" s="25"/>
      <c r="C97" s="34"/>
      <c r="D97" s="25"/>
    </row>
    <row r="98" spans="1:4" x14ac:dyDescent="0.25">
      <c r="A98" s="24" t="s">
        <v>43</v>
      </c>
      <c r="B98" s="25">
        <v>60</v>
      </c>
      <c r="C98" s="34">
        <v>60</v>
      </c>
      <c r="D98" s="25">
        <v>3600</v>
      </c>
    </row>
    <row r="99" spans="1:4" x14ac:dyDescent="0.25">
      <c r="A99" s="24" t="s">
        <v>30</v>
      </c>
      <c r="B99" s="25">
        <v>556</v>
      </c>
      <c r="C99" s="34">
        <v>40</v>
      </c>
      <c r="D99" s="25">
        <v>22240</v>
      </c>
    </row>
    <row r="100" spans="1:4" x14ac:dyDescent="0.25">
      <c r="A100" s="19" t="s">
        <v>89</v>
      </c>
      <c r="B100" s="25"/>
      <c r="C100" s="34"/>
      <c r="D100" s="25"/>
    </row>
    <row r="101" spans="1:4" x14ac:dyDescent="0.25">
      <c r="A101" s="20" t="s">
        <v>49</v>
      </c>
      <c r="B101" s="25"/>
      <c r="C101" s="34"/>
      <c r="D101" s="25"/>
    </row>
    <row r="102" spans="1:4" x14ac:dyDescent="0.25">
      <c r="A102" s="24" t="s">
        <v>39</v>
      </c>
      <c r="B102" s="25">
        <v>1148</v>
      </c>
      <c r="C102" s="34">
        <v>80</v>
      </c>
      <c r="D102" s="25">
        <v>91840</v>
      </c>
    </row>
    <row r="103" spans="1:4" x14ac:dyDescent="0.25">
      <c r="A103" s="20" t="s">
        <v>33</v>
      </c>
      <c r="B103" s="25"/>
      <c r="C103" s="34"/>
      <c r="D103" s="25"/>
    </row>
    <row r="104" spans="1:4" x14ac:dyDescent="0.25">
      <c r="A104" s="24" t="s">
        <v>43</v>
      </c>
      <c r="B104" s="25">
        <v>24</v>
      </c>
      <c r="C104" s="34">
        <v>24</v>
      </c>
      <c r="D104" s="25">
        <v>576</v>
      </c>
    </row>
    <row r="105" spans="1:4" x14ac:dyDescent="0.25">
      <c r="A105" s="19" t="s">
        <v>90</v>
      </c>
      <c r="B105" s="25"/>
      <c r="C105" s="34"/>
      <c r="D105" s="25"/>
    </row>
    <row r="106" spans="1:4" x14ac:dyDescent="0.25">
      <c r="A106" s="20" t="s">
        <v>33</v>
      </c>
      <c r="B106" s="25"/>
      <c r="C106" s="34"/>
      <c r="D106" s="25"/>
    </row>
    <row r="107" spans="1:4" x14ac:dyDescent="0.25">
      <c r="A107" s="24" t="s">
        <v>30</v>
      </c>
      <c r="B107" s="25">
        <v>333.6</v>
      </c>
      <c r="C107" s="34">
        <v>24</v>
      </c>
      <c r="D107" s="25">
        <v>8006.4000000000005</v>
      </c>
    </row>
    <row r="108" spans="1:4" x14ac:dyDescent="0.25">
      <c r="A108" s="24" t="s">
        <v>45</v>
      </c>
      <c r="B108" s="25">
        <v>200</v>
      </c>
      <c r="C108" s="34">
        <v>40</v>
      </c>
      <c r="D108" s="25">
        <v>8000</v>
      </c>
    </row>
    <row r="109" spans="1:4" x14ac:dyDescent="0.25">
      <c r="A109" s="24" t="s">
        <v>32</v>
      </c>
      <c r="B109" s="25">
        <v>194.4</v>
      </c>
      <c r="C109" s="34">
        <v>6</v>
      </c>
      <c r="D109" s="25">
        <v>1166.4000000000001</v>
      </c>
    </row>
    <row r="110" spans="1:4" x14ac:dyDescent="0.25">
      <c r="A110" s="19" t="s">
        <v>91</v>
      </c>
      <c r="B110" s="25"/>
      <c r="C110" s="34"/>
      <c r="D110" s="25"/>
    </row>
    <row r="111" spans="1:4" x14ac:dyDescent="0.25">
      <c r="A111" s="20" t="s">
        <v>37</v>
      </c>
      <c r="B111" s="25"/>
      <c r="C111" s="34"/>
      <c r="D111" s="25"/>
    </row>
    <row r="112" spans="1:4" x14ac:dyDescent="0.25">
      <c r="A112" s="24" t="s">
        <v>41</v>
      </c>
      <c r="B112" s="25">
        <v>441</v>
      </c>
      <c r="C112" s="34">
        <v>60</v>
      </c>
      <c r="D112" s="25">
        <v>26460</v>
      </c>
    </row>
    <row r="113" spans="1:4" x14ac:dyDescent="0.25">
      <c r="A113" s="24" t="s">
        <v>43</v>
      </c>
      <c r="B113" s="25">
        <v>20</v>
      </c>
      <c r="C113" s="34">
        <v>20</v>
      </c>
      <c r="D113" s="25">
        <v>400</v>
      </c>
    </row>
    <row r="114" spans="1:4" x14ac:dyDescent="0.25">
      <c r="A114" s="24" t="s">
        <v>39</v>
      </c>
      <c r="B114" s="25">
        <v>535.20000000000005</v>
      </c>
      <c r="C114" s="34">
        <v>57</v>
      </c>
      <c r="D114" s="25">
        <v>30506.400000000001</v>
      </c>
    </row>
    <row r="115" spans="1:4" x14ac:dyDescent="0.25">
      <c r="A115" s="24" t="s">
        <v>45</v>
      </c>
      <c r="B115" s="25">
        <v>75</v>
      </c>
      <c r="C115" s="34">
        <v>15</v>
      </c>
      <c r="D115" s="25">
        <v>1125</v>
      </c>
    </row>
    <row r="116" spans="1:4" x14ac:dyDescent="0.25">
      <c r="A116" s="19" t="s">
        <v>92</v>
      </c>
      <c r="B116" s="25"/>
      <c r="C116" s="34"/>
      <c r="D116" s="25"/>
    </row>
    <row r="117" spans="1:4" x14ac:dyDescent="0.25">
      <c r="A117" s="20" t="s">
        <v>33</v>
      </c>
      <c r="B117" s="25"/>
      <c r="C117" s="34"/>
      <c r="D117" s="25"/>
    </row>
    <row r="118" spans="1:4" x14ac:dyDescent="0.25">
      <c r="A118" s="24" t="s">
        <v>43</v>
      </c>
      <c r="B118" s="25">
        <v>172</v>
      </c>
      <c r="C118" s="34">
        <v>20</v>
      </c>
      <c r="D118" s="25">
        <v>3440</v>
      </c>
    </row>
    <row r="119" spans="1:4" x14ac:dyDescent="0.25">
      <c r="A119" s="24" t="s">
        <v>30</v>
      </c>
      <c r="B119" s="25">
        <v>97.3</v>
      </c>
      <c r="C119" s="34">
        <v>7</v>
      </c>
      <c r="D119" s="25">
        <v>681.1</v>
      </c>
    </row>
    <row r="120" spans="1:4" x14ac:dyDescent="0.25">
      <c r="A120" s="19" t="s">
        <v>93</v>
      </c>
      <c r="B120" s="25"/>
      <c r="C120" s="34"/>
      <c r="D120" s="25"/>
    </row>
    <row r="121" spans="1:4" x14ac:dyDescent="0.25">
      <c r="A121" s="20" t="s">
        <v>49</v>
      </c>
      <c r="B121" s="25"/>
      <c r="C121" s="34"/>
      <c r="D121" s="25"/>
    </row>
    <row r="122" spans="1:4" x14ac:dyDescent="0.25">
      <c r="A122" s="24" t="s">
        <v>27</v>
      </c>
      <c r="B122" s="25">
        <v>132</v>
      </c>
      <c r="C122" s="34">
        <v>6</v>
      </c>
      <c r="D122" s="25">
        <v>792</v>
      </c>
    </row>
    <row r="123" spans="1:4" x14ac:dyDescent="0.25">
      <c r="A123" s="24" t="s">
        <v>45</v>
      </c>
      <c r="B123" s="25">
        <v>21.6</v>
      </c>
      <c r="C123" s="34">
        <v>12</v>
      </c>
      <c r="D123" s="25">
        <v>259.20000000000005</v>
      </c>
    </row>
    <row r="124" spans="1:4" x14ac:dyDescent="0.25">
      <c r="A124" s="19" t="s">
        <v>94</v>
      </c>
      <c r="B124" s="25"/>
      <c r="C124" s="34"/>
      <c r="D124" s="25"/>
    </row>
    <row r="125" spans="1:4" x14ac:dyDescent="0.25">
      <c r="A125" s="20" t="s">
        <v>54</v>
      </c>
      <c r="B125" s="25"/>
      <c r="C125" s="34"/>
      <c r="D125" s="25"/>
    </row>
    <row r="126" spans="1:4" x14ac:dyDescent="0.25">
      <c r="A126" s="24" t="s">
        <v>39</v>
      </c>
      <c r="B126" s="25">
        <v>210</v>
      </c>
      <c r="C126" s="34">
        <v>25</v>
      </c>
      <c r="D126" s="25">
        <v>5250</v>
      </c>
    </row>
    <row r="127" spans="1:4" x14ac:dyDescent="0.25">
      <c r="A127" s="19" t="s">
        <v>95</v>
      </c>
      <c r="B127" s="25"/>
      <c r="C127" s="34"/>
      <c r="D127" s="25"/>
    </row>
    <row r="128" spans="1:4" x14ac:dyDescent="0.25">
      <c r="A128" s="20" t="s">
        <v>55</v>
      </c>
      <c r="B128" s="25"/>
      <c r="C128" s="34"/>
      <c r="D128" s="25"/>
    </row>
    <row r="129" spans="1:4" x14ac:dyDescent="0.25">
      <c r="A129" s="24" t="s">
        <v>58</v>
      </c>
      <c r="B129" s="25">
        <v>364</v>
      </c>
      <c r="C129" s="34">
        <v>20</v>
      </c>
      <c r="D129" s="25">
        <v>7280</v>
      </c>
    </row>
    <row r="130" spans="1:4" x14ac:dyDescent="0.25">
      <c r="A130" s="24" t="s">
        <v>51</v>
      </c>
      <c r="B130" s="25">
        <v>236.4</v>
      </c>
      <c r="C130" s="34">
        <v>12</v>
      </c>
      <c r="D130" s="25">
        <v>2836.8</v>
      </c>
    </row>
    <row r="131" spans="1:4" x14ac:dyDescent="0.25">
      <c r="A131" s="19" t="s">
        <v>96</v>
      </c>
      <c r="B131" s="25"/>
      <c r="C131" s="34"/>
      <c r="D131" s="25"/>
    </row>
    <row r="132" spans="1:4" x14ac:dyDescent="0.25">
      <c r="A132" s="20" t="s">
        <v>54</v>
      </c>
      <c r="B132" s="25"/>
      <c r="C132" s="34"/>
      <c r="D132" s="25"/>
    </row>
    <row r="133" spans="1:4" x14ac:dyDescent="0.25">
      <c r="A133" s="24" t="s">
        <v>39</v>
      </c>
      <c r="B133" s="25">
        <v>124</v>
      </c>
      <c r="C133" s="34">
        <v>16</v>
      </c>
      <c r="D133" s="25">
        <v>1984</v>
      </c>
    </row>
    <row r="134" spans="1:4" x14ac:dyDescent="0.25">
      <c r="A134" s="24" t="s">
        <v>27</v>
      </c>
      <c r="B134" s="25">
        <v>330</v>
      </c>
      <c r="C134" s="34">
        <v>15</v>
      </c>
      <c r="D134" s="25">
        <v>4950</v>
      </c>
    </row>
    <row r="135" spans="1:4" x14ac:dyDescent="0.25">
      <c r="A135" s="24" t="s">
        <v>58</v>
      </c>
      <c r="B135" s="25">
        <v>150</v>
      </c>
      <c r="C135" s="34">
        <v>25</v>
      </c>
      <c r="D135" s="25">
        <v>3750</v>
      </c>
    </row>
    <row r="136" spans="1:4" x14ac:dyDescent="0.25">
      <c r="A136" s="24" t="s">
        <v>60</v>
      </c>
      <c r="B136" s="25">
        <v>140.4</v>
      </c>
      <c r="C136" s="34">
        <v>8</v>
      </c>
      <c r="D136" s="25">
        <v>1123.2</v>
      </c>
    </row>
    <row r="137" spans="1:4" x14ac:dyDescent="0.25">
      <c r="A137" s="19" t="s">
        <v>97</v>
      </c>
      <c r="B137" s="25"/>
      <c r="C137" s="34"/>
      <c r="D137" s="25"/>
    </row>
    <row r="138" spans="1:4" x14ac:dyDescent="0.25">
      <c r="A138" s="20" t="s">
        <v>54</v>
      </c>
      <c r="B138" s="25"/>
      <c r="C138" s="34"/>
      <c r="D138" s="25"/>
    </row>
    <row r="139" spans="1:4" x14ac:dyDescent="0.25">
      <c r="A139" s="24" t="s">
        <v>41</v>
      </c>
      <c r="B139" s="25">
        <v>234</v>
      </c>
      <c r="C139" s="34">
        <v>15</v>
      </c>
      <c r="D139" s="25">
        <v>3510</v>
      </c>
    </row>
    <row r="140" spans="1:4" x14ac:dyDescent="0.25">
      <c r="A140" s="19" t="s">
        <v>98</v>
      </c>
      <c r="B140" s="25"/>
      <c r="C140" s="34"/>
      <c r="D140" s="25"/>
    </row>
    <row r="141" spans="1:4" x14ac:dyDescent="0.25">
      <c r="A141" s="20" t="s">
        <v>55</v>
      </c>
      <c r="B141" s="25"/>
      <c r="C141" s="34"/>
      <c r="D141" s="25"/>
    </row>
    <row r="142" spans="1:4" x14ac:dyDescent="0.25">
      <c r="A142" s="24" t="s">
        <v>47</v>
      </c>
      <c r="B142" s="25">
        <v>192</v>
      </c>
      <c r="C142" s="34">
        <v>20</v>
      </c>
      <c r="D142" s="25">
        <v>3840</v>
      </c>
    </row>
    <row r="143" spans="1:4" x14ac:dyDescent="0.25">
      <c r="A143" s="24" t="s">
        <v>58</v>
      </c>
      <c r="B143" s="25">
        <v>93</v>
      </c>
      <c r="C143" s="34">
        <v>30</v>
      </c>
      <c r="D143" s="25">
        <v>2790</v>
      </c>
    </row>
    <row r="144" spans="1:4" x14ac:dyDescent="0.25">
      <c r="A144" s="24" t="s">
        <v>45</v>
      </c>
      <c r="B144" s="25">
        <v>21.6</v>
      </c>
      <c r="C144" s="34">
        <v>12</v>
      </c>
      <c r="D144" s="25">
        <v>259.20000000000005</v>
      </c>
    </row>
    <row r="145" spans="1:4" x14ac:dyDescent="0.25">
      <c r="A145" s="20" t="s">
        <v>36</v>
      </c>
      <c r="B145" s="25"/>
      <c r="C145" s="34"/>
      <c r="D145" s="25"/>
    </row>
    <row r="146" spans="1:4" x14ac:dyDescent="0.25">
      <c r="A146" s="24" t="s">
        <v>45</v>
      </c>
      <c r="B146" s="25">
        <v>10.8</v>
      </c>
      <c r="C146" s="34">
        <v>6</v>
      </c>
      <c r="D146" s="25">
        <v>64.800000000000011</v>
      </c>
    </row>
    <row r="147" spans="1:4" x14ac:dyDescent="0.25">
      <c r="A147" s="24" t="s">
        <v>51</v>
      </c>
      <c r="B147" s="25">
        <v>32.450000000000003</v>
      </c>
      <c r="C147" s="34">
        <v>5</v>
      </c>
      <c r="D147" s="25">
        <v>162.25</v>
      </c>
    </row>
    <row r="148" spans="1:4" x14ac:dyDescent="0.25">
      <c r="A148" s="19" t="s">
        <v>99</v>
      </c>
      <c r="B148" s="25"/>
      <c r="C148" s="34"/>
      <c r="D148" s="25"/>
    </row>
    <row r="149" spans="1:4" x14ac:dyDescent="0.25">
      <c r="A149" s="20" t="s">
        <v>36</v>
      </c>
      <c r="B149" s="25"/>
      <c r="C149" s="34"/>
      <c r="D149" s="25"/>
    </row>
    <row r="150" spans="1:4" x14ac:dyDescent="0.25">
      <c r="A150" s="24" t="s">
        <v>47</v>
      </c>
      <c r="B150" s="25">
        <v>62.1</v>
      </c>
      <c r="C150" s="34">
        <v>6</v>
      </c>
      <c r="D150" s="25">
        <v>372.6</v>
      </c>
    </row>
    <row r="151" spans="1:4" x14ac:dyDescent="0.25">
      <c r="A151" s="24" t="s">
        <v>27</v>
      </c>
      <c r="B151" s="25">
        <v>15.6</v>
      </c>
      <c r="C151" s="34">
        <v>2</v>
      </c>
      <c r="D151" s="25">
        <v>31.2</v>
      </c>
    </row>
    <row r="152" spans="1:4" x14ac:dyDescent="0.25">
      <c r="A152" s="19" t="s">
        <v>100</v>
      </c>
      <c r="B152" s="25"/>
      <c r="C152" s="34"/>
      <c r="D152" s="25"/>
    </row>
    <row r="153" spans="1:4" x14ac:dyDescent="0.25">
      <c r="A153" s="20" t="s">
        <v>37</v>
      </c>
      <c r="B153" s="25"/>
      <c r="C153" s="34"/>
      <c r="D153" s="25"/>
    </row>
    <row r="154" spans="1:4" x14ac:dyDescent="0.25">
      <c r="A154" s="24" t="s">
        <v>41</v>
      </c>
      <c r="B154" s="25">
        <v>476</v>
      </c>
      <c r="C154" s="34">
        <v>35</v>
      </c>
      <c r="D154" s="25">
        <v>16660</v>
      </c>
    </row>
    <row r="155" spans="1:4" x14ac:dyDescent="0.25">
      <c r="A155" s="24" t="s">
        <v>43</v>
      </c>
      <c r="B155" s="25">
        <v>124</v>
      </c>
      <c r="C155" s="34">
        <v>20</v>
      </c>
      <c r="D155" s="25">
        <v>2480</v>
      </c>
    </row>
    <row r="156" spans="1:4" x14ac:dyDescent="0.25">
      <c r="A156" s="24" t="s">
        <v>30</v>
      </c>
      <c r="B156" s="25">
        <v>41.7</v>
      </c>
      <c r="C156" s="34">
        <v>3</v>
      </c>
      <c r="D156" s="25">
        <v>125.10000000000001</v>
      </c>
    </row>
    <row r="157" spans="1:4" x14ac:dyDescent="0.25">
      <c r="A157" s="24" t="s">
        <v>51</v>
      </c>
      <c r="B157" s="25">
        <v>65.7</v>
      </c>
      <c r="C157" s="34">
        <v>18</v>
      </c>
      <c r="D157" s="25">
        <v>1182.6000000000001</v>
      </c>
    </row>
    <row r="158" spans="1:4" x14ac:dyDescent="0.25">
      <c r="A158" s="19" t="s">
        <v>101</v>
      </c>
      <c r="B158" s="25"/>
      <c r="C158" s="34"/>
      <c r="D158" s="25"/>
    </row>
    <row r="159" spans="1:4" x14ac:dyDescent="0.25">
      <c r="A159" s="20" t="s">
        <v>36</v>
      </c>
      <c r="B159" s="25"/>
      <c r="C159" s="34"/>
      <c r="D159" s="25"/>
    </row>
    <row r="160" spans="1:4" x14ac:dyDescent="0.25">
      <c r="A160" s="24" t="s">
        <v>41</v>
      </c>
      <c r="B160" s="25">
        <v>272</v>
      </c>
      <c r="C160" s="34">
        <v>20</v>
      </c>
      <c r="D160" s="25">
        <v>5440</v>
      </c>
    </row>
    <row r="161" spans="1:4" x14ac:dyDescent="0.25">
      <c r="A161" s="24" t="s">
        <v>39</v>
      </c>
      <c r="B161" s="25">
        <v>190.75</v>
      </c>
      <c r="C161" s="34">
        <v>26</v>
      </c>
      <c r="D161" s="25">
        <v>4959.5</v>
      </c>
    </row>
    <row r="162" spans="1:4" x14ac:dyDescent="0.25">
      <c r="A162" s="24" t="s">
        <v>32</v>
      </c>
      <c r="B162" s="25">
        <v>263.25</v>
      </c>
      <c r="C162" s="34">
        <v>15</v>
      </c>
      <c r="D162" s="25">
        <v>3948.75</v>
      </c>
    </row>
    <row r="163" spans="1:4" x14ac:dyDescent="0.25">
      <c r="A163" s="19" t="s">
        <v>102</v>
      </c>
      <c r="B163" s="25"/>
      <c r="C163" s="34"/>
      <c r="D163" s="25"/>
    </row>
    <row r="164" spans="1:4" x14ac:dyDescent="0.25">
      <c r="A164" s="20" t="s">
        <v>49</v>
      </c>
      <c r="B164" s="25"/>
      <c r="C164" s="34"/>
      <c r="D164" s="25"/>
    </row>
    <row r="165" spans="1:4" x14ac:dyDescent="0.25">
      <c r="A165" s="24" t="s">
        <v>41</v>
      </c>
      <c r="B165" s="25">
        <v>618</v>
      </c>
      <c r="C165" s="34">
        <v>85</v>
      </c>
      <c r="D165" s="25">
        <v>52530</v>
      </c>
    </row>
    <row r="166" spans="1:4" x14ac:dyDescent="0.25">
      <c r="A166" s="24" t="s">
        <v>27</v>
      </c>
      <c r="B166" s="25">
        <v>471.6</v>
      </c>
      <c r="C166" s="34">
        <v>36</v>
      </c>
      <c r="D166" s="25">
        <v>16977.600000000002</v>
      </c>
    </row>
    <row r="167" spans="1:4" x14ac:dyDescent="0.25">
      <c r="A167" s="19" t="s">
        <v>103</v>
      </c>
      <c r="B167" s="25"/>
      <c r="C167" s="34"/>
      <c r="D167" s="25"/>
    </row>
    <row r="168" spans="1:4" x14ac:dyDescent="0.25">
      <c r="A168" s="20" t="s">
        <v>54</v>
      </c>
      <c r="B168" s="25"/>
      <c r="C168" s="34"/>
      <c r="D168" s="25"/>
    </row>
    <row r="169" spans="1:4" x14ac:dyDescent="0.25">
      <c r="A169" s="24" t="s">
        <v>51</v>
      </c>
      <c r="B169" s="25">
        <v>1508</v>
      </c>
      <c r="C169" s="34">
        <v>140</v>
      </c>
      <c r="D169" s="25">
        <v>211120</v>
      </c>
    </row>
    <row r="170" spans="1:4" x14ac:dyDescent="0.25">
      <c r="A170" s="19" t="s">
        <v>104</v>
      </c>
      <c r="B170" s="25"/>
      <c r="C170" s="34"/>
      <c r="D170" s="25"/>
    </row>
    <row r="171" spans="1:4" x14ac:dyDescent="0.25">
      <c r="A171" s="20" t="s">
        <v>54</v>
      </c>
      <c r="B171" s="25"/>
      <c r="C171" s="34"/>
      <c r="D171" s="25"/>
    </row>
    <row r="172" spans="1:4" x14ac:dyDescent="0.25">
      <c r="A172" s="24" t="s">
        <v>27</v>
      </c>
      <c r="B172" s="25">
        <v>278</v>
      </c>
      <c r="C172" s="34">
        <v>40</v>
      </c>
      <c r="D172" s="25">
        <v>11120</v>
      </c>
    </row>
    <row r="173" spans="1:4" x14ac:dyDescent="0.25">
      <c r="A173" s="24" t="s">
        <v>58</v>
      </c>
      <c r="B173" s="25">
        <v>112</v>
      </c>
      <c r="C173" s="34">
        <v>20</v>
      </c>
      <c r="D173" s="25">
        <v>2240</v>
      </c>
    </row>
    <row r="174" spans="1:4" x14ac:dyDescent="0.25">
      <c r="A174" s="24" t="s">
        <v>51</v>
      </c>
      <c r="B174" s="25">
        <v>72</v>
      </c>
      <c r="C174" s="34">
        <v>15</v>
      </c>
      <c r="D174" s="25">
        <v>1080</v>
      </c>
    </row>
    <row r="175" spans="1:4" x14ac:dyDescent="0.25">
      <c r="A175" s="19" t="s">
        <v>105</v>
      </c>
      <c r="B175" s="25"/>
      <c r="C175" s="34"/>
      <c r="D175" s="25"/>
    </row>
    <row r="176" spans="1:4" x14ac:dyDescent="0.25">
      <c r="A176" s="20" t="s">
        <v>36</v>
      </c>
      <c r="B176" s="25"/>
      <c r="C176" s="34"/>
      <c r="D176" s="25"/>
    </row>
    <row r="177" spans="1:4" x14ac:dyDescent="0.25">
      <c r="A177" s="24" t="s">
        <v>32</v>
      </c>
      <c r="B177" s="25">
        <v>15</v>
      </c>
      <c r="C177" s="34">
        <v>3</v>
      </c>
      <c r="D177" s="25">
        <v>45</v>
      </c>
    </row>
    <row r="178" spans="1:4" x14ac:dyDescent="0.25">
      <c r="A178" s="24" t="s">
        <v>57</v>
      </c>
      <c r="B178" s="25">
        <v>29.5</v>
      </c>
      <c r="C178" s="34">
        <v>10</v>
      </c>
      <c r="D178" s="25">
        <v>295</v>
      </c>
    </row>
    <row r="179" spans="1:4" x14ac:dyDescent="0.25">
      <c r="A179" s="19" t="s">
        <v>106</v>
      </c>
      <c r="B179" s="25"/>
      <c r="C179" s="34"/>
      <c r="D179" s="25"/>
    </row>
    <row r="180" spans="1:4" x14ac:dyDescent="0.25">
      <c r="A180" s="20" t="s">
        <v>61</v>
      </c>
      <c r="B180" s="25"/>
      <c r="C180" s="34"/>
      <c r="D180" s="25"/>
    </row>
    <row r="181" spans="1:4" x14ac:dyDescent="0.25">
      <c r="A181" s="24" t="s">
        <v>41</v>
      </c>
      <c r="B181" s="25">
        <v>120</v>
      </c>
      <c r="C181" s="34">
        <v>30</v>
      </c>
      <c r="D181" s="25">
        <v>3600</v>
      </c>
    </row>
    <row r="182" spans="1:4" x14ac:dyDescent="0.25">
      <c r="A182" s="24" t="s">
        <v>60</v>
      </c>
      <c r="B182" s="25">
        <v>119.7</v>
      </c>
      <c r="C182" s="34">
        <v>9</v>
      </c>
      <c r="D182" s="25">
        <v>1077.3</v>
      </c>
    </row>
    <row r="183" spans="1:4" x14ac:dyDescent="0.25">
      <c r="A183" s="19" t="s">
        <v>107</v>
      </c>
      <c r="B183" s="25"/>
      <c r="C183" s="34"/>
      <c r="D183" s="25"/>
    </row>
    <row r="184" spans="1:4" x14ac:dyDescent="0.25">
      <c r="A184" s="20" t="s">
        <v>54</v>
      </c>
      <c r="B184" s="25"/>
      <c r="C184" s="34"/>
      <c r="D184" s="25"/>
    </row>
    <row r="185" spans="1:4" x14ac:dyDescent="0.25">
      <c r="A185" s="24" t="s">
        <v>41</v>
      </c>
      <c r="B185" s="25">
        <v>170</v>
      </c>
      <c r="C185" s="34">
        <v>20</v>
      </c>
      <c r="D185" s="25">
        <v>3400</v>
      </c>
    </row>
    <row r="186" spans="1:4" x14ac:dyDescent="0.25">
      <c r="A186" s="24" t="s">
        <v>30</v>
      </c>
      <c r="B186" s="25">
        <v>120</v>
      </c>
      <c r="C186" s="34">
        <v>15</v>
      </c>
      <c r="D186" s="25">
        <v>1800</v>
      </c>
    </row>
    <row r="187" spans="1:4" x14ac:dyDescent="0.25">
      <c r="A187" s="24" t="s">
        <v>47</v>
      </c>
      <c r="B187" s="25">
        <v>52</v>
      </c>
      <c r="C187" s="34">
        <v>10</v>
      </c>
      <c r="D187" s="25">
        <v>520</v>
      </c>
    </row>
    <row r="188" spans="1:4" x14ac:dyDescent="0.25">
      <c r="A188" s="24" t="s">
        <v>57</v>
      </c>
      <c r="B188" s="25">
        <v>742.5</v>
      </c>
      <c r="C188" s="34">
        <v>15</v>
      </c>
      <c r="D188" s="25">
        <v>11137.5</v>
      </c>
    </row>
    <row r="189" spans="1:4" x14ac:dyDescent="0.25">
      <c r="A189" s="20" t="s">
        <v>33</v>
      </c>
      <c r="B189" s="25"/>
      <c r="C189" s="34"/>
      <c r="D189" s="25"/>
    </row>
    <row r="190" spans="1:4" x14ac:dyDescent="0.25">
      <c r="A190" s="24" t="s">
        <v>39</v>
      </c>
      <c r="B190" s="25">
        <v>234</v>
      </c>
      <c r="C190" s="34">
        <v>44</v>
      </c>
      <c r="D190" s="25">
        <v>10296</v>
      </c>
    </row>
    <row r="191" spans="1:4" x14ac:dyDescent="0.25">
      <c r="A191" s="24" t="s">
        <v>30</v>
      </c>
      <c r="B191" s="25">
        <v>42.4</v>
      </c>
      <c r="C191" s="34">
        <v>2</v>
      </c>
      <c r="D191" s="25">
        <v>84.8</v>
      </c>
    </row>
    <row r="192" spans="1:4" x14ac:dyDescent="0.25">
      <c r="A192" s="19" t="s">
        <v>108</v>
      </c>
      <c r="B192" s="25"/>
      <c r="C192" s="34"/>
      <c r="D192" s="25"/>
    </row>
    <row r="193" spans="1:4" x14ac:dyDescent="0.25">
      <c r="A193" s="20" t="s">
        <v>49</v>
      </c>
      <c r="B193" s="25"/>
      <c r="C193" s="34"/>
      <c r="D193" s="25"/>
    </row>
    <row r="194" spans="1:4" x14ac:dyDescent="0.25">
      <c r="A194" s="24" t="s">
        <v>32</v>
      </c>
      <c r="B194" s="25">
        <v>648</v>
      </c>
      <c r="C194" s="34">
        <v>20</v>
      </c>
      <c r="D194" s="25">
        <v>12960</v>
      </c>
    </row>
    <row r="195" spans="1:4" x14ac:dyDescent="0.25">
      <c r="A195" s="19" t="s">
        <v>109</v>
      </c>
      <c r="B195" s="25"/>
      <c r="C195" s="34"/>
      <c r="D195" s="25"/>
    </row>
    <row r="196" spans="1:4" x14ac:dyDescent="0.25">
      <c r="A196" s="20" t="s">
        <v>49</v>
      </c>
      <c r="B196" s="25"/>
      <c r="C196" s="34"/>
      <c r="D196" s="25"/>
    </row>
    <row r="197" spans="1:4" x14ac:dyDescent="0.25">
      <c r="A197" s="24" t="s">
        <v>41</v>
      </c>
      <c r="B197" s="25">
        <v>300</v>
      </c>
      <c r="C197" s="34">
        <v>12</v>
      </c>
      <c r="D197" s="25">
        <v>3600</v>
      </c>
    </row>
    <row r="198" spans="1:4" x14ac:dyDescent="0.25">
      <c r="A198" s="24" t="s">
        <v>58</v>
      </c>
      <c r="B198" s="25">
        <v>18.600000000000001</v>
      </c>
      <c r="C198" s="34">
        <v>6</v>
      </c>
      <c r="D198" s="25">
        <v>111.60000000000001</v>
      </c>
    </row>
    <row r="199" spans="1:4" x14ac:dyDescent="0.25">
      <c r="A199" s="24" t="s">
        <v>45</v>
      </c>
      <c r="B199" s="25">
        <v>18</v>
      </c>
      <c r="C199" s="34">
        <v>10</v>
      </c>
      <c r="D199" s="25">
        <v>180</v>
      </c>
    </row>
    <row r="200" spans="1:4" x14ac:dyDescent="0.25">
      <c r="A200" s="24" t="s">
        <v>60</v>
      </c>
      <c r="B200" s="25">
        <v>87.75</v>
      </c>
      <c r="C200" s="34">
        <v>5</v>
      </c>
      <c r="D200" s="25">
        <v>438.75</v>
      </c>
    </row>
    <row r="201" spans="1:4" x14ac:dyDescent="0.25">
      <c r="A201" s="19" t="s">
        <v>110</v>
      </c>
      <c r="B201" s="25"/>
      <c r="C201" s="34"/>
      <c r="D201" s="25"/>
    </row>
    <row r="202" spans="1:4" x14ac:dyDescent="0.25">
      <c r="A202" s="20" t="s">
        <v>36</v>
      </c>
      <c r="B202" s="25"/>
      <c r="C202" s="34"/>
      <c r="D202" s="25"/>
    </row>
    <row r="203" spans="1:4" x14ac:dyDescent="0.25">
      <c r="A203" s="24" t="s">
        <v>41</v>
      </c>
      <c r="B203" s="25">
        <v>649.20000000000005</v>
      </c>
      <c r="C203" s="34">
        <v>54</v>
      </c>
      <c r="D203" s="25">
        <v>35056.800000000003</v>
      </c>
    </row>
    <row r="204" spans="1:4" x14ac:dyDescent="0.25">
      <c r="A204" s="24" t="s">
        <v>39</v>
      </c>
      <c r="B204" s="25">
        <v>276</v>
      </c>
      <c r="C204" s="34">
        <v>15</v>
      </c>
      <c r="D204" s="25">
        <v>4140</v>
      </c>
    </row>
    <row r="205" spans="1:4" x14ac:dyDescent="0.25">
      <c r="A205" s="24" t="s">
        <v>58</v>
      </c>
      <c r="B205" s="25">
        <v>18.600000000000001</v>
      </c>
      <c r="C205" s="34">
        <v>6</v>
      </c>
      <c r="D205" s="25">
        <v>111.60000000000001</v>
      </c>
    </row>
    <row r="206" spans="1:4" x14ac:dyDescent="0.25">
      <c r="A206" s="19" t="s">
        <v>111</v>
      </c>
      <c r="B206" s="25"/>
      <c r="C206" s="34"/>
      <c r="D206" s="25"/>
    </row>
    <row r="207" spans="1:4" x14ac:dyDescent="0.25">
      <c r="A207" s="20" t="s">
        <v>55</v>
      </c>
      <c r="B207" s="25"/>
      <c r="C207" s="34"/>
      <c r="D207" s="25"/>
    </row>
    <row r="208" spans="1:4" x14ac:dyDescent="0.25">
      <c r="A208" s="24" t="s">
        <v>45</v>
      </c>
      <c r="B208" s="25">
        <v>60.8</v>
      </c>
      <c r="C208" s="34">
        <v>4</v>
      </c>
      <c r="D208" s="25">
        <v>243.2</v>
      </c>
    </row>
    <row r="209" spans="1:4" x14ac:dyDescent="0.25">
      <c r="A209" s="19" t="s">
        <v>112</v>
      </c>
      <c r="B209" s="25"/>
      <c r="C209" s="34"/>
      <c r="D209" s="25"/>
    </row>
    <row r="210" spans="1:4" x14ac:dyDescent="0.25">
      <c r="A210" s="20" t="s">
        <v>33</v>
      </c>
      <c r="B210" s="25"/>
      <c r="C210" s="34"/>
      <c r="D210" s="25"/>
    </row>
    <row r="211" spans="1:4" x14ac:dyDescent="0.25">
      <c r="A211" s="24" t="s">
        <v>39</v>
      </c>
      <c r="B211" s="25">
        <v>216</v>
      </c>
      <c r="C211" s="34">
        <v>15</v>
      </c>
      <c r="D211" s="25">
        <v>3240</v>
      </c>
    </row>
    <row r="212" spans="1:4" x14ac:dyDescent="0.25">
      <c r="A212" s="24" t="s">
        <v>27</v>
      </c>
      <c r="B212" s="25">
        <v>309.3</v>
      </c>
      <c r="C212" s="34">
        <v>42</v>
      </c>
      <c r="D212" s="25">
        <v>12990.6</v>
      </c>
    </row>
    <row r="213" spans="1:4" x14ac:dyDescent="0.25">
      <c r="A213" s="19" t="s">
        <v>113</v>
      </c>
      <c r="B213" s="25"/>
      <c r="C213" s="34"/>
      <c r="D213" s="25"/>
    </row>
    <row r="214" spans="1:4" x14ac:dyDescent="0.25">
      <c r="A214" s="20" t="s">
        <v>28</v>
      </c>
      <c r="B214" s="25"/>
      <c r="C214" s="34"/>
      <c r="D214" s="25"/>
    </row>
    <row r="215" spans="1:4" x14ac:dyDescent="0.25">
      <c r="A215" s="24" t="s">
        <v>41</v>
      </c>
      <c r="B215" s="25">
        <v>432</v>
      </c>
      <c r="C215" s="34">
        <v>60</v>
      </c>
      <c r="D215" s="25">
        <v>25920</v>
      </c>
    </row>
    <row r="216" spans="1:4" x14ac:dyDescent="0.25">
      <c r="A216" s="24" t="s">
        <v>30</v>
      </c>
      <c r="B216" s="25">
        <v>278</v>
      </c>
      <c r="C216" s="34">
        <v>20</v>
      </c>
      <c r="D216" s="25">
        <v>5560</v>
      </c>
    </row>
    <row r="217" spans="1:4" x14ac:dyDescent="0.25">
      <c r="A217" s="19" t="s">
        <v>114</v>
      </c>
      <c r="B217" s="25"/>
      <c r="C217" s="34"/>
      <c r="D217" s="25"/>
    </row>
    <row r="218" spans="1:4" x14ac:dyDescent="0.25">
      <c r="A218" s="20" t="s">
        <v>33</v>
      </c>
      <c r="B218" s="25"/>
      <c r="C218" s="34"/>
      <c r="D218" s="25"/>
    </row>
    <row r="219" spans="1:4" x14ac:dyDescent="0.25">
      <c r="A219" s="24" t="s">
        <v>41</v>
      </c>
      <c r="B219" s="25">
        <v>304</v>
      </c>
      <c r="C219" s="34">
        <v>40</v>
      </c>
      <c r="D219" s="25">
        <v>12160</v>
      </c>
    </row>
    <row r="220" spans="1:4" x14ac:dyDescent="0.25">
      <c r="A220" s="24" t="s">
        <v>39</v>
      </c>
      <c r="B220" s="25">
        <v>304</v>
      </c>
      <c r="C220" s="34">
        <v>40</v>
      </c>
      <c r="D220" s="25">
        <v>12160</v>
      </c>
    </row>
    <row r="221" spans="1:4" x14ac:dyDescent="0.25">
      <c r="A221" s="24" t="s">
        <v>27</v>
      </c>
      <c r="B221" s="25">
        <v>660</v>
      </c>
      <c r="C221" s="34">
        <v>30</v>
      </c>
      <c r="D221" s="25">
        <v>19800</v>
      </c>
    </row>
    <row r="222" spans="1:4" x14ac:dyDescent="0.25">
      <c r="A222" s="24" t="s">
        <v>51</v>
      </c>
      <c r="B222" s="25">
        <v>295.5</v>
      </c>
      <c r="C222" s="34">
        <v>15</v>
      </c>
      <c r="D222" s="25">
        <v>4432.5</v>
      </c>
    </row>
    <row r="223" spans="1:4" x14ac:dyDescent="0.25">
      <c r="A223" s="19" t="s">
        <v>115</v>
      </c>
      <c r="B223" s="25"/>
      <c r="C223" s="34"/>
      <c r="D223" s="25"/>
    </row>
    <row r="224" spans="1:4" x14ac:dyDescent="0.25">
      <c r="A224" s="20" t="s">
        <v>36</v>
      </c>
      <c r="B224" s="25"/>
      <c r="C224" s="34"/>
      <c r="D224" s="25"/>
    </row>
    <row r="225" spans="1:4" x14ac:dyDescent="0.25">
      <c r="A225" s="24" t="s">
        <v>47</v>
      </c>
      <c r="B225" s="25">
        <v>120</v>
      </c>
      <c r="C225" s="34">
        <v>20</v>
      </c>
      <c r="D225" s="25">
        <v>2400</v>
      </c>
    </row>
    <row r="226" spans="1:4" x14ac:dyDescent="0.25">
      <c r="A226" s="24" t="s">
        <v>51</v>
      </c>
      <c r="B226" s="25">
        <v>54.75</v>
      </c>
      <c r="C226" s="34">
        <v>15</v>
      </c>
      <c r="D226" s="25">
        <v>821.25</v>
      </c>
    </row>
    <row r="227" spans="1:4" x14ac:dyDescent="0.25">
      <c r="A227" s="19" t="s">
        <v>116</v>
      </c>
      <c r="B227" s="25"/>
      <c r="C227" s="34"/>
      <c r="D227" s="25"/>
    </row>
    <row r="228" spans="1:4" x14ac:dyDescent="0.25">
      <c r="A228" s="20" t="s">
        <v>54</v>
      </c>
      <c r="B228" s="25"/>
      <c r="C228" s="34"/>
      <c r="D228" s="25"/>
    </row>
    <row r="229" spans="1:4" x14ac:dyDescent="0.25">
      <c r="A229" s="24" t="s">
        <v>41</v>
      </c>
      <c r="B229" s="25">
        <v>73.5</v>
      </c>
      <c r="C229" s="34">
        <v>10</v>
      </c>
      <c r="D229" s="25">
        <v>735</v>
      </c>
    </row>
    <row r="230" spans="1:4" x14ac:dyDescent="0.25">
      <c r="A230" s="24" t="s">
        <v>45</v>
      </c>
      <c r="B230" s="25">
        <v>304</v>
      </c>
      <c r="C230" s="34">
        <v>20</v>
      </c>
      <c r="D230" s="25">
        <v>6080</v>
      </c>
    </row>
    <row r="231" spans="1:4" x14ac:dyDescent="0.25">
      <c r="A231" s="20" t="s">
        <v>55</v>
      </c>
      <c r="B231" s="25"/>
      <c r="C231" s="34"/>
      <c r="D231" s="25"/>
    </row>
    <row r="232" spans="1:4" x14ac:dyDescent="0.25">
      <c r="A232" s="24" t="s">
        <v>30</v>
      </c>
      <c r="B232" s="25">
        <v>204</v>
      </c>
      <c r="C232" s="34">
        <v>30</v>
      </c>
      <c r="D232" s="25">
        <v>6120</v>
      </c>
    </row>
    <row r="233" spans="1:4" x14ac:dyDescent="0.25">
      <c r="A233" s="24" t="s">
        <v>32</v>
      </c>
      <c r="B233" s="25">
        <v>100</v>
      </c>
      <c r="C233" s="34">
        <v>20</v>
      </c>
      <c r="D233" s="25">
        <v>2000</v>
      </c>
    </row>
    <row r="234" spans="1:4" x14ac:dyDescent="0.25">
      <c r="A234" s="19" t="s">
        <v>117</v>
      </c>
      <c r="B234" s="25"/>
      <c r="C234" s="34"/>
      <c r="D234" s="25"/>
    </row>
    <row r="235" spans="1:4" x14ac:dyDescent="0.25">
      <c r="A235" s="20" t="s">
        <v>36</v>
      </c>
      <c r="B235" s="25"/>
      <c r="C235" s="34"/>
      <c r="D235" s="25"/>
    </row>
    <row r="236" spans="1:4" x14ac:dyDescent="0.25">
      <c r="A236" s="24" t="s">
        <v>41</v>
      </c>
      <c r="B236" s="25">
        <v>624</v>
      </c>
      <c r="C236" s="34">
        <v>40</v>
      </c>
      <c r="D236" s="25">
        <v>24960</v>
      </c>
    </row>
    <row r="237" spans="1:4" x14ac:dyDescent="0.25">
      <c r="A237" s="24" t="s">
        <v>39</v>
      </c>
      <c r="B237" s="25">
        <v>220.8</v>
      </c>
      <c r="C237" s="34">
        <v>12</v>
      </c>
      <c r="D237" s="25">
        <v>2649.6000000000004</v>
      </c>
    </row>
    <row r="238" spans="1:4" x14ac:dyDescent="0.25">
      <c r="A238" s="24" t="s">
        <v>58</v>
      </c>
      <c r="B238" s="25">
        <v>509.6</v>
      </c>
      <c r="C238" s="34">
        <v>28</v>
      </c>
      <c r="D238" s="25">
        <v>14268.800000000001</v>
      </c>
    </row>
    <row r="239" spans="1:4" x14ac:dyDescent="0.25">
      <c r="A239" s="19" t="s">
        <v>118</v>
      </c>
      <c r="B239" s="25"/>
      <c r="C239" s="34"/>
      <c r="D239" s="25"/>
    </row>
    <row r="240" spans="1:4" x14ac:dyDescent="0.25">
      <c r="A240" s="20" t="s">
        <v>61</v>
      </c>
      <c r="B240" s="25"/>
      <c r="C240" s="34"/>
      <c r="D240" s="25"/>
    </row>
    <row r="241" spans="1:4" x14ac:dyDescent="0.25">
      <c r="A241" s="24" t="s">
        <v>41</v>
      </c>
      <c r="B241" s="25">
        <v>294</v>
      </c>
      <c r="C241" s="34">
        <v>40</v>
      </c>
      <c r="D241" s="25">
        <v>11760</v>
      </c>
    </row>
    <row r="242" spans="1:4" x14ac:dyDescent="0.25">
      <c r="A242" s="24" t="s">
        <v>30</v>
      </c>
      <c r="B242" s="25">
        <v>252</v>
      </c>
      <c r="C242" s="34">
        <v>30</v>
      </c>
      <c r="D242" s="25">
        <v>7560</v>
      </c>
    </row>
    <row r="243" spans="1:4" x14ac:dyDescent="0.25">
      <c r="A243" s="24" t="s">
        <v>32</v>
      </c>
      <c r="B243" s="25">
        <v>75</v>
      </c>
      <c r="C243" s="34">
        <v>15</v>
      </c>
      <c r="D243" s="25">
        <v>1125</v>
      </c>
    </row>
    <row r="244" spans="1:4" x14ac:dyDescent="0.25">
      <c r="A244" s="19" t="s">
        <v>119</v>
      </c>
      <c r="B244" s="25"/>
      <c r="C244" s="34"/>
      <c r="D244" s="25"/>
    </row>
    <row r="245" spans="1:4" x14ac:dyDescent="0.25">
      <c r="A245" s="20" t="s">
        <v>49</v>
      </c>
      <c r="B245" s="25"/>
      <c r="C245" s="34"/>
      <c r="D245" s="25"/>
    </row>
    <row r="246" spans="1:4" x14ac:dyDescent="0.25">
      <c r="A246" s="24" t="s">
        <v>43</v>
      </c>
      <c r="B246" s="25">
        <v>17.2</v>
      </c>
      <c r="C246" s="34">
        <v>2</v>
      </c>
      <c r="D246" s="25">
        <v>34.4</v>
      </c>
    </row>
    <row r="247" spans="1:4" x14ac:dyDescent="0.25">
      <c r="A247" s="24" t="s">
        <v>30</v>
      </c>
      <c r="B247" s="25">
        <v>240</v>
      </c>
      <c r="C247" s="34">
        <v>30</v>
      </c>
      <c r="D247" s="25">
        <v>7200</v>
      </c>
    </row>
    <row r="248" spans="1:4" x14ac:dyDescent="0.25">
      <c r="A248" s="24" t="s">
        <v>27</v>
      </c>
      <c r="B248" s="25">
        <v>220</v>
      </c>
      <c r="C248" s="34">
        <v>10</v>
      </c>
      <c r="D248" s="25">
        <v>2200</v>
      </c>
    </row>
    <row r="249" spans="1:4" x14ac:dyDescent="0.25">
      <c r="A249" s="19" t="s">
        <v>120</v>
      </c>
      <c r="B249" s="25"/>
      <c r="C249" s="34"/>
      <c r="D249" s="25"/>
    </row>
    <row r="250" spans="1:4" x14ac:dyDescent="0.25">
      <c r="A250" s="20" t="s">
        <v>54</v>
      </c>
      <c r="B250" s="25"/>
      <c r="C250" s="34"/>
      <c r="D250" s="25"/>
    </row>
    <row r="251" spans="1:4" x14ac:dyDescent="0.25">
      <c r="A251" s="24" t="s">
        <v>41</v>
      </c>
      <c r="B251" s="25">
        <v>841</v>
      </c>
      <c r="C251" s="34">
        <v>55</v>
      </c>
      <c r="D251" s="25">
        <v>46255</v>
      </c>
    </row>
    <row r="252" spans="1:4" x14ac:dyDescent="0.25">
      <c r="A252" s="24" t="s">
        <v>57</v>
      </c>
      <c r="B252" s="25">
        <v>1237.5</v>
      </c>
      <c r="C252" s="34">
        <v>25</v>
      </c>
      <c r="D252" s="25">
        <v>30937.5</v>
      </c>
    </row>
    <row r="253" spans="1:4" x14ac:dyDescent="0.25">
      <c r="A253" s="19" t="s">
        <v>121</v>
      </c>
      <c r="B253" s="25"/>
      <c r="C253" s="34"/>
      <c r="D253" s="25"/>
    </row>
    <row r="254" spans="1:4" x14ac:dyDescent="0.25">
      <c r="A254" s="20" t="s">
        <v>49</v>
      </c>
      <c r="B254" s="25"/>
      <c r="C254" s="34"/>
      <c r="D254" s="25"/>
    </row>
    <row r="255" spans="1:4" x14ac:dyDescent="0.25">
      <c r="A255" s="24" t="s">
        <v>47</v>
      </c>
      <c r="B255" s="25">
        <v>103.5</v>
      </c>
      <c r="C255" s="34">
        <v>10</v>
      </c>
      <c r="D255" s="25">
        <v>1035</v>
      </c>
    </row>
    <row r="256" spans="1:4" x14ac:dyDescent="0.25">
      <c r="A256" s="24" t="s">
        <v>27</v>
      </c>
      <c r="B256" s="25">
        <v>131</v>
      </c>
      <c r="C256" s="34">
        <v>10</v>
      </c>
      <c r="D256" s="25">
        <v>1310</v>
      </c>
    </row>
    <row r="257" spans="1:4" x14ac:dyDescent="0.25">
      <c r="A257" s="24" t="s">
        <v>57</v>
      </c>
      <c r="B257" s="25">
        <v>14.75</v>
      </c>
      <c r="C257" s="34">
        <v>5</v>
      </c>
      <c r="D257" s="25">
        <v>73.75</v>
      </c>
    </row>
    <row r="258" spans="1:4" x14ac:dyDescent="0.25">
      <c r="A258" s="19" t="s">
        <v>122</v>
      </c>
      <c r="B258" s="25"/>
      <c r="C258" s="34"/>
      <c r="D258" s="25"/>
    </row>
    <row r="259" spans="1:4" x14ac:dyDescent="0.25">
      <c r="A259" s="20" t="s">
        <v>55</v>
      </c>
      <c r="B259" s="25"/>
      <c r="C259" s="34"/>
      <c r="D259" s="25"/>
    </row>
    <row r="260" spans="1:4" x14ac:dyDescent="0.25">
      <c r="A260" s="24" t="s">
        <v>32</v>
      </c>
      <c r="B260" s="25">
        <v>15</v>
      </c>
      <c r="C260" s="34">
        <v>3</v>
      </c>
      <c r="D260" s="25">
        <v>45</v>
      </c>
    </row>
    <row r="261" spans="1:4" x14ac:dyDescent="0.25">
      <c r="A261" s="24" t="s">
        <v>51</v>
      </c>
      <c r="B261" s="25">
        <v>197</v>
      </c>
      <c r="C261" s="34">
        <v>10</v>
      </c>
      <c r="D261" s="25">
        <v>1970</v>
      </c>
    </row>
    <row r="262" spans="1:4" x14ac:dyDescent="0.25">
      <c r="A262" s="19" t="s">
        <v>123</v>
      </c>
      <c r="B262" s="25"/>
      <c r="C262" s="34"/>
      <c r="D262" s="25"/>
    </row>
    <row r="263" spans="1:4" x14ac:dyDescent="0.25">
      <c r="A263" s="20" t="s">
        <v>61</v>
      </c>
      <c r="B263" s="25"/>
      <c r="C263" s="34"/>
      <c r="D263" s="25"/>
    </row>
    <row r="264" spans="1:4" x14ac:dyDescent="0.25">
      <c r="A264" s="24" t="s">
        <v>39</v>
      </c>
      <c r="B264" s="25">
        <v>14.4</v>
      </c>
      <c r="C264" s="34">
        <v>1</v>
      </c>
      <c r="D264" s="25">
        <v>14.4</v>
      </c>
    </row>
    <row r="265" spans="1:4" x14ac:dyDescent="0.25">
      <c r="A265" s="24" t="s">
        <v>47</v>
      </c>
      <c r="B265" s="25">
        <v>30</v>
      </c>
      <c r="C265" s="34">
        <v>5</v>
      </c>
      <c r="D265" s="25">
        <v>150</v>
      </c>
    </row>
    <row r="266" spans="1:4" x14ac:dyDescent="0.25">
      <c r="A266" s="19" t="s">
        <v>124</v>
      </c>
      <c r="B266" s="25"/>
      <c r="C266" s="34"/>
      <c r="D266" s="25"/>
    </row>
    <row r="267" spans="1:4" x14ac:dyDescent="0.25">
      <c r="A267" s="20" t="s">
        <v>37</v>
      </c>
      <c r="B267" s="25"/>
      <c r="C267" s="34"/>
      <c r="D267" s="25"/>
    </row>
    <row r="268" spans="1:4" x14ac:dyDescent="0.25">
      <c r="A268" s="24" t="s">
        <v>41</v>
      </c>
      <c r="B268" s="25">
        <v>176</v>
      </c>
      <c r="C268" s="34">
        <v>20</v>
      </c>
      <c r="D268" s="25">
        <v>3520</v>
      </c>
    </row>
    <row r="269" spans="1:4" x14ac:dyDescent="0.25">
      <c r="A269" s="24" t="s">
        <v>43</v>
      </c>
      <c r="B269" s="25">
        <v>25.8</v>
      </c>
      <c r="C269" s="34">
        <v>3</v>
      </c>
      <c r="D269" s="25">
        <v>77.400000000000006</v>
      </c>
    </row>
    <row r="270" spans="1:4" x14ac:dyDescent="0.25">
      <c r="A270" s="24" t="s">
        <v>39</v>
      </c>
      <c r="B270" s="25">
        <v>368</v>
      </c>
      <c r="C270" s="34">
        <v>20</v>
      </c>
      <c r="D270" s="25">
        <v>7360</v>
      </c>
    </row>
    <row r="271" spans="1:4" x14ac:dyDescent="0.25">
      <c r="A271" s="24" t="s">
        <v>45</v>
      </c>
      <c r="B271" s="25">
        <v>300</v>
      </c>
      <c r="C271" s="34">
        <v>30</v>
      </c>
      <c r="D271" s="25">
        <v>9000</v>
      </c>
    </row>
    <row r="272" spans="1:4" x14ac:dyDescent="0.25">
      <c r="A272" s="24" t="s">
        <v>32</v>
      </c>
      <c r="B272" s="25">
        <v>11.2</v>
      </c>
      <c r="C272" s="34">
        <v>2</v>
      </c>
      <c r="D272" s="25">
        <v>22.4</v>
      </c>
    </row>
    <row r="273" spans="1:4" x14ac:dyDescent="0.25">
      <c r="A273" s="19" t="s">
        <v>125</v>
      </c>
      <c r="B273" s="25"/>
      <c r="C273" s="34"/>
      <c r="D273" s="25"/>
    </row>
    <row r="274" spans="1:4" x14ac:dyDescent="0.25">
      <c r="A274" s="20" t="s">
        <v>54</v>
      </c>
      <c r="B274" s="25"/>
      <c r="C274" s="34"/>
      <c r="D274" s="25"/>
    </row>
    <row r="275" spans="1:4" x14ac:dyDescent="0.25">
      <c r="A275" s="24" t="s">
        <v>27</v>
      </c>
      <c r="B275" s="25">
        <v>69.5</v>
      </c>
      <c r="C275" s="34">
        <v>10</v>
      </c>
      <c r="D275" s="25">
        <v>695</v>
      </c>
    </row>
    <row r="276" spans="1:4" x14ac:dyDescent="0.25">
      <c r="A276" s="24" t="s">
        <v>51</v>
      </c>
      <c r="B276" s="25">
        <v>98.5</v>
      </c>
      <c r="C276" s="34">
        <v>5</v>
      </c>
      <c r="D276" s="25">
        <v>492.5</v>
      </c>
    </row>
    <row r="277" spans="1:4" x14ac:dyDescent="0.25">
      <c r="A277" s="20" t="s">
        <v>49</v>
      </c>
      <c r="B277" s="25"/>
      <c r="C277" s="34"/>
      <c r="D277" s="25"/>
    </row>
    <row r="278" spans="1:4" x14ac:dyDescent="0.25">
      <c r="A278" s="24" t="s">
        <v>39</v>
      </c>
      <c r="B278" s="25">
        <v>100.8</v>
      </c>
      <c r="C278" s="34">
        <v>7</v>
      </c>
      <c r="D278" s="25">
        <v>705.6</v>
      </c>
    </row>
    <row r="279" spans="1:4" x14ac:dyDescent="0.25">
      <c r="A279" s="24" t="s">
        <v>32</v>
      </c>
      <c r="B279" s="25">
        <v>33.6</v>
      </c>
      <c r="C279" s="34">
        <v>6</v>
      </c>
      <c r="D279" s="25">
        <v>201.60000000000002</v>
      </c>
    </row>
    <row r="280" spans="1:4" x14ac:dyDescent="0.25">
      <c r="A280" s="19" t="s">
        <v>126</v>
      </c>
      <c r="B280" s="25"/>
      <c r="C280" s="34"/>
      <c r="D280" s="25"/>
    </row>
    <row r="281" spans="1:4" x14ac:dyDescent="0.25">
      <c r="A281" s="20" t="s">
        <v>55</v>
      </c>
      <c r="B281" s="25"/>
      <c r="C281" s="34"/>
      <c r="D281" s="25"/>
    </row>
    <row r="282" spans="1:4" x14ac:dyDescent="0.25">
      <c r="A282" s="24" t="s">
        <v>39</v>
      </c>
      <c r="B282" s="25">
        <v>441.6</v>
      </c>
      <c r="C282" s="34">
        <v>24</v>
      </c>
      <c r="D282" s="25">
        <v>10598.400000000001</v>
      </c>
    </row>
    <row r="283" spans="1:4" x14ac:dyDescent="0.25">
      <c r="A283" s="24" t="s">
        <v>27</v>
      </c>
      <c r="B283" s="25">
        <v>262</v>
      </c>
      <c r="C283" s="34">
        <v>20</v>
      </c>
      <c r="D283" s="25">
        <v>5240</v>
      </c>
    </row>
    <row r="284" spans="1:4" x14ac:dyDescent="0.25">
      <c r="A284" s="24" t="s">
        <v>58</v>
      </c>
      <c r="B284" s="25">
        <v>103.8</v>
      </c>
      <c r="C284" s="34">
        <v>14</v>
      </c>
      <c r="D284" s="25">
        <v>1453.2</v>
      </c>
    </row>
    <row r="285" spans="1:4" x14ac:dyDescent="0.25">
      <c r="A285" s="19" t="s">
        <v>127</v>
      </c>
      <c r="B285" s="25"/>
      <c r="C285" s="34"/>
      <c r="D285" s="25"/>
    </row>
    <row r="286" spans="1:4" x14ac:dyDescent="0.25">
      <c r="A286" s="20" t="s">
        <v>55</v>
      </c>
      <c r="B286" s="25"/>
      <c r="C286" s="34"/>
      <c r="D286" s="25"/>
    </row>
    <row r="287" spans="1:4" x14ac:dyDescent="0.25">
      <c r="A287" s="24" t="s">
        <v>39</v>
      </c>
      <c r="B287" s="25">
        <v>91.2</v>
      </c>
      <c r="C287" s="34">
        <v>12</v>
      </c>
      <c r="D287" s="25">
        <v>1094.4000000000001</v>
      </c>
    </row>
    <row r="288" spans="1:4" x14ac:dyDescent="0.25">
      <c r="A288" s="19" t="s">
        <v>128</v>
      </c>
      <c r="B288" s="25"/>
      <c r="C288" s="34"/>
      <c r="D288" s="25"/>
    </row>
    <row r="289" spans="1:4" x14ac:dyDescent="0.25">
      <c r="A289" s="20" t="s">
        <v>49</v>
      </c>
      <c r="B289" s="25"/>
      <c r="C289" s="34"/>
      <c r="D289" s="25"/>
    </row>
    <row r="290" spans="1:4" x14ac:dyDescent="0.25">
      <c r="A290" s="24" t="s">
        <v>43</v>
      </c>
      <c r="B290" s="25">
        <v>159</v>
      </c>
      <c r="C290" s="34">
        <v>30</v>
      </c>
      <c r="D290" s="25">
        <v>4770</v>
      </c>
    </row>
    <row r="291" spans="1:4" x14ac:dyDescent="0.25">
      <c r="A291" s="24" t="s">
        <v>30</v>
      </c>
      <c r="B291" s="25">
        <v>512</v>
      </c>
      <c r="C291" s="34">
        <v>40</v>
      </c>
      <c r="D291" s="25">
        <v>20480</v>
      </c>
    </row>
    <row r="292" spans="1:4" x14ac:dyDescent="0.25">
      <c r="A292" s="24" t="s">
        <v>51</v>
      </c>
      <c r="B292" s="25">
        <v>492.5</v>
      </c>
      <c r="C292" s="34">
        <v>25</v>
      </c>
      <c r="D292" s="25">
        <v>12312.5</v>
      </c>
    </row>
    <row r="293" spans="1:4" x14ac:dyDescent="0.25">
      <c r="A293" s="19" t="s">
        <v>129</v>
      </c>
      <c r="B293" s="25"/>
      <c r="C293" s="34"/>
      <c r="D293" s="25"/>
    </row>
    <row r="294" spans="1:4" x14ac:dyDescent="0.25">
      <c r="A294" s="20" t="s">
        <v>36</v>
      </c>
      <c r="B294" s="25"/>
      <c r="C294" s="34"/>
      <c r="D294" s="25"/>
    </row>
    <row r="295" spans="1:4" x14ac:dyDescent="0.25">
      <c r="A295" s="24" t="s">
        <v>47</v>
      </c>
      <c r="B295" s="25">
        <v>180</v>
      </c>
      <c r="C295" s="34">
        <v>30</v>
      </c>
      <c r="D295" s="25">
        <v>5400</v>
      </c>
    </row>
    <row r="296" spans="1:4" x14ac:dyDescent="0.25">
      <c r="A296" s="24" t="s">
        <v>58</v>
      </c>
      <c r="B296" s="25">
        <v>78.400000000000006</v>
      </c>
      <c r="C296" s="34">
        <v>14</v>
      </c>
      <c r="D296" s="25">
        <v>1097.6000000000001</v>
      </c>
    </row>
    <row r="297" spans="1:4" x14ac:dyDescent="0.25">
      <c r="A297" s="19" t="s">
        <v>130</v>
      </c>
      <c r="B297" s="25"/>
      <c r="C297" s="34"/>
      <c r="D297" s="25"/>
    </row>
    <row r="298" spans="1:4" x14ac:dyDescent="0.25">
      <c r="A298" s="20" t="s">
        <v>49</v>
      </c>
      <c r="B298" s="25"/>
      <c r="C298" s="34"/>
      <c r="D298" s="25"/>
    </row>
    <row r="299" spans="1:4" x14ac:dyDescent="0.25">
      <c r="A299" s="24" t="s">
        <v>39</v>
      </c>
      <c r="B299" s="25">
        <v>38.5</v>
      </c>
      <c r="C299" s="34">
        <v>10</v>
      </c>
      <c r="D299" s="25">
        <v>385</v>
      </c>
    </row>
    <row r="300" spans="1:4" x14ac:dyDescent="0.25">
      <c r="A300" s="24" t="s">
        <v>51</v>
      </c>
      <c r="B300" s="25">
        <v>1379</v>
      </c>
      <c r="C300" s="34">
        <v>70</v>
      </c>
      <c r="D300" s="25">
        <v>96530</v>
      </c>
    </row>
    <row r="301" spans="1:4" x14ac:dyDescent="0.25">
      <c r="A301" s="19" t="s">
        <v>131</v>
      </c>
      <c r="B301" s="25"/>
      <c r="C301" s="34"/>
      <c r="D301" s="25"/>
    </row>
    <row r="302" spans="1:4" x14ac:dyDescent="0.25">
      <c r="A302" s="20" t="s">
        <v>33</v>
      </c>
      <c r="B302" s="25"/>
      <c r="C302" s="34"/>
      <c r="D302" s="25"/>
    </row>
    <row r="303" spans="1:4" x14ac:dyDescent="0.25">
      <c r="A303" s="24" t="s">
        <v>41</v>
      </c>
      <c r="B303" s="25">
        <v>144</v>
      </c>
      <c r="C303" s="34">
        <v>20</v>
      </c>
      <c r="D303" s="25">
        <v>2880</v>
      </c>
    </row>
    <row r="304" spans="1:4" x14ac:dyDescent="0.25">
      <c r="A304" s="19" t="s">
        <v>132</v>
      </c>
      <c r="B304" s="25"/>
      <c r="C304" s="34"/>
      <c r="D304" s="25"/>
    </row>
    <row r="305" spans="1:4" x14ac:dyDescent="0.25">
      <c r="A305" s="20" t="s">
        <v>54</v>
      </c>
      <c r="B305" s="25"/>
      <c r="C305" s="34"/>
      <c r="D305" s="25"/>
    </row>
    <row r="306" spans="1:4" x14ac:dyDescent="0.25">
      <c r="A306" s="24" t="s">
        <v>39</v>
      </c>
      <c r="B306" s="25">
        <v>120.2</v>
      </c>
      <c r="C306" s="34">
        <v>26</v>
      </c>
      <c r="D306" s="25">
        <v>3125.2000000000003</v>
      </c>
    </row>
    <row r="307" spans="1:4" x14ac:dyDescent="0.25">
      <c r="A307" s="19" t="s">
        <v>133</v>
      </c>
      <c r="B307" s="25"/>
      <c r="C307" s="34"/>
      <c r="D307" s="25"/>
    </row>
    <row r="308" spans="1:4" x14ac:dyDescent="0.25">
      <c r="A308" s="20" t="s">
        <v>61</v>
      </c>
      <c r="B308" s="25"/>
      <c r="C308" s="34"/>
      <c r="D308" s="25"/>
    </row>
    <row r="309" spans="1:4" x14ac:dyDescent="0.25">
      <c r="A309" s="24" t="s">
        <v>41</v>
      </c>
      <c r="B309" s="25">
        <v>124.8</v>
      </c>
      <c r="C309" s="34">
        <v>8</v>
      </c>
      <c r="D309" s="25">
        <v>998.4</v>
      </c>
    </row>
    <row r="310" spans="1:4" x14ac:dyDescent="0.25">
      <c r="A310" s="24" t="s">
        <v>39</v>
      </c>
      <c r="B310" s="25">
        <v>216</v>
      </c>
      <c r="C310" s="34">
        <v>30</v>
      </c>
      <c r="D310" s="25">
        <v>6480</v>
      </c>
    </row>
    <row r="311" spans="1:4" x14ac:dyDescent="0.25">
      <c r="A311" s="24" t="s">
        <v>58</v>
      </c>
      <c r="B311" s="25">
        <v>254.8</v>
      </c>
      <c r="C311" s="34">
        <v>14</v>
      </c>
      <c r="D311" s="25">
        <v>3567.2000000000003</v>
      </c>
    </row>
    <row r="312" spans="1:4" x14ac:dyDescent="0.25">
      <c r="A312" s="19" t="s">
        <v>134</v>
      </c>
      <c r="B312" s="25"/>
      <c r="C312" s="34"/>
      <c r="D312" s="25"/>
    </row>
    <row r="313" spans="1:4" x14ac:dyDescent="0.25">
      <c r="A313" s="20" t="s">
        <v>28</v>
      </c>
      <c r="B313" s="25"/>
      <c r="C313" s="34"/>
      <c r="D313" s="25"/>
    </row>
    <row r="314" spans="1:4" x14ac:dyDescent="0.25">
      <c r="A314" s="24" t="s">
        <v>43</v>
      </c>
      <c r="B314" s="25">
        <v>258</v>
      </c>
      <c r="C314" s="34">
        <v>30</v>
      </c>
      <c r="D314" s="25">
        <v>7740</v>
      </c>
    </row>
    <row r="315" spans="1:4" x14ac:dyDescent="0.25">
      <c r="A315" s="20" t="s">
        <v>37</v>
      </c>
      <c r="B315" s="25"/>
      <c r="C315" s="34"/>
      <c r="D315" s="25"/>
    </row>
    <row r="316" spans="1:4" x14ac:dyDescent="0.25">
      <c r="A316" s="24" t="s">
        <v>51</v>
      </c>
      <c r="B316" s="25">
        <v>72</v>
      </c>
      <c r="C316" s="34">
        <v>10</v>
      </c>
      <c r="D316" s="25">
        <v>720</v>
      </c>
    </row>
    <row r="317" spans="1:4" x14ac:dyDescent="0.25">
      <c r="A317" s="19" t="s">
        <v>135</v>
      </c>
      <c r="B317" s="25"/>
      <c r="C317" s="34"/>
      <c r="D317" s="25"/>
    </row>
    <row r="318" spans="1:4" x14ac:dyDescent="0.25">
      <c r="A318" s="20" t="s">
        <v>61</v>
      </c>
      <c r="B318" s="25"/>
      <c r="C318" s="34"/>
      <c r="D318" s="25"/>
    </row>
    <row r="319" spans="1:4" x14ac:dyDescent="0.25">
      <c r="A319" s="24" t="s">
        <v>43</v>
      </c>
      <c r="B319" s="25">
        <v>56</v>
      </c>
      <c r="C319" s="34">
        <v>20</v>
      </c>
      <c r="D319" s="25">
        <v>1120</v>
      </c>
    </row>
    <row r="320" spans="1:4" x14ac:dyDescent="0.25">
      <c r="A320" s="19" t="s">
        <v>136</v>
      </c>
      <c r="B320" s="25"/>
      <c r="C320" s="34"/>
      <c r="D320" s="25"/>
    </row>
    <row r="321" spans="1:4" x14ac:dyDescent="0.25">
      <c r="A321" s="20" t="s">
        <v>36</v>
      </c>
      <c r="B321" s="25"/>
      <c r="C321" s="34"/>
      <c r="D321" s="25"/>
    </row>
    <row r="322" spans="1:4" x14ac:dyDescent="0.25">
      <c r="A322" s="24" t="s">
        <v>41</v>
      </c>
      <c r="B322" s="25">
        <v>28.8</v>
      </c>
      <c r="C322" s="34">
        <v>4</v>
      </c>
      <c r="D322" s="25">
        <v>115.2</v>
      </c>
    </row>
    <row r="323" spans="1:4" x14ac:dyDescent="0.25">
      <c r="A323" s="24" t="s">
        <v>43</v>
      </c>
      <c r="B323" s="25">
        <v>31</v>
      </c>
      <c r="C323" s="34">
        <v>5</v>
      </c>
      <c r="D323" s="25">
        <v>155</v>
      </c>
    </row>
    <row r="324" spans="1:4" x14ac:dyDescent="0.25">
      <c r="A324" s="24" t="s">
        <v>47</v>
      </c>
      <c r="B324" s="25">
        <v>22.4</v>
      </c>
      <c r="C324" s="34">
        <v>4</v>
      </c>
      <c r="D324" s="25">
        <v>89.6</v>
      </c>
    </row>
    <row r="325" spans="1:4" x14ac:dyDescent="0.25">
      <c r="A325" s="19" t="s">
        <v>137</v>
      </c>
      <c r="B325" s="25"/>
      <c r="C325" s="34"/>
      <c r="D325" s="25"/>
    </row>
    <row r="326" spans="1:4" x14ac:dyDescent="0.25">
      <c r="A326" s="20" t="s">
        <v>36</v>
      </c>
      <c r="B326" s="25"/>
      <c r="C326" s="34"/>
      <c r="D326" s="25"/>
    </row>
    <row r="327" spans="1:4" x14ac:dyDescent="0.25">
      <c r="A327" s="24" t="s">
        <v>68</v>
      </c>
      <c r="B327" s="25">
        <v>1500000</v>
      </c>
      <c r="C327" s="34">
        <v>1</v>
      </c>
      <c r="D327" s="25">
        <v>1500000</v>
      </c>
    </row>
    <row r="328" spans="1:4" x14ac:dyDescent="0.25">
      <c r="A328" s="19" t="s">
        <v>66</v>
      </c>
      <c r="B328" s="25">
        <v>1544198.2</v>
      </c>
      <c r="C328" s="34">
        <v>4114</v>
      </c>
      <c r="D328" s="25">
        <v>6352831394.8000002</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F554C-2B11-45BE-8A80-655F9C53C530}">
  <sheetPr>
    <tabColor theme="9" tint="0.79998168889431442"/>
  </sheetPr>
  <dimension ref="A1:G201"/>
  <sheetViews>
    <sheetView zoomScale="110" zoomScaleNormal="110" workbookViewId="0">
      <selection activeCell="D14" sqref="D14"/>
    </sheetView>
  </sheetViews>
  <sheetFormatPr baseColWidth="10" defaultColWidth="11.5703125" defaultRowHeight="15" x14ac:dyDescent="0.25"/>
  <cols>
    <col min="1" max="1" width="15.140625" style="14" bestFit="1" customWidth="1"/>
    <col min="2" max="2" width="14.85546875" style="15" customWidth="1"/>
    <col min="3" max="3" width="21.28515625" style="10" customWidth="1"/>
    <col min="4" max="4" width="11.42578125" style="16" customWidth="1"/>
    <col min="5" max="5" width="12.85546875" style="10" customWidth="1"/>
    <col min="6" max="6" width="19.140625" style="10" customWidth="1"/>
    <col min="7" max="7" width="4.28515625" style="10" customWidth="1"/>
    <col min="8" max="16384" width="11.5703125" style="10"/>
  </cols>
  <sheetData>
    <row r="1" spans="1:7" ht="31.5" customHeight="1" x14ac:dyDescent="0.25">
      <c r="A1" s="5" t="s">
        <v>23</v>
      </c>
      <c r="B1" s="6" t="s">
        <v>63</v>
      </c>
      <c r="C1" s="4" t="s">
        <v>24</v>
      </c>
      <c r="D1" s="7" t="s">
        <v>146</v>
      </c>
      <c r="E1" s="8" t="s">
        <v>62</v>
      </c>
      <c r="F1" s="4" t="s">
        <v>25</v>
      </c>
      <c r="G1" s="9"/>
    </row>
    <row r="2" spans="1:7" x14ac:dyDescent="0.25">
      <c r="A2" s="11">
        <v>45456</v>
      </c>
      <c r="B2" s="12" t="s">
        <v>26</v>
      </c>
      <c r="C2" s="9" t="s">
        <v>27</v>
      </c>
      <c r="D2" s="13">
        <v>16.5</v>
      </c>
      <c r="E2" s="9">
        <v>12</v>
      </c>
      <c r="F2" s="9" t="s">
        <v>28</v>
      </c>
      <c r="G2" s="9"/>
    </row>
    <row r="3" spans="1:7" x14ac:dyDescent="0.25">
      <c r="A3" s="11">
        <v>45456</v>
      </c>
      <c r="B3" s="12" t="s">
        <v>29</v>
      </c>
      <c r="C3" s="9" t="s">
        <v>30</v>
      </c>
      <c r="D3" s="13">
        <v>8.5</v>
      </c>
      <c r="E3" s="9">
        <v>5</v>
      </c>
      <c r="F3" s="9" t="s">
        <v>28</v>
      </c>
      <c r="G3" s="9"/>
    </row>
    <row r="4" spans="1:7" x14ac:dyDescent="0.25">
      <c r="A4" s="11">
        <v>45456</v>
      </c>
      <c r="B4" s="12" t="s">
        <v>31</v>
      </c>
      <c r="C4" s="9" t="s">
        <v>32</v>
      </c>
      <c r="D4" s="13">
        <v>8.4</v>
      </c>
      <c r="E4" s="9">
        <v>10</v>
      </c>
      <c r="F4" s="9" t="s">
        <v>28</v>
      </c>
      <c r="G4" s="9"/>
    </row>
    <row r="5" spans="1:7" x14ac:dyDescent="0.25">
      <c r="A5" s="11">
        <v>45457</v>
      </c>
      <c r="B5" s="12" t="s">
        <v>29</v>
      </c>
      <c r="C5" s="9" t="s">
        <v>30</v>
      </c>
      <c r="D5" s="13">
        <v>8.5</v>
      </c>
      <c r="E5" s="9">
        <v>40</v>
      </c>
      <c r="F5" s="9" t="s">
        <v>33</v>
      </c>
      <c r="G5" s="9"/>
    </row>
    <row r="6" spans="1:7" x14ac:dyDescent="0.25">
      <c r="A6" s="11">
        <v>45457</v>
      </c>
      <c r="B6" s="12" t="s">
        <v>34</v>
      </c>
      <c r="C6" s="9" t="s">
        <v>35</v>
      </c>
      <c r="D6" s="13">
        <v>180</v>
      </c>
      <c r="E6" s="9">
        <v>3</v>
      </c>
      <c r="F6" s="9" t="s">
        <v>33</v>
      </c>
      <c r="G6" s="9"/>
    </row>
    <row r="7" spans="1:7" x14ac:dyDescent="0.25">
      <c r="A7" s="11">
        <v>45457</v>
      </c>
      <c r="B7" s="12" t="s">
        <v>34</v>
      </c>
      <c r="C7" s="9" t="s">
        <v>35</v>
      </c>
      <c r="D7" s="13">
        <v>180</v>
      </c>
      <c r="E7" s="9">
        <v>9</v>
      </c>
      <c r="F7" s="9" t="s">
        <v>33</v>
      </c>
      <c r="G7" s="9"/>
    </row>
    <row r="8" spans="1:7" x14ac:dyDescent="0.25">
      <c r="A8" s="11">
        <v>45460</v>
      </c>
      <c r="B8" s="12" t="s">
        <v>29</v>
      </c>
      <c r="C8" s="9" t="s">
        <v>30</v>
      </c>
      <c r="D8" s="13">
        <v>8.5</v>
      </c>
      <c r="E8" s="9">
        <v>35</v>
      </c>
      <c r="F8" s="9" t="s">
        <v>36</v>
      </c>
      <c r="G8" s="9"/>
    </row>
    <row r="9" spans="1:7" x14ac:dyDescent="0.25">
      <c r="A9" s="11">
        <v>45460</v>
      </c>
      <c r="B9" s="12" t="s">
        <v>29</v>
      </c>
      <c r="C9" s="9" t="s">
        <v>30</v>
      </c>
      <c r="D9" s="13">
        <v>8.5</v>
      </c>
      <c r="E9" s="9">
        <v>20</v>
      </c>
      <c r="F9" s="9" t="s">
        <v>37</v>
      </c>
      <c r="G9" s="9"/>
    </row>
    <row r="10" spans="1:7" x14ac:dyDescent="0.25">
      <c r="A10" s="11">
        <v>45460</v>
      </c>
      <c r="B10" s="12" t="s">
        <v>29</v>
      </c>
      <c r="C10" s="9" t="s">
        <v>30</v>
      </c>
      <c r="D10" s="13">
        <v>8.5</v>
      </c>
      <c r="E10" s="9">
        <v>15</v>
      </c>
      <c r="F10" s="9" t="s">
        <v>36</v>
      </c>
      <c r="G10" s="9"/>
    </row>
    <row r="11" spans="1:7" x14ac:dyDescent="0.25">
      <c r="A11" s="11">
        <v>45460</v>
      </c>
      <c r="B11" s="12" t="s">
        <v>26</v>
      </c>
      <c r="C11" s="9" t="s">
        <v>27</v>
      </c>
      <c r="D11" s="13">
        <v>16.5</v>
      </c>
      <c r="E11" s="9">
        <v>15</v>
      </c>
      <c r="F11" s="9" t="s">
        <v>37</v>
      </c>
      <c r="G11" s="9"/>
    </row>
    <row r="12" spans="1:7" x14ac:dyDescent="0.25">
      <c r="A12" s="11">
        <v>45460</v>
      </c>
      <c r="B12" s="12" t="s">
        <v>38</v>
      </c>
      <c r="C12" s="9" t="s">
        <v>39</v>
      </c>
      <c r="D12" s="13">
        <v>44</v>
      </c>
      <c r="E12" s="9">
        <v>6</v>
      </c>
      <c r="F12" s="9" t="s">
        <v>37</v>
      </c>
      <c r="G12" s="9"/>
    </row>
    <row r="13" spans="1:7" x14ac:dyDescent="0.25">
      <c r="A13" s="11">
        <v>45460</v>
      </c>
      <c r="B13" s="12" t="s">
        <v>38</v>
      </c>
      <c r="C13" s="9" t="s">
        <v>39</v>
      </c>
      <c r="D13" s="13">
        <v>16</v>
      </c>
      <c r="E13" s="9">
        <v>10</v>
      </c>
      <c r="F13" s="9" t="s">
        <v>36</v>
      </c>
      <c r="G13" s="9"/>
    </row>
    <row r="14" spans="1:7" x14ac:dyDescent="0.25">
      <c r="A14" s="11">
        <v>45461</v>
      </c>
      <c r="B14" s="12" t="s">
        <v>31</v>
      </c>
      <c r="C14" s="9" t="s">
        <v>32</v>
      </c>
      <c r="D14" s="13">
        <v>8.4</v>
      </c>
      <c r="E14" s="9">
        <v>40</v>
      </c>
      <c r="F14" s="9" t="s">
        <v>36</v>
      </c>
      <c r="G14" s="9"/>
    </row>
    <row r="15" spans="1:7" x14ac:dyDescent="0.25">
      <c r="A15" s="11">
        <v>45461</v>
      </c>
      <c r="B15" s="12" t="s">
        <v>40</v>
      </c>
      <c r="C15" s="9" t="s">
        <v>41</v>
      </c>
      <c r="D15" s="13">
        <v>23.5</v>
      </c>
      <c r="E15" s="9">
        <v>40</v>
      </c>
      <c r="F15" s="9" t="s">
        <v>36</v>
      </c>
      <c r="G15" s="9"/>
    </row>
    <row r="16" spans="1:7" x14ac:dyDescent="0.25">
      <c r="A16" s="11">
        <v>45461</v>
      </c>
      <c r="B16" s="12" t="s">
        <v>42</v>
      </c>
      <c r="C16" s="9" t="s">
        <v>43</v>
      </c>
      <c r="D16" s="13">
        <v>25</v>
      </c>
      <c r="E16" s="9">
        <v>25</v>
      </c>
      <c r="F16" s="9" t="s">
        <v>36</v>
      </c>
      <c r="G16" s="9"/>
    </row>
    <row r="17" spans="1:7" x14ac:dyDescent="0.25">
      <c r="A17" s="11">
        <v>45462</v>
      </c>
      <c r="B17" s="12" t="s">
        <v>29</v>
      </c>
      <c r="C17" s="9" t="s">
        <v>30</v>
      </c>
      <c r="D17" s="13">
        <v>8.5</v>
      </c>
      <c r="E17" s="9">
        <v>40</v>
      </c>
      <c r="F17" s="9" t="s">
        <v>37</v>
      </c>
      <c r="G17" s="9"/>
    </row>
    <row r="18" spans="1:7" x14ac:dyDescent="0.25">
      <c r="A18" s="11">
        <v>45462</v>
      </c>
      <c r="B18" s="12" t="s">
        <v>40</v>
      </c>
      <c r="C18" s="9" t="s">
        <v>41</v>
      </c>
      <c r="D18" s="13">
        <v>23.5</v>
      </c>
      <c r="E18" s="9">
        <v>42</v>
      </c>
      <c r="F18" s="9" t="s">
        <v>37</v>
      </c>
    </row>
    <row r="19" spans="1:7" x14ac:dyDescent="0.25">
      <c r="A19" s="11">
        <v>45462</v>
      </c>
      <c r="B19" s="12" t="s">
        <v>44</v>
      </c>
      <c r="C19" s="9" t="s">
        <v>45</v>
      </c>
      <c r="D19" s="13">
        <v>45.2</v>
      </c>
      <c r="E19" s="9">
        <v>20</v>
      </c>
      <c r="F19" s="9" t="s">
        <v>37</v>
      </c>
    </row>
    <row r="20" spans="1:7" x14ac:dyDescent="0.25">
      <c r="A20" s="11">
        <v>45463</v>
      </c>
      <c r="B20" s="12" t="s">
        <v>46</v>
      </c>
      <c r="C20" s="9" t="s">
        <v>47</v>
      </c>
      <c r="D20" s="13">
        <v>34.200000000000003</v>
      </c>
      <c r="E20" s="9">
        <v>21</v>
      </c>
      <c r="F20" s="9" t="s">
        <v>28</v>
      </c>
    </row>
    <row r="21" spans="1:7" x14ac:dyDescent="0.25">
      <c r="A21" s="11">
        <v>45463</v>
      </c>
      <c r="B21" s="12" t="s">
        <v>29</v>
      </c>
      <c r="C21" s="9" t="s">
        <v>30</v>
      </c>
      <c r="D21" s="13">
        <v>8.5</v>
      </c>
      <c r="E21" s="9">
        <v>21</v>
      </c>
      <c r="F21" s="9" t="s">
        <v>28</v>
      </c>
    </row>
    <row r="22" spans="1:7" x14ac:dyDescent="0.25">
      <c r="A22" s="11">
        <v>45463</v>
      </c>
      <c r="B22" s="12" t="s">
        <v>44</v>
      </c>
      <c r="C22" s="9" t="s">
        <v>45</v>
      </c>
      <c r="D22" s="13">
        <v>45.2</v>
      </c>
      <c r="E22" s="9">
        <v>15</v>
      </c>
      <c r="F22" s="9" t="s">
        <v>28</v>
      </c>
    </row>
    <row r="23" spans="1:7" x14ac:dyDescent="0.25">
      <c r="A23" s="11">
        <v>45464</v>
      </c>
      <c r="B23" s="12" t="s">
        <v>26</v>
      </c>
      <c r="C23" s="9" t="s">
        <v>27</v>
      </c>
      <c r="D23" s="13">
        <v>16.5</v>
      </c>
      <c r="E23" s="9">
        <v>30</v>
      </c>
      <c r="F23" s="9" t="s">
        <v>48</v>
      </c>
    </row>
    <row r="24" spans="1:7" x14ac:dyDescent="0.25">
      <c r="A24" s="11">
        <v>45464</v>
      </c>
      <c r="B24" s="12" t="s">
        <v>26</v>
      </c>
      <c r="C24" s="9" t="s">
        <v>27</v>
      </c>
      <c r="D24" s="13">
        <v>16.5</v>
      </c>
      <c r="E24" s="9">
        <v>35</v>
      </c>
      <c r="F24" s="9" t="s">
        <v>48</v>
      </c>
    </row>
    <row r="25" spans="1:7" x14ac:dyDescent="0.25">
      <c r="A25" s="11">
        <v>45464</v>
      </c>
      <c r="B25" s="12" t="s">
        <v>38</v>
      </c>
      <c r="C25" s="9" t="s">
        <v>39</v>
      </c>
      <c r="D25" s="13">
        <v>16</v>
      </c>
      <c r="E25" s="9">
        <v>25</v>
      </c>
      <c r="F25" s="9" t="s">
        <v>48</v>
      </c>
    </row>
    <row r="26" spans="1:7" x14ac:dyDescent="0.25">
      <c r="A26" s="11">
        <v>45464</v>
      </c>
      <c r="B26" s="12" t="s">
        <v>40</v>
      </c>
      <c r="C26" s="9" t="s">
        <v>41</v>
      </c>
      <c r="D26" s="13">
        <v>23.5</v>
      </c>
      <c r="E26" s="9">
        <v>20</v>
      </c>
      <c r="F26" s="9" t="s">
        <v>48</v>
      </c>
    </row>
    <row r="27" spans="1:7" x14ac:dyDescent="0.25">
      <c r="A27" s="11">
        <v>45467</v>
      </c>
      <c r="B27" s="12" t="s">
        <v>26</v>
      </c>
      <c r="C27" s="9" t="s">
        <v>27</v>
      </c>
      <c r="D27" s="13">
        <v>16.5</v>
      </c>
      <c r="E27" s="9">
        <v>15</v>
      </c>
      <c r="F27" s="9" t="s">
        <v>37</v>
      </c>
    </row>
    <row r="28" spans="1:7" x14ac:dyDescent="0.25">
      <c r="A28" s="11">
        <v>45467</v>
      </c>
      <c r="B28" s="12" t="s">
        <v>46</v>
      </c>
      <c r="C28" s="9" t="s">
        <v>47</v>
      </c>
      <c r="D28" s="13">
        <v>34.200000000000003</v>
      </c>
      <c r="E28" s="9">
        <v>12</v>
      </c>
      <c r="F28" s="9" t="s">
        <v>37</v>
      </c>
    </row>
    <row r="29" spans="1:7" x14ac:dyDescent="0.25">
      <c r="A29" s="11">
        <v>45468</v>
      </c>
      <c r="B29" s="12" t="s">
        <v>31</v>
      </c>
      <c r="C29" s="9" t="s">
        <v>32</v>
      </c>
      <c r="D29" s="13">
        <v>8.4</v>
      </c>
      <c r="E29" s="9">
        <v>25</v>
      </c>
      <c r="F29" s="9" t="s">
        <v>36</v>
      </c>
    </row>
    <row r="30" spans="1:7" x14ac:dyDescent="0.25">
      <c r="A30" s="11">
        <v>45468</v>
      </c>
      <c r="B30" s="12" t="s">
        <v>46</v>
      </c>
      <c r="C30" s="9" t="s">
        <v>47</v>
      </c>
      <c r="D30" s="13">
        <v>34.200000000000003</v>
      </c>
      <c r="E30" s="9">
        <v>15</v>
      </c>
      <c r="F30" s="9" t="s">
        <v>36</v>
      </c>
    </row>
    <row r="31" spans="1:7" x14ac:dyDescent="0.25">
      <c r="A31" s="11">
        <v>45468</v>
      </c>
      <c r="B31" s="12" t="s">
        <v>40</v>
      </c>
      <c r="C31" s="9" t="s">
        <v>41</v>
      </c>
      <c r="D31" s="13">
        <v>23.5</v>
      </c>
      <c r="E31" s="9">
        <v>6</v>
      </c>
      <c r="F31" s="9" t="s">
        <v>36</v>
      </c>
    </row>
    <row r="32" spans="1:7" x14ac:dyDescent="0.25">
      <c r="A32" s="11">
        <v>45469</v>
      </c>
      <c r="B32" s="12" t="s">
        <v>40</v>
      </c>
      <c r="C32" s="9" t="s">
        <v>41</v>
      </c>
      <c r="D32" s="13">
        <v>23.5</v>
      </c>
      <c r="E32" s="9">
        <v>65</v>
      </c>
      <c r="F32" s="9" t="s">
        <v>49</v>
      </c>
    </row>
    <row r="33" spans="1:6" x14ac:dyDescent="0.25">
      <c r="A33" s="11">
        <v>45469</v>
      </c>
      <c r="B33" s="12" t="s">
        <v>40</v>
      </c>
      <c r="C33" s="9" t="s">
        <v>41</v>
      </c>
      <c r="D33" s="13">
        <v>23.5</v>
      </c>
      <c r="E33" s="9">
        <v>50</v>
      </c>
      <c r="F33" s="9" t="s">
        <v>49</v>
      </c>
    </row>
    <row r="34" spans="1:6" x14ac:dyDescent="0.25">
      <c r="A34" s="11">
        <v>45469</v>
      </c>
      <c r="B34" s="12" t="s">
        <v>29</v>
      </c>
      <c r="C34" s="9" t="s">
        <v>30</v>
      </c>
      <c r="D34" s="13">
        <v>8.5</v>
      </c>
      <c r="E34" s="9">
        <v>6</v>
      </c>
      <c r="F34" s="9" t="s">
        <v>49</v>
      </c>
    </row>
    <row r="35" spans="1:6" x14ac:dyDescent="0.25">
      <c r="A35" s="11">
        <v>45470</v>
      </c>
      <c r="B35" s="12" t="s">
        <v>31</v>
      </c>
      <c r="C35" s="9" t="s">
        <v>32</v>
      </c>
      <c r="D35" s="13">
        <v>8.4</v>
      </c>
      <c r="E35" s="9">
        <v>10</v>
      </c>
      <c r="F35" s="9" t="s">
        <v>36</v>
      </c>
    </row>
    <row r="36" spans="1:6" x14ac:dyDescent="0.25">
      <c r="A36" s="11">
        <v>45470</v>
      </c>
      <c r="B36" s="12" t="s">
        <v>44</v>
      </c>
      <c r="C36" s="9" t="s">
        <v>45</v>
      </c>
      <c r="D36" s="13">
        <v>45.2</v>
      </c>
      <c r="E36" s="9">
        <v>15</v>
      </c>
      <c r="F36" s="9" t="s">
        <v>36</v>
      </c>
    </row>
    <row r="37" spans="1:6" x14ac:dyDescent="0.25">
      <c r="A37" s="11">
        <v>45471</v>
      </c>
      <c r="B37" s="12" t="s">
        <v>26</v>
      </c>
      <c r="C37" s="9" t="s">
        <v>27</v>
      </c>
      <c r="D37" s="13">
        <v>16.5</v>
      </c>
      <c r="E37" s="9">
        <v>50</v>
      </c>
      <c r="F37" s="9" t="s">
        <v>36</v>
      </c>
    </row>
    <row r="38" spans="1:6" x14ac:dyDescent="0.25">
      <c r="A38" s="11">
        <v>45471</v>
      </c>
      <c r="B38" s="12" t="s">
        <v>50</v>
      </c>
      <c r="C38" s="9" t="s">
        <v>51</v>
      </c>
      <c r="D38" s="13">
        <v>12.4</v>
      </c>
      <c r="E38" s="9">
        <v>15</v>
      </c>
      <c r="F38" s="9" t="s">
        <v>36</v>
      </c>
    </row>
    <row r="39" spans="1:6" x14ac:dyDescent="0.25">
      <c r="A39" s="11">
        <v>45471</v>
      </c>
      <c r="B39" s="12" t="s">
        <v>50</v>
      </c>
      <c r="C39" s="9" t="s">
        <v>51</v>
      </c>
      <c r="D39" s="13">
        <v>12.4</v>
      </c>
      <c r="E39" s="9">
        <v>20</v>
      </c>
      <c r="F39" s="9" t="s">
        <v>36</v>
      </c>
    </row>
    <row r="40" spans="1:6" x14ac:dyDescent="0.25">
      <c r="A40" s="11">
        <v>45471</v>
      </c>
      <c r="B40" s="12" t="s">
        <v>46</v>
      </c>
      <c r="C40" s="9" t="s">
        <v>47</v>
      </c>
      <c r="D40" s="13">
        <v>34.200000000000003</v>
      </c>
      <c r="E40" s="9">
        <v>21</v>
      </c>
      <c r="F40" s="9" t="s">
        <v>36</v>
      </c>
    </row>
    <row r="41" spans="1:6" x14ac:dyDescent="0.25">
      <c r="A41" s="11">
        <v>45471</v>
      </c>
      <c r="B41" s="12" t="s">
        <v>31</v>
      </c>
      <c r="C41" s="9" t="s">
        <v>32</v>
      </c>
      <c r="D41" s="13">
        <v>8.4</v>
      </c>
      <c r="E41" s="9">
        <v>20</v>
      </c>
      <c r="F41" s="9" t="s">
        <v>36</v>
      </c>
    </row>
    <row r="42" spans="1:6" x14ac:dyDescent="0.25">
      <c r="A42" s="11">
        <v>45471</v>
      </c>
      <c r="B42" s="12" t="s">
        <v>38</v>
      </c>
      <c r="C42" s="9" t="s">
        <v>39</v>
      </c>
      <c r="D42" s="13">
        <v>16</v>
      </c>
      <c r="E42" s="9">
        <v>16</v>
      </c>
      <c r="F42" s="9" t="s">
        <v>36</v>
      </c>
    </row>
    <row r="43" spans="1:6" x14ac:dyDescent="0.25">
      <c r="A43" s="11">
        <v>45474</v>
      </c>
      <c r="B43" s="12" t="s">
        <v>52</v>
      </c>
      <c r="C43" s="9" t="s">
        <v>53</v>
      </c>
      <c r="D43" s="13">
        <v>44</v>
      </c>
      <c r="E43" s="9">
        <v>15</v>
      </c>
      <c r="F43" s="9" t="s">
        <v>54</v>
      </c>
    </row>
    <row r="44" spans="1:6" x14ac:dyDescent="0.25">
      <c r="A44" s="11">
        <v>45474</v>
      </c>
      <c r="B44" s="12" t="s">
        <v>40</v>
      </c>
      <c r="C44" s="9" t="s">
        <v>41</v>
      </c>
      <c r="D44" s="13">
        <v>23.5</v>
      </c>
      <c r="E44" s="9">
        <v>12</v>
      </c>
      <c r="F44" s="9" t="s">
        <v>54</v>
      </c>
    </row>
    <row r="45" spans="1:6" x14ac:dyDescent="0.25">
      <c r="A45" s="11">
        <v>45474</v>
      </c>
      <c r="B45" s="12" t="s">
        <v>44</v>
      </c>
      <c r="C45" s="9" t="s">
        <v>45</v>
      </c>
      <c r="D45" s="13">
        <v>45.2</v>
      </c>
      <c r="E45" s="9">
        <v>30</v>
      </c>
      <c r="F45" s="9" t="s">
        <v>54</v>
      </c>
    </row>
    <row r="46" spans="1:6" x14ac:dyDescent="0.25">
      <c r="A46" s="11">
        <v>45475</v>
      </c>
      <c r="B46" s="12" t="s">
        <v>46</v>
      </c>
      <c r="C46" s="9" t="s">
        <v>47</v>
      </c>
      <c r="D46" s="13">
        <v>34.200000000000003</v>
      </c>
      <c r="E46" s="9">
        <v>60</v>
      </c>
      <c r="F46" s="9" t="s">
        <v>48</v>
      </c>
    </row>
    <row r="47" spans="1:6" x14ac:dyDescent="0.25">
      <c r="A47" s="11">
        <v>45475</v>
      </c>
      <c r="B47" s="12" t="s">
        <v>26</v>
      </c>
      <c r="C47" s="9" t="s">
        <v>27</v>
      </c>
      <c r="D47" s="13">
        <v>16.5</v>
      </c>
      <c r="E47" s="9">
        <v>60</v>
      </c>
      <c r="F47" s="9" t="s">
        <v>48</v>
      </c>
    </row>
    <row r="48" spans="1:6" x14ac:dyDescent="0.25">
      <c r="A48" s="11">
        <v>45475</v>
      </c>
      <c r="B48" s="12" t="s">
        <v>29</v>
      </c>
      <c r="C48" s="9" t="s">
        <v>30</v>
      </c>
      <c r="D48" s="13">
        <v>8.5</v>
      </c>
      <c r="E48" s="9">
        <v>36</v>
      </c>
      <c r="F48" s="9" t="s">
        <v>48</v>
      </c>
    </row>
    <row r="49" spans="1:6" x14ac:dyDescent="0.25">
      <c r="A49" s="11">
        <v>45475</v>
      </c>
      <c r="B49" s="12" t="s">
        <v>44</v>
      </c>
      <c r="C49" s="9" t="s">
        <v>45</v>
      </c>
      <c r="D49" s="13">
        <v>45.2</v>
      </c>
      <c r="E49" s="9">
        <v>28</v>
      </c>
      <c r="F49" s="9" t="s">
        <v>48</v>
      </c>
    </row>
    <row r="50" spans="1:6" x14ac:dyDescent="0.25">
      <c r="A50" s="11">
        <v>45476</v>
      </c>
      <c r="B50" s="12" t="s">
        <v>40</v>
      </c>
      <c r="C50" s="9" t="s">
        <v>41</v>
      </c>
      <c r="D50" s="13">
        <v>23.5</v>
      </c>
      <c r="E50" s="9">
        <v>35</v>
      </c>
      <c r="F50" s="9" t="s">
        <v>33</v>
      </c>
    </row>
    <row r="51" spans="1:6" x14ac:dyDescent="0.25">
      <c r="A51" s="11">
        <v>45476</v>
      </c>
      <c r="B51" s="12" t="s">
        <v>38</v>
      </c>
      <c r="C51" s="9" t="s">
        <v>39</v>
      </c>
      <c r="D51" s="13">
        <v>16</v>
      </c>
      <c r="E51" s="9">
        <v>25</v>
      </c>
      <c r="F51" s="9" t="s">
        <v>33</v>
      </c>
    </row>
    <row r="52" spans="1:6" x14ac:dyDescent="0.25">
      <c r="A52" s="11">
        <v>45477</v>
      </c>
      <c r="B52" s="12" t="s">
        <v>40</v>
      </c>
      <c r="C52" s="9" t="s">
        <v>41</v>
      </c>
      <c r="D52" s="13">
        <v>23.5</v>
      </c>
      <c r="E52" s="9">
        <v>30</v>
      </c>
      <c r="F52" s="9" t="s">
        <v>55</v>
      </c>
    </row>
    <row r="53" spans="1:6" x14ac:dyDescent="0.25">
      <c r="A53" s="11">
        <v>45477</v>
      </c>
      <c r="B53" s="12" t="s">
        <v>46</v>
      </c>
      <c r="C53" s="9" t="s">
        <v>47</v>
      </c>
      <c r="D53" s="13">
        <v>34.200000000000003</v>
      </c>
      <c r="E53" s="9">
        <v>20</v>
      </c>
      <c r="F53" s="9" t="s">
        <v>55</v>
      </c>
    </row>
    <row r="54" spans="1:6" x14ac:dyDescent="0.25">
      <c r="A54" s="11">
        <v>45478</v>
      </c>
      <c r="B54" s="12" t="s">
        <v>26</v>
      </c>
      <c r="C54" s="9" t="s">
        <v>27</v>
      </c>
      <c r="D54" s="13">
        <v>16.5</v>
      </c>
      <c r="E54" s="9">
        <v>12</v>
      </c>
      <c r="F54" s="9" t="s">
        <v>37</v>
      </c>
    </row>
    <row r="55" spans="1:6" x14ac:dyDescent="0.25">
      <c r="A55" s="11">
        <v>45481</v>
      </c>
      <c r="B55" s="12" t="s">
        <v>40</v>
      </c>
      <c r="C55" s="9" t="s">
        <v>41</v>
      </c>
      <c r="D55" s="13">
        <v>23.5</v>
      </c>
      <c r="E55" s="9">
        <v>50</v>
      </c>
      <c r="F55" s="9" t="s">
        <v>36</v>
      </c>
    </row>
    <row r="56" spans="1:6" x14ac:dyDescent="0.25">
      <c r="A56" s="11">
        <v>45481</v>
      </c>
      <c r="B56" s="12" t="s">
        <v>26</v>
      </c>
      <c r="C56" s="9" t="s">
        <v>27</v>
      </c>
      <c r="D56" s="13">
        <v>16.5</v>
      </c>
      <c r="E56" s="9">
        <v>70</v>
      </c>
      <c r="F56" s="9" t="s">
        <v>36</v>
      </c>
    </row>
    <row r="57" spans="1:6" x14ac:dyDescent="0.25">
      <c r="A57" s="11">
        <v>45481</v>
      </c>
      <c r="B57" s="12" t="s">
        <v>38</v>
      </c>
      <c r="C57" s="9" t="s">
        <v>39</v>
      </c>
      <c r="D57" s="13">
        <v>16</v>
      </c>
      <c r="E57" s="9">
        <v>15</v>
      </c>
      <c r="F57" s="9" t="s">
        <v>36</v>
      </c>
    </row>
    <row r="58" spans="1:6" x14ac:dyDescent="0.25">
      <c r="A58" s="11">
        <v>45482</v>
      </c>
      <c r="B58" s="12" t="s">
        <v>56</v>
      </c>
      <c r="C58" s="9" t="s">
        <v>57</v>
      </c>
      <c r="D58" s="13">
        <v>39</v>
      </c>
      <c r="E58" s="9">
        <v>10</v>
      </c>
      <c r="F58" s="9" t="s">
        <v>54</v>
      </c>
    </row>
    <row r="59" spans="1:6" x14ac:dyDescent="0.25">
      <c r="A59" s="11">
        <v>45482</v>
      </c>
      <c r="B59" s="12" t="s">
        <v>29</v>
      </c>
      <c r="C59" s="9" t="s">
        <v>30</v>
      </c>
      <c r="D59" s="13">
        <v>8.5</v>
      </c>
      <c r="E59" s="9">
        <v>4</v>
      </c>
      <c r="F59" s="9" t="s">
        <v>54</v>
      </c>
    </row>
    <row r="60" spans="1:6" x14ac:dyDescent="0.25">
      <c r="A60" s="11">
        <v>45483</v>
      </c>
      <c r="B60" s="12" t="s">
        <v>42</v>
      </c>
      <c r="C60" s="9" t="s">
        <v>43</v>
      </c>
      <c r="D60" s="13">
        <v>25</v>
      </c>
      <c r="E60" s="9">
        <v>60</v>
      </c>
      <c r="F60" s="9" t="s">
        <v>28</v>
      </c>
    </row>
    <row r="61" spans="1:6" x14ac:dyDescent="0.25">
      <c r="A61" s="11">
        <v>45483</v>
      </c>
      <c r="B61" s="12" t="s">
        <v>29</v>
      </c>
      <c r="C61" s="9" t="s">
        <v>30</v>
      </c>
      <c r="D61" s="13">
        <v>8.5</v>
      </c>
      <c r="E61" s="9">
        <v>20</v>
      </c>
      <c r="F61" s="9" t="s">
        <v>28</v>
      </c>
    </row>
    <row r="62" spans="1:6" x14ac:dyDescent="0.25">
      <c r="A62" s="11">
        <v>45483</v>
      </c>
      <c r="B62" s="12" t="s">
        <v>29</v>
      </c>
      <c r="C62" s="9" t="s">
        <v>30</v>
      </c>
      <c r="D62" s="13">
        <v>8.5</v>
      </c>
      <c r="E62" s="9">
        <v>20</v>
      </c>
      <c r="F62" s="9" t="s">
        <v>28</v>
      </c>
    </row>
    <row r="63" spans="1:6" x14ac:dyDescent="0.25">
      <c r="A63" s="11">
        <v>45484</v>
      </c>
      <c r="B63" s="12" t="s">
        <v>38</v>
      </c>
      <c r="C63" s="9" t="s">
        <v>39</v>
      </c>
      <c r="D63" s="13">
        <v>16</v>
      </c>
      <c r="E63" s="9">
        <v>30</v>
      </c>
      <c r="F63" s="9" t="s">
        <v>49</v>
      </c>
    </row>
    <row r="64" spans="1:6" x14ac:dyDescent="0.25">
      <c r="A64" s="11">
        <v>45484</v>
      </c>
      <c r="B64" s="12" t="s">
        <v>38</v>
      </c>
      <c r="C64" s="9" t="s">
        <v>39</v>
      </c>
      <c r="D64" s="13">
        <v>16</v>
      </c>
      <c r="E64" s="9">
        <v>25</v>
      </c>
      <c r="F64" s="9" t="s">
        <v>49</v>
      </c>
    </row>
    <row r="65" spans="1:6" x14ac:dyDescent="0.25">
      <c r="A65" s="11">
        <v>45484</v>
      </c>
      <c r="B65" s="12" t="s">
        <v>38</v>
      </c>
      <c r="C65" s="9" t="s">
        <v>39</v>
      </c>
      <c r="D65" s="13">
        <v>16</v>
      </c>
      <c r="E65" s="9">
        <v>25</v>
      </c>
      <c r="F65" s="9" t="s">
        <v>49</v>
      </c>
    </row>
    <row r="66" spans="1:6" x14ac:dyDescent="0.25">
      <c r="A66" s="11">
        <v>45484</v>
      </c>
      <c r="B66" s="12" t="s">
        <v>42</v>
      </c>
      <c r="C66" s="9" t="s">
        <v>43</v>
      </c>
      <c r="D66" s="13">
        <v>25</v>
      </c>
      <c r="E66" s="9">
        <v>24</v>
      </c>
      <c r="F66" s="9" t="s">
        <v>33</v>
      </c>
    </row>
    <row r="67" spans="1:6" x14ac:dyDescent="0.25">
      <c r="A67" s="11">
        <v>45485</v>
      </c>
      <c r="B67" s="12" t="s">
        <v>44</v>
      </c>
      <c r="C67" s="9" t="s">
        <v>45</v>
      </c>
      <c r="D67" s="13">
        <v>45.2</v>
      </c>
      <c r="E67" s="9">
        <v>40</v>
      </c>
      <c r="F67" s="9" t="s">
        <v>33</v>
      </c>
    </row>
    <row r="68" spans="1:6" x14ac:dyDescent="0.25">
      <c r="A68" s="11">
        <v>45485</v>
      </c>
      <c r="B68" s="12" t="s">
        <v>29</v>
      </c>
      <c r="C68" s="9" t="s">
        <v>30</v>
      </c>
      <c r="D68" s="13">
        <v>8.5</v>
      </c>
      <c r="E68" s="9">
        <v>24</v>
      </c>
      <c r="F68" s="9" t="s">
        <v>33</v>
      </c>
    </row>
    <row r="69" spans="1:6" x14ac:dyDescent="0.25">
      <c r="A69" s="11">
        <v>45485</v>
      </c>
      <c r="B69" s="12" t="s">
        <v>31</v>
      </c>
      <c r="C69" s="9" t="s">
        <v>32</v>
      </c>
      <c r="D69" s="13">
        <v>8.4</v>
      </c>
      <c r="E69" s="9">
        <v>6</v>
      </c>
      <c r="F69" s="9" t="s">
        <v>33</v>
      </c>
    </row>
    <row r="70" spans="1:6" x14ac:dyDescent="0.25">
      <c r="A70" s="11">
        <v>45488</v>
      </c>
      <c r="B70" s="12" t="s">
        <v>40</v>
      </c>
      <c r="C70" s="9" t="s">
        <v>41</v>
      </c>
      <c r="D70" s="13">
        <v>23.5</v>
      </c>
      <c r="E70" s="9">
        <v>60</v>
      </c>
      <c r="F70" s="9" t="s">
        <v>37</v>
      </c>
    </row>
    <row r="71" spans="1:6" x14ac:dyDescent="0.25">
      <c r="A71" s="11">
        <v>45488</v>
      </c>
      <c r="B71" s="12" t="s">
        <v>38</v>
      </c>
      <c r="C71" s="9" t="s">
        <v>39</v>
      </c>
      <c r="D71" s="13">
        <v>16</v>
      </c>
      <c r="E71" s="9">
        <v>33</v>
      </c>
      <c r="F71" s="9" t="s">
        <v>37</v>
      </c>
    </row>
    <row r="72" spans="1:6" x14ac:dyDescent="0.25">
      <c r="A72" s="11">
        <v>45488</v>
      </c>
      <c r="B72" s="12" t="s">
        <v>38</v>
      </c>
      <c r="C72" s="9" t="s">
        <v>39</v>
      </c>
      <c r="D72" s="13">
        <v>16</v>
      </c>
      <c r="E72" s="9">
        <v>24</v>
      </c>
      <c r="F72" s="9" t="s">
        <v>37</v>
      </c>
    </row>
    <row r="73" spans="1:6" x14ac:dyDescent="0.25">
      <c r="A73" s="11">
        <v>45488</v>
      </c>
      <c r="B73" s="12" t="s">
        <v>44</v>
      </c>
      <c r="C73" s="9" t="s">
        <v>45</v>
      </c>
      <c r="D73" s="13">
        <v>45.2</v>
      </c>
      <c r="E73" s="9">
        <v>15</v>
      </c>
      <c r="F73" s="9" t="s">
        <v>37</v>
      </c>
    </row>
    <row r="74" spans="1:6" x14ac:dyDescent="0.25">
      <c r="A74" s="11">
        <v>45488</v>
      </c>
      <c r="B74" s="12" t="s">
        <v>42</v>
      </c>
      <c r="C74" s="9" t="s">
        <v>43</v>
      </c>
      <c r="D74" s="13">
        <v>25</v>
      </c>
      <c r="E74" s="9">
        <v>20</v>
      </c>
      <c r="F74" s="9" t="s">
        <v>37</v>
      </c>
    </row>
    <row r="75" spans="1:6" x14ac:dyDescent="0.25">
      <c r="A75" s="11">
        <v>45489</v>
      </c>
      <c r="B75" s="12" t="s">
        <v>42</v>
      </c>
      <c r="C75" s="9" t="s">
        <v>43</v>
      </c>
      <c r="D75" s="13">
        <v>25</v>
      </c>
      <c r="E75" s="9">
        <v>20</v>
      </c>
      <c r="F75" s="9" t="s">
        <v>33</v>
      </c>
    </row>
    <row r="76" spans="1:6" x14ac:dyDescent="0.25">
      <c r="A76" s="11">
        <v>45489</v>
      </c>
      <c r="B76" s="12" t="s">
        <v>29</v>
      </c>
      <c r="C76" s="9" t="s">
        <v>30</v>
      </c>
      <c r="D76" s="13">
        <v>8.5</v>
      </c>
      <c r="E76" s="9">
        <v>7</v>
      </c>
      <c r="F76" s="9" t="s">
        <v>33</v>
      </c>
    </row>
    <row r="77" spans="1:6" x14ac:dyDescent="0.25">
      <c r="A77" s="11">
        <v>45490</v>
      </c>
      <c r="B77" s="12" t="s">
        <v>26</v>
      </c>
      <c r="C77" s="9" t="s">
        <v>27</v>
      </c>
      <c r="D77" s="13">
        <v>16.5</v>
      </c>
      <c r="E77" s="9">
        <v>6</v>
      </c>
      <c r="F77" s="9" t="s">
        <v>49</v>
      </c>
    </row>
    <row r="78" spans="1:6" x14ac:dyDescent="0.25">
      <c r="A78" s="11">
        <v>45490</v>
      </c>
      <c r="B78" s="12" t="s">
        <v>44</v>
      </c>
      <c r="C78" s="9" t="s">
        <v>45</v>
      </c>
      <c r="D78" s="13">
        <v>45.2</v>
      </c>
      <c r="E78" s="9">
        <v>12</v>
      </c>
      <c r="F78" s="9" t="s">
        <v>49</v>
      </c>
    </row>
    <row r="79" spans="1:6" x14ac:dyDescent="0.25">
      <c r="A79" s="11">
        <v>45491</v>
      </c>
      <c r="B79" s="12" t="s">
        <v>38</v>
      </c>
      <c r="C79" s="9" t="s">
        <v>39</v>
      </c>
      <c r="D79" s="13">
        <v>16</v>
      </c>
      <c r="E79" s="9">
        <v>15</v>
      </c>
      <c r="F79" s="9" t="s">
        <v>54</v>
      </c>
    </row>
    <row r="80" spans="1:6" x14ac:dyDescent="0.25">
      <c r="A80" s="11">
        <v>45491</v>
      </c>
      <c r="B80" s="12" t="s">
        <v>38</v>
      </c>
      <c r="C80" s="9" t="s">
        <v>39</v>
      </c>
      <c r="D80" s="13">
        <v>16</v>
      </c>
      <c r="E80" s="9">
        <v>10</v>
      </c>
      <c r="F80" s="9" t="s">
        <v>54</v>
      </c>
    </row>
    <row r="81" spans="1:6" x14ac:dyDescent="0.25">
      <c r="A81" s="11">
        <v>45492</v>
      </c>
      <c r="B81" s="12" t="s">
        <v>31</v>
      </c>
      <c r="C81" s="9" t="s">
        <v>58</v>
      </c>
      <c r="D81" s="13">
        <v>118</v>
      </c>
      <c r="E81" s="9">
        <v>20</v>
      </c>
      <c r="F81" s="9" t="s">
        <v>55</v>
      </c>
    </row>
    <row r="82" spans="1:6" x14ac:dyDescent="0.25">
      <c r="A82" s="11">
        <v>45492</v>
      </c>
      <c r="B82" s="12" t="s">
        <v>50</v>
      </c>
      <c r="C82" s="9" t="s">
        <v>51</v>
      </c>
      <c r="D82" s="13">
        <v>12.4</v>
      </c>
      <c r="E82" s="9">
        <v>12</v>
      </c>
      <c r="F82" s="9" t="s">
        <v>55</v>
      </c>
    </row>
    <row r="83" spans="1:6" x14ac:dyDescent="0.25">
      <c r="A83" s="11">
        <v>45495</v>
      </c>
      <c r="B83" s="12" t="s">
        <v>26</v>
      </c>
      <c r="C83" s="9" t="s">
        <v>27</v>
      </c>
      <c r="D83" s="13">
        <v>16.5</v>
      </c>
      <c r="E83" s="9">
        <v>15</v>
      </c>
      <c r="F83" s="9" t="s">
        <v>54</v>
      </c>
    </row>
    <row r="84" spans="1:6" x14ac:dyDescent="0.25">
      <c r="A84" s="11">
        <v>45495</v>
      </c>
      <c r="B84" s="12" t="s">
        <v>31</v>
      </c>
      <c r="C84" s="9" t="s">
        <v>58</v>
      </c>
      <c r="D84" s="13">
        <v>118</v>
      </c>
      <c r="E84" s="9">
        <v>25</v>
      </c>
      <c r="F84" s="9" t="s">
        <v>54</v>
      </c>
    </row>
    <row r="85" spans="1:6" x14ac:dyDescent="0.25">
      <c r="A85" s="11">
        <v>45495</v>
      </c>
      <c r="B85" s="12" t="s">
        <v>59</v>
      </c>
      <c r="C85" s="9" t="s">
        <v>60</v>
      </c>
      <c r="D85" s="13">
        <v>4.5</v>
      </c>
      <c r="E85" s="9">
        <v>25</v>
      </c>
      <c r="F85" s="9" t="s">
        <v>54</v>
      </c>
    </row>
    <row r="86" spans="1:6" x14ac:dyDescent="0.25">
      <c r="A86" s="11">
        <v>45495</v>
      </c>
      <c r="B86" s="12" t="s">
        <v>38</v>
      </c>
      <c r="C86" s="9" t="s">
        <v>39</v>
      </c>
      <c r="D86" s="13">
        <v>16</v>
      </c>
      <c r="E86" s="9">
        <v>16</v>
      </c>
      <c r="F86" s="9" t="s">
        <v>54</v>
      </c>
    </row>
    <row r="87" spans="1:6" x14ac:dyDescent="0.25">
      <c r="A87" s="11">
        <v>45496</v>
      </c>
      <c r="B87" s="12" t="s">
        <v>40</v>
      </c>
      <c r="C87" s="9" t="s">
        <v>41</v>
      </c>
      <c r="D87" s="13">
        <v>23.5</v>
      </c>
      <c r="E87" s="9">
        <v>15</v>
      </c>
      <c r="F87" s="9" t="s">
        <v>54</v>
      </c>
    </row>
    <row r="88" spans="1:6" x14ac:dyDescent="0.25">
      <c r="A88" s="11">
        <v>45497</v>
      </c>
      <c r="B88" s="12" t="s">
        <v>31</v>
      </c>
      <c r="C88" s="9" t="s">
        <v>58</v>
      </c>
      <c r="D88" s="13">
        <v>118</v>
      </c>
      <c r="E88" s="9">
        <v>30</v>
      </c>
      <c r="F88" s="9" t="s">
        <v>55</v>
      </c>
    </row>
    <row r="89" spans="1:6" x14ac:dyDescent="0.25">
      <c r="A89" s="11">
        <v>45497</v>
      </c>
      <c r="B89" s="12" t="s">
        <v>46</v>
      </c>
      <c r="C89" s="9" t="s">
        <v>47</v>
      </c>
      <c r="D89" s="13">
        <v>34.200000000000003</v>
      </c>
      <c r="E89" s="9">
        <v>20</v>
      </c>
      <c r="F89" s="9" t="s">
        <v>55</v>
      </c>
    </row>
    <row r="90" spans="1:6" x14ac:dyDescent="0.25">
      <c r="A90" s="11">
        <v>45497</v>
      </c>
      <c r="B90" s="12" t="s">
        <v>50</v>
      </c>
      <c r="C90" s="9" t="s">
        <v>51</v>
      </c>
      <c r="D90" s="13">
        <v>12.4</v>
      </c>
      <c r="E90" s="9">
        <v>8</v>
      </c>
      <c r="F90" s="9" t="s">
        <v>36</v>
      </c>
    </row>
    <row r="91" spans="1:6" x14ac:dyDescent="0.25">
      <c r="A91" s="11">
        <v>45497</v>
      </c>
      <c r="B91" s="12" t="s">
        <v>44</v>
      </c>
      <c r="C91" s="9" t="s">
        <v>45</v>
      </c>
      <c r="D91" s="13">
        <v>45.2</v>
      </c>
      <c r="E91" s="9">
        <v>12</v>
      </c>
      <c r="F91" s="9" t="s">
        <v>55</v>
      </c>
    </row>
    <row r="92" spans="1:6" x14ac:dyDescent="0.25">
      <c r="A92" s="11">
        <v>45497</v>
      </c>
      <c r="B92" s="12" t="s">
        <v>44</v>
      </c>
      <c r="C92" s="9" t="s">
        <v>45</v>
      </c>
      <c r="D92" s="13">
        <v>45.2</v>
      </c>
      <c r="E92" s="9">
        <v>6</v>
      </c>
      <c r="F92" s="9" t="s">
        <v>36</v>
      </c>
    </row>
    <row r="93" spans="1:6" x14ac:dyDescent="0.25">
      <c r="A93" s="11">
        <v>45497</v>
      </c>
      <c r="B93" s="12" t="s">
        <v>50</v>
      </c>
      <c r="C93" s="9" t="s">
        <v>51</v>
      </c>
      <c r="D93" s="13">
        <v>12.4</v>
      </c>
      <c r="E93" s="9">
        <v>40</v>
      </c>
      <c r="F93" s="9" t="s">
        <v>36</v>
      </c>
    </row>
    <row r="94" spans="1:6" x14ac:dyDescent="0.25">
      <c r="A94" s="11">
        <v>45498</v>
      </c>
      <c r="B94" s="12" t="s">
        <v>46</v>
      </c>
      <c r="C94" s="9" t="s">
        <v>47</v>
      </c>
      <c r="D94" s="13">
        <v>34.200000000000003</v>
      </c>
      <c r="E94" s="9">
        <v>6</v>
      </c>
      <c r="F94" s="9" t="s">
        <v>36</v>
      </c>
    </row>
    <row r="95" spans="1:6" x14ac:dyDescent="0.25">
      <c r="A95" s="11">
        <v>45498</v>
      </c>
      <c r="B95" s="12" t="s">
        <v>26</v>
      </c>
      <c r="C95" s="9" t="s">
        <v>27</v>
      </c>
      <c r="D95" s="13">
        <v>16.5</v>
      </c>
      <c r="E95" s="9">
        <v>2</v>
      </c>
      <c r="F95" s="9" t="s">
        <v>36</v>
      </c>
    </row>
    <row r="96" spans="1:6" x14ac:dyDescent="0.25">
      <c r="A96" s="11">
        <v>45499</v>
      </c>
      <c r="B96" s="12" t="s">
        <v>40</v>
      </c>
      <c r="C96" s="9" t="s">
        <v>41</v>
      </c>
      <c r="D96" s="13">
        <v>23.5</v>
      </c>
      <c r="E96" s="9">
        <v>35</v>
      </c>
      <c r="F96" s="9" t="s">
        <v>37</v>
      </c>
    </row>
    <row r="97" spans="1:6" x14ac:dyDescent="0.25">
      <c r="A97" s="11">
        <v>45499</v>
      </c>
      <c r="B97" s="12" t="s">
        <v>42</v>
      </c>
      <c r="C97" s="9" t="s">
        <v>43</v>
      </c>
      <c r="D97" s="13">
        <v>25</v>
      </c>
      <c r="E97" s="9">
        <v>20</v>
      </c>
      <c r="F97" s="9" t="s">
        <v>37</v>
      </c>
    </row>
    <row r="98" spans="1:6" x14ac:dyDescent="0.25">
      <c r="A98" s="11">
        <v>45499</v>
      </c>
      <c r="B98" s="12" t="s">
        <v>50</v>
      </c>
      <c r="C98" s="9" t="s">
        <v>51</v>
      </c>
      <c r="D98" s="13">
        <v>12.4</v>
      </c>
      <c r="E98" s="9">
        <v>18</v>
      </c>
      <c r="F98" s="9" t="s">
        <v>37</v>
      </c>
    </row>
    <row r="99" spans="1:6" x14ac:dyDescent="0.25">
      <c r="A99" s="11">
        <v>45499</v>
      </c>
      <c r="B99" s="12" t="s">
        <v>29</v>
      </c>
      <c r="C99" s="9" t="s">
        <v>30</v>
      </c>
      <c r="D99" s="13">
        <v>8.5</v>
      </c>
      <c r="E99" s="9">
        <v>3</v>
      </c>
      <c r="F99" s="9" t="s">
        <v>37</v>
      </c>
    </row>
    <row r="100" spans="1:6" x14ac:dyDescent="0.25">
      <c r="A100" s="11">
        <v>45502</v>
      </c>
      <c r="B100" s="12" t="s">
        <v>40</v>
      </c>
      <c r="C100" s="9" t="s">
        <v>41</v>
      </c>
      <c r="D100" s="13">
        <v>23.5</v>
      </c>
      <c r="E100" s="9">
        <v>20</v>
      </c>
      <c r="F100" s="9" t="s">
        <v>36</v>
      </c>
    </row>
    <row r="101" spans="1:6" x14ac:dyDescent="0.25">
      <c r="A101" s="11">
        <v>45502</v>
      </c>
      <c r="B101" s="12" t="s">
        <v>31</v>
      </c>
      <c r="C101" s="9" t="s">
        <v>32</v>
      </c>
      <c r="D101" s="13">
        <v>8.4</v>
      </c>
      <c r="E101" s="9">
        <v>15</v>
      </c>
      <c r="F101" s="9" t="s">
        <v>36</v>
      </c>
    </row>
    <row r="102" spans="1:6" x14ac:dyDescent="0.25">
      <c r="A102" s="11">
        <v>45502</v>
      </c>
      <c r="B102" s="12" t="s">
        <v>38</v>
      </c>
      <c r="C102" s="9" t="s">
        <v>39</v>
      </c>
      <c r="D102" s="13">
        <v>16</v>
      </c>
      <c r="E102" s="9">
        <v>21</v>
      </c>
      <c r="F102" s="9" t="s">
        <v>36</v>
      </c>
    </row>
    <row r="103" spans="1:6" x14ac:dyDescent="0.25">
      <c r="A103" s="11">
        <v>45502</v>
      </c>
      <c r="B103" s="12" t="s">
        <v>38</v>
      </c>
      <c r="C103" s="9" t="s">
        <v>39</v>
      </c>
      <c r="D103" s="13">
        <v>16</v>
      </c>
      <c r="E103" s="9">
        <v>5</v>
      </c>
      <c r="F103" s="9" t="s">
        <v>36</v>
      </c>
    </row>
    <row r="104" spans="1:6" x14ac:dyDescent="0.25">
      <c r="A104" s="11">
        <v>45503</v>
      </c>
      <c r="B104" s="12" t="s">
        <v>26</v>
      </c>
      <c r="C104" s="9" t="s">
        <v>27</v>
      </c>
      <c r="D104" s="13">
        <v>16.5</v>
      </c>
      <c r="E104" s="9">
        <v>36</v>
      </c>
      <c r="F104" s="9" t="s">
        <v>49</v>
      </c>
    </row>
    <row r="105" spans="1:6" x14ac:dyDescent="0.25">
      <c r="A105" s="11">
        <v>45503</v>
      </c>
      <c r="B105" s="12" t="s">
        <v>40</v>
      </c>
      <c r="C105" s="9" t="s">
        <v>41</v>
      </c>
      <c r="D105" s="13">
        <v>23.5</v>
      </c>
      <c r="E105" s="9">
        <v>45</v>
      </c>
      <c r="F105" s="9" t="s">
        <v>49</v>
      </c>
    </row>
    <row r="106" spans="1:6" x14ac:dyDescent="0.25">
      <c r="A106" s="11">
        <v>45503</v>
      </c>
      <c r="B106" s="12" t="s">
        <v>40</v>
      </c>
      <c r="C106" s="9" t="s">
        <v>41</v>
      </c>
      <c r="D106" s="13">
        <v>23.5</v>
      </c>
      <c r="E106" s="9">
        <v>40</v>
      </c>
      <c r="F106" s="9" t="s">
        <v>49</v>
      </c>
    </row>
    <row r="107" spans="1:6" x14ac:dyDescent="0.25">
      <c r="A107" s="11">
        <v>45504</v>
      </c>
      <c r="B107" s="12" t="s">
        <v>50</v>
      </c>
      <c r="C107" s="9" t="s">
        <v>51</v>
      </c>
      <c r="D107" s="13">
        <v>12.4</v>
      </c>
      <c r="E107" s="9">
        <v>40</v>
      </c>
      <c r="F107" s="9" t="s">
        <v>54</v>
      </c>
    </row>
    <row r="108" spans="1:6" x14ac:dyDescent="0.25">
      <c r="A108" s="11">
        <v>45504</v>
      </c>
      <c r="B108" s="12" t="s">
        <v>50</v>
      </c>
      <c r="C108" s="9" t="s">
        <v>51</v>
      </c>
      <c r="D108" s="13">
        <v>12.4</v>
      </c>
      <c r="E108" s="9">
        <v>100</v>
      </c>
      <c r="F108" s="9" t="s">
        <v>54</v>
      </c>
    </row>
    <row r="109" spans="1:6" x14ac:dyDescent="0.25">
      <c r="A109" s="11">
        <v>45505</v>
      </c>
      <c r="B109" s="12" t="s">
        <v>26</v>
      </c>
      <c r="C109" s="9" t="s">
        <v>27</v>
      </c>
      <c r="D109" s="13">
        <v>16.5</v>
      </c>
      <c r="E109" s="9">
        <v>40</v>
      </c>
      <c r="F109" s="9" t="s">
        <v>54</v>
      </c>
    </row>
    <row r="110" spans="1:6" x14ac:dyDescent="0.25">
      <c r="A110" s="11">
        <v>45505</v>
      </c>
      <c r="B110" s="12" t="s">
        <v>31</v>
      </c>
      <c r="C110" s="9" t="s">
        <v>58</v>
      </c>
      <c r="D110" s="13">
        <v>118</v>
      </c>
      <c r="E110" s="9">
        <v>20</v>
      </c>
      <c r="F110" s="9" t="s">
        <v>54</v>
      </c>
    </row>
    <row r="111" spans="1:6" x14ac:dyDescent="0.25">
      <c r="A111" s="11">
        <v>45505</v>
      </c>
      <c r="B111" s="12" t="s">
        <v>50</v>
      </c>
      <c r="C111" s="9" t="s">
        <v>51</v>
      </c>
      <c r="D111" s="13">
        <v>12.4</v>
      </c>
      <c r="E111" s="9">
        <v>15</v>
      </c>
      <c r="F111" s="9" t="s">
        <v>54</v>
      </c>
    </row>
    <row r="112" spans="1:6" x14ac:dyDescent="0.25">
      <c r="A112" s="11">
        <v>45506</v>
      </c>
      <c r="B112" s="12" t="s">
        <v>56</v>
      </c>
      <c r="C112" s="9" t="s">
        <v>57</v>
      </c>
      <c r="D112" s="13">
        <v>39</v>
      </c>
      <c r="E112" s="9">
        <v>10</v>
      </c>
      <c r="F112" s="9" t="s">
        <v>36</v>
      </c>
    </row>
    <row r="113" spans="1:6" x14ac:dyDescent="0.25">
      <c r="A113" s="11">
        <v>45506</v>
      </c>
      <c r="B113" s="12" t="s">
        <v>31</v>
      </c>
      <c r="C113" s="9" t="s">
        <v>32</v>
      </c>
      <c r="D113" s="13">
        <v>8.4</v>
      </c>
      <c r="E113" s="9">
        <v>3</v>
      </c>
      <c r="F113" s="9" t="s">
        <v>36</v>
      </c>
    </row>
    <row r="114" spans="1:6" x14ac:dyDescent="0.25">
      <c r="A114" s="11">
        <v>45509</v>
      </c>
      <c r="B114" s="12" t="s">
        <v>40</v>
      </c>
      <c r="C114" s="9" t="s">
        <v>41</v>
      </c>
      <c r="D114" s="13">
        <v>23.5</v>
      </c>
      <c r="E114" s="9">
        <v>30</v>
      </c>
      <c r="F114" s="9" t="s">
        <v>61</v>
      </c>
    </row>
    <row r="115" spans="1:6" x14ac:dyDescent="0.25">
      <c r="A115" s="11">
        <v>45509</v>
      </c>
      <c r="B115" s="12" t="s">
        <v>59</v>
      </c>
      <c r="C115" s="9" t="s">
        <v>60</v>
      </c>
      <c r="D115" s="13">
        <v>4.5</v>
      </c>
      <c r="E115" s="9">
        <v>30</v>
      </c>
      <c r="F115" s="9" t="s">
        <v>61</v>
      </c>
    </row>
    <row r="116" spans="1:6" x14ac:dyDescent="0.25">
      <c r="A116" s="11">
        <v>45510</v>
      </c>
      <c r="B116" s="12" t="s">
        <v>56</v>
      </c>
      <c r="C116" s="9" t="s">
        <v>57</v>
      </c>
      <c r="D116" s="13">
        <v>39</v>
      </c>
      <c r="E116" s="9">
        <v>15</v>
      </c>
      <c r="F116" s="9" t="s">
        <v>54</v>
      </c>
    </row>
    <row r="117" spans="1:6" x14ac:dyDescent="0.25">
      <c r="A117" s="11">
        <v>45510</v>
      </c>
      <c r="B117" s="12" t="s">
        <v>38</v>
      </c>
      <c r="C117" s="9" t="s">
        <v>39</v>
      </c>
      <c r="D117" s="13">
        <v>16</v>
      </c>
      <c r="E117" s="9">
        <v>24</v>
      </c>
      <c r="F117" s="9" t="s">
        <v>33</v>
      </c>
    </row>
    <row r="118" spans="1:6" x14ac:dyDescent="0.25">
      <c r="A118" s="11">
        <v>45510</v>
      </c>
      <c r="B118" s="12" t="s">
        <v>40</v>
      </c>
      <c r="C118" s="9" t="s">
        <v>41</v>
      </c>
      <c r="D118" s="13">
        <v>23.5</v>
      </c>
      <c r="E118" s="9">
        <v>20</v>
      </c>
      <c r="F118" s="9" t="s">
        <v>54</v>
      </c>
    </row>
    <row r="119" spans="1:6" x14ac:dyDescent="0.25">
      <c r="A119" s="11">
        <v>45510</v>
      </c>
      <c r="B119" s="12" t="s">
        <v>29</v>
      </c>
      <c r="C119" s="9" t="s">
        <v>30</v>
      </c>
      <c r="D119" s="13">
        <v>8.5</v>
      </c>
      <c r="E119" s="9">
        <v>15</v>
      </c>
      <c r="F119" s="9" t="s">
        <v>54</v>
      </c>
    </row>
    <row r="120" spans="1:6" x14ac:dyDescent="0.25">
      <c r="A120" s="11">
        <v>45510</v>
      </c>
      <c r="B120" s="12" t="s">
        <v>46</v>
      </c>
      <c r="C120" s="9" t="s">
        <v>47</v>
      </c>
      <c r="D120" s="13">
        <v>34.200000000000003</v>
      </c>
      <c r="E120" s="9">
        <v>10</v>
      </c>
      <c r="F120" s="9" t="s">
        <v>54</v>
      </c>
    </row>
    <row r="121" spans="1:6" x14ac:dyDescent="0.25">
      <c r="A121" s="11">
        <v>45510</v>
      </c>
      <c r="B121" s="12" t="s">
        <v>38</v>
      </c>
      <c r="C121" s="9" t="s">
        <v>39</v>
      </c>
      <c r="D121" s="13">
        <v>16</v>
      </c>
      <c r="E121" s="9">
        <v>20</v>
      </c>
      <c r="F121" s="9" t="s">
        <v>33</v>
      </c>
    </row>
    <row r="122" spans="1:6" x14ac:dyDescent="0.25">
      <c r="A122" s="11">
        <v>45510</v>
      </c>
      <c r="B122" s="12" t="s">
        <v>29</v>
      </c>
      <c r="C122" s="9" t="s">
        <v>30</v>
      </c>
      <c r="D122" s="13">
        <v>8.5</v>
      </c>
      <c r="E122" s="9">
        <v>2</v>
      </c>
      <c r="F122" s="9" t="s">
        <v>33</v>
      </c>
    </row>
    <row r="123" spans="1:6" x14ac:dyDescent="0.25">
      <c r="A123" s="11">
        <v>45511</v>
      </c>
      <c r="B123" s="12" t="s">
        <v>31</v>
      </c>
      <c r="C123" s="9" t="s">
        <v>32</v>
      </c>
      <c r="D123" s="13">
        <v>8.4</v>
      </c>
      <c r="E123" s="9">
        <v>20</v>
      </c>
      <c r="F123" s="9" t="s">
        <v>49</v>
      </c>
    </row>
    <row r="124" spans="1:6" x14ac:dyDescent="0.25">
      <c r="A124" s="11">
        <v>45512</v>
      </c>
      <c r="B124" s="12" t="s">
        <v>40</v>
      </c>
      <c r="C124" s="9" t="s">
        <v>41</v>
      </c>
      <c r="D124" s="13">
        <v>23.5</v>
      </c>
      <c r="E124" s="9">
        <v>12</v>
      </c>
      <c r="F124" s="9" t="s">
        <v>49</v>
      </c>
    </row>
    <row r="125" spans="1:6" x14ac:dyDescent="0.25">
      <c r="A125" s="11">
        <v>45512</v>
      </c>
      <c r="B125" s="12" t="s">
        <v>59</v>
      </c>
      <c r="C125" s="9" t="s">
        <v>60</v>
      </c>
      <c r="D125" s="13">
        <v>4.5</v>
      </c>
      <c r="E125" s="9">
        <v>60</v>
      </c>
      <c r="F125" s="9" t="s">
        <v>49</v>
      </c>
    </row>
    <row r="126" spans="1:6" x14ac:dyDescent="0.25">
      <c r="A126" s="11">
        <v>45512</v>
      </c>
      <c r="B126" s="12" t="s">
        <v>31</v>
      </c>
      <c r="C126" s="9" t="s">
        <v>58</v>
      </c>
      <c r="D126" s="13">
        <v>118</v>
      </c>
      <c r="E126" s="9">
        <v>6</v>
      </c>
      <c r="F126" s="9" t="s">
        <v>49</v>
      </c>
    </row>
    <row r="127" spans="1:6" x14ac:dyDescent="0.25">
      <c r="A127" s="11">
        <v>45512</v>
      </c>
      <c r="B127" s="12" t="s">
        <v>44</v>
      </c>
      <c r="C127" s="9" t="s">
        <v>45</v>
      </c>
      <c r="D127" s="13">
        <v>45.2</v>
      </c>
      <c r="E127" s="9">
        <v>10</v>
      </c>
      <c r="F127" s="9" t="s">
        <v>49</v>
      </c>
    </row>
    <row r="128" spans="1:6" x14ac:dyDescent="0.25">
      <c r="A128" s="11">
        <v>45513</v>
      </c>
      <c r="B128" s="12" t="s">
        <v>40</v>
      </c>
      <c r="C128" s="9" t="s">
        <v>41</v>
      </c>
      <c r="D128" s="13">
        <v>23.5</v>
      </c>
      <c r="E128" s="9">
        <v>21</v>
      </c>
      <c r="F128" s="9" t="s">
        <v>36</v>
      </c>
    </row>
    <row r="129" spans="1:6" x14ac:dyDescent="0.25">
      <c r="A129" s="11">
        <v>45513</v>
      </c>
      <c r="B129" s="12" t="s">
        <v>38</v>
      </c>
      <c r="C129" s="9" t="s">
        <v>39</v>
      </c>
      <c r="D129" s="13">
        <v>16</v>
      </c>
      <c r="E129" s="9">
        <v>15</v>
      </c>
      <c r="F129" s="9" t="s">
        <v>36</v>
      </c>
    </row>
    <row r="130" spans="1:6" x14ac:dyDescent="0.25">
      <c r="A130" s="11">
        <v>45513</v>
      </c>
      <c r="B130" s="12" t="s">
        <v>40</v>
      </c>
      <c r="C130" s="9" t="s">
        <v>41</v>
      </c>
      <c r="D130" s="13">
        <v>23.5</v>
      </c>
      <c r="E130" s="9">
        <v>15</v>
      </c>
      <c r="F130" s="9" t="s">
        <v>36</v>
      </c>
    </row>
    <row r="131" spans="1:6" x14ac:dyDescent="0.25">
      <c r="A131" s="11">
        <v>45513</v>
      </c>
      <c r="B131" s="12" t="s">
        <v>40</v>
      </c>
      <c r="C131" s="9" t="s">
        <v>41</v>
      </c>
      <c r="D131" s="13">
        <v>23.5</v>
      </c>
      <c r="E131" s="9">
        <v>18</v>
      </c>
      <c r="F131" s="9" t="s">
        <v>36</v>
      </c>
    </row>
    <row r="132" spans="1:6" x14ac:dyDescent="0.25">
      <c r="A132" s="11">
        <v>45513</v>
      </c>
      <c r="B132" s="12" t="s">
        <v>31</v>
      </c>
      <c r="C132" s="9" t="s">
        <v>58</v>
      </c>
      <c r="D132" s="13">
        <v>118</v>
      </c>
      <c r="E132" s="9">
        <v>6</v>
      </c>
      <c r="F132" s="9" t="s">
        <v>36</v>
      </c>
    </row>
    <row r="133" spans="1:6" x14ac:dyDescent="0.25">
      <c r="A133" s="11">
        <v>45516</v>
      </c>
      <c r="B133" s="12" t="s">
        <v>44</v>
      </c>
      <c r="C133" s="9" t="s">
        <v>45</v>
      </c>
      <c r="D133" s="13">
        <v>45.2</v>
      </c>
      <c r="E133" s="9">
        <v>10</v>
      </c>
      <c r="F133" s="9" t="s">
        <v>55</v>
      </c>
    </row>
    <row r="134" spans="1:6" x14ac:dyDescent="0.25">
      <c r="A134" s="11">
        <v>45517</v>
      </c>
      <c r="B134" s="12" t="s">
        <v>26</v>
      </c>
      <c r="C134" s="9" t="s">
        <v>27</v>
      </c>
      <c r="D134" s="13">
        <v>16.5</v>
      </c>
      <c r="E134" s="9">
        <v>30</v>
      </c>
      <c r="F134" s="9" t="s">
        <v>33</v>
      </c>
    </row>
    <row r="135" spans="1:6" x14ac:dyDescent="0.25">
      <c r="A135" s="11">
        <v>45517</v>
      </c>
      <c r="B135" s="12" t="s">
        <v>38</v>
      </c>
      <c r="C135" s="9" t="s">
        <v>39</v>
      </c>
      <c r="D135" s="13">
        <v>16</v>
      </c>
      <c r="E135" s="9">
        <v>15</v>
      </c>
      <c r="F135" s="9" t="s">
        <v>33</v>
      </c>
    </row>
    <row r="136" spans="1:6" x14ac:dyDescent="0.25">
      <c r="A136" s="11">
        <v>45517</v>
      </c>
      <c r="B136" s="12" t="s">
        <v>26</v>
      </c>
      <c r="C136" s="9" t="s">
        <v>27</v>
      </c>
      <c r="D136" s="13">
        <v>16.5</v>
      </c>
      <c r="E136" s="9">
        <v>12</v>
      </c>
      <c r="F136" s="9" t="s">
        <v>33</v>
      </c>
    </row>
    <row r="137" spans="1:6" x14ac:dyDescent="0.25">
      <c r="A137" s="11">
        <v>45518</v>
      </c>
      <c r="B137" s="12" t="s">
        <v>40</v>
      </c>
      <c r="C137" s="9" t="s">
        <v>41</v>
      </c>
      <c r="D137" s="13">
        <v>23.5</v>
      </c>
      <c r="E137" s="9">
        <v>60</v>
      </c>
      <c r="F137" s="9" t="s">
        <v>28</v>
      </c>
    </row>
    <row r="138" spans="1:6" x14ac:dyDescent="0.25">
      <c r="A138" s="11">
        <v>45518</v>
      </c>
      <c r="B138" s="12" t="s">
        <v>29</v>
      </c>
      <c r="C138" s="9" t="s">
        <v>30</v>
      </c>
      <c r="D138" s="13">
        <v>8.5</v>
      </c>
      <c r="E138" s="9">
        <v>20</v>
      </c>
      <c r="F138" s="9" t="s">
        <v>28</v>
      </c>
    </row>
    <row r="139" spans="1:6" x14ac:dyDescent="0.25">
      <c r="A139" s="11">
        <v>45519</v>
      </c>
      <c r="B139" s="12" t="s">
        <v>26</v>
      </c>
      <c r="C139" s="9" t="s">
        <v>27</v>
      </c>
      <c r="D139" s="13">
        <v>16.5</v>
      </c>
      <c r="E139" s="9">
        <v>30</v>
      </c>
      <c r="F139" s="9" t="s">
        <v>33</v>
      </c>
    </row>
    <row r="140" spans="1:6" x14ac:dyDescent="0.25">
      <c r="A140" s="11">
        <v>45519</v>
      </c>
      <c r="B140" s="12" t="s">
        <v>38</v>
      </c>
      <c r="C140" s="9" t="s">
        <v>39</v>
      </c>
      <c r="D140" s="13">
        <v>16</v>
      </c>
      <c r="E140" s="9">
        <v>40</v>
      </c>
      <c r="F140" s="9" t="s">
        <v>33</v>
      </c>
    </row>
    <row r="141" spans="1:6" x14ac:dyDescent="0.25">
      <c r="A141" s="11">
        <v>45519</v>
      </c>
      <c r="B141" s="12" t="s">
        <v>40</v>
      </c>
      <c r="C141" s="9" t="s">
        <v>41</v>
      </c>
      <c r="D141" s="13">
        <v>23.5</v>
      </c>
      <c r="E141" s="9">
        <v>40</v>
      </c>
      <c r="F141" s="9" t="s">
        <v>33</v>
      </c>
    </row>
    <row r="142" spans="1:6" x14ac:dyDescent="0.25">
      <c r="A142" s="11">
        <v>45519</v>
      </c>
      <c r="B142" s="12" t="s">
        <v>50</v>
      </c>
      <c r="C142" s="9" t="s">
        <v>51</v>
      </c>
      <c r="D142" s="13">
        <v>12.4</v>
      </c>
      <c r="E142" s="9">
        <v>15</v>
      </c>
      <c r="F142" s="9" t="s">
        <v>33</v>
      </c>
    </row>
    <row r="143" spans="1:6" x14ac:dyDescent="0.25">
      <c r="A143" s="11">
        <v>45520</v>
      </c>
      <c r="B143" s="12" t="s">
        <v>46</v>
      </c>
      <c r="C143" s="9" t="s">
        <v>47</v>
      </c>
      <c r="D143" s="13">
        <v>34.200000000000003</v>
      </c>
      <c r="E143" s="9">
        <v>20</v>
      </c>
      <c r="F143" s="9" t="s">
        <v>36</v>
      </c>
    </row>
    <row r="144" spans="1:6" x14ac:dyDescent="0.25">
      <c r="A144" s="11">
        <v>45520</v>
      </c>
      <c r="B144" s="12" t="s">
        <v>50</v>
      </c>
      <c r="C144" s="9" t="s">
        <v>51</v>
      </c>
      <c r="D144" s="13">
        <v>12.4</v>
      </c>
      <c r="E144" s="9">
        <v>15</v>
      </c>
      <c r="F144" s="9" t="s">
        <v>36</v>
      </c>
    </row>
    <row r="145" spans="1:6" x14ac:dyDescent="0.25">
      <c r="A145" s="11">
        <v>45523</v>
      </c>
      <c r="B145" s="12" t="s">
        <v>29</v>
      </c>
      <c r="C145" s="9" t="s">
        <v>30</v>
      </c>
      <c r="D145" s="13">
        <v>8.5</v>
      </c>
      <c r="E145" s="9">
        <v>30</v>
      </c>
      <c r="F145" s="9" t="s">
        <v>55</v>
      </c>
    </row>
    <row r="146" spans="1:6" x14ac:dyDescent="0.25">
      <c r="A146" s="11">
        <v>45523</v>
      </c>
      <c r="B146" s="12" t="s">
        <v>44</v>
      </c>
      <c r="C146" s="9" t="s">
        <v>45</v>
      </c>
      <c r="D146" s="13">
        <v>45.2</v>
      </c>
      <c r="E146" s="9">
        <v>20</v>
      </c>
      <c r="F146" s="9" t="s">
        <v>54</v>
      </c>
    </row>
    <row r="147" spans="1:6" x14ac:dyDescent="0.25">
      <c r="A147" s="11">
        <v>45523</v>
      </c>
      <c r="B147" s="12" t="s">
        <v>31</v>
      </c>
      <c r="C147" s="9" t="s">
        <v>32</v>
      </c>
      <c r="D147" s="13">
        <v>8.4</v>
      </c>
      <c r="E147" s="9">
        <v>20</v>
      </c>
      <c r="F147" s="9" t="s">
        <v>55</v>
      </c>
    </row>
    <row r="148" spans="1:6" x14ac:dyDescent="0.25">
      <c r="A148" s="11">
        <v>45523</v>
      </c>
      <c r="B148" s="12" t="s">
        <v>40</v>
      </c>
      <c r="C148" s="9" t="s">
        <v>41</v>
      </c>
      <c r="D148" s="13">
        <v>23.5</v>
      </c>
      <c r="E148" s="9">
        <v>10</v>
      </c>
      <c r="F148" s="9" t="s">
        <v>54</v>
      </c>
    </row>
    <row r="149" spans="1:6" x14ac:dyDescent="0.25">
      <c r="A149" s="11">
        <v>45524</v>
      </c>
      <c r="B149" s="12" t="s">
        <v>40</v>
      </c>
      <c r="C149" s="9" t="s">
        <v>41</v>
      </c>
      <c r="D149" s="13">
        <v>23.5</v>
      </c>
      <c r="E149" s="9">
        <v>40</v>
      </c>
      <c r="F149" s="9" t="s">
        <v>36</v>
      </c>
    </row>
    <row r="150" spans="1:6" x14ac:dyDescent="0.25">
      <c r="A150" s="11">
        <v>45524</v>
      </c>
      <c r="B150" s="12" t="s">
        <v>31</v>
      </c>
      <c r="C150" s="9" t="s">
        <v>58</v>
      </c>
      <c r="D150" s="13">
        <v>118</v>
      </c>
      <c r="E150" s="9">
        <v>28</v>
      </c>
      <c r="F150" s="9" t="s">
        <v>36</v>
      </c>
    </row>
    <row r="151" spans="1:6" x14ac:dyDescent="0.25">
      <c r="A151" s="11">
        <v>45524</v>
      </c>
      <c r="B151" s="12" t="s">
        <v>38</v>
      </c>
      <c r="C151" s="9" t="s">
        <v>39</v>
      </c>
      <c r="D151" s="13">
        <v>16</v>
      </c>
      <c r="E151" s="9">
        <v>12</v>
      </c>
      <c r="F151" s="9" t="s">
        <v>36</v>
      </c>
    </row>
    <row r="152" spans="1:6" x14ac:dyDescent="0.25">
      <c r="A152" s="11">
        <v>45525</v>
      </c>
      <c r="B152" s="12" t="s">
        <v>40</v>
      </c>
      <c r="C152" s="9" t="s">
        <v>41</v>
      </c>
      <c r="D152" s="13">
        <v>23.5</v>
      </c>
      <c r="E152" s="9">
        <v>40</v>
      </c>
      <c r="F152" s="9" t="s">
        <v>61</v>
      </c>
    </row>
    <row r="153" spans="1:6" x14ac:dyDescent="0.25">
      <c r="A153" s="11">
        <v>45525</v>
      </c>
      <c r="B153" s="12" t="s">
        <v>29</v>
      </c>
      <c r="C153" s="9" t="s">
        <v>30</v>
      </c>
      <c r="D153" s="13">
        <v>8.5</v>
      </c>
      <c r="E153" s="9">
        <v>30</v>
      </c>
      <c r="F153" s="9" t="s">
        <v>61</v>
      </c>
    </row>
    <row r="154" spans="1:6" x14ac:dyDescent="0.25">
      <c r="A154" s="11">
        <v>45525</v>
      </c>
      <c r="B154" s="12" t="s">
        <v>31</v>
      </c>
      <c r="C154" s="9" t="s">
        <v>32</v>
      </c>
      <c r="D154" s="13">
        <v>8.4</v>
      </c>
      <c r="E154" s="9">
        <v>15</v>
      </c>
      <c r="F154" s="9" t="s">
        <v>61</v>
      </c>
    </row>
    <row r="155" spans="1:6" x14ac:dyDescent="0.25">
      <c r="A155" s="11">
        <v>45526</v>
      </c>
      <c r="B155" s="12" t="s">
        <v>29</v>
      </c>
      <c r="C155" s="9" t="s">
        <v>30</v>
      </c>
      <c r="D155" s="13">
        <v>8.5</v>
      </c>
      <c r="E155" s="9">
        <v>30</v>
      </c>
      <c r="F155" s="9" t="s">
        <v>49</v>
      </c>
    </row>
    <row r="156" spans="1:6" x14ac:dyDescent="0.25">
      <c r="A156" s="11">
        <v>45526</v>
      </c>
      <c r="B156" s="12" t="s">
        <v>26</v>
      </c>
      <c r="C156" s="9" t="s">
        <v>27</v>
      </c>
      <c r="D156" s="13">
        <v>16.5</v>
      </c>
      <c r="E156" s="9">
        <v>10</v>
      </c>
      <c r="F156" s="9" t="s">
        <v>49</v>
      </c>
    </row>
    <row r="157" spans="1:6" x14ac:dyDescent="0.25">
      <c r="A157" s="11">
        <v>45526</v>
      </c>
      <c r="B157" s="12" t="s">
        <v>42</v>
      </c>
      <c r="C157" s="9" t="s">
        <v>43</v>
      </c>
      <c r="D157" s="13">
        <v>25</v>
      </c>
      <c r="E157" s="9">
        <v>2</v>
      </c>
      <c r="F157" s="9" t="s">
        <v>49</v>
      </c>
    </row>
    <row r="158" spans="1:6" x14ac:dyDescent="0.25">
      <c r="A158" s="11">
        <v>45527</v>
      </c>
      <c r="B158" s="12" t="s">
        <v>40</v>
      </c>
      <c r="C158" s="9" t="s">
        <v>41</v>
      </c>
      <c r="D158" s="13">
        <v>23.5</v>
      </c>
      <c r="E158" s="9">
        <v>30</v>
      </c>
      <c r="F158" s="9" t="s">
        <v>54</v>
      </c>
    </row>
    <row r="159" spans="1:6" x14ac:dyDescent="0.25">
      <c r="A159" s="11">
        <v>45527</v>
      </c>
      <c r="B159" s="12" t="s">
        <v>56</v>
      </c>
      <c r="C159" s="9" t="s">
        <v>57</v>
      </c>
      <c r="D159" s="13">
        <v>39</v>
      </c>
      <c r="E159" s="9">
        <v>25</v>
      </c>
      <c r="F159" s="9" t="s">
        <v>54</v>
      </c>
    </row>
    <row r="160" spans="1:6" x14ac:dyDescent="0.25">
      <c r="A160" s="11">
        <v>45527</v>
      </c>
      <c r="B160" s="12" t="s">
        <v>40</v>
      </c>
      <c r="C160" s="9" t="s">
        <v>41</v>
      </c>
      <c r="D160" s="13">
        <v>23.5</v>
      </c>
      <c r="E160" s="9">
        <v>25</v>
      </c>
      <c r="F160" s="9" t="s">
        <v>54</v>
      </c>
    </row>
    <row r="161" spans="1:6" x14ac:dyDescent="0.25">
      <c r="A161" s="11">
        <v>45530</v>
      </c>
      <c r="B161" s="12" t="s">
        <v>26</v>
      </c>
      <c r="C161" s="9" t="s">
        <v>27</v>
      </c>
      <c r="D161" s="13">
        <v>16.5</v>
      </c>
      <c r="E161" s="9">
        <v>10</v>
      </c>
      <c r="F161" s="9" t="s">
        <v>49</v>
      </c>
    </row>
    <row r="162" spans="1:6" x14ac:dyDescent="0.25">
      <c r="A162" s="11">
        <v>45530</v>
      </c>
      <c r="B162" s="12" t="s">
        <v>46</v>
      </c>
      <c r="C162" s="9" t="s">
        <v>47</v>
      </c>
      <c r="D162" s="13">
        <v>34.200000000000003</v>
      </c>
      <c r="E162" s="9">
        <v>10</v>
      </c>
      <c r="F162" s="9" t="s">
        <v>49</v>
      </c>
    </row>
    <row r="163" spans="1:6" x14ac:dyDescent="0.25">
      <c r="A163" s="11">
        <v>45530</v>
      </c>
      <c r="B163" s="12" t="s">
        <v>56</v>
      </c>
      <c r="C163" s="9" t="s">
        <v>57</v>
      </c>
      <c r="D163" s="13">
        <v>39</v>
      </c>
      <c r="E163" s="9">
        <v>5</v>
      </c>
      <c r="F163" s="9" t="s">
        <v>49</v>
      </c>
    </row>
    <row r="164" spans="1:6" x14ac:dyDescent="0.25">
      <c r="A164" s="11">
        <v>45531</v>
      </c>
      <c r="B164" s="12" t="s">
        <v>50</v>
      </c>
      <c r="C164" s="9" t="s">
        <v>51</v>
      </c>
      <c r="D164" s="13">
        <v>12.4</v>
      </c>
      <c r="E164" s="9">
        <v>10</v>
      </c>
      <c r="F164" s="9" t="s">
        <v>55</v>
      </c>
    </row>
    <row r="165" spans="1:6" x14ac:dyDescent="0.25">
      <c r="A165" s="11">
        <v>45531</v>
      </c>
      <c r="B165" s="12" t="s">
        <v>31</v>
      </c>
      <c r="C165" s="9" t="s">
        <v>32</v>
      </c>
      <c r="D165" s="13">
        <v>8.4</v>
      </c>
      <c r="E165" s="9">
        <v>3</v>
      </c>
      <c r="F165" s="9" t="s">
        <v>55</v>
      </c>
    </row>
    <row r="166" spans="1:6" x14ac:dyDescent="0.25">
      <c r="A166" s="11">
        <v>45532</v>
      </c>
      <c r="B166" s="12" t="s">
        <v>46</v>
      </c>
      <c r="C166" s="9" t="s">
        <v>47</v>
      </c>
      <c r="D166" s="13">
        <v>34.200000000000003</v>
      </c>
      <c r="E166" s="9">
        <v>5</v>
      </c>
      <c r="F166" s="9" t="s">
        <v>61</v>
      </c>
    </row>
    <row r="167" spans="1:6" x14ac:dyDescent="0.25">
      <c r="A167" s="11">
        <v>45532</v>
      </c>
      <c r="B167" s="12" t="s">
        <v>38</v>
      </c>
      <c r="C167" s="9" t="s">
        <v>39</v>
      </c>
      <c r="D167" s="13">
        <v>16</v>
      </c>
      <c r="E167" s="9">
        <v>1</v>
      </c>
      <c r="F167" s="9" t="s">
        <v>61</v>
      </c>
    </row>
    <row r="168" spans="1:6" x14ac:dyDescent="0.25">
      <c r="A168" s="11">
        <v>45533</v>
      </c>
      <c r="B168" s="12" t="s">
        <v>44</v>
      </c>
      <c r="C168" s="9" t="s">
        <v>45</v>
      </c>
      <c r="D168" s="13">
        <v>45.2</v>
      </c>
      <c r="E168" s="9">
        <v>30</v>
      </c>
      <c r="F168" s="9" t="s">
        <v>37</v>
      </c>
    </row>
    <row r="169" spans="1:6" x14ac:dyDescent="0.25">
      <c r="A169" s="11">
        <v>45533</v>
      </c>
      <c r="B169" s="12" t="s">
        <v>38</v>
      </c>
      <c r="C169" s="9" t="s">
        <v>39</v>
      </c>
      <c r="D169" s="13">
        <v>16</v>
      </c>
      <c r="E169" s="9">
        <v>20</v>
      </c>
      <c r="F169" s="9" t="s">
        <v>37</v>
      </c>
    </row>
    <row r="170" spans="1:6" x14ac:dyDescent="0.25">
      <c r="A170" s="11">
        <v>45533</v>
      </c>
      <c r="B170" s="12" t="s">
        <v>40</v>
      </c>
      <c r="C170" s="9" t="s">
        <v>41</v>
      </c>
      <c r="D170" s="13">
        <v>23.5</v>
      </c>
      <c r="E170" s="9">
        <v>20</v>
      </c>
      <c r="F170" s="9" t="s">
        <v>37</v>
      </c>
    </row>
    <row r="171" spans="1:6" x14ac:dyDescent="0.25">
      <c r="A171" s="11">
        <v>45533</v>
      </c>
      <c r="B171" s="12" t="s">
        <v>42</v>
      </c>
      <c r="C171" s="9" t="s">
        <v>43</v>
      </c>
      <c r="D171" s="13">
        <v>25</v>
      </c>
      <c r="E171" s="9">
        <v>3</v>
      </c>
      <c r="F171" s="9" t="s">
        <v>37</v>
      </c>
    </row>
    <row r="172" spans="1:6" x14ac:dyDescent="0.25">
      <c r="A172" s="11">
        <v>45533</v>
      </c>
      <c r="B172" s="12" t="s">
        <v>31</v>
      </c>
      <c r="C172" s="9" t="s">
        <v>32</v>
      </c>
      <c r="D172" s="13">
        <v>8.4</v>
      </c>
      <c r="E172" s="9">
        <v>6</v>
      </c>
      <c r="F172" s="9" t="s">
        <v>37</v>
      </c>
    </row>
    <row r="173" spans="1:6" x14ac:dyDescent="0.25">
      <c r="A173" s="11">
        <v>45534</v>
      </c>
      <c r="B173" s="12" t="s">
        <v>38</v>
      </c>
      <c r="C173" s="9" t="s">
        <v>39</v>
      </c>
      <c r="D173" s="13">
        <v>16</v>
      </c>
      <c r="E173" s="9">
        <v>7</v>
      </c>
      <c r="F173" s="9" t="s">
        <v>49</v>
      </c>
    </row>
    <row r="174" spans="1:6" x14ac:dyDescent="0.25">
      <c r="A174" s="11">
        <v>45534</v>
      </c>
      <c r="B174" s="12" t="s">
        <v>50</v>
      </c>
      <c r="C174" s="9" t="s">
        <v>51</v>
      </c>
      <c r="D174" s="13">
        <v>12.4</v>
      </c>
      <c r="E174" s="9">
        <v>5</v>
      </c>
      <c r="F174" s="9" t="s">
        <v>54</v>
      </c>
    </row>
    <row r="175" spans="1:6" x14ac:dyDescent="0.25">
      <c r="A175" s="11">
        <v>45534</v>
      </c>
      <c r="B175" s="12" t="s">
        <v>26</v>
      </c>
      <c r="C175" s="9" t="s">
        <v>27</v>
      </c>
      <c r="D175" s="13">
        <v>16.5</v>
      </c>
      <c r="E175" s="9">
        <v>10</v>
      </c>
      <c r="F175" s="9" t="s">
        <v>54</v>
      </c>
    </row>
    <row r="176" spans="1:6" x14ac:dyDescent="0.25">
      <c r="A176" s="11">
        <v>45534</v>
      </c>
      <c r="B176" s="12" t="s">
        <v>31</v>
      </c>
      <c r="C176" s="9" t="s">
        <v>32</v>
      </c>
      <c r="D176" s="13">
        <v>8.4</v>
      </c>
      <c r="E176" s="9">
        <v>6</v>
      </c>
      <c r="F176" s="9" t="s">
        <v>49</v>
      </c>
    </row>
    <row r="177" spans="1:6" x14ac:dyDescent="0.25">
      <c r="A177" s="11">
        <v>45537</v>
      </c>
      <c r="B177" s="12" t="s">
        <v>38</v>
      </c>
      <c r="C177" s="9" t="s">
        <v>39</v>
      </c>
      <c r="D177" s="13">
        <v>16</v>
      </c>
      <c r="E177" s="9">
        <v>24</v>
      </c>
      <c r="F177" s="9" t="s">
        <v>55</v>
      </c>
    </row>
    <row r="178" spans="1:6" x14ac:dyDescent="0.25">
      <c r="A178" s="11">
        <v>45537</v>
      </c>
      <c r="B178" s="12" t="s">
        <v>26</v>
      </c>
      <c r="C178" s="9" t="s">
        <v>27</v>
      </c>
      <c r="D178" s="13">
        <v>16.5</v>
      </c>
      <c r="E178" s="9">
        <v>20</v>
      </c>
      <c r="F178" s="9" t="s">
        <v>55</v>
      </c>
    </row>
    <row r="179" spans="1:6" x14ac:dyDescent="0.25">
      <c r="A179" s="11">
        <v>45537</v>
      </c>
      <c r="B179" s="12" t="s">
        <v>31</v>
      </c>
      <c r="C179" s="9" t="s">
        <v>58</v>
      </c>
      <c r="D179" s="13">
        <v>118</v>
      </c>
      <c r="E179" s="9">
        <v>4</v>
      </c>
      <c r="F179" s="9" t="s">
        <v>55</v>
      </c>
    </row>
    <row r="180" spans="1:6" x14ac:dyDescent="0.25">
      <c r="A180" s="11">
        <v>45537</v>
      </c>
      <c r="B180" s="12" t="s">
        <v>31</v>
      </c>
      <c r="C180" s="9" t="s">
        <v>58</v>
      </c>
      <c r="D180" s="13">
        <v>118</v>
      </c>
      <c r="E180" s="9">
        <v>10</v>
      </c>
      <c r="F180" s="9" t="s">
        <v>55</v>
      </c>
    </row>
    <row r="181" spans="1:6" x14ac:dyDescent="0.25">
      <c r="A181" s="11">
        <v>45538</v>
      </c>
      <c r="B181" s="12" t="s">
        <v>38</v>
      </c>
      <c r="C181" s="9" t="s">
        <v>39</v>
      </c>
      <c r="D181" s="13">
        <v>16</v>
      </c>
      <c r="E181" s="9">
        <v>12</v>
      </c>
      <c r="F181" s="9" t="s">
        <v>55</v>
      </c>
    </row>
    <row r="182" spans="1:6" x14ac:dyDescent="0.25">
      <c r="A182" s="11">
        <v>45539</v>
      </c>
      <c r="B182" s="12" t="s">
        <v>29</v>
      </c>
      <c r="C182" s="9" t="s">
        <v>30</v>
      </c>
      <c r="D182" s="13">
        <v>8.5</v>
      </c>
      <c r="E182" s="9">
        <v>40</v>
      </c>
      <c r="F182" s="9" t="s">
        <v>49</v>
      </c>
    </row>
    <row r="183" spans="1:6" x14ac:dyDescent="0.25">
      <c r="A183" s="11">
        <v>45539</v>
      </c>
      <c r="B183" s="12" t="s">
        <v>42</v>
      </c>
      <c r="C183" s="9" t="s">
        <v>43</v>
      </c>
      <c r="D183" s="13">
        <v>25</v>
      </c>
      <c r="E183" s="9">
        <v>30</v>
      </c>
      <c r="F183" s="9" t="s">
        <v>49</v>
      </c>
    </row>
    <row r="184" spans="1:6" x14ac:dyDescent="0.25">
      <c r="A184" s="11">
        <v>45539</v>
      </c>
      <c r="B184" s="12" t="s">
        <v>50</v>
      </c>
      <c r="C184" s="9" t="s">
        <v>51</v>
      </c>
      <c r="D184" s="13">
        <v>12.4</v>
      </c>
      <c r="E184" s="9">
        <v>25</v>
      </c>
      <c r="F184" s="9" t="s">
        <v>49</v>
      </c>
    </row>
    <row r="185" spans="1:6" x14ac:dyDescent="0.25">
      <c r="A185" s="11">
        <v>45540</v>
      </c>
      <c r="B185" s="12" t="s">
        <v>46</v>
      </c>
      <c r="C185" s="9" t="s">
        <v>47</v>
      </c>
      <c r="D185" s="13">
        <v>34.200000000000003</v>
      </c>
      <c r="E185" s="9">
        <v>30</v>
      </c>
      <c r="F185" s="9" t="s">
        <v>36</v>
      </c>
    </row>
    <row r="186" spans="1:6" x14ac:dyDescent="0.25">
      <c r="A186" s="11">
        <v>45540</v>
      </c>
      <c r="B186" s="12" t="s">
        <v>31</v>
      </c>
      <c r="C186" s="9" t="s">
        <v>58</v>
      </c>
      <c r="D186" s="13">
        <v>118</v>
      </c>
      <c r="E186" s="9">
        <v>14</v>
      </c>
      <c r="F186" s="9" t="s">
        <v>36</v>
      </c>
    </row>
    <row r="187" spans="1:6" x14ac:dyDescent="0.25">
      <c r="A187" s="11">
        <v>45541</v>
      </c>
      <c r="B187" s="12" t="s">
        <v>50</v>
      </c>
      <c r="C187" s="9" t="s">
        <v>51</v>
      </c>
      <c r="D187" s="13">
        <v>12.4</v>
      </c>
      <c r="E187" s="9">
        <v>70</v>
      </c>
      <c r="F187" s="9" t="s">
        <v>49</v>
      </c>
    </row>
    <row r="188" spans="1:6" x14ac:dyDescent="0.25">
      <c r="A188" s="11">
        <v>45541</v>
      </c>
      <c r="B188" s="12" t="s">
        <v>38</v>
      </c>
      <c r="C188" s="9" t="s">
        <v>39</v>
      </c>
      <c r="D188" s="13">
        <v>16</v>
      </c>
      <c r="E188" s="9">
        <v>10</v>
      </c>
      <c r="F188" s="9" t="s">
        <v>49</v>
      </c>
    </row>
    <row r="189" spans="1:6" x14ac:dyDescent="0.25">
      <c r="A189" s="11">
        <v>45544</v>
      </c>
      <c r="B189" s="12" t="s">
        <v>40</v>
      </c>
      <c r="C189" s="9" t="s">
        <v>41</v>
      </c>
      <c r="D189" s="13">
        <v>23.5</v>
      </c>
      <c r="E189" s="9">
        <v>20</v>
      </c>
      <c r="F189" s="9" t="s">
        <v>33</v>
      </c>
    </row>
    <row r="190" spans="1:6" x14ac:dyDescent="0.25">
      <c r="A190" s="11">
        <v>45545</v>
      </c>
      <c r="B190" s="12" t="s">
        <v>38</v>
      </c>
      <c r="C190" s="9" t="s">
        <v>39</v>
      </c>
      <c r="D190" s="13">
        <v>16</v>
      </c>
      <c r="E190" s="9">
        <v>20</v>
      </c>
      <c r="F190" s="9" t="s">
        <v>54</v>
      </c>
    </row>
    <row r="191" spans="1:6" x14ac:dyDescent="0.25">
      <c r="A191" s="11">
        <v>45545</v>
      </c>
      <c r="B191" s="12" t="s">
        <v>38</v>
      </c>
      <c r="C191" s="9" t="s">
        <v>39</v>
      </c>
      <c r="D191" s="13">
        <v>16</v>
      </c>
      <c r="E191" s="9">
        <v>6</v>
      </c>
      <c r="F191" s="9" t="s">
        <v>54</v>
      </c>
    </row>
    <row r="192" spans="1:6" x14ac:dyDescent="0.25">
      <c r="A192" s="11">
        <v>45546</v>
      </c>
      <c r="B192" s="12" t="s">
        <v>38</v>
      </c>
      <c r="C192" s="9" t="s">
        <v>39</v>
      </c>
      <c r="D192" s="13">
        <v>16</v>
      </c>
      <c r="E192" s="9">
        <v>30</v>
      </c>
      <c r="F192" s="9" t="s">
        <v>61</v>
      </c>
    </row>
    <row r="193" spans="1:6" x14ac:dyDescent="0.25">
      <c r="A193" s="11">
        <v>45546</v>
      </c>
      <c r="B193" s="12" t="s">
        <v>31</v>
      </c>
      <c r="C193" s="9" t="s">
        <v>58</v>
      </c>
      <c r="D193" s="13">
        <v>118</v>
      </c>
      <c r="E193" s="9">
        <v>14</v>
      </c>
      <c r="F193" s="9" t="s">
        <v>61</v>
      </c>
    </row>
    <row r="194" spans="1:6" x14ac:dyDescent="0.25">
      <c r="A194" s="11">
        <v>45546</v>
      </c>
      <c r="B194" s="12" t="s">
        <v>40</v>
      </c>
      <c r="C194" s="9" t="s">
        <v>41</v>
      </c>
      <c r="D194" s="13">
        <v>23.5</v>
      </c>
      <c r="E194" s="9">
        <v>8</v>
      </c>
      <c r="F194" s="9" t="s">
        <v>61</v>
      </c>
    </row>
    <row r="195" spans="1:6" x14ac:dyDescent="0.25">
      <c r="A195" s="11">
        <v>45547</v>
      </c>
      <c r="B195" s="12" t="s">
        <v>42</v>
      </c>
      <c r="C195" s="9" t="s">
        <v>43</v>
      </c>
      <c r="D195" s="13">
        <v>25</v>
      </c>
      <c r="E195" s="9">
        <v>30</v>
      </c>
      <c r="F195" s="9" t="s">
        <v>28</v>
      </c>
    </row>
    <row r="196" spans="1:6" x14ac:dyDescent="0.25">
      <c r="A196" s="11">
        <v>45547</v>
      </c>
      <c r="B196" s="12" t="s">
        <v>50</v>
      </c>
      <c r="C196" s="9" t="s">
        <v>51</v>
      </c>
      <c r="D196" s="13">
        <v>12.4</v>
      </c>
      <c r="E196" s="9">
        <v>10</v>
      </c>
      <c r="F196" s="9" t="s">
        <v>37</v>
      </c>
    </row>
    <row r="197" spans="1:6" x14ac:dyDescent="0.25">
      <c r="A197" s="11">
        <v>45548</v>
      </c>
      <c r="B197" s="12" t="s">
        <v>42</v>
      </c>
      <c r="C197" s="9" t="s">
        <v>43</v>
      </c>
      <c r="D197" s="13">
        <v>25</v>
      </c>
      <c r="E197" s="9">
        <v>20</v>
      </c>
      <c r="F197" s="9" t="s">
        <v>61</v>
      </c>
    </row>
    <row r="198" spans="1:6" x14ac:dyDescent="0.25">
      <c r="A198" s="11">
        <v>45551</v>
      </c>
      <c r="B198" s="12" t="s">
        <v>42</v>
      </c>
      <c r="C198" s="9" t="s">
        <v>43</v>
      </c>
      <c r="D198" s="13">
        <v>25</v>
      </c>
      <c r="E198" s="9">
        <v>5</v>
      </c>
      <c r="F198" s="9" t="s">
        <v>36</v>
      </c>
    </row>
    <row r="199" spans="1:6" x14ac:dyDescent="0.25">
      <c r="A199" s="11">
        <v>45551</v>
      </c>
      <c r="B199" s="12" t="s">
        <v>40</v>
      </c>
      <c r="C199" s="9" t="s">
        <v>41</v>
      </c>
      <c r="D199" s="13">
        <v>23.5</v>
      </c>
      <c r="E199" s="9">
        <v>4</v>
      </c>
      <c r="F199" s="9" t="s">
        <v>36</v>
      </c>
    </row>
    <row r="200" spans="1:6" x14ac:dyDescent="0.25">
      <c r="A200" s="11">
        <v>45551</v>
      </c>
      <c r="B200" s="12" t="s">
        <v>46</v>
      </c>
      <c r="C200" s="9" t="s">
        <v>47</v>
      </c>
      <c r="D200" s="13">
        <v>34.200000000000003</v>
      </c>
      <c r="E200" s="9">
        <v>4</v>
      </c>
      <c r="F200" s="9" t="s">
        <v>36</v>
      </c>
    </row>
    <row r="201" spans="1:6" x14ac:dyDescent="0.25">
      <c r="A201" s="17" t="s">
        <v>64</v>
      </c>
      <c r="B201" s="17"/>
      <c r="C201" s="17"/>
      <c r="D201" s="31">
        <f>SUBTOTAL(109,tbl_PowerPivot[EP])</f>
        <v>5471.0999999999958</v>
      </c>
      <c r="E201" s="17">
        <f>SUBTOTAL(109,tbl_PowerPivot[VK_Menge])</f>
        <v>4295</v>
      </c>
      <c r="F201" s="17">
        <f>SUBTOTAL(103,tbl_PowerPivot[Verkäufer])</f>
        <v>199</v>
      </c>
    </row>
  </sheetData>
  <pageMargins left="0.7" right="0.7" top="0.78740157499999996" bottom="0.78740157499999996" header="0.3" footer="0.3"/>
  <pageSetup paperSize="9" orientation="landscape" horizontalDpi="0" verticalDpi="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1444C-A4FF-40C8-8D5D-6064E0DDFA26}">
  <sheetPr>
    <tabColor theme="9" tint="0.79998168889431442"/>
  </sheetPr>
  <dimension ref="A1:C7"/>
  <sheetViews>
    <sheetView workbookViewId="0">
      <selection activeCell="C5" sqref="C5"/>
    </sheetView>
  </sheetViews>
  <sheetFormatPr baseColWidth="10" defaultRowHeight="15" x14ac:dyDescent="0.25"/>
  <cols>
    <col min="1" max="1" width="22.7109375" bestFit="1" customWidth="1"/>
    <col min="2" max="2" width="10.5703125" bestFit="1" customWidth="1"/>
    <col min="3" max="3" width="12" bestFit="1" customWidth="1"/>
  </cols>
  <sheetData>
    <row r="1" spans="1:3" x14ac:dyDescent="0.25">
      <c r="A1" s="18" t="s">
        <v>65</v>
      </c>
      <c r="B1" s="26" t="s">
        <v>145</v>
      </c>
      <c r="C1" s="26" t="s">
        <v>147</v>
      </c>
    </row>
    <row r="2" spans="1:3" x14ac:dyDescent="0.25">
      <c r="A2" s="19" t="s">
        <v>36</v>
      </c>
    </row>
    <row r="3" spans="1:3" x14ac:dyDescent="0.25">
      <c r="A3" s="20" t="s">
        <v>43</v>
      </c>
    </row>
    <row r="4" spans="1:3" x14ac:dyDescent="0.25">
      <c r="A4" s="24" t="s">
        <v>143</v>
      </c>
      <c r="B4">
        <v>25</v>
      </c>
      <c r="C4" s="32">
        <v>625</v>
      </c>
    </row>
    <row r="5" spans="1:3" x14ac:dyDescent="0.25">
      <c r="A5" s="24" t="s">
        <v>144</v>
      </c>
      <c r="B5">
        <v>5</v>
      </c>
      <c r="C5" s="32">
        <v>125</v>
      </c>
    </row>
    <row r="6" spans="1:3" ht="18.75" customHeight="1" x14ac:dyDescent="0.25">
      <c r="A6" s="19" t="s">
        <v>66</v>
      </c>
      <c r="B6">
        <v>30</v>
      </c>
      <c r="C6" s="32">
        <v>750</v>
      </c>
    </row>
    <row r="7" spans="1:3" ht="22.5" customHeight="1" x14ac:dyDescent="0.25"/>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1BABD6C-1B85-4686-9988-5798F67C2B22}">
  <ds:schemaRefs/>
</ds:datastoreItem>
</file>

<file path=customXml/itemProps2.xml><?xml version="1.0" encoding="utf-8"?>
<ds:datastoreItem xmlns:ds="http://schemas.openxmlformats.org/officeDocument/2006/customXml" ds:itemID="{96C31AB1-713E-467D-8AE4-1A128E388B03}">
  <ds:schemaRefs/>
</ds:datastoreItem>
</file>

<file path=customXml/itemProps3.xml><?xml version="1.0" encoding="utf-8"?>
<ds:datastoreItem xmlns:ds="http://schemas.openxmlformats.org/officeDocument/2006/customXml" ds:itemID="{A06E804C-CDF8-4678-BD20-3D2C36D89E95}">
  <ds:schemaRefs/>
</ds:datastoreItem>
</file>

<file path=customXml/itemProps4.xml><?xml version="1.0" encoding="utf-8"?>
<ds:datastoreItem xmlns:ds="http://schemas.openxmlformats.org/officeDocument/2006/customXml" ds:itemID="{DBC562F7-7D4B-4CC8-9499-49180E95E65A}">
  <ds:schemaRefs>
    <ds:schemaRef ds:uri="http://schemas.microsoft.com/DataMashup"/>
  </ds:schemaRefs>
</ds:datastoreItem>
</file>

<file path=customXml/itemProps5.xml><?xml version="1.0" encoding="utf-8"?>
<ds:datastoreItem xmlns:ds="http://schemas.openxmlformats.org/officeDocument/2006/customXml" ds:itemID="{EEC08D78-9D04-460E-9B93-F15BC82A9B34}">
  <ds:schemaRefs/>
</ds:datastoreItem>
</file>

<file path=customXml/itemProps6.xml><?xml version="1.0" encoding="utf-8"?>
<ds:datastoreItem xmlns:ds="http://schemas.openxmlformats.org/officeDocument/2006/customXml" ds:itemID="{D90A1D18-BCA7-46A2-8BE7-EFA0DD4545E5}">
  <ds:schemaRefs/>
</ds:datastoreItem>
</file>

<file path=customXml/itemProps7.xml><?xml version="1.0" encoding="utf-8"?>
<ds:datastoreItem xmlns:ds="http://schemas.openxmlformats.org/officeDocument/2006/customXml" ds:itemID="{848EF446-4AFD-4D3F-B47A-DD5261FC78C0}">
  <ds:schemaRefs/>
</ds:datastoreItem>
</file>

<file path=customXml/itemProps8.xml><?xml version="1.0" encoding="utf-8"?>
<ds:datastoreItem xmlns:ds="http://schemas.openxmlformats.org/officeDocument/2006/customXml" ds:itemID="{922F3039-0428-4B94-8463-74C20120424A}">
  <ds:schemaRefs/>
</ds:datastoreItem>
</file>

<file path=customXml/itemProps9.xml><?xml version="1.0" encoding="utf-8"?>
<ds:datastoreItem xmlns:ds="http://schemas.openxmlformats.org/officeDocument/2006/customXml" ds:itemID="{D9612E8A-514D-411A-A7F7-89DEDC494909}">
  <ds:schemaRefs/>
</ds:datastoreItem>
</file>

<file path=customXml/itemProps10.xml><?xml version="1.0" encoding="utf-8"?>
<ds:datastoreItem xmlns:ds="http://schemas.openxmlformats.org/officeDocument/2006/customXml" ds:itemID="{A8AE0791-B0D2-4E2F-966A-4B031768CF0A}">
  <ds:schemaRefs/>
</ds:datastoreItem>
</file>

<file path=customXml/itemProps11.xml><?xml version="1.0" encoding="utf-8"?>
<ds:datastoreItem xmlns:ds="http://schemas.openxmlformats.org/officeDocument/2006/customXml" ds:itemID="{1E1706FC-94B3-40A7-96E2-A01D866998D8}">
  <ds:schemaRefs/>
</ds:datastoreItem>
</file>

<file path=customXml/itemProps12.xml><?xml version="1.0" encoding="utf-8"?>
<ds:datastoreItem xmlns:ds="http://schemas.openxmlformats.org/officeDocument/2006/customXml" ds:itemID="{99E421D9-038C-4D86-98F7-38DD8A4022F1}">
  <ds:schemaRefs/>
</ds:datastoreItem>
</file>

<file path=customXml/itemProps13.xml><?xml version="1.0" encoding="utf-8"?>
<ds:datastoreItem xmlns:ds="http://schemas.openxmlformats.org/officeDocument/2006/customXml" ds:itemID="{8E9CBF25-16F8-488F-8EA6-A97304449DD8}">
  <ds:schemaRefs/>
</ds:datastoreItem>
</file>

<file path=customXml/itemProps14.xml><?xml version="1.0" encoding="utf-8"?>
<ds:datastoreItem xmlns:ds="http://schemas.openxmlformats.org/officeDocument/2006/customXml" ds:itemID="{8E542953-1363-482A-B961-430D4541B9F5}">
  <ds:schemaRefs/>
</ds:datastoreItem>
</file>

<file path=customXml/itemProps15.xml><?xml version="1.0" encoding="utf-8"?>
<ds:datastoreItem xmlns:ds="http://schemas.openxmlformats.org/officeDocument/2006/customXml" ds:itemID="{510D35AC-77EA-4F44-AFC5-0BF05D526AC1}">
  <ds:schemaRefs/>
</ds:datastoreItem>
</file>

<file path=customXml/itemProps16.xml><?xml version="1.0" encoding="utf-8"?>
<ds:datastoreItem xmlns:ds="http://schemas.openxmlformats.org/officeDocument/2006/customXml" ds:itemID="{83F1E4E8-3990-44B8-956E-E2FA168B8B47}">
  <ds:schemaRefs/>
</ds:datastoreItem>
</file>

<file path=customXml/itemProps17.xml><?xml version="1.0" encoding="utf-8"?>
<ds:datastoreItem xmlns:ds="http://schemas.openxmlformats.org/officeDocument/2006/customXml" ds:itemID="{686DC816-69C4-4894-9743-80B58A30F979}">
  <ds:schemaRefs/>
</ds:datastoreItem>
</file>

<file path=customXml/itemProps18.xml><?xml version="1.0" encoding="utf-8"?>
<ds:datastoreItem xmlns:ds="http://schemas.openxmlformats.org/officeDocument/2006/customXml" ds:itemID="{B377811F-97B4-45F0-9746-36F5C12C4C71}">
  <ds:schemaRefs/>
</ds:datastoreItem>
</file>

<file path=customXml/itemProps19.xml><?xml version="1.0" encoding="utf-8"?>
<ds:datastoreItem xmlns:ds="http://schemas.openxmlformats.org/officeDocument/2006/customXml" ds:itemID="{785CD4E2-25DC-441E-B9FA-5E72CA002B6B}">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1Liste</vt:lpstr>
      <vt:lpstr>1Tabelle</vt:lpstr>
      <vt:lpstr>2Pivot Liste Basis</vt:lpstr>
      <vt:lpstr>2Pivot Tabelle Filter</vt:lpstr>
      <vt:lpstr>2Pivot-Tabelle Dashboard</vt:lpstr>
      <vt:lpstr>2Pivot Fehler</vt:lpstr>
      <vt:lpstr>3Pivot_BerechneteSpalte</vt:lpstr>
      <vt:lpstr>3PowerPivot</vt:lpstr>
      <vt:lpstr>3PowerPivot m. GesSumme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Heike Hofert</dc:creator>
  <cp:lastModifiedBy>Heike Hofert</cp:lastModifiedBy>
  <dcterms:created xsi:type="dcterms:W3CDTF">2025-02-12T15:24:38Z</dcterms:created>
  <dcterms:modified xsi:type="dcterms:W3CDTF">2025-11-20T15:53:00Z</dcterms:modified>
</cp:coreProperties>
</file>