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D14A2C6F-0031-4C2F-A078-A5C7888AE0B4}" xr6:coauthVersionLast="47" xr6:coauthVersionMax="47" xr10:uidLastSave="{00000000-0000-0000-0000-000000000000}"/>
  <bookViews>
    <workbookView xWindow="-120" yWindow="-120" windowWidth="28110" windowHeight="16440" tabRatio="616" activeTab="1" xr2:uid="{FA1B9F05-BABB-4431-9F8B-21B794B6A590}"/>
  </bookViews>
  <sheets>
    <sheet name="Originaldatenliste" sheetId="7" r:id="rId1"/>
    <sheet name="Datenaufgliederung" sheetId="4" r:id="rId2"/>
    <sheet name="Datenverbindung" sheetId="6" r:id="rId3"/>
  </sheets>
  <externalReferences>
    <externalReference r:id="rId4"/>
  </externalReferences>
  <definedNames>
    <definedName name="_xlcn.WorksheetConnection_Basisdaten.xlsxTabelle1" hidden="1">[1]Lieferanten!$R$3:$R$11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e1" name="Tabelle1" connection="WorksheetConnection_Basisdaten.xlsx!Tabel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6" l="1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9A46D0-A359-4953-B340-9A5C02C4E4EB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EE31DD1-FC0D-4CE6-B44C-9C1AA4BB34C4}" name="WorksheetConnection_Basisdaten.xlsx!Tabelle1" type="102" refreshedVersion="8" minRefreshableVersion="5">
    <extLst>
      <ext xmlns:x15="http://schemas.microsoft.com/office/spreadsheetml/2010/11/main" uri="{DE250136-89BD-433C-8126-D09CA5730AF9}">
        <x15:connection id="Tabelle1">
          <x15:rangePr sourceName="_xlcn.WorksheetConnection_Basisdaten.xlsxTabelle1"/>
        </x15:connection>
      </ext>
    </extLst>
  </connection>
</connections>
</file>

<file path=xl/sharedStrings.xml><?xml version="1.0" encoding="utf-8"?>
<sst xmlns="http://schemas.openxmlformats.org/spreadsheetml/2006/main" count="494" uniqueCount="115">
  <si>
    <t>Buchtitel</t>
  </si>
  <si>
    <t>ISBN</t>
  </si>
  <si>
    <t>Access perfektionieren</t>
  </si>
  <si>
    <t>Lorenz Hölscher</t>
  </si>
  <si>
    <t>978-3759705020</t>
  </si>
  <si>
    <t>Richtig einsteigen: Access 2010 VBA-Programmierung</t>
  </si>
  <si>
    <t>Richtig einsteigen: Desktop- und Web-Datenbanken erstellen mit Access 2013</t>
  </si>
  <si>
    <t>Microsoft Access 2016 - Das Handbuch</t>
  </si>
  <si>
    <t>PowerPoint 2016 Schnell zum Ziel</t>
  </si>
  <si>
    <t>PowerApps: 99 Bauanleitungen</t>
  </si>
  <si>
    <t>Power Automate: 33 Bauanleitungen</t>
  </si>
  <si>
    <t>Power Apps: 33 Bauanleitungen für Modell-Driven Apps</t>
  </si>
  <si>
    <t>978-3759714725</t>
  </si>
  <si>
    <t>978-375971984</t>
  </si>
  <si>
    <t xml:space="preserve">Power Apps und Power Automate: Das umfassende Handbuch </t>
  </si>
  <si>
    <t>Heike Hofert</t>
  </si>
  <si>
    <t>Stefan Riedel</t>
  </si>
  <si>
    <t>978-386645216</t>
  </si>
  <si>
    <t>978-386645227</t>
  </si>
  <si>
    <t>978-396009011</t>
  </si>
  <si>
    <t>Heinz Haller</t>
  </si>
  <si>
    <t>Robin Willems</t>
  </si>
  <si>
    <t>Frauke Bär</t>
  </si>
  <si>
    <t>Leila Rabe</t>
  </si>
  <si>
    <t>Maria Heinzelmann</t>
  </si>
  <si>
    <t>‎978-395982022</t>
  </si>
  <si>
    <t>‎978-3836292597</t>
  </si>
  <si>
    <t>Alles was mit dem Produkt / Buch zu tun hat</t>
  </si>
  <si>
    <t>Die Brücke</t>
  </si>
  <si>
    <t>Adams Taylor</t>
  </si>
  <si>
    <t>978-3453427266</t>
  </si>
  <si>
    <t>Sandra Berger</t>
  </si>
  <si>
    <t>Autor_ID</t>
  </si>
  <si>
    <t>Nutzer_Vorname</t>
  </si>
  <si>
    <t>Nutzer_Nachname</t>
  </si>
  <si>
    <t>Frauke</t>
  </si>
  <si>
    <t>Leila</t>
  </si>
  <si>
    <t>Robin</t>
  </si>
  <si>
    <t>Heinz</t>
  </si>
  <si>
    <t>Maria</t>
  </si>
  <si>
    <t>Sandra</t>
  </si>
  <si>
    <t>Bär</t>
  </si>
  <si>
    <t>Rabe</t>
  </si>
  <si>
    <t>Willems</t>
  </si>
  <si>
    <t>Haller</t>
  </si>
  <si>
    <t>Heinzelmann</t>
  </si>
  <si>
    <t>Berger</t>
  </si>
  <si>
    <t>Autor_Vorname</t>
  </si>
  <si>
    <t>Autor_Nachname</t>
  </si>
  <si>
    <t>Adams</t>
  </si>
  <si>
    <t>Lorenz</t>
  </si>
  <si>
    <t>Heike</t>
  </si>
  <si>
    <t>Stefan</t>
  </si>
  <si>
    <t>Taylor</t>
  </si>
  <si>
    <t>Hölscher</t>
  </si>
  <si>
    <t>Hofert</t>
  </si>
  <si>
    <t>Riedel</t>
  </si>
  <si>
    <t>Autorname_komplett</t>
  </si>
  <si>
    <t>Nutzername_komplett</t>
  </si>
  <si>
    <t>Ausleihen</t>
  </si>
  <si>
    <t>Ausleihvermerk</t>
  </si>
  <si>
    <t>0110_Vorbest_2024</t>
  </si>
  <si>
    <t>978-3759753144</t>
  </si>
  <si>
    <t>1909_Vorbest_2024</t>
  </si>
  <si>
    <t>Lieferanten_Name</t>
  </si>
  <si>
    <t>Microsoft Press</t>
  </si>
  <si>
    <t>Rheinwerk Verlag</t>
  </si>
  <si>
    <t>BoD-Verlag</t>
  </si>
  <si>
    <t>DG-Verlag</t>
  </si>
  <si>
    <t>Vier-Farben Verlag</t>
  </si>
  <si>
    <t>Rowohlt Verlag</t>
  </si>
  <si>
    <t>Cornelsen Verlag</t>
  </si>
  <si>
    <t>Ullstein Buchverlag</t>
  </si>
  <si>
    <t>Power Apps: 33 Bauanleitungen für Model-Driven Apps</t>
  </si>
  <si>
    <t>LieferantenNr</t>
  </si>
  <si>
    <t>Lieferant</t>
  </si>
  <si>
    <t>Dataverse 55 Bauanleitungen - Datenbankeinstieg</t>
  </si>
  <si>
    <t>978-3759719843</t>
  </si>
  <si>
    <t>978-3769306026</t>
  </si>
  <si>
    <t>Genre</t>
  </si>
  <si>
    <t>Fantasy</t>
  </si>
  <si>
    <t>IT-Fachbuch</t>
  </si>
  <si>
    <t>Romane</t>
  </si>
  <si>
    <t>Fachliteratur</t>
  </si>
  <si>
    <t>Schulbücher</t>
  </si>
  <si>
    <t>NN</t>
  </si>
  <si>
    <t>Ausleihdatum</t>
  </si>
  <si>
    <t>Ausleih_ID</t>
  </si>
  <si>
    <t>Nutzer_ID</t>
  </si>
  <si>
    <t>Autor:innen die ein Buch geschrieben haben</t>
  </si>
  <si>
    <t>Personen die ein Buch ausleihen</t>
  </si>
  <si>
    <t>Rückgabedatum</t>
  </si>
  <si>
    <t>Bezug zur Person/Ausleiher</t>
  </si>
  <si>
    <t>Buch_ID</t>
  </si>
  <si>
    <t>Ausleihdaten, so dass nachvollziehbar ist, wer wann und welches Buch ausgeliehe hat</t>
  </si>
  <si>
    <t>Alle Lieferanten in einer Übersicht mit Kategorien</t>
  </si>
  <si>
    <t>Straße</t>
  </si>
  <si>
    <t>PLZ</t>
  </si>
  <si>
    <t>Ort</t>
  </si>
  <si>
    <t>Überseering 33</t>
  </si>
  <si>
    <t>Hamburg</t>
  </si>
  <si>
    <t>Walter-Gropius-Straße 5</t>
  </si>
  <si>
    <t>München</t>
  </si>
  <si>
    <t>Mecklenburgische Straße 53</t>
  </si>
  <si>
    <t>Berlin</t>
  </si>
  <si>
    <t>Mainzer Str. 105</t>
  </si>
  <si>
    <t>Wiesbaden</t>
  </si>
  <si>
    <t>Friedrichstraße 126</t>
  </si>
  <si>
    <t>Rheinwerkallee 4</t>
  </si>
  <si>
    <t>Bonn</t>
  </si>
  <si>
    <t>Buntweg</t>
  </si>
  <si>
    <t>Aachen</t>
  </si>
  <si>
    <t>Kirchenallee 19</t>
  </si>
  <si>
    <t>VerlagsKategorien</t>
  </si>
  <si>
    <t>Lieferant_ID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</si>
</sst>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3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2" fillId="0" borderId="2" xfId="1"/>
    <xf numFmtId="0" fontId="2" fillId="0" borderId="0" xfId="1" applyFill="1" applyBorder="1"/>
    <xf numFmtId="0" fontId="0" fillId="0" borderId="0" xfId="0" applyFont="1"/>
  </cellXfs>
  <cellStyles count="2">
    <cellStyle name="Standard" xfId="0" builtinId="0"/>
    <cellStyle name="Überschrift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numFmt numFmtId="19" formatCode="dd/mm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5CF1E117-918C-471F-B1B3-998D6C02C6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eferante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eferante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6B8F6-3114-4767-86FB-DCBDBDCD23A2}" name="tbl_AlleDaten" displayName="tbl_AlleDaten" ref="A1:P24" totalsRowShown="0" headerRowDxfId="4" headerRowBorderDxfId="3">
  <autoFilter ref="A1:P24" xr:uid="{7B86B8F6-3114-4767-86FB-DCBDBDCD23A2}"/>
  <tableColumns count="16">
    <tableColumn id="1" xr3:uid="{012190A8-4922-4505-B046-32D4FCDE86DF}" name="Buchtitel"/>
    <tableColumn id="2" xr3:uid="{568F53E8-269E-4A2A-BAB6-4E96FCC816FE}" name="ISBN"/>
    <tableColumn id="3" xr3:uid="{81719912-CAB7-4405-BFE9-6CB5BE06823A}" name="LieferantenNr"/>
    <tableColumn id="4" xr3:uid="{6C2C7A2A-74B2-4B11-B0D2-E5623561CC41}" name="Lieferant" dataDxfId="1"/>
    <tableColumn id="5" xr3:uid="{A128BC56-2902-45AA-98C6-1F065264AABF}" name="Genre" dataDxfId="0"/>
    <tableColumn id="6" xr3:uid="{60CF3027-2D45-4F75-846C-D85B3CF6A713}" name="Nutzer_ID"/>
    <tableColumn id="7" xr3:uid="{28002324-FD6B-4CC9-8352-90569EF3944C}" name="Nutzername_komplett"/>
    <tableColumn id="8" xr3:uid="{E2DA84F3-2B65-47D1-8BDC-1F45EA9BC38B}" name="Nutzer_Vorname"/>
    <tableColumn id="9" xr3:uid="{351CAD10-CE2B-48FB-9C4F-1EB9B94E6B86}" name="Nutzer_Nachname"/>
    <tableColumn id="10" xr3:uid="{3C22A8CC-A251-4A5D-9427-FA89B72E36CC}" name="Autor_ID"/>
    <tableColumn id="11" xr3:uid="{91A5AF7D-02BB-4823-82CF-9B6990D71DE2}" name="Autorname_komplett"/>
    <tableColumn id="12" xr3:uid="{B30A350C-5A6F-403E-8D0D-5E9FFE3DA64A}" name="Autor_Vorname"/>
    <tableColumn id="13" xr3:uid="{2DE2B408-66CE-4EE6-B61F-6FEF4F236466}" name="Autor_Nachname"/>
    <tableColumn id="14" xr3:uid="{4C94D8F6-B813-4E36-BB6F-93E6D80E79C7}" name="Ausleih_ID"/>
    <tableColumn id="15" xr3:uid="{9BA1056E-3C6B-47E1-A1C9-0353CA843E93}" name="Ausleihen" dataDxfId="2"/>
    <tableColumn id="16" xr3:uid="{1601F400-4069-4CAC-87F0-CD07C42EC075}" name="Ausleihvermerk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38E6-AE55-4D81-B099-59FBEB45BA25}">
  <sheetPr>
    <tabColor rgb="FF00B050"/>
  </sheetPr>
  <dimension ref="A1:F24"/>
  <sheetViews>
    <sheetView workbookViewId="0"/>
  </sheetViews>
  <sheetFormatPr baseColWidth="10" defaultRowHeight="15.75" x14ac:dyDescent="0.25"/>
  <cols>
    <col min="1" max="1" width="57.625" customWidth="1"/>
    <col min="2" max="2" width="24" customWidth="1"/>
    <col min="3" max="3" width="18.125" customWidth="1"/>
    <col min="4" max="4" width="22.625" customWidth="1"/>
    <col min="5" max="5" width="14.75" customWidth="1"/>
    <col min="6" max="6" width="21" customWidth="1"/>
  </cols>
  <sheetData>
    <row r="1" spans="1:6" x14ac:dyDescent="0.25">
      <c r="A1" s="2" t="s">
        <v>0</v>
      </c>
      <c r="B1" s="2" t="s">
        <v>57</v>
      </c>
      <c r="C1" s="2" t="s">
        <v>1</v>
      </c>
      <c r="D1" s="2" t="s">
        <v>58</v>
      </c>
      <c r="E1" s="2" t="s">
        <v>59</v>
      </c>
      <c r="F1" s="2" t="s">
        <v>60</v>
      </c>
    </row>
    <row r="2" spans="1:6" x14ac:dyDescent="0.25">
      <c r="A2" t="s">
        <v>28</v>
      </c>
      <c r="B2" t="s">
        <v>29</v>
      </c>
      <c r="C2" t="s">
        <v>30</v>
      </c>
      <c r="E2" s="1"/>
      <c r="F2" t="s">
        <v>61</v>
      </c>
    </row>
    <row r="3" spans="1:6" x14ac:dyDescent="0.25">
      <c r="A3" t="s">
        <v>2</v>
      </c>
      <c r="B3" t="s">
        <v>3</v>
      </c>
      <c r="C3" t="s">
        <v>4</v>
      </c>
      <c r="D3" t="s">
        <v>22</v>
      </c>
      <c r="E3" s="1">
        <v>45482</v>
      </c>
      <c r="F3" t="str">
        <f>"1002_4W"&amp;DAY(E3)&amp;"-"&amp;MONTH(E3)+1&amp;"_"&amp;YEAR(E3)</f>
        <v>1002_4W9-8_2024</v>
      </c>
    </row>
    <row r="4" spans="1:6" x14ac:dyDescent="0.25">
      <c r="A4" t="s">
        <v>9</v>
      </c>
      <c r="B4" t="s">
        <v>15</v>
      </c>
      <c r="C4" t="s">
        <v>12</v>
      </c>
      <c r="D4" t="s">
        <v>23</v>
      </c>
      <c r="E4" s="1">
        <v>45326</v>
      </c>
      <c r="F4" t="str">
        <f t="shared" ref="F4:F22" si="0">"1002_4W"&amp;DAY(E4)&amp;"-"&amp;MONTH(E4)+1&amp;"_"&amp;YEAR(E4)</f>
        <v>1002_4W4-3_2024</v>
      </c>
    </row>
    <row r="5" spans="1:6" x14ac:dyDescent="0.25">
      <c r="A5" t="s">
        <v>9</v>
      </c>
      <c r="B5" t="s">
        <v>15</v>
      </c>
      <c r="C5" t="s">
        <v>12</v>
      </c>
      <c r="D5" t="s">
        <v>21</v>
      </c>
      <c r="E5" s="1">
        <v>45401</v>
      </c>
      <c r="F5" t="str">
        <f t="shared" si="0"/>
        <v>1002_4W19-5_2024</v>
      </c>
    </row>
    <row r="6" spans="1:6" x14ac:dyDescent="0.25">
      <c r="A6" t="s">
        <v>9</v>
      </c>
      <c r="B6" t="s">
        <v>15</v>
      </c>
      <c r="C6" t="s">
        <v>12</v>
      </c>
      <c r="D6" t="s">
        <v>20</v>
      </c>
      <c r="E6" s="1">
        <v>45430</v>
      </c>
      <c r="F6" t="str">
        <f t="shared" si="0"/>
        <v>1002_4W18-6_2024</v>
      </c>
    </row>
    <row r="7" spans="1:6" x14ac:dyDescent="0.25">
      <c r="A7" t="s">
        <v>9</v>
      </c>
      <c r="B7" t="s">
        <v>15</v>
      </c>
      <c r="C7" t="s">
        <v>12</v>
      </c>
      <c r="D7" t="s">
        <v>24</v>
      </c>
      <c r="E7" s="1">
        <v>45471</v>
      </c>
      <c r="F7" t="str">
        <f t="shared" si="0"/>
        <v>1002_4W28-7_2024</v>
      </c>
    </row>
    <row r="8" spans="1:6" x14ac:dyDescent="0.25">
      <c r="A8" t="s">
        <v>10</v>
      </c>
      <c r="B8" t="s">
        <v>15</v>
      </c>
      <c r="C8" t="s">
        <v>13</v>
      </c>
      <c r="D8" t="s">
        <v>22</v>
      </c>
      <c r="E8" s="1">
        <v>45340</v>
      </c>
      <c r="F8" t="str">
        <f t="shared" si="0"/>
        <v>1002_4W18-3_2024</v>
      </c>
    </row>
    <row r="9" spans="1:6" x14ac:dyDescent="0.25">
      <c r="A9" t="s">
        <v>10</v>
      </c>
      <c r="B9" t="s">
        <v>15</v>
      </c>
      <c r="C9" t="s">
        <v>13</v>
      </c>
      <c r="D9" t="s">
        <v>24</v>
      </c>
      <c r="E9" s="1">
        <v>45361</v>
      </c>
      <c r="F9" t="str">
        <f t="shared" si="0"/>
        <v>1002_4W10-4_2024</v>
      </c>
    </row>
    <row r="10" spans="1:6" x14ac:dyDescent="0.25">
      <c r="A10" t="s">
        <v>10</v>
      </c>
      <c r="B10" t="s">
        <v>15</v>
      </c>
      <c r="C10" t="s">
        <v>13</v>
      </c>
      <c r="D10" t="s">
        <v>23</v>
      </c>
      <c r="E10" s="1">
        <v>45422</v>
      </c>
      <c r="F10" t="str">
        <f t="shared" si="0"/>
        <v>1002_4W10-6_2024</v>
      </c>
    </row>
    <row r="11" spans="1:6" x14ac:dyDescent="0.25">
      <c r="A11" t="s">
        <v>10</v>
      </c>
      <c r="B11" t="s">
        <v>15</v>
      </c>
      <c r="C11" t="s">
        <v>13</v>
      </c>
      <c r="D11" t="s">
        <v>20</v>
      </c>
      <c r="E11" s="1">
        <v>45490</v>
      </c>
      <c r="F11" t="str">
        <f t="shared" si="0"/>
        <v>1002_4W17-8_2024</v>
      </c>
    </row>
    <row r="12" spans="1:6" x14ac:dyDescent="0.25">
      <c r="A12" t="s">
        <v>14</v>
      </c>
      <c r="B12" t="s">
        <v>16</v>
      </c>
      <c r="C12" t="s">
        <v>26</v>
      </c>
      <c r="D12" t="s">
        <v>21</v>
      </c>
      <c r="E12" s="1">
        <v>45229</v>
      </c>
      <c r="F12" t="str">
        <f t="shared" si="0"/>
        <v>1002_4W30-11_2023</v>
      </c>
    </row>
    <row r="13" spans="1:6" x14ac:dyDescent="0.25">
      <c r="A13" t="s">
        <v>14</v>
      </c>
      <c r="B13" t="s">
        <v>16</v>
      </c>
      <c r="C13" t="s">
        <v>26</v>
      </c>
      <c r="D13" t="s">
        <v>20</v>
      </c>
      <c r="E13" s="1">
        <v>45268</v>
      </c>
      <c r="F13" t="str">
        <f t="shared" si="0"/>
        <v>1002_4W8-13_2023</v>
      </c>
    </row>
    <row r="14" spans="1:6" x14ac:dyDescent="0.25">
      <c r="A14" t="s">
        <v>14</v>
      </c>
      <c r="B14" t="s">
        <v>16</v>
      </c>
      <c r="C14" t="s">
        <v>26</v>
      </c>
      <c r="D14" t="s">
        <v>22</v>
      </c>
      <c r="E14" s="1">
        <v>45326</v>
      </c>
      <c r="F14" t="str">
        <f t="shared" si="0"/>
        <v>1002_4W4-3_2024</v>
      </c>
    </row>
    <row r="15" spans="1:6" x14ac:dyDescent="0.25">
      <c r="A15" t="s">
        <v>5</v>
      </c>
      <c r="B15" t="s">
        <v>3</v>
      </c>
      <c r="C15" t="s">
        <v>17</v>
      </c>
      <c r="D15" t="s">
        <v>31</v>
      </c>
      <c r="E15" s="1">
        <v>44498</v>
      </c>
      <c r="F15" t="str">
        <f t="shared" si="0"/>
        <v>1002_4W29-11_2021</v>
      </c>
    </row>
    <row r="16" spans="1:6" x14ac:dyDescent="0.25">
      <c r="A16" t="s">
        <v>6</v>
      </c>
      <c r="B16" t="s">
        <v>3</v>
      </c>
      <c r="C16" t="s">
        <v>18</v>
      </c>
      <c r="D16" t="s">
        <v>20</v>
      </c>
      <c r="E16" s="1">
        <v>44509</v>
      </c>
      <c r="F16" t="str">
        <f t="shared" si="0"/>
        <v>1002_4W9-12_2021</v>
      </c>
    </row>
    <row r="17" spans="1:6" x14ac:dyDescent="0.25">
      <c r="A17" t="s">
        <v>6</v>
      </c>
      <c r="B17" t="s">
        <v>3</v>
      </c>
      <c r="C17" t="s">
        <v>18</v>
      </c>
      <c r="D17" t="s">
        <v>22</v>
      </c>
      <c r="E17" s="1">
        <v>44726</v>
      </c>
      <c r="F17" t="str">
        <f t="shared" si="0"/>
        <v>1002_4W14-7_2022</v>
      </c>
    </row>
    <row r="18" spans="1:6" x14ac:dyDescent="0.25">
      <c r="A18" t="s">
        <v>8</v>
      </c>
      <c r="B18" t="s">
        <v>3</v>
      </c>
      <c r="C18" t="s">
        <v>25</v>
      </c>
      <c r="D18" t="s">
        <v>22</v>
      </c>
      <c r="E18" s="1">
        <v>42932</v>
      </c>
      <c r="F18" t="str">
        <f t="shared" si="0"/>
        <v>1002_4W16-8_2017</v>
      </c>
    </row>
    <row r="19" spans="1:6" x14ac:dyDescent="0.25">
      <c r="A19" t="s">
        <v>8</v>
      </c>
      <c r="B19" t="s">
        <v>3</v>
      </c>
      <c r="C19" t="s">
        <v>25</v>
      </c>
      <c r="D19" t="s">
        <v>24</v>
      </c>
      <c r="E19" s="1">
        <v>42994</v>
      </c>
      <c r="F19" t="str">
        <f t="shared" si="0"/>
        <v>1002_4W16-10_2017</v>
      </c>
    </row>
    <row r="20" spans="1:6" x14ac:dyDescent="0.25">
      <c r="A20" t="s">
        <v>8</v>
      </c>
      <c r="B20" t="s">
        <v>3</v>
      </c>
      <c r="C20" t="s">
        <v>25</v>
      </c>
      <c r="D20" t="s">
        <v>31</v>
      </c>
      <c r="E20" s="1">
        <v>43235</v>
      </c>
      <c r="F20" t="str">
        <f t="shared" si="0"/>
        <v>1002_4W15-6_2018</v>
      </c>
    </row>
    <row r="21" spans="1:6" x14ac:dyDescent="0.25">
      <c r="A21" t="s">
        <v>7</v>
      </c>
      <c r="B21" t="s">
        <v>3</v>
      </c>
      <c r="C21" t="s">
        <v>19</v>
      </c>
      <c r="D21" t="s">
        <v>31</v>
      </c>
      <c r="E21" s="1">
        <v>42538</v>
      </c>
      <c r="F21" t="str">
        <f t="shared" si="0"/>
        <v>1002_4W17-7_2016</v>
      </c>
    </row>
    <row r="22" spans="1:6" x14ac:dyDescent="0.25">
      <c r="A22" t="s">
        <v>7</v>
      </c>
      <c r="B22" t="s">
        <v>3</v>
      </c>
      <c r="C22" t="s">
        <v>19</v>
      </c>
      <c r="D22" t="s">
        <v>20</v>
      </c>
      <c r="E22" s="1">
        <v>42607</v>
      </c>
      <c r="F22" t="str">
        <f t="shared" si="0"/>
        <v>1002_4W25-9_2016</v>
      </c>
    </row>
    <row r="23" spans="1:6" x14ac:dyDescent="0.25">
      <c r="A23" t="s">
        <v>73</v>
      </c>
      <c r="B23" t="s">
        <v>15</v>
      </c>
      <c r="C23" t="s">
        <v>62</v>
      </c>
      <c r="F23" t="s">
        <v>63</v>
      </c>
    </row>
    <row r="24" spans="1:6" x14ac:dyDescent="0.25">
      <c r="A24" t="s">
        <v>73</v>
      </c>
      <c r="B24" t="s">
        <v>15</v>
      </c>
      <c r="C24" t="s">
        <v>62</v>
      </c>
      <c r="F24" t="s">
        <v>63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A3BE-AA4F-4D9E-B9FE-F84D85DB6E35}">
  <dimension ref="A1:AB55"/>
  <sheetViews>
    <sheetView tabSelected="1" zoomScale="85" zoomScaleNormal="85" workbookViewId="0">
      <selection activeCell="F30" sqref="F30"/>
    </sheetView>
  </sheetViews>
  <sheetFormatPr baseColWidth="10" defaultRowHeight="15.75" x14ac:dyDescent="0.25"/>
  <cols>
    <col min="1" max="1" width="17.375" customWidth="1"/>
    <col min="2" max="2" width="66.125" customWidth="1"/>
    <col min="3" max="3" width="13.5" customWidth="1"/>
    <col min="4" max="4" width="15.75" customWidth="1"/>
    <col min="5" max="5" width="32" bestFit="1" customWidth="1"/>
    <col min="6" max="7" width="16.625" customWidth="1"/>
    <col min="8" max="9" width="11" customWidth="1"/>
    <col min="10" max="10" width="34.625" customWidth="1"/>
    <col min="11" max="12" width="17.875" customWidth="1"/>
    <col min="13" max="14" width="12" customWidth="1"/>
    <col min="15" max="15" width="16.625" customWidth="1"/>
    <col min="16" max="16" width="29.375" customWidth="1"/>
    <col min="17" max="17" width="19.875" customWidth="1"/>
    <col min="18" max="18" width="28" customWidth="1"/>
    <col min="19" max="19" width="19.875" customWidth="1"/>
    <col min="20" max="20" width="11.625" customWidth="1"/>
    <col min="21" max="21" width="15.5" customWidth="1"/>
    <col min="22" max="22" width="21.625" customWidth="1"/>
    <col min="23" max="23" width="27.375" customWidth="1"/>
    <col min="24" max="24" width="8.875" customWidth="1"/>
    <col min="25" max="27" width="15" customWidth="1"/>
    <col min="28" max="28" width="18.25" customWidth="1"/>
  </cols>
  <sheetData>
    <row r="1" spans="1:28" ht="20.25" thickBot="1" x14ac:dyDescent="0.35">
      <c r="A1" s="10" t="s">
        <v>27</v>
      </c>
      <c r="B1" s="10"/>
      <c r="D1" s="10" t="s">
        <v>90</v>
      </c>
      <c r="E1" s="10"/>
      <c r="F1" s="10"/>
      <c r="G1" s="10"/>
      <c r="I1" s="10" t="s">
        <v>89</v>
      </c>
      <c r="J1" s="10"/>
      <c r="K1" s="10"/>
      <c r="L1" s="10"/>
      <c r="N1" s="10" t="s">
        <v>94</v>
      </c>
      <c r="O1" s="10"/>
      <c r="P1" s="10"/>
      <c r="Q1" s="10"/>
      <c r="R1" s="10"/>
      <c r="S1" s="10"/>
      <c r="U1" s="10" t="s">
        <v>95</v>
      </c>
      <c r="V1" s="10"/>
      <c r="W1" s="10"/>
      <c r="X1" s="10"/>
      <c r="Y1" s="10"/>
      <c r="Z1" s="11"/>
      <c r="AA1" s="10" t="s">
        <v>113</v>
      </c>
      <c r="AB1" s="10"/>
    </row>
    <row r="2" spans="1:28" ht="16.5" thickTop="1" x14ac:dyDescent="0.25">
      <c r="P2" s="4"/>
      <c r="Q2" s="4"/>
      <c r="R2" s="4"/>
      <c r="S2" s="4"/>
    </row>
    <row r="3" spans="1:28" x14ac:dyDescent="0.25">
      <c r="A3" s="2" t="s">
        <v>1</v>
      </c>
      <c r="B3" s="2" t="s">
        <v>0</v>
      </c>
      <c r="D3" s="2" t="s">
        <v>88</v>
      </c>
      <c r="E3" s="2" t="s">
        <v>58</v>
      </c>
      <c r="F3" s="2" t="s">
        <v>33</v>
      </c>
      <c r="G3" s="2" t="s">
        <v>34</v>
      </c>
      <c r="H3" s="3"/>
      <c r="I3" s="3" t="s">
        <v>32</v>
      </c>
      <c r="J3" s="2" t="s">
        <v>57</v>
      </c>
      <c r="K3" s="2" t="s">
        <v>47</v>
      </c>
      <c r="L3" s="2" t="s">
        <v>48</v>
      </c>
      <c r="N3" s="2" t="s">
        <v>87</v>
      </c>
      <c r="O3" s="2" t="s">
        <v>86</v>
      </c>
      <c r="P3" s="2" t="s">
        <v>60</v>
      </c>
      <c r="Q3" s="2" t="s">
        <v>91</v>
      </c>
      <c r="R3" s="2" t="s">
        <v>92</v>
      </c>
      <c r="S3" s="2" t="s">
        <v>93</v>
      </c>
      <c r="U3" s="2" t="s">
        <v>114</v>
      </c>
      <c r="V3" s="9" t="s">
        <v>64</v>
      </c>
      <c r="W3" s="9" t="s">
        <v>96</v>
      </c>
      <c r="X3" s="9" t="s">
        <v>97</v>
      </c>
      <c r="Y3" s="9" t="s">
        <v>98</v>
      </c>
      <c r="Z3" s="7"/>
      <c r="AA3" s="9" t="s">
        <v>114</v>
      </c>
      <c r="AB3" s="2" t="s">
        <v>79</v>
      </c>
    </row>
    <row r="4" spans="1:28" ht="24" customHeight="1" x14ac:dyDescent="0.25">
      <c r="A4" t="s">
        <v>30</v>
      </c>
      <c r="B4" t="s">
        <v>28</v>
      </c>
      <c r="D4">
        <v>1</v>
      </c>
      <c r="E4" t="s">
        <v>22</v>
      </c>
      <c r="F4" s="5"/>
      <c r="I4">
        <v>980</v>
      </c>
      <c r="J4" t="s">
        <v>29</v>
      </c>
      <c r="K4" s="6"/>
      <c r="N4">
        <v>1</v>
      </c>
      <c r="O4" s="1"/>
      <c r="P4" t="s">
        <v>61</v>
      </c>
      <c r="U4">
        <v>100</v>
      </c>
      <c r="V4" s="8" t="s">
        <v>72</v>
      </c>
      <c r="W4" s="8" t="s">
        <v>107</v>
      </c>
      <c r="X4" s="8">
        <v>10117</v>
      </c>
      <c r="Y4" s="8" t="s">
        <v>104</v>
      </c>
      <c r="Z4" s="8"/>
      <c r="AA4" s="8"/>
      <c r="AB4" s="8" t="s">
        <v>80</v>
      </c>
    </row>
    <row r="5" spans="1:28" x14ac:dyDescent="0.25">
      <c r="A5" t="s">
        <v>4</v>
      </c>
      <c r="B5" t="s">
        <v>2</v>
      </c>
      <c r="D5">
        <v>2</v>
      </c>
      <c r="E5" t="s">
        <v>23</v>
      </c>
      <c r="I5">
        <v>999</v>
      </c>
      <c r="J5" t="s">
        <v>3</v>
      </c>
      <c r="N5">
        <v>2</v>
      </c>
      <c r="O5" s="1">
        <v>45482</v>
      </c>
      <c r="P5" t="str">
        <f>"1002_4W"&amp;DAY(O5)&amp;"-"&amp;MONTH(O5)+1&amp;"_"&amp;YEAR(O5)</f>
        <v>1002_4W9-8_2024</v>
      </c>
      <c r="U5">
        <v>101</v>
      </c>
      <c r="V5" s="8" t="s">
        <v>71</v>
      </c>
      <c r="W5" t="s">
        <v>103</v>
      </c>
      <c r="X5" s="8">
        <v>14197</v>
      </c>
      <c r="Y5" s="8" t="s">
        <v>104</v>
      </c>
      <c r="Z5" s="8"/>
      <c r="AA5" s="8"/>
      <c r="AB5" s="8" t="s">
        <v>84</v>
      </c>
    </row>
    <row r="6" spans="1:28" x14ac:dyDescent="0.25">
      <c r="A6" t="s">
        <v>12</v>
      </c>
      <c r="B6" t="s">
        <v>9</v>
      </c>
      <c r="D6">
        <v>3</v>
      </c>
      <c r="E6" t="s">
        <v>21</v>
      </c>
      <c r="I6">
        <v>1530</v>
      </c>
      <c r="J6" t="s">
        <v>15</v>
      </c>
      <c r="N6">
        <v>3</v>
      </c>
      <c r="O6" s="1">
        <v>45326</v>
      </c>
      <c r="P6" t="str">
        <f t="shared" ref="P6:P24" si="0">"1002_4W"&amp;DAY(O6)&amp;"-"&amp;MONTH(O6)+1&amp;"_"&amp;YEAR(O6)</f>
        <v>1002_4W4-3_2024</v>
      </c>
      <c r="U6">
        <v>102</v>
      </c>
      <c r="V6" s="8" t="s">
        <v>65</v>
      </c>
      <c r="W6" t="s">
        <v>101</v>
      </c>
      <c r="X6">
        <v>80807</v>
      </c>
      <c r="Y6" s="8" t="s">
        <v>102</v>
      </c>
      <c r="Z6" s="8"/>
      <c r="AA6" s="8"/>
      <c r="AB6" s="8" t="s">
        <v>81</v>
      </c>
    </row>
    <row r="7" spans="1:28" x14ac:dyDescent="0.25">
      <c r="A7" t="s">
        <v>12</v>
      </c>
      <c r="B7" t="s">
        <v>9</v>
      </c>
      <c r="D7">
        <v>4</v>
      </c>
      <c r="E7" t="s">
        <v>20</v>
      </c>
      <c r="I7">
        <v>1530</v>
      </c>
      <c r="J7" t="s">
        <v>15</v>
      </c>
      <c r="N7">
        <v>4</v>
      </c>
      <c r="O7" s="1">
        <v>45401</v>
      </c>
      <c r="P7" t="str">
        <f t="shared" si="0"/>
        <v>1002_4W19-5_2024</v>
      </c>
      <c r="U7">
        <v>103</v>
      </c>
      <c r="V7" s="8" t="s">
        <v>66</v>
      </c>
      <c r="W7" t="s">
        <v>108</v>
      </c>
      <c r="X7" s="8">
        <v>53227</v>
      </c>
      <c r="Y7" s="8" t="s">
        <v>109</v>
      </c>
      <c r="Z7" s="8"/>
      <c r="AA7" s="8"/>
      <c r="AB7" s="8" t="s">
        <v>81</v>
      </c>
    </row>
    <row r="8" spans="1:28" x14ac:dyDescent="0.25">
      <c r="A8" t="s">
        <v>12</v>
      </c>
      <c r="B8" t="s">
        <v>9</v>
      </c>
      <c r="D8">
        <v>5</v>
      </c>
      <c r="E8" t="s">
        <v>24</v>
      </c>
      <c r="I8">
        <v>1530</v>
      </c>
      <c r="J8" t="s">
        <v>15</v>
      </c>
      <c r="N8">
        <v>5</v>
      </c>
      <c r="O8" s="1">
        <v>45430</v>
      </c>
      <c r="P8" t="str">
        <f t="shared" si="0"/>
        <v>1002_4W18-6_2024</v>
      </c>
      <c r="U8">
        <v>104</v>
      </c>
      <c r="V8" s="8" t="s">
        <v>67</v>
      </c>
      <c r="W8" t="s">
        <v>99</v>
      </c>
      <c r="X8" s="8">
        <v>22297</v>
      </c>
      <c r="Y8" s="8" t="s">
        <v>100</v>
      </c>
      <c r="Z8" s="8"/>
      <c r="AA8" s="8"/>
      <c r="AB8" s="8" t="s">
        <v>81</v>
      </c>
    </row>
    <row r="9" spans="1:28" x14ac:dyDescent="0.25">
      <c r="A9" t="s">
        <v>12</v>
      </c>
      <c r="B9" t="s">
        <v>9</v>
      </c>
      <c r="D9">
        <v>1</v>
      </c>
      <c r="E9" t="s">
        <v>22</v>
      </c>
      <c r="I9">
        <v>1530</v>
      </c>
      <c r="J9" t="s">
        <v>15</v>
      </c>
      <c r="N9">
        <v>6</v>
      </c>
      <c r="O9" s="1">
        <v>45471</v>
      </c>
      <c r="P9" t="str">
        <f t="shared" si="0"/>
        <v>1002_4W28-7_2024</v>
      </c>
      <c r="U9">
        <v>105</v>
      </c>
      <c r="V9" s="8" t="s">
        <v>68</v>
      </c>
      <c r="W9" s="8" t="s">
        <v>105</v>
      </c>
      <c r="X9" s="8">
        <v>65183</v>
      </c>
      <c r="Y9" s="8" t="s">
        <v>106</v>
      </c>
      <c r="Z9" s="8"/>
      <c r="AA9" s="8"/>
      <c r="AB9" s="8" t="s">
        <v>83</v>
      </c>
    </row>
    <row r="10" spans="1:28" x14ac:dyDescent="0.25">
      <c r="A10" t="s">
        <v>13</v>
      </c>
      <c r="B10" t="s">
        <v>10</v>
      </c>
      <c r="D10">
        <v>5</v>
      </c>
      <c r="E10" t="s">
        <v>24</v>
      </c>
      <c r="I10">
        <v>1530</v>
      </c>
      <c r="J10" t="s">
        <v>15</v>
      </c>
      <c r="N10">
        <v>7</v>
      </c>
      <c r="O10" s="1">
        <v>45340</v>
      </c>
      <c r="P10" t="str">
        <f t="shared" si="0"/>
        <v>1002_4W18-3_2024</v>
      </c>
      <c r="U10">
        <v>106</v>
      </c>
      <c r="V10" s="8" t="s">
        <v>69</v>
      </c>
      <c r="W10" s="8" t="s">
        <v>110</v>
      </c>
      <c r="X10" s="8">
        <v>52066</v>
      </c>
      <c r="Y10" s="8" t="s">
        <v>111</v>
      </c>
      <c r="Z10" s="8"/>
      <c r="AA10" s="8"/>
      <c r="AB10" s="8" t="s">
        <v>83</v>
      </c>
    </row>
    <row r="11" spans="1:28" x14ac:dyDescent="0.25">
      <c r="A11" t="s">
        <v>13</v>
      </c>
      <c r="B11" t="s">
        <v>10</v>
      </c>
      <c r="D11">
        <v>2</v>
      </c>
      <c r="E11" t="s">
        <v>23</v>
      </c>
      <c r="I11">
        <v>1530</v>
      </c>
      <c r="J11" t="s">
        <v>15</v>
      </c>
      <c r="N11">
        <v>8</v>
      </c>
      <c r="O11" s="1">
        <v>45361</v>
      </c>
      <c r="P11" t="str">
        <f t="shared" si="0"/>
        <v>1002_4W10-4_2024</v>
      </c>
      <c r="U11">
        <v>107</v>
      </c>
      <c r="V11" s="8" t="s">
        <v>70</v>
      </c>
      <c r="W11" t="s">
        <v>112</v>
      </c>
      <c r="X11" s="8">
        <v>20099</v>
      </c>
      <c r="Y11" s="8" t="s">
        <v>100</v>
      </c>
      <c r="Z11" s="8"/>
      <c r="AA11" s="8"/>
      <c r="AB11" s="8" t="s">
        <v>82</v>
      </c>
    </row>
    <row r="12" spans="1:28" x14ac:dyDescent="0.25">
      <c r="A12" t="s">
        <v>13</v>
      </c>
      <c r="B12" t="s">
        <v>10</v>
      </c>
      <c r="D12">
        <v>4</v>
      </c>
      <c r="E12" t="s">
        <v>20</v>
      </c>
      <c r="I12">
        <v>1530</v>
      </c>
      <c r="J12" t="s">
        <v>15</v>
      </c>
      <c r="N12">
        <v>9</v>
      </c>
      <c r="O12" s="1">
        <v>45422</v>
      </c>
      <c r="P12" t="str">
        <f t="shared" si="0"/>
        <v>1002_4W10-6_2024</v>
      </c>
      <c r="V12" s="8"/>
      <c r="W12" s="8"/>
      <c r="X12" s="8"/>
      <c r="Y12" s="8"/>
      <c r="Z12" s="8"/>
      <c r="AA12" s="8"/>
    </row>
    <row r="13" spans="1:28" x14ac:dyDescent="0.25">
      <c r="A13" t="s">
        <v>13</v>
      </c>
      <c r="B13" t="s">
        <v>10</v>
      </c>
      <c r="D13">
        <v>3</v>
      </c>
      <c r="E13" t="s">
        <v>21</v>
      </c>
      <c r="I13">
        <v>1530</v>
      </c>
      <c r="J13" t="s">
        <v>15</v>
      </c>
      <c r="N13">
        <v>10</v>
      </c>
      <c r="O13" s="1">
        <v>45490</v>
      </c>
      <c r="P13" t="str">
        <f t="shared" si="0"/>
        <v>1002_4W17-8_2024</v>
      </c>
    </row>
    <row r="14" spans="1:28" x14ac:dyDescent="0.25">
      <c r="A14" t="s">
        <v>26</v>
      </c>
      <c r="B14" t="s">
        <v>14</v>
      </c>
      <c r="D14">
        <v>4</v>
      </c>
      <c r="E14" t="s">
        <v>20</v>
      </c>
      <c r="I14">
        <v>1487</v>
      </c>
      <c r="J14" t="s">
        <v>16</v>
      </c>
      <c r="N14">
        <v>11</v>
      </c>
      <c r="O14" s="1">
        <v>45229</v>
      </c>
      <c r="P14" t="str">
        <f t="shared" si="0"/>
        <v>1002_4W30-11_2023</v>
      </c>
    </row>
    <row r="15" spans="1:28" x14ac:dyDescent="0.25">
      <c r="A15" t="s">
        <v>26</v>
      </c>
      <c r="B15" t="s">
        <v>14</v>
      </c>
      <c r="D15">
        <v>1</v>
      </c>
      <c r="E15" t="s">
        <v>22</v>
      </c>
      <c r="I15">
        <v>1487</v>
      </c>
      <c r="J15" t="s">
        <v>16</v>
      </c>
      <c r="N15">
        <v>12</v>
      </c>
      <c r="O15" s="1">
        <v>45268</v>
      </c>
      <c r="P15" t="str">
        <f t="shared" si="0"/>
        <v>1002_4W8-13_2023</v>
      </c>
    </row>
    <row r="16" spans="1:28" x14ac:dyDescent="0.25">
      <c r="A16" t="s">
        <v>26</v>
      </c>
      <c r="B16" t="s">
        <v>14</v>
      </c>
      <c r="D16">
        <v>13</v>
      </c>
      <c r="E16" t="s">
        <v>31</v>
      </c>
      <c r="I16">
        <v>1487</v>
      </c>
      <c r="J16" t="s">
        <v>16</v>
      </c>
      <c r="N16">
        <v>13</v>
      </c>
      <c r="O16" s="1">
        <v>45326</v>
      </c>
      <c r="P16" t="str">
        <f t="shared" si="0"/>
        <v>1002_4W4-3_2024</v>
      </c>
    </row>
    <row r="17" spans="1:16" x14ac:dyDescent="0.25">
      <c r="A17" t="s">
        <v>17</v>
      </c>
      <c r="B17" t="s">
        <v>5</v>
      </c>
      <c r="D17">
        <v>4</v>
      </c>
      <c r="E17" t="s">
        <v>20</v>
      </c>
      <c r="I17">
        <v>999</v>
      </c>
      <c r="J17" t="s">
        <v>3</v>
      </c>
      <c r="N17">
        <v>14</v>
      </c>
      <c r="O17" s="1">
        <v>44498</v>
      </c>
      <c r="P17" t="str">
        <f t="shared" si="0"/>
        <v>1002_4W29-11_2021</v>
      </c>
    </row>
    <row r="18" spans="1:16" x14ac:dyDescent="0.25">
      <c r="A18" t="s">
        <v>18</v>
      </c>
      <c r="B18" t="s">
        <v>6</v>
      </c>
      <c r="D18">
        <v>1</v>
      </c>
      <c r="E18" t="s">
        <v>22</v>
      </c>
      <c r="I18">
        <v>999</v>
      </c>
      <c r="J18" t="s">
        <v>3</v>
      </c>
      <c r="N18">
        <v>15</v>
      </c>
      <c r="O18" s="1">
        <v>44509</v>
      </c>
      <c r="P18" t="str">
        <f t="shared" si="0"/>
        <v>1002_4W9-12_2021</v>
      </c>
    </row>
    <row r="19" spans="1:16" x14ac:dyDescent="0.25">
      <c r="A19" t="s">
        <v>18</v>
      </c>
      <c r="B19" t="s">
        <v>6</v>
      </c>
      <c r="D19">
        <v>1</v>
      </c>
      <c r="E19" t="s">
        <v>22</v>
      </c>
      <c r="I19">
        <v>999</v>
      </c>
      <c r="J19" t="s">
        <v>3</v>
      </c>
      <c r="N19">
        <v>16</v>
      </c>
      <c r="O19" s="1">
        <v>44726</v>
      </c>
      <c r="P19" t="str">
        <f t="shared" si="0"/>
        <v>1002_4W14-7_2022</v>
      </c>
    </row>
    <row r="20" spans="1:16" x14ac:dyDescent="0.25">
      <c r="A20" t="s">
        <v>25</v>
      </c>
      <c r="B20" t="s">
        <v>8</v>
      </c>
      <c r="D20">
        <v>5</v>
      </c>
      <c r="E20" t="s">
        <v>24</v>
      </c>
      <c r="I20">
        <v>999</v>
      </c>
      <c r="J20" t="s">
        <v>3</v>
      </c>
      <c r="N20">
        <v>17</v>
      </c>
      <c r="O20" s="1">
        <v>42932</v>
      </c>
      <c r="P20" t="str">
        <f t="shared" si="0"/>
        <v>1002_4W16-8_2017</v>
      </c>
    </row>
    <row r="21" spans="1:16" x14ac:dyDescent="0.25">
      <c r="A21" t="s">
        <v>25</v>
      </c>
      <c r="B21" t="s">
        <v>8</v>
      </c>
      <c r="D21">
        <v>13</v>
      </c>
      <c r="E21" t="s">
        <v>31</v>
      </c>
      <c r="I21">
        <v>999</v>
      </c>
      <c r="J21" t="s">
        <v>3</v>
      </c>
      <c r="N21">
        <v>18</v>
      </c>
      <c r="O21" s="1">
        <v>42994</v>
      </c>
      <c r="P21" t="str">
        <f t="shared" si="0"/>
        <v>1002_4W16-10_2017</v>
      </c>
    </row>
    <row r="22" spans="1:16" x14ac:dyDescent="0.25">
      <c r="A22" t="s">
        <v>25</v>
      </c>
      <c r="B22" t="s">
        <v>8</v>
      </c>
      <c r="D22">
        <v>13</v>
      </c>
      <c r="E22" t="s">
        <v>31</v>
      </c>
      <c r="I22">
        <v>999</v>
      </c>
      <c r="J22" t="s">
        <v>3</v>
      </c>
      <c r="N22">
        <v>19</v>
      </c>
      <c r="O22" s="1">
        <v>43235</v>
      </c>
      <c r="P22" t="str">
        <f t="shared" si="0"/>
        <v>1002_4W15-6_2018</v>
      </c>
    </row>
    <row r="23" spans="1:16" x14ac:dyDescent="0.25">
      <c r="A23" t="s">
        <v>19</v>
      </c>
      <c r="B23" t="s">
        <v>7</v>
      </c>
      <c r="D23">
        <v>20</v>
      </c>
      <c r="E23" t="s">
        <v>20</v>
      </c>
      <c r="I23">
        <v>999</v>
      </c>
      <c r="J23" t="s">
        <v>3</v>
      </c>
      <c r="N23">
        <v>20</v>
      </c>
      <c r="O23" s="1">
        <v>42538</v>
      </c>
      <c r="P23" t="str">
        <f t="shared" si="0"/>
        <v>1002_4W17-7_2016</v>
      </c>
    </row>
    <row r="24" spans="1:16" x14ac:dyDescent="0.25">
      <c r="A24" t="s">
        <v>19</v>
      </c>
      <c r="B24" t="s">
        <v>7</v>
      </c>
      <c r="I24">
        <v>999</v>
      </c>
      <c r="J24" t="s">
        <v>3</v>
      </c>
      <c r="N24">
        <v>21</v>
      </c>
      <c r="O24" s="1">
        <v>42607</v>
      </c>
      <c r="P24" t="str">
        <f t="shared" si="0"/>
        <v>1002_4W25-9_2016</v>
      </c>
    </row>
    <row r="25" spans="1:16" x14ac:dyDescent="0.25">
      <c r="A25" t="s">
        <v>62</v>
      </c>
      <c r="B25" t="s">
        <v>11</v>
      </c>
      <c r="I25">
        <v>1530</v>
      </c>
      <c r="J25" t="s">
        <v>15</v>
      </c>
      <c r="N25">
        <v>22</v>
      </c>
      <c r="P25" t="s">
        <v>63</v>
      </c>
    </row>
    <row r="26" spans="1:16" x14ac:dyDescent="0.25">
      <c r="A26" t="s">
        <v>62</v>
      </c>
      <c r="B26" t="s">
        <v>11</v>
      </c>
      <c r="I26">
        <v>1530</v>
      </c>
      <c r="J26" t="s">
        <v>15</v>
      </c>
      <c r="N26">
        <v>23</v>
      </c>
      <c r="P26" t="s">
        <v>63</v>
      </c>
    </row>
    <row r="28" spans="1:16" x14ac:dyDescent="0.25">
      <c r="G28" s="3"/>
      <c r="H28" s="3"/>
      <c r="I28" s="3"/>
      <c r="K28" s="3"/>
      <c r="L28" s="3"/>
    </row>
    <row r="29" spans="1:16" s="3" customFormat="1" x14ac:dyDescent="0.25">
      <c r="G29"/>
      <c r="H29"/>
      <c r="J29"/>
      <c r="K29"/>
      <c r="L29"/>
      <c r="N29"/>
      <c r="O29"/>
      <c r="P29"/>
    </row>
    <row r="30" spans="1:16" x14ac:dyDescent="0.25">
      <c r="I30" s="3"/>
    </row>
    <row r="31" spans="1:16" x14ac:dyDescent="0.25">
      <c r="I31" s="3"/>
    </row>
    <row r="32" spans="1:16" x14ac:dyDescent="0.25">
      <c r="I32" s="3"/>
    </row>
    <row r="33" spans="9:9" x14ac:dyDescent="0.25">
      <c r="I33" s="3"/>
    </row>
    <row r="34" spans="9:9" x14ac:dyDescent="0.25">
      <c r="I34" s="3"/>
    </row>
    <row r="35" spans="9:9" x14ac:dyDescent="0.25">
      <c r="I35" s="3"/>
    </row>
    <row r="36" spans="9:9" x14ac:dyDescent="0.25">
      <c r="I36" s="3"/>
    </row>
    <row r="37" spans="9:9" x14ac:dyDescent="0.25">
      <c r="I37" s="3"/>
    </row>
    <row r="38" spans="9:9" x14ac:dyDescent="0.25">
      <c r="I38" s="3"/>
    </row>
    <row r="39" spans="9:9" x14ac:dyDescent="0.25">
      <c r="I39" s="3"/>
    </row>
    <row r="40" spans="9:9" x14ac:dyDescent="0.25">
      <c r="I40" s="3"/>
    </row>
    <row r="41" spans="9:9" x14ac:dyDescent="0.25">
      <c r="I41" s="3"/>
    </row>
    <row r="42" spans="9:9" x14ac:dyDescent="0.25">
      <c r="I42" s="3"/>
    </row>
    <row r="43" spans="9:9" x14ac:dyDescent="0.25">
      <c r="I43" s="3"/>
    </row>
    <row r="44" spans="9:9" x14ac:dyDescent="0.25">
      <c r="I44" s="3"/>
    </row>
    <row r="45" spans="9:9" x14ac:dyDescent="0.25">
      <c r="I45" s="3"/>
    </row>
    <row r="46" spans="9:9" x14ac:dyDescent="0.25">
      <c r="I46" s="3"/>
    </row>
    <row r="47" spans="9:9" x14ac:dyDescent="0.25">
      <c r="I47" s="3"/>
    </row>
    <row r="48" spans="9:9" x14ac:dyDescent="0.25">
      <c r="I48" s="3"/>
    </row>
    <row r="49" spans="9:14" x14ac:dyDescent="0.25">
      <c r="I49" s="3"/>
    </row>
    <row r="50" spans="9:14" x14ac:dyDescent="0.25">
      <c r="I50" s="3"/>
    </row>
    <row r="51" spans="9:14" x14ac:dyDescent="0.25">
      <c r="I51" s="3"/>
      <c r="N51" s="3"/>
    </row>
    <row r="52" spans="9:14" x14ac:dyDescent="0.25">
      <c r="I52" s="3"/>
    </row>
    <row r="53" spans="9:14" x14ac:dyDescent="0.25">
      <c r="I53" s="3"/>
    </row>
    <row r="54" spans="9:14" x14ac:dyDescent="0.25">
      <c r="I54" s="3"/>
    </row>
    <row r="55" spans="9:14" x14ac:dyDescent="0.25">
      <c r="I55" s="3"/>
    </row>
  </sheetData>
  <sortState xmlns:xlrd2="http://schemas.microsoft.com/office/spreadsheetml/2017/richdata2" ref="U4:AB11">
    <sortCondition ref="U7:U11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4353-0228-49D7-A0EE-C1797F79BB6C}">
  <sheetPr>
    <tabColor theme="8"/>
  </sheetPr>
  <dimension ref="A1:P24"/>
  <sheetViews>
    <sheetView workbookViewId="0">
      <selection activeCell="D14" sqref="D14"/>
    </sheetView>
  </sheetViews>
  <sheetFormatPr baseColWidth="10" defaultRowHeight="15.75" x14ac:dyDescent="0.25"/>
  <cols>
    <col min="1" max="1" width="57.625" customWidth="1"/>
    <col min="2" max="2" width="17.375" customWidth="1"/>
    <col min="3" max="3" width="14.625" customWidth="1"/>
    <col min="4" max="6" width="17.375" customWidth="1"/>
    <col min="7" max="7" width="22.5" customWidth="1"/>
    <col min="8" max="8" width="17.25" customWidth="1"/>
    <col min="9" max="9" width="18.625" customWidth="1"/>
    <col min="10" max="10" width="10.5" customWidth="1"/>
    <col min="11" max="11" width="22.75" customWidth="1"/>
    <col min="12" max="12" width="18.375" customWidth="1"/>
    <col min="13" max="13" width="18.5" customWidth="1"/>
    <col min="14" max="14" width="13" customWidth="1"/>
    <col min="15" max="15" width="17.875" customWidth="1"/>
    <col min="16" max="16" width="21.75" customWidth="1"/>
  </cols>
  <sheetData>
    <row r="1" spans="1:16" x14ac:dyDescent="0.25">
      <c r="A1" s="2" t="s">
        <v>0</v>
      </c>
      <c r="B1" s="2" t="s">
        <v>1</v>
      </c>
      <c r="C1" s="2" t="s">
        <v>74</v>
      </c>
      <c r="D1" s="2" t="s">
        <v>75</v>
      </c>
      <c r="E1" s="2" t="s">
        <v>79</v>
      </c>
      <c r="F1" s="2" t="s">
        <v>88</v>
      </c>
      <c r="G1" s="2" t="s">
        <v>58</v>
      </c>
      <c r="H1" s="2" t="s">
        <v>33</v>
      </c>
      <c r="I1" s="2" t="s">
        <v>34</v>
      </c>
      <c r="J1" s="2" t="s">
        <v>32</v>
      </c>
      <c r="K1" s="2" t="s">
        <v>57</v>
      </c>
      <c r="L1" s="2" t="s">
        <v>47</v>
      </c>
      <c r="M1" s="2" t="s">
        <v>48</v>
      </c>
      <c r="N1" s="2" t="s">
        <v>87</v>
      </c>
      <c r="O1" s="2" t="s">
        <v>59</v>
      </c>
      <c r="P1" s="2" t="s">
        <v>60</v>
      </c>
    </row>
    <row r="2" spans="1:16" x14ac:dyDescent="0.25">
      <c r="A2" t="s">
        <v>28</v>
      </c>
      <c r="B2" t="s">
        <v>30</v>
      </c>
      <c r="C2">
        <v>100</v>
      </c>
      <c r="D2" s="12" t="s">
        <v>72</v>
      </c>
      <c r="E2" s="12" t="s">
        <v>80</v>
      </c>
      <c r="F2" s="8">
        <v>99</v>
      </c>
      <c r="G2" t="s">
        <v>85</v>
      </c>
      <c r="J2">
        <v>980</v>
      </c>
      <c r="K2" t="s">
        <v>29</v>
      </c>
      <c r="L2" t="s">
        <v>49</v>
      </c>
      <c r="M2" t="s">
        <v>53</v>
      </c>
      <c r="N2">
        <v>1</v>
      </c>
      <c r="O2" s="1"/>
      <c r="P2" t="s">
        <v>61</v>
      </c>
    </row>
    <row r="3" spans="1:16" x14ac:dyDescent="0.25">
      <c r="A3" t="s">
        <v>2</v>
      </c>
      <c r="B3" t="s">
        <v>4</v>
      </c>
      <c r="C3">
        <v>102</v>
      </c>
      <c r="D3" s="12" t="s">
        <v>65</v>
      </c>
      <c r="E3" s="12" t="s">
        <v>81</v>
      </c>
      <c r="F3">
        <v>1</v>
      </c>
      <c r="G3" t="s">
        <v>22</v>
      </c>
      <c r="H3" t="s">
        <v>35</v>
      </c>
      <c r="I3" t="s">
        <v>41</v>
      </c>
      <c r="J3">
        <v>999</v>
      </c>
      <c r="K3" t="s">
        <v>3</v>
      </c>
      <c r="L3" t="s">
        <v>50</v>
      </c>
      <c r="M3" t="s">
        <v>54</v>
      </c>
      <c r="N3">
        <v>2</v>
      </c>
      <c r="O3" s="1">
        <v>45482</v>
      </c>
      <c r="P3" t="str">
        <f>"1002_4W"&amp;DAY(O3)&amp;"-"&amp;MONTH(O3)+1&amp;"_"&amp;YEAR(O3)</f>
        <v>1002_4W9-8_2024</v>
      </c>
    </row>
    <row r="4" spans="1:16" x14ac:dyDescent="0.25">
      <c r="A4" t="s">
        <v>9</v>
      </c>
      <c r="B4" t="s">
        <v>12</v>
      </c>
      <c r="C4">
        <v>104</v>
      </c>
      <c r="D4" s="12" t="s">
        <v>67</v>
      </c>
      <c r="E4" s="12" t="s">
        <v>81</v>
      </c>
      <c r="F4">
        <v>2</v>
      </c>
      <c r="G4" t="s">
        <v>23</v>
      </c>
      <c r="H4" t="s">
        <v>36</v>
      </c>
      <c r="I4" t="s">
        <v>42</v>
      </c>
      <c r="J4">
        <v>1530</v>
      </c>
      <c r="K4" t="s">
        <v>15</v>
      </c>
      <c r="L4" t="s">
        <v>51</v>
      </c>
      <c r="M4" t="s">
        <v>55</v>
      </c>
      <c r="N4">
        <v>3</v>
      </c>
      <c r="O4" s="1">
        <v>45326</v>
      </c>
      <c r="P4" t="str">
        <f t="shared" ref="P4:P22" si="0">"1002_4W"&amp;DAY(O4)&amp;"-"&amp;MONTH(O4)+1&amp;"_"&amp;YEAR(O4)</f>
        <v>1002_4W4-3_2024</v>
      </c>
    </row>
    <row r="5" spans="1:16" x14ac:dyDescent="0.25">
      <c r="A5" t="s">
        <v>9</v>
      </c>
      <c r="B5" t="s">
        <v>12</v>
      </c>
      <c r="C5">
        <v>104</v>
      </c>
      <c r="D5" s="12" t="s">
        <v>67</v>
      </c>
      <c r="E5" s="12" t="s">
        <v>81</v>
      </c>
      <c r="F5">
        <v>3</v>
      </c>
      <c r="G5" t="s">
        <v>21</v>
      </c>
      <c r="H5" t="s">
        <v>37</v>
      </c>
      <c r="I5" t="s">
        <v>43</v>
      </c>
      <c r="J5">
        <v>1530</v>
      </c>
      <c r="K5" t="s">
        <v>15</v>
      </c>
      <c r="L5" t="s">
        <v>51</v>
      </c>
      <c r="M5" t="s">
        <v>55</v>
      </c>
      <c r="N5">
        <v>4</v>
      </c>
      <c r="O5" s="1">
        <v>45401</v>
      </c>
      <c r="P5" t="str">
        <f t="shared" si="0"/>
        <v>1002_4W19-5_2024</v>
      </c>
    </row>
    <row r="6" spans="1:16" x14ac:dyDescent="0.25">
      <c r="A6" t="s">
        <v>9</v>
      </c>
      <c r="B6" t="s">
        <v>12</v>
      </c>
      <c r="C6">
        <v>104</v>
      </c>
      <c r="D6" s="12" t="s">
        <v>67</v>
      </c>
      <c r="E6" s="12" t="s">
        <v>81</v>
      </c>
      <c r="F6">
        <v>4</v>
      </c>
      <c r="G6" t="s">
        <v>20</v>
      </c>
      <c r="H6" t="s">
        <v>38</v>
      </c>
      <c r="I6" t="s">
        <v>44</v>
      </c>
      <c r="J6">
        <v>1530</v>
      </c>
      <c r="K6" t="s">
        <v>15</v>
      </c>
      <c r="L6" t="s">
        <v>51</v>
      </c>
      <c r="M6" t="s">
        <v>55</v>
      </c>
      <c r="N6">
        <v>5</v>
      </c>
      <c r="O6" s="1">
        <v>45430</v>
      </c>
      <c r="P6" t="str">
        <f t="shared" si="0"/>
        <v>1002_4W18-6_2024</v>
      </c>
    </row>
    <row r="7" spans="1:16" x14ac:dyDescent="0.25">
      <c r="A7" t="s">
        <v>9</v>
      </c>
      <c r="B7" t="s">
        <v>12</v>
      </c>
      <c r="C7">
        <v>104</v>
      </c>
      <c r="D7" s="12" t="s">
        <v>67</v>
      </c>
      <c r="E7" s="12" t="s">
        <v>81</v>
      </c>
      <c r="F7">
        <v>5</v>
      </c>
      <c r="G7" t="s">
        <v>24</v>
      </c>
      <c r="H7" t="s">
        <v>39</v>
      </c>
      <c r="I7" t="s">
        <v>45</v>
      </c>
      <c r="J7">
        <v>1530</v>
      </c>
      <c r="K7" t="s">
        <v>15</v>
      </c>
      <c r="L7" t="s">
        <v>51</v>
      </c>
      <c r="M7" t="s">
        <v>55</v>
      </c>
      <c r="N7">
        <v>6</v>
      </c>
      <c r="O7" s="1">
        <v>45471</v>
      </c>
      <c r="P7" t="str">
        <f t="shared" si="0"/>
        <v>1002_4W28-7_2024</v>
      </c>
    </row>
    <row r="8" spans="1:16" x14ac:dyDescent="0.25">
      <c r="A8" t="s">
        <v>10</v>
      </c>
      <c r="B8" t="s">
        <v>77</v>
      </c>
      <c r="C8">
        <v>104</v>
      </c>
      <c r="D8" s="12" t="s">
        <v>67</v>
      </c>
      <c r="E8" s="12" t="s">
        <v>81</v>
      </c>
      <c r="F8">
        <v>1</v>
      </c>
      <c r="G8" t="s">
        <v>22</v>
      </c>
      <c r="H8" t="s">
        <v>35</v>
      </c>
      <c r="I8" t="s">
        <v>41</v>
      </c>
      <c r="J8">
        <v>1530</v>
      </c>
      <c r="K8" t="s">
        <v>15</v>
      </c>
      <c r="L8" t="s">
        <v>51</v>
      </c>
      <c r="M8" t="s">
        <v>55</v>
      </c>
      <c r="N8">
        <v>7</v>
      </c>
      <c r="O8" s="1">
        <v>45340</v>
      </c>
      <c r="P8" t="str">
        <f t="shared" si="0"/>
        <v>1002_4W18-3_2024</v>
      </c>
    </row>
    <row r="9" spans="1:16" x14ac:dyDescent="0.25">
      <c r="A9" t="s">
        <v>10</v>
      </c>
      <c r="B9" t="s">
        <v>77</v>
      </c>
      <c r="C9">
        <v>104</v>
      </c>
      <c r="D9" s="12" t="s">
        <v>67</v>
      </c>
      <c r="E9" s="12" t="s">
        <v>81</v>
      </c>
      <c r="F9">
        <v>5</v>
      </c>
      <c r="G9" t="s">
        <v>24</v>
      </c>
      <c r="H9" t="s">
        <v>39</v>
      </c>
      <c r="I9" t="s">
        <v>45</v>
      </c>
      <c r="J9">
        <v>1530</v>
      </c>
      <c r="K9" t="s">
        <v>15</v>
      </c>
      <c r="L9" t="s">
        <v>51</v>
      </c>
      <c r="M9" t="s">
        <v>55</v>
      </c>
      <c r="N9">
        <v>8</v>
      </c>
      <c r="O9" s="1">
        <v>45361</v>
      </c>
      <c r="P9" t="str">
        <f t="shared" si="0"/>
        <v>1002_4W10-4_2024</v>
      </c>
    </row>
    <row r="10" spans="1:16" x14ac:dyDescent="0.25">
      <c r="A10" t="s">
        <v>10</v>
      </c>
      <c r="B10" t="s">
        <v>77</v>
      </c>
      <c r="C10">
        <v>104</v>
      </c>
      <c r="D10" s="12" t="s">
        <v>67</v>
      </c>
      <c r="E10" s="12" t="s">
        <v>81</v>
      </c>
      <c r="F10">
        <v>2</v>
      </c>
      <c r="G10" t="s">
        <v>23</v>
      </c>
      <c r="H10" t="s">
        <v>36</v>
      </c>
      <c r="I10" t="s">
        <v>42</v>
      </c>
      <c r="J10">
        <v>1530</v>
      </c>
      <c r="K10" t="s">
        <v>15</v>
      </c>
      <c r="L10" t="s">
        <v>51</v>
      </c>
      <c r="M10" t="s">
        <v>55</v>
      </c>
      <c r="N10">
        <v>9</v>
      </c>
      <c r="O10" s="1">
        <v>45422</v>
      </c>
      <c r="P10" t="str">
        <f t="shared" si="0"/>
        <v>1002_4W10-6_2024</v>
      </c>
    </row>
    <row r="11" spans="1:16" x14ac:dyDescent="0.25">
      <c r="A11" t="s">
        <v>10</v>
      </c>
      <c r="B11" t="s">
        <v>77</v>
      </c>
      <c r="C11">
        <v>104</v>
      </c>
      <c r="D11" s="12" t="s">
        <v>67</v>
      </c>
      <c r="E11" s="12" t="s">
        <v>81</v>
      </c>
      <c r="F11">
        <v>4</v>
      </c>
      <c r="G11" t="s">
        <v>20</v>
      </c>
      <c r="H11" t="s">
        <v>38</v>
      </c>
      <c r="I11" t="s">
        <v>44</v>
      </c>
      <c r="J11">
        <v>1530</v>
      </c>
      <c r="K11" t="s">
        <v>15</v>
      </c>
      <c r="L11" t="s">
        <v>51</v>
      </c>
      <c r="M11" t="s">
        <v>55</v>
      </c>
      <c r="N11">
        <v>10</v>
      </c>
      <c r="O11" s="1">
        <v>45490</v>
      </c>
      <c r="P11" t="str">
        <f t="shared" si="0"/>
        <v>1002_4W17-8_2024</v>
      </c>
    </row>
    <row r="12" spans="1:16" x14ac:dyDescent="0.25">
      <c r="A12" t="s">
        <v>14</v>
      </c>
      <c r="B12" t="s">
        <v>26</v>
      </c>
      <c r="C12">
        <v>103</v>
      </c>
      <c r="D12" s="12" t="s">
        <v>66</v>
      </c>
      <c r="E12" s="12" t="s">
        <v>81</v>
      </c>
      <c r="F12">
        <v>3</v>
      </c>
      <c r="G12" t="s">
        <v>21</v>
      </c>
      <c r="H12" t="s">
        <v>37</v>
      </c>
      <c r="I12" t="s">
        <v>43</v>
      </c>
      <c r="J12">
        <v>1487</v>
      </c>
      <c r="K12" t="s">
        <v>16</v>
      </c>
      <c r="L12" t="s">
        <v>52</v>
      </c>
      <c r="M12" t="s">
        <v>56</v>
      </c>
      <c r="N12">
        <v>11</v>
      </c>
      <c r="O12" s="1">
        <v>45229</v>
      </c>
      <c r="P12" t="str">
        <f t="shared" si="0"/>
        <v>1002_4W30-11_2023</v>
      </c>
    </row>
    <row r="13" spans="1:16" x14ac:dyDescent="0.25">
      <c r="A13" t="s">
        <v>14</v>
      </c>
      <c r="B13" t="s">
        <v>26</v>
      </c>
      <c r="C13">
        <v>103</v>
      </c>
      <c r="D13" s="12" t="s">
        <v>66</v>
      </c>
      <c r="E13" s="12" t="s">
        <v>81</v>
      </c>
      <c r="F13">
        <v>4</v>
      </c>
      <c r="G13" t="s">
        <v>20</v>
      </c>
      <c r="H13" t="s">
        <v>38</v>
      </c>
      <c r="I13" t="s">
        <v>44</v>
      </c>
      <c r="J13">
        <v>1487</v>
      </c>
      <c r="K13" t="s">
        <v>16</v>
      </c>
      <c r="L13" t="s">
        <v>52</v>
      </c>
      <c r="M13" t="s">
        <v>56</v>
      </c>
      <c r="N13">
        <v>12</v>
      </c>
      <c r="O13" s="1">
        <v>45268</v>
      </c>
      <c r="P13" t="str">
        <f t="shared" si="0"/>
        <v>1002_4W8-13_2023</v>
      </c>
    </row>
    <row r="14" spans="1:16" x14ac:dyDescent="0.25">
      <c r="A14" t="s">
        <v>14</v>
      </c>
      <c r="B14" t="s">
        <v>26</v>
      </c>
      <c r="C14">
        <v>103</v>
      </c>
      <c r="D14" s="12" t="s">
        <v>66</v>
      </c>
      <c r="E14" s="12" t="s">
        <v>81</v>
      </c>
      <c r="F14">
        <v>1</v>
      </c>
      <c r="G14" t="s">
        <v>22</v>
      </c>
      <c r="H14" t="s">
        <v>35</v>
      </c>
      <c r="I14" t="s">
        <v>41</v>
      </c>
      <c r="J14">
        <v>1487</v>
      </c>
      <c r="K14" t="s">
        <v>16</v>
      </c>
      <c r="L14" t="s">
        <v>52</v>
      </c>
      <c r="M14" t="s">
        <v>56</v>
      </c>
      <c r="N14">
        <v>13</v>
      </c>
      <c r="O14" s="1">
        <v>45326</v>
      </c>
      <c r="P14" t="str">
        <f t="shared" si="0"/>
        <v>1002_4W4-3_2024</v>
      </c>
    </row>
    <row r="15" spans="1:16" x14ac:dyDescent="0.25">
      <c r="A15" t="s">
        <v>5</v>
      </c>
      <c r="B15" t="s">
        <v>17</v>
      </c>
      <c r="C15">
        <v>102</v>
      </c>
      <c r="D15" s="12" t="s">
        <v>65</v>
      </c>
      <c r="E15" s="12" t="s">
        <v>81</v>
      </c>
      <c r="F15">
        <v>13</v>
      </c>
      <c r="G15" t="s">
        <v>31</v>
      </c>
      <c r="H15" t="s">
        <v>40</v>
      </c>
      <c r="I15" t="s">
        <v>46</v>
      </c>
      <c r="J15">
        <v>999</v>
      </c>
      <c r="K15" t="s">
        <v>3</v>
      </c>
      <c r="L15" t="s">
        <v>50</v>
      </c>
      <c r="M15" t="s">
        <v>54</v>
      </c>
      <c r="N15">
        <v>14</v>
      </c>
      <c r="O15" s="1">
        <v>44498</v>
      </c>
      <c r="P15" t="str">
        <f t="shared" si="0"/>
        <v>1002_4W29-11_2021</v>
      </c>
    </row>
    <row r="16" spans="1:16" x14ac:dyDescent="0.25">
      <c r="A16" t="s">
        <v>6</v>
      </c>
      <c r="B16" t="s">
        <v>18</v>
      </c>
      <c r="C16">
        <v>102</v>
      </c>
      <c r="D16" s="12" t="s">
        <v>65</v>
      </c>
      <c r="E16" s="12" t="s">
        <v>81</v>
      </c>
      <c r="F16">
        <v>4</v>
      </c>
      <c r="G16" t="s">
        <v>20</v>
      </c>
      <c r="H16" t="s">
        <v>38</v>
      </c>
      <c r="I16" t="s">
        <v>44</v>
      </c>
      <c r="J16">
        <v>999</v>
      </c>
      <c r="K16" t="s">
        <v>3</v>
      </c>
      <c r="L16" t="s">
        <v>50</v>
      </c>
      <c r="M16" t="s">
        <v>54</v>
      </c>
      <c r="N16">
        <v>15</v>
      </c>
      <c r="O16" s="1">
        <v>44509</v>
      </c>
      <c r="P16" t="str">
        <f t="shared" si="0"/>
        <v>1002_4W9-12_2021</v>
      </c>
    </row>
    <row r="17" spans="1:16" x14ac:dyDescent="0.25">
      <c r="A17" t="s">
        <v>6</v>
      </c>
      <c r="B17" t="s">
        <v>18</v>
      </c>
      <c r="C17">
        <v>102</v>
      </c>
      <c r="D17" s="12" t="s">
        <v>65</v>
      </c>
      <c r="E17" s="12" t="s">
        <v>81</v>
      </c>
      <c r="F17">
        <v>1</v>
      </c>
      <c r="G17" t="s">
        <v>22</v>
      </c>
      <c r="H17" t="s">
        <v>35</v>
      </c>
      <c r="I17" t="s">
        <v>41</v>
      </c>
      <c r="J17">
        <v>999</v>
      </c>
      <c r="K17" t="s">
        <v>3</v>
      </c>
      <c r="L17" t="s">
        <v>50</v>
      </c>
      <c r="M17" t="s">
        <v>54</v>
      </c>
      <c r="N17">
        <v>16</v>
      </c>
      <c r="O17" s="1">
        <v>44726</v>
      </c>
      <c r="P17" t="str">
        <f t="shared" si="0"/>
        <v>1002_4W14-7_2022</v>
      </c>
    </row>
    <row r="18" spans="1:16" x14ac:dyDescent="0.25">
      <c r="A18" t="s">
        <v>8</v>
      </c>
      <c r="B18" t="s">
        <v>25</v>
      </c>
      <c r="C18">
        <v>102</v>
      </c>
      <c r="D18" s="12" t="s">
        <v>65</v>
      </c>
      <c r="E18" s="12" t="s">
        <v>81</v>
      </c>
      <c r="F18">
        <v>1</v>
      </c>
      <c r="G18" t="s">
        <v>22</v>
      </c>
      <c r="H18" t="s">
        <v>35</v>
      </c>
      <c r="I18" t="s">
        <v>41</v>
      </c>
      <c r="J18">
        <v>999</v>
      </c>
      <c r="K18" t="s">
        <v>3</v>
      </c>
      <c r="L18" t="s">
        <v>50</v>
      </c>
      <c r="M18" t="s">
        <v>54</v>
      </c>
      <c r="N18">
        <v>17</v>
      </c>
      <c r="O18" s="1">
        <v>42932</v>
      </c>
      <c r="P18" t="str">
        <f t="shared" si="0"/>
        <v>1002_4W16-8_2017</v>
      </c>
    </row>
    <row r="19" spans="1:16" x14ac:dyDescent="0.25">
      <c r="A19" t="s">
        <v>8</v>
      </c>
      <c r="B19" t="s">
        <v>25</v>
      </c>
      <c r="C19">
        <v>102</v>
      </c>
      <c r="D19" s="12" t="s">
        <v>65</v>
      </c>
      <c r="E19" s="12" t="s">
        <v>81</v>
      </c>
      <c r="F19">
        <v>5</v>
      </c>
      <c r="G19" t="s">
        <v>24</v>
      </c>
      <c r="H19" t="s">
        <v>39</v>
      </c>
      <c r="I19" t="s">
        <v>45</v>
      </c>
      <c r="J19">
        <v>999</v>
      </c>
      <c r="K19" t="s">
        <v>3</v>
      </c>
      <c r="L19" t="s">
        <v>50</v>
      </c>
      <c r="M19" t="s">
        <v>54</v>
      </c>
      <c r="N19">
        <v>18</v>
      </c>
      <c r="O19" s="1">
        <v>42994</v>
      </c>
      <c r="P19" t="str">
        <f t="shared" si="0"/>
        <v>1002_4W16-10_2017</v>
      </c>
    </row>
    <row r="20" spans="1:16" x14ac:dyDescent="0.25">
      <c r="A20" t="s">
        <v>8</v>
      </c>
      <c r="B20" t="s">
        <v>25</v>
      </c>
      <c r="C20">
        <v>102</v>
      </c>
      <c r="D20" s="12" t="s">
        <v>65</v>
      </c>
      <c r="E20" s="12" t="s">
        <v>81</v>
      </c>
      <c r="F20">
        <v>13</v>
      </c>
      <c r="G20" t="s">
        <v>31</v>
      </c>
      <c r="H20" t="s">
        <v>40</v>
      </c>
      <c r="I20" t="s">
        <v>46</v>
      </c>
      <c r="J20">
        <v>999</v>
      </c>
      <c r="K20" t="s">
        <v>3</v>
      </c>
      <c r="L20" t="s">
        <v>50</v>
      </c>
      <c r="M20" t="s">
        <v>54</v>
      </c>
      <c r="N20">
        <v>19</v>
      </c>
      <c r="O20" s="1">
        <v>43235</v>
      </c>
      <c r="P20" t="str">
        <f t="shared" si="0"/>
        <v>1002_4W15-6_2018</v>
      </c>
    </row>
    <row r="21" spans="1:16" x14ac:dyDescent="0.25">
      <c r="A21" t="s">
        <v>7</v>
      </c>
      <c r="B21" t="s">
        <v>19</v>
      </c>
      <c r="C21">
        <v>102</v>
      </c>
      <c r="D21" s="12" t="s">
        <v>65</v>
      </c>
      <c r="E21" s="12" t="s">
        <v>81</v>
      </c>
      <c r="F21">
        <v>13</v>
      </c>
      <c r="G21" t="s">
        <v>31</v>
      </c>
      <c r="H21" t="s">
        <v>40</v>
      </c>
      <c r="I21" t="s">
        <v>46</v>
      </c>
      <c r="J21">
        <v>999</v>
      </c>
      <c r="K21" t="s">
        <v>3</v>
      </c>
      <c r="L21" t="s">
        <v>50</v>
      </c>
      <c r="M21" t="s">
        <v>54</v>
      </c>
      <c r="N21">
        <v>20</v>
      </c>
      <c r="O21" s="1">
        <v>42538</v>
      </c>
      <c r="P21" t="str">
        <f t="shared" si="0"/>
        <v>1002_4W17-7_2016</v>
      </c>
    </row>
    <row r="22" spans="1:16" x14ac:dyDescent="0.25">
      <c r="A22" t="s">
        <v>7</v>
      </c>
      <c r="B22" t="s">
        <v>19</v>
      </c>
      <c r="C22">
        <v>102</v>
      </c>
      <c r="D22" s="12" t="s">
        <v>65</v>
      </c>
      <c r="E22" s="12" t="s">
        <v>81</v>
      </c>
      <c r="F22">
        <v>4</v>
      </c>
      <c r="G22" t="s">
        <v>20</v>
      </c>
      <c r="H22" t="s">
        <v>38</v>
      </c>
      <c r="I22" t="s">
        <v>44</v>
      </c>
      <c r="J22">
        <v>999</v>
      </c>
      <c r="K22" t="s">
        <v>3</v>
      </c>
      <c r="L22" t="s">
        <v>50</v>
      </c>
      <c r="M22" t="s">
        <v>54</v>
      </c>
      <c r="N22">
        <v>21</v>
      </c>
      <c r="O22" s="1">
        <v>42607</v>
      </c>
      <c r="P22" t="str">
        <f t="shared" si="0"/>
        <v>1002_4W25-9_2016</v>
      </c>
    </row>
    <row r="23" spans="1:16" x14ac:dyDescent="0.25">
      <c r="A23" t="s">
        <v>76</v>
      </c>
      <c r="B23" t="s">
        <v>78</v>
      </c>
      <c r="C23">
        <v>104</v>
      </c>
      <c r="D23" s="12" t="s">
        <v>67</v>
      </c>
      <c r="E23" s="12" t="s">
        <v>81</v>
      </c>
      <c r="F23" s="12">
        <v>99</v>
      </c>
      <c r="G23" t="s">
        <v>85</v>
      </c>
      <c r="J23">
        <v>1530</v>
      </c>
      <c r="K23" t="s">
        <v>15</v>
      </c>
      <c r="L23" t="s">
        <v>51</v>
      </c>
      <c r="M23" t="s">
        <v>55</v>
      </c>
      <c r="N23">
        <v>22</v>
      </c>
      <c r="P23" t="s">
        <v>63</v>
      </c>
    </row>
    <row r="24" spans="1:16" x14ac:dyDescent="0.25">
      <c r="A24" t="s">
        <v>76</v>
      </c>
      <c r="B24" t="s">
        <v>78</v>
      </c>
      <c r="C24">
        <v>104</v>
      </c>
      <c r="D24" s="12" t="s">
        <v>67</v>
      </c>
      <c r="E24" s="12" t="s">
        <v>81</v>
      </c>
      <c r="F24" s="12">
        <v>99</v>
      </c>
      <c r="G24" t="s">
        <v>85</v>
      </c>
      <c r="J24">
        <v>1530</v>
      </c>
      <c r="K24" t="s">
        <v>15</v>
      </c>
      <c r="L24" t="s">
        <v>51</v>
      </c>
      <c r="M24" t="s">
        <v>55</v>
      </c>
      <c r="N24">
        <v>23</v>
      </c>
      <c r="P24" t="s">
        <v>63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18621E58-8E3A-4A62-9C95-4921833100A1}">
  <ds:schemaRefs/>
</ds:datastoreItem>
</file>

<file path=customXml/itemProps2.xml><?xml version="1.0" encoding="utf-8"?>
<ds:datastoreItem xmlns:ds="http://schemas.openxmlformats.org/officeDocument/2006/customXml" ds:itemID="{6FEFFD9F-6CBF-4372-8B50-E3CE6292BD50}">
  <ds:schemaRefs/>
</ds:datastoreItem>
</file>

<file path=customXml/itemProps3.xml><?xml version="1.0" encoding="utf-8"?>
<ds:datastoreItem xmlns:ds="http://schemas.openxmlformats.org/officeDocument/2006/customXml" ds:itemID="{10D9F6D6-F8DB-409D-8E50-3D0CFC00DF4C}">
  <ds:schemaRefs/>
</ds:datastoreItem>
</file>

<file path=customXml/itemProps4.xml><?xml version="1.0" encoding="utf-8"?>
<ds:datastoreItem xmlns:ds="http://schemas.openxmlformats.org/officeDocument/2006/customXml" ds:itemID="{509E0106-0426-4E9F-9C32-7F596DE7CE9C}">
  <ds:schemaRefs/>
</ds:datastoreItem>
</file>

<file path=customXml/itemProps5.xml><?xml version="1.0" encoding="utf-8"?>
<ds:datastoreItem xmlns:ds="http://schemas.openxmlformats.org/officeDocument/2006/customXml" ds:itemID="{7126261E-E3FA-4459-8F91-6A9734E3BFDD}">
  <ds:schemaRefs/>
</ds:datastoreItem>
</file>

<file path=customXml/itemProps6.xml><?xml version="1.0" encoding="utf-8"?>
<ds:datastoreItem xmlns:ds="http://schemas.openxmlformats.org/officeDocument/2006/customXml" ds:itemID="{286C6561-28F3-41CC-A6E4-2B9C9D5FF695}">
  <ds:schemaRefs/>
</ds:datastoreItem>
</file>

<file path=customXml/itemProps7.xml><?xml version="1.0" encoding="utf-8"?>
<ds:datastoreItem xmlns:ds="http://schemas.openxmlformats.org/officeDocument/2006/customXml" ds:itemID="{CE7204CF-00F2-4723-84DB-357596B3449E}">
  <ds:schemaRefs/>
</ds:datastoreItem>
</file>

<file path=customXml/itemProps8.xml><?xml version="1.0" encoding="utf-8"?>
<ds:datastoreItem xmlns:ds="http://schemas.openxmlformats.org/officeDocument/2006/customXml" ds:itemID="{D2AA23DD-52AF-4A42-BBC0-066BF6FD957A}">
  <ds:schemaRefs/>
</ds:datastoreItem>
</file>

<file path=customXml/itemProps9.xml><?xml version="1.0" encoding="utf-8"?>
<ds:datastoreItem xmlns:ds="http://schemas.openxmlformats.org/officeDocument/2006/customXml" ds:itemID="{1B8F6115-34AA-4214-9383-253A176ED08F}">
  <ds:schemaRefs/>
</ds:datastoreItem>
</file>

<file path=customXml/itemProps10.xml><?xml version="1.0" encoding="utf-8"?>
<ds:datastoreItem xmlns:ds="http://schemas.openxmlformats.org/officeDocument/2006/customXml" ds:itemID="{29F074C4-2843-4968-8B08-97EB93C2E70F}">
  <ds:schemaRefs/>
</ds:datastoreItem>
</file>

<file path=customXml/itemProps11.xml><?xml version="1.0" encoding="utf-8"?>
<ds:datastoreItem xmlns:ds="http://schemas.openxmlformats.org/officeDocument/2006/customXml" ds:itemID="{D7A7E62E-1F5A-4F50-9C7E-C67AE9DDA3FE}">
  <ds:schemaRefs/>
</ds:datastoreItem>
</file>

<file path=customXml/itemProps12.xml><?xml version="1.0" encoding="utf-8"?>
<ds:datastoreItem xmlns:ds="http://schemas.openxmlformats.org/officeDocument/2006/customXml" ds:itemID="{7DB2D93F-5F07-4AF2-8EAD-D38A129E27FD}">
  <ds:schemaRefs/>
</ds:datastoreItem>
</file>

<file path=customXml/itemProps13.xml><?xml version="1.0" encoding="utf-8"?>
<ds:datastoreItem xmlns:ds="http://schemas.openxmlformats.org/officeDocument/2006/customXml" ds:itemID="{E4B200B0-DD05-4CD6-91BB-EB4228845A55}">
  <ds:schemaRefs/>
</ds:datastoreItem>
</file>

<file path=customXml/itemProps14.xml><?xml version="1.0" encoding="utf-8"?>
<ds:datastoreItem xmlns:ds="http://schemas.openxmlformats.org/officeDocument/2006/customXml" ds:itemID="{18A6AD15-965B-4224-9B09-F5011A9DE5EC}">
  <ds:schemaRefs/>
</ds:datastoreItem>
</file>

<file path=customXml/itemProps15.xml><?xml version="1.0" encoding="utf-8"?>
<ds:datastoreItem xmlns:ds="http://schemas.openxmlformats.org/officeDocument/2006/customXml" ds:itemID="{96DCEF09-7FC8-4F0C-9917-47486E84FC1A}">
  <ds:schemaRefs/>
</ds:datastoreItem>
</file>

<file path=customXml/itemProps16.xml><?xml version="1.0" encoding="utf-8"?>
<ds:datastoreItem xmlns:ds="http://schemas.openxmlformats.org/officeDocument/2006/customXml" ds:itemID="{12A22083-FC11-4FA2-864D-C8B7E28BA2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Originaldatenliste</vt:lpstr>
      <vt:lpstr>Datenaufgliederung</vt:lpstr>
      <vt:lpstr>Datenverbindung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2024-07-13T17:07:43Z</dcterms:created>
  <dcterms:modified xsi:type="dcterms:W3CDTF">2025-10-23T10:19:07Z</dcterms:modified>
</cp:coreProperties>
</file>