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rlerncoach-my.sharepoint.com/personal/info_hh_der-lerncoach_solutions/Documents/Buecher/4. Bauanleitungen_PowerBI/Dateien/"/>
    </mc:Choice>
  </mc:AlternateContent>
  <xr:revisionPtr revIDLastSave="294" documentId="8_{41BB1F80-091C-4931-88D4-26EFE9792D32}" xr6:coauthVersionLast="47" xr6:coauthVersionMax="47" xr10:uidLastSave="{76355FC7-0462-4BF4-9602-C2C6F2DBE575}"/>
  <bookViews>
    <workbookView xWindow="28680" yWindow="-120" windowWidth="29040" windowHeight="15840" xr2:uid="{1BDE1F96-7717-4770-ABD6-056C60E0FF73}"/>
  </bookViews>
  <sheets>
    <sheet name="Berechnung Kostenersparn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E11" i="1"/>
  <c r="E10" i="1"/>
  <c r="A18" i="1"/>
  <c r="A19" i="1" s="1"/>
  <c r="A20" i="1" s="1"/>
  <c r="A21" i="1" s="1"/>
  <c r="A22" i="1" s="1"/>
  <c r="A23" i="1" s="1"/>
  <c r="A24" i="1" s="1"/>
  <c r="A25" i="1" s="1"/>
  <c r="A10" i="1"/>
  <c r="A11" i="1" s="1"/>
  <c r="A12" i="1" s="1"/>
  <c r="E2" i="1"/>
  <c r="G2" i="1" s="1"/>
  <c r="I2" i="1" s="1"/>
  <c r="K2" i="1" s="1"/>
  <c r="M2" i="1" l="1"/>
</calcChain>
</file>

<file path=xl/sharedStrings.xml><?xml version="1.0" encoding="utf-8"?>
<sst xmlns="http://schemas.openxmlformats.org/spreadsheetml/2006/main" count="33" uniqueCount="31">
  <si>
    <t>Täglich</t>
  </si>
  <si>
    <t>Wöchentlich</t>
  </si>
  <si>
    <t>Monatlich</t>
  </si>
  <si>
    <t>Wie oft fällt die Tätigkeit an?</t>
  </si>
  <si>
    <t>Wann fällt die Tätigkeit an?</t>
  </si>
  <si>
    <t>Wie hoch ist der Zeitaufwand in Minuten?</t>
  </si>
  <si>
    <t>Bruttostundenlohn inkl. Sozialversicherung einer Fachkraft</t>
  </si>
  <si>
    <t>Jahresgehalt Fachkraft Buchhaltung</t>
  </si>
  <si>
    <t>Monatlicher Auszahlungsbetrag</t>
  </si>
  <si>
    <t>Insgesamt pro Woche sind das:</t>
  </si>
  <si>
    <t>Insgesamt pro Monat sind das:</t>
  </si>
  <si>
    <t>Insgesamt pro Jahr sind das:</t>
  </si>
  <si>
    <t>In Stunden:</t>
  </si>
  <si>
    <t>Kosten pro Fachkraft:</t>
  </si>
  <si>
    <t>22% Aufschlag für Lohn-Nebenkosten</t>
  </si>
  <si>
    <t>Kosten Carola</t>
  </si>
  <si>
    <t>Kosten Externe Datenanalysten</t>
  </si>
  <si>
    <t>Bruttostundenlohn inkl. Sozialversicherung einer Führungskraft</t>
  </si>
  <si>
    <t>Jahresgehalt Leitung Finanzbuchhaltung</t>
  </si>
  <si>
    <t>Tagessatz ohne Urlaubstage</t>
  </si>
  <si>
    <t>Mtl. Kosten inkl. Urlaubstage</t>
  </si>
  <si>
    <t>Tagessatz mit Urlaubstage</t>
  </si>
  <si>
    <t>Krankentage 14,8 in 2024</t>
  </si>
  <si>
    <t>Tagessatz pro Mitarbeiter:in inkl. Krankentage</t>
  </si>
  <si>
    <t>Stundenlohn Fachkraft</t>
  </si>
  <si>
    <t>Stundenlohn Leitung Finanzbuchhaltung</t>
  </si>
  <si>
    <t>Stundenaufwand für Entwicklung</t>
  </si>
  <si>
    <t>Aufwand für Entwicklungkosten geht zu 100% in Buchhaltung ein</t>
  </si>
  <si>
    <t xml:space="preserve">und reduziert den Umsatz. </t>
  </si>
  <si>
    <t>Personalkosten schlagen nicht zu 100% gewinnmindernd zu Buche - nochmal nachlesen</t>
  </si>
  <si>
    <t>Arbeitskraft steht für die eigentlichen Aufgaben nicht mehr zur Verfügung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</si>
</sst>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#,##0\ &quot;€&quot;;[Red]\-#,##0\ &quot;€&quot;"/>
    <numFmt numFmtId="164" formatCode="0\ &quot;Minuten&quot;"/>
    <numFmt numFmtId="170" formatCode="&quot;Arbeitszeit pro Woche &quot;0\ &quot;Stunden.&quot;"/>
    <numFmt numFmtId="171" formatCode="0\ &quot;Stunden&quot;"/>
    <numFmt numFmtId="174" formatCode="&quot;Arbeitstage pro Monat &quot;0\ &quot;Tage&quot;"/>
    <numFmt numFmtId="177" formatCode="&quot;Arbeitszeit pro Woche &quot;0\ &quot;Stunden&quot;"/>
  </numFmts>
  <fonts count="4" x14ac:knownFonts="1"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6" fontId="1" fillId="3" borderId="1" xfId="0" applyNumberFormat="1" applyFont="1" applyFill="1" applyBorder="1"/>
    <xf numFmtId="6" fontId="1" fillId="2" borderId="0" xfId="0" applyNumberFormat="1" applyFont="1" applyFill="1"/>
    <xf numFmtId="0" fontId="1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3" borderId="0" xfId="0" applyFont="1" applyFill="1"/>
    <xf numFmtId="164" fontId="1" fillId="3" borderId="0" xfId="0" applyNumberFormat="1" applyFont="1" applyFill="1"/>
    <xf numFmtId="164" fontId="1" fillId="0" borderId="0" xfId="0" applyNumberFormat="1" applyFont="1"/>
    <xf numFmtId="171" fontId="1" fillId="0" borderId="0" xfId="0" applyNumberFormat="1" applyFont="1"/>
    <xf numFmtId="6" fontId="1" fillId="0" borderId="0" xfId="0" applyNumberFormat="1" applyFont="1"/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1" fillId="0" borderId="0" xfId="0" applyFont="1" applyFill="1" applyBorder="1" applyAlignment="1">
      <alignment horizontal="left"/>
    </xf>
    <xf numFmtId="170" fontId="1" fillId="3" borderId="3" xfId="0" applyNumberFormat="1" applyFont="1" applyFill="1" applyBorder="1" applyAlignment="1">
      <alignment horizontal="left"/>
    </xf>
    <xf numFmtId="170" fontId="1" fillId="3" borderId="0" xfId="0" applyNumberFormat="1" applyFont="1" applyFill="1" applyBorder="1" applyAlignment="1">
      <alignment horizontal="left"/>
    </xf>
    <xf numFmtId="174" fontId="1" fillId="3" borderId="3" xfId="0" applyNumberFormat="1" applyFont="1" applyFill="1" applyBorder="1" applyAlignment="1">
      <alignment horizontal="left"/>
    </xf>
    <xf numFmtId="174" fontId="1" fillId="3" borderId="0" xfId="0" applyNumberFormat="1" applyFont="1" applyFill="1" applyBorder="1" applyAlignment="1">
      <alignment horizontal="left"/>
    </xf>
    <xf numFmtId="177" fontId="1" fillId="3" borderId="3" xfId="0" applyNumberFormat="1" applyFont="1" applyFill="1" applyBorder="1" applyAlignment="1">
      <alignment horizontal="left"/>
    </xf>
    <xf numFmtId="177" fontId="1" fillId="3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 wrapText="1"/>
    </xf>
    <xf numFmtId="0" fontId="3" fillId="0" borderId="0" xfId="0" applyFont="1"/>
    <xf numFmtId="0" fontId="1" fillId="0" borderId="0" xfId="0" applyFont="1" applyAlignment="1">
      <alignment vertical="top"/>
    </xf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071FA3FE-4BC3-4505-94C3-66D5059374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F114-316F-41C1-BB89-019629AC5870}">
  <dimension ref="A1:M25"/>
  <sheetViews>
    <sheetView tabSelected="1" topLeftCell="A4" workbookViewId="0">
      <selection activeCell="H18" sqref="H17:H18"/>
    </sheetView>
  </sheetViews>
  <sheetFormatPr baseColWidth="10" defaultRowHeight="15.75" x14ac:dyDescent="0.25"/>
  <cols>
    <col min="1" max="1" width="17.75" customWidth="1"/>
    <col min="2" max="2" width="40.875" customWidth="1"/>
    <col min="3" max="3" width="34" customWidth="1"/>
    <col min="4" max="4" width="4.75" customWidth="1"/>
    <col min="5" max="5" width="18.125" customWidth="1"/>
    <col min="6" max="6" width="4.75" customWidth="1"/>
    <col min="7" max="7" width="18.125" customWidth="1"/>
    <col min="8" max="8" width="4.75" customWidth="1"/>
    <col min="9" max="9" width="20" customWidth="1"/>
    <col min="10" max="10" width="5.75" customWidth="1"/>
    <col min="11" max="11" width="13.125" customWidth="1"/>
    <col min="12" max="12" width="5.625" customWidth="1"/>
    <col min="13" max="13" width="14" customWidth="1"/>
  </cols>
  <sheetData>
    <row r="1" spans="1:13" s="1" customFormat="1" ht="44.25" customHeight="1" x14ac:dyDescent="0.3">
      <c r="A1" s="14" t="s">
        <v>4</v>
      </c>
      <c r="B1" s="14" t="s">
        <v>3</v>
      </c>
      <c r="C1" s="14" t="s">
        <v>5</v>
      </c>
      <c r="D1" s="5"/>
      <c r="E1" s="14" t="s">
        <v>9</v>
      </c>
      <c r="F1" s="6"/>
      <c r="G1" s="14" t="s">
        <v>10</v>
      </c>
      <c r="H1" s="6"/>
      <c r="I1" s="14" t="s">
        <v>11</v>
      </c>
      <c r="J1" s="6"/>
      <c r="K1" s="14" t="s">
        <v>12</v>
      </c>
      <c r="L1" s="6"/>
      <c r="M1" s="14" t="s">
        <v>13</v>
      </c>
    </row>
    <row r="2" spans="1:13" ht="23.25" customHeight="1" x14ac:dyDescent="0.3">
      <c r="A2" s="7" t="s">
        <v>0</v>
      </c>
      <c r="B2" s="8">
        <v>1</v>
      </c>
      <c r="C2" s="9">
        <v>3</v>
      </c>
      <c r="D2" s="7"/>
      <c r="E2" s="10">
        <f>SUMPRODUCT(B2:B4,C2:C4)*5</f>
        <v>15</v>
      </c>
      <c r="F2" s="7"/>
      <c r="G2" s="10">
        <f>E2*4</f>
        <v>60</v>
      </c>
      <c r="H2" s="7"/>
      <c r="I2" s="10">
        <f>G2*12</f>
        <v>720</v>
      </c>
      <c r="J2" s="7"/>
      <c r="K2" s="11">
        <f>I2/60</f>
        <v>12</v>
      </c>
      <c r="L2" s="7"/>
      <c r="M2" s="12">
        <f>A12*K2</f>
        <v>302.59210526315792</v>
      </c>
    </row>
    <row r="3" spans="1:13" ht="23.25" customHeight="1" x14ac:dyDescent="0.3">
      <c r="A3" s="7" t="s">
        <v>1</v>
      </c>
      <c r="B3" s="8">
        <v>1</v>
      </c>
      <c r="C3" s="9"/>
      <c r="D3" s="7"/>
      <c r="E3" s="10"/>
      <c r="F3" s="7"/>
      <c r="G3" s="7"/>
      <c r="H3" s="7"/>
      <c r="I3" s="7"/>
      <c r="J3" s="7"/>
      <c r="K3" s="7"/>
      <c r="L3" s="7"/>
      <c r="M3" s="7"/>
    </row>
    <row r="4" spans="1:13" ht="23.25" customHeight="1" x14ac:dyDescent="0.3">
      <c r="A4" s="7" t="s">
        <v>2</v>
      </c>
      <c r="B4" s="8">
        <v>1</v>
      </c>
      <c r="C4" s="9"/>
      <c r="D4" s="7"/>
      <c r="E4" s="10"/>
      <c r="F4" s="7"/>
      <c r="G4" s="7"/>
      <c r="H4" s="7"/>
      <c r="I4" s="7"/>
      <c r="J4" s="7"/>
      <c r="K4" s="7"/>
      <c r="L4" s="7"/>
      <c r="M4" s="7"/>
    </row>
    <row r="7" spans="1:13" ht="47.25" customHeight="1" x14ac:dyDescent="0.3">
      <c r="A7" s="13" t="s">
        <v>6</v>
      </c>
      <c r="B7" s="13"/>
      <c r="E7" s="14" t="s">
        <v>15</v>
      </c>
      <c r="G7" s="14" t="s">
        <v>16</v>
      </c>
    </row>
    <row r="9" spans="1:13" ht="24" customHeight="1" x14ac:dyDescent="0.3">
      <c r="A9" s="2">
        <v>37700</v>
      </c>
      <c r="B9" s="4" t="s">
        <v>7</v>
      </c>
      <c r="E9" s="11">
        <v>60</v>
      </c>
      <c r="F9" s="11"/>
      <c r="G9" s="11">
        <v>40</v>
      </c>
      <c r="I9" s="7" t="s">
        <v>26</v>
      </c>
    </row>
    <row r="10" spans="1:13" ht="24" customHeight="1" x14ac:dyDescent="0.3">
      <c r="A10" s="3">
        <f>A9*1.22</f>
        <v>45994</v>
      </c>
      <c r="B10" s="4" t="s">
        <v>14</v>
      </c>
      <c r="E10" s="12">
        <f>A25</f>
        <v>47.882881944444442</v>
      </c>
      <c r="G10" s="12">
        <v>95</v>
      </c>
    </row>
    <row r="11" spans="1:13" ht="24" customHeight="1" x14ac:dyDescent="0.3">
      <c r="A11" s="3">
        <f>A10/12</f>
        <v>3832.8333333333335</v>
      </c>
      <c r="B11" s="4" t="s">
        <v>8</v>
      </c>
      <c r="E11" s="12">
        <f>E9*E10</f>
        <v>2872.9729166666666</v>
      </c>
      <c r="G11" s="12">
        <f>G10*G9</f>
        <v>3800</v>
      </c>
      <c r="I11" s="7" t="s">
        <v>27</v>
      </c>
    </row>
    <row r="12" spans="1:13" ht="24" customHeight="1" x14ac:dyDescent="0.3">
      <c r="A12" s="3">
        <f>A11/(C12*4)</f>
        <v>25.216008771929825</v>
      </c>
      <c r="B12" s="15" t="s">
        <v>24</v>
      </c>
      <c r="C12" s="16">
        <v>38</v>
      </c>
      <c r="D12" s="17"/>
      <c r="I12" s="7" t="s">
        <v>28</v>
      </c>
    </row>
    <row r="13" spans="1:13" ht="18.75" x14ac:dyDescent="0.3">
      <c r="I13" s="23" t="s">
        <v>29</v>
      </c>
    </row>
    <row r="15" spans="1:13" ht="37.5" customHeight="1" x14ac:dyDescent="0.3">
      <c r="A15" s="13" t="s">
        <v>17</v>
      </c>
      <c r="B15" s="13"/>
      <c r="I15" s="24" t="s">
        <v>30</v>
      </c>
    </row>
    <row r="17" spans="1:4" ht="18.75" x14ac:dyDescent="0.3">
      <c r="A17" s="2">
        <v>47000</v>
      </c>
      <c r="B17" s="4" t="s">
        <v>18</v>
      </c>
    </row>
    <row r="18" spans="1:4" ht="18.75" x14ac:dyDescent="0.3">
      <c r="A18" s="3">
        <f>A17*1.22</f>
        <v>57340</v>
      </c>
      <c r="B18" s="4" t="s">
        <v>14</v>
      </c>
    </row>
    <row r="19" spans="1:4" ht="18.75" x14ac:dyDescent="0.3">
      <c r="A19" s="3">
        <f>A18/12</f>
        <v>4778.333333333333</v>
      </c>
      <c r="B19" s="4" t="s">
        <v>8</v>
      </c>
    </row>
    <row r="20" spans="1:4" ht="18.75" x14ac:dyDescent="0.3">
      <c r="A20" s="3">
        <f>A19/C20</f>
        <v>238.91666666666666</v>
      </c>
      <c r="B20" s="4" t="s">
        <v>19</v>
      </c>
      <c r="C20" s="18">
        <v>20</v>
      </c>
      <c r="D20" s="19"/>
    </row>
    <row r="21" spans="1:4" ht="18.75" x14ac:dyDescent="0.3">
      <c r="A21" s="3">
        <f>A20*C22</f>
        <v>6211.833333333333</v>
      </c>
      <c r="B21" s="15" t="s">
        <v>20</v>
      </c>
      <c r="C21" s="20">
        <v>40</v>
      </c>
      <c r="D21" s="21"/>
    </row>
    <row r="22" spans="1:4" ht="18.75" x14ac:dyDescent="0.3">
      <c r="A22" s="3">
        <f>A21/C20</f>
        <v>310.59166666666664</v>
      </c>
      <c r="B22" s="15" t="s">
        <v>21</v>
      </c>
      <c r="C22" s="20">
        <v>26</v>
      </c>
      <c r="D22" s="21"/>
    </row>
    <row r="23" spans="1:4" ht="18.75" x14ac:dyDescent="0.3">
      <c r="A23" s="3">
        <f>A22*C23</f>
        <v>4596.7566666666662</v>
      </c>
      <c r="B23" s="15" t="s">
        <v>22</v>
      </c>
      <c r="C23" s="20">
        <v>14.8</v>
      </c>
      <c r="D23" s="21"/>
    </row>
    <row r="24" spans="1:4" ht="37.5" x14ac:dyDescent="0.3">
      <c r="A24" s="3">
        <f>A23/12</f>
        <v>383.06305555555554</v>
      </c>
      <c r="B24" s="22" t="s">
        <v>23</v>
      </c>
    </row>
    <row r="25" spans="1:4" ht="25.5" customHeight="1" x14ac:dyDescent="0.3">
      <c r="A25" s="3">
        <f>A24/(C21/5)</f>
        <v>47.882881944444442</v>
      </c>
      <c r="B25" s="15" t="s">
        <v>25</v>
      </c>
    </row>
  </sheetData>
  <mergeCells count="7">
    <mergeCell ref="C23:D23"/>
    <mergeCell ref="C22:D22"/>
    <mergeCell ref="A7:B7"/>
    <mergeCell ref="A15:B15"/>
    <mergeCell ref="C12:D12"/>
    <mergeCell ref="C20:D20"/>
    <mergeCell ref="C21:D2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Berechnung Kostenersparnis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2025-06-05T10:43:17Z</dcterms:created>
  <dcterms:modified xsi:type="dcterms:W3CDTF">2025-06-05T12:26:02Z</dcterms:modified>
</cp:coreProperties>
</file>