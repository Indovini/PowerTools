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472DEE38-6BA1-4D22-81C9-6E07A561B978}" xr6:coauthVersionLast="47" xr6:coauthVersionMax="47" xr10:uidLastSave="{00000000-0000-0000-0000-000000000000}"/>
  <bookViews>
    <workbookView xWindow="-120" yWindow="-120" windowWidth="28110" windowHeight="16440" activeTab="1" xr2:uid="{00000000-000D-0000-FFFF-FFFF00000000}"/>
  </bookViews>
  <sheets>
    <sheet name="Kalender" sheetId="2" r:id="rId1"/>
    <sheet name="KmKosten" sheetId="3" r:id="rId2"/>
  </sheets>
  <definedNames>
    <definedName name="ExterneDaten_1" localSheetId="1" hidden="1">KmKosten!$A$1:$E$1620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F2" i="2"/>
  <c r="H2" i="2" s="1"/>
  <c r="F3" i="2"/>
  <c r="H3" i="2" s="1"/>
  <c r="F4" i="2"/>
  <c r="H4" i="2" s="1"/>
  <c r="F5" i="2"/>
  <c r="H5" i="2" s="1"/>
  <c r="F6" i="2"/>
  <c r="H6" i="2" s="1"/>
  <c r="F7" i="2"/>
  <c r="H7" i="2" s="1"/>
  <c r="F8" i="2"/>
  <c r="H8" i="2" s="1"/>
  <c r="F9" i="2"/>
  <c r="H9" i="2" s="1"/>
  <c r="F10" i="2"/>
  <c r="H10" i="2" s="1"/>
  <c r="F11" i="2"/>
  <c r="H11" i="2" s="1"/>
  <c r="F12" i="2"/>
  <c r="H12" i="2" s="1"/>
  <c r="F13" i="2"/>
  <c r="H13" i="2" s="1"/>
  <c r="F14" i="2"/>
  <c r="H14" i="2" s="1"/>
  <c r="F15" i="2"/>
  <c r="H15" i="2" s="1"/>
  <c r="F16" i="2"/>
  <c r="H16" i="2" s="1"/>
  <c r="F17" i="2"/>
  <c r="H17" i="2" s="1"/>
  <c r="F18" i="2"/>
  <c r="H18" i="2" s="1"/>
  <c r="F19" i="2"/>
  <c r="H19" i="2" s="1"/>
  <c r="F20" i="2"/>
  <c r="H20" i="2" s="1"/>
  <c r="F21" i="2"/>
  <c r="H21" i="2" s="1"/>
  <c r="F22" i="2"/>
  <c r="H22" i="2" s="1"/>
  <c r="F23" i="2"/>
  <c r="H23" i="2" s="1"/>
  <c r="F24" i="2"/>
  <c r="H24" i="2" s="1"/>
  <c r="F25" i="2"/>
  <c r="H25" i="2" s="1"/>
  <c r="J25" i="2" s="1"/>
  <c r="F26" i="2"/>
  <c r="H26" i="2" s="1"/>
  <c r="F27" i="2"/>
  <c r="H27" i="2" s="1"/>
  <c r="F28" i="2"/>
  <c r="H28" i="2" s="1"/>
  <c r="F29" i="2"/>
  <c r="H29" i="2" s="1"/>
  <c r="F30" i="2"/>
  <c r="H30" i="2" s="1"/>
  <c r="F31" i="2"/>
  <c r="H31" i="2" s="1"/>
  <c r="F32" i="2"/>
  <c r="H32" i="2" s="1"/>
  <c r="F33" i="2"/>
  <c r="H33" i="2" s="1"/>
  <c r="F34" i="2"/>
  <c r="H34" i="2" s="1"/>
  <c r="F35" i="2"/>
  <c r="H35" i="2" s="1"/>
  <c r="F36" i="2"/>
  <c r="H36" i="2" s="1"/>
  <c r="F37" i="2"/>
  <c r="H37" i="2" s="1"/>
  <c r="F38" i="2"/>
  <c r="H38" i="2" s="1"/>
  <c r="F39" i="2"/>
  <c r="H39" i="2" s="1"/>
  <c r="F40" i="2"/>
  <c r="H40" i="2" s="1"/>
  <c r="F41" i="2"/>
  <c r="H41" i="2" s="1"/>
  <c r="F42" i="2"/>
  <c r="H42" i="2" s="1"/>
  <c r="F43" i="2"/>
  <c r="H43" i="2" s="1"/>
  <c r="F44" i="2"/>
  <c r="H44" i="2" s="1"/>
  <c r="F45" i="2"/>
  <c r="H45" i="2" s="1"/>
  <c r="F46" i="2"/>
  <c r="H46" i="2" s="1"/>
  <c r="F47" i="2"/>
  <c r="H47" i="2" s="1"/>
  <c r="F48" i="2"/>
  <c r="H48" i="2" s="1"/>
  <c r="F49" i="2"/>
  <c r="H49" i="2" s="1"/>
  <c r="F50" i="2"/>
  <c r="H50" i="2" s="1"/>
  <c r="F51" i="2"/>
  <c r="H51" i="2" s="1"/>
  <c r="F52" i="2"/>
  <c r="H52" i="2" s="1"/>
  <c r="F53" i="2"/>
  <c r="H53" i="2" s="1"/>
  <c r="F54" i="2"/>
  <c r="H54" i="2" s="1"/>
  <c r="F55" i="2"/>
  <c r="H55" i="2" s="1"/>
  <c r="F56" i="2"/>
  <c r="H56" i="2" s="1"/>
  <c r="F57" i="2"/>
  <c r="H57" i="2" s="1"/>
  <c r="F58" i="2"/>
  <c r="H58" i="2" s="1"/>
  <c r="F59" i="2"/>
  <c r="H59" i="2" s="1"/>
  <c r="F60" i="2"/>
  <c r="H60" i="2" s="1"/>
  <c r="F61" i="2"/>
  <c r="H61" i="2" s="1"/>
  <c r="F62" i="2"/>
  <c r="H62" i="2" s="1"/>
  <c r="F63" i="2"/>
  <c r="H63" i="2" s="1"/>
  <c r="F64" i="2"/>
  <c r="H64" i="2" s="1"/>
  <c r="F65" i="2"/>
  <c r="H65" i="2" s="1"/>
  <c r="F66" i="2"/>
  <c r="H66" i="2" s="1"/>
  <c r="F67" i="2"/>
  <c r="H67" i="2" s="1"/>
  <c r="F68" i="2"/>
  <c r="H68" i="2" s="1"/>
  <c r="F69" i="2"/>
  <c r="H69" i="2" s="1"/>
  <c r="F70" i="2"/>
  <c r="H70" i="2" s="1"/>
  <c r="F71" i="2"/>
  <c r="H71" i="2" s="1"/>
  <c r="F72" i="2"/>
  <c r="H72" i="2" s="1"/>
  <c r="F73" i="2"/>
  <c r="H73" i="2" s="1"/>
  <c r="F74" i="2"/>
  <c r="H74" i="2" s="1"/>
  <c r="F75" i="2"/>
  <c r="H75" i="2" s="1"/>
  <c r="F76" i="2"/>
  <c r="H76" i="2" s="1"/>
  <c r="F77" i="2"/>
  <c r="H77" i="2" s="1"/>
  <c r="F78" i="2"/>
  <c r="H78" i="2" s="1"/>
  <c r="F79" i="2"/>
  <c r="H79" i="2" s="1"/>
  <c r="F80" i="2"/>
  <c r="H80" i="2" s="1"/>
  <c r="F81" i="2"/>
  <c r="H81" i="2" s="1"/>
  <c r="F82" i="2"/>
  <c r="H82" i="2" s="1"/>
  <c r="F83" i="2"/>
  <c r="H83" i="2" s="1"/>
  <c r="F84" i="2"/>
  <c r="H84" i="2" s="1"/>
  <c r="F85" i="2"/>
  <c r="H85" i="2" s="1"/>
  <c r="F86" i="2"/>
  <c r="H86" i="2" s="1"/>
  <c r="F87" i="2"/>
  <c r="H87" i="2" s="1"/>
  <c r="F88" i="2"/>
  <c r="H88" i="2" s="1"/>
  <c r="F89" i="2"/>
  <c r="H89" i="2" s="1"/>
  <c r="F90" i="2"/>
  <c r="H90" i="2" s="1"/>
  <c r="F91" i="2"/>
  <c r="H91" i="2" s="1"/>
  <c r="F92" i="2"/>
  <c r="H92" i="2" s="1"/>
  <c r="F93" i="2"/>
  <c r="H93" i="2" s="1"/>
  <c r="F94" i="2"/>
  <c r="H94" i="2" s="1"/>
  <c r="F95" i="2"/>
  <c r="H95" i="2" s="1"/>
  <c r="F96" i="2"/>
  <c r="H96" i="2" s="1"/>
  <c r="F97" i="2"/>
  <c r="H97" i="2" s="1"/>
  <c r="F98" i="2"/>
  <c r="H98" i="2" s="1"/>
  <c r="F99" i="2"/>
  <c r="H99" i="2" s="1"/>
  <c r="F100" i="2"/>
  <c r="H100" i="2" s="1"/>
  <c r="F101" i="2"/>
  <c r="H101" i="2" s="1"/>
  <c r="F102" i="2"/>
  <c r="H102" i="2" s="1"/>
  <c r="F103" i="2"/>
  <c r="H103" i="2" s="1"/>
  <c r="F104" i="2"/>
  <c r="H104" i="2" s="1"/>
  <c r="F105" i="2"/>
  <c r="H105" i="2" s="1"/>
  <c r="F106" i="2"/>
  <c r="H106" i="2" s="1"/>
  <c r="F107" i="2"/>
  <c r="H107" i="2" s="1"/>
  <c r="F108" i="2"/>
  <c r="H108" i="2" s="1"/>
  <c r="F109" i="2"/>
  <c r="H109" i="2" s="1"/>
  <c r="F110" i="2"/>
  <c r="H110" i="2" s="1"/>
  <c r="F111" i="2"/>
  <c r="H111" i="2" s="1"/>
  <c r="F112" i="2"/>
  <c r="H112" i="2" s="1"/>
  <c r="F113" i="2"/>
  <c r="H113" i="2" s="1"/>
  <c r="F114" i="2"/>
  <c r="H114" i="2" s="1"/>
  <c r="F115" i="2"/>
  <c r="H115" i="2" s="1"/>
  <c r="F116" i="2"/>
  <c r="H116" i="2" s="1"/>
  <c r="F117" i="2"/>
  <c r="H117" i="2" s="1"/>
  <c r="F118" i="2"/>
  <c r="H118" i="2" s="1"/>
  <c r="F119" i="2"/>
  <c r="H119" i="2" s="1"/>
  <c r="F120" i="2"/>
  <c r="H120" i="2" s="1"/>
  <c r="F121" i="2"/>
  <c r="H121" i="2" s="1"/>
  <c r="F122" i="2"/>
  <c r="H122" i="2" s="1"/>
  <c r="F123" i="2"/>
  <c r="H123" i="2" s="1"/>
  <c r="F124" i="2"/>
  <c r="H124" i="2" s="1"/>
  <c r="F125" i="2"/>
  <c r="H125" i="2" s="1"/>
  <c r="F126" i="2"/>
  <c r="H126" i="2" s="1"/>
  <c r="F127" i="2"/>
  <c r="H127" i="2" s="1"/>
  <c r="F128" i="2"/>
  <c r="H128" i="2" s="1"/>
  <c r="F129" i="2"/>
  <c r="H129" i="2" s="1"/>
  <c r="F130" i="2"/>
  <c r="H130" i="2" s="1"/>
  <c r="F131" i="2"/>
  <c r="H131" i="2" s="1"/>
  <c r="F132" i="2"/>
  <c r="H132" i="2" s="1"/>
  <c r="F133" i="2"/>
  <c r="H133" i="2" s="1"/>
  <c r="F134" i="2"/>
  <c r="H134" i="2" s="1"/>
  <c r="F135" i="2"/>
  <c r="H135" i="2" s="1"/>
  <c r="F136" i="2"/>
  <c r="H136" i="2" s="1"/>
  <c r="F137" i="2"/>
  <c r="H137" i="2" s="1"/>
  <c r="F138" i="2"/>
  <c r="H138" i="2" s="1"/>
  <c r="F139" i="2"/>
  <c r="H139" i="2" s="1"/>
  <c r="F140" i="2"/>
  <c r="H140" i="2" s="1"/>
  <c r="F141" i="2"/>
  <c r="H141" i="2" s="1"/>
  <c r="F142" i="2"/>
  <c r="H142" i="2" s="1"/>
  <c r="F143" i="2"/>
  <c r="H143" i="2" s="1"/>
  <c r="F144" i="2"/>
  <c r="H144" i="2" s="1"/>
  <c r="F145" i="2"/>
  <c r="H145" i="2" s="1"/>
  <c r="F146" i="2"/>
  <c r="H146" i="2" s="1"/>
  <c r="F147" i="2"/>
  <c r="H147" i="2" s="1"/>
  <c r="F148" i="2"/>
  <c r="H148" i="2" s="1"/>
  <c r="F149" i="2"/>
  <c r="H149" i="2" s="1"/>
  <c r="F150" i="2"/>
  <c r="H150" i="2" s="1"/>
  <c r="F151" i="2"/>
  <c r="H151" i="2" s="1"/>
  <c r="F152" i="2"/>
  <c r="H152" i="2" s="1"/>
  <c r="F153" i="2"/>
  <c r="H153" i="2" s="1"/>
  <c r="F154" i="2"/>
  <c r="H154" i="2" s="1"/>
  <c r="F155" i="2"/>
  <c r="H155" i="2" s="1"/>
  <c r="F156" i="2"/>
  <c r="H156" i="2" s="1"/>
  <c r="F157" i="2"/>
  <c r="H157" i="2" s="1"/>
  <c r="F158" i="2"/>
  <c r="H158" i="2" s="1"/>
  <c r="F159" i="2"/>
  <c r="H159" i="2" s="1"/>
  <c r="F160" i="2"/>
  <c r="H160" i="2" s="1"/>
  <c r="F161" i="2"/>
  <c r="H161" i="2" s="1"/>
  <c r="F162" i="2"/>
  <c r="H162" i="2" s="1"/>
  <c r="F163" i="2"/>
  <c r="H163" i="2" s="1"/>
  <c r="F164" i="2"/>
  <c r="H164" i="2" s="1"/>
  <c r="F165" i="2"/>
  <c r="H165" i="2" s="1"/>
  <c r="F166" i="2"/>
  <c r="H166" i="2" s="1"/>
  <c r="F167" i="2"/>
  <c r="H167" i="2" s="1"/>
  <c r="F168" i="2"/>
  <c r="H168" i="2" s="1"/>
  <c r="F169" i="2"/>
  <c r="H169" i="2" s="1"/>
  <c r="J169" i="2" s="1"/>
  <c r="F170" i="2"/>
  <c r="H170" i="2" s="1"/>
  <c r="F171" i="2"/>
  <c r="H171" i="2" s="1"/>
  <c r="F172" i="2"/>
  <c r="H172" i="2" s="1"/>
  <c r="F173" i="2"/>
  <c r="H173" i="2" s="1"/>
  <c r="F174" i="2"/>
  <c r="H174" i="2" s="1"/>
  <c r="F175" i="2"/>
  <c r="H175" i="2" s="1"/>
  <c r="F176" i="2"/>
  <c r="H176" i="2" s="1"/>
  <c r="F177" i="2"/>
  <c r="H177" i="2" s="1"/>
  <c r="F178" i="2"/>
  <c r="H178" i="2" s="1"/>
  <c r="F179" i="2"/>
  <c r="H179" i="2" s="1"/>
  <c r="F180" i="2"/>
  <c r="H180" i="2" s="1"/>
  <c r="F181" i="2"/>
  <c r="H181" i="2" s="1"/>
  <c r="F182" i="2"/>
  <c r="H182" i="2" s="1"/>
  <c r="F183" i="2"/>
  <c r="H183" i="2" s="1"/>
  <c r="F184" i="2"/>
  <c r="H184" i="2" s="1"/>
  <c r="F185" i="2"/>
  <c r="H185" i="2" s="1"/>
  <c r="F186" i="2"/>
  <c r="H186" i="2" s="1"/>
  <c r="F187" i="2"/>
  <c r="H187" i="2" s="1"/>
  <c r="F188" i="2"/>
  <c r="H188" i="2" s="1"/>
  <c r="F189" i="2"/>
  <c r="H189" i="2" s="1"/>
  <c r="F190" i="2"/>
  <c r="H190" i="2" s="1"/>
  <c r="F191" i="2"/>
  <c r="H191" i="2" s="1"/>
  <c r="F192" i="2"/>
  <c r="H192" i="2" s="1"/>
  <c r="F193" i="2"/>
  <c r="H193" i="2" s="1"/>
  <c r="F194" i="2"/>
  <c r="H194" i="2" s="1"/>
  <c r="F195" i="2"/>
  <c r="H195" i="2" s="1"/>
  <c r="F196" i="2"/>
  <c r="H196" i="2" s="1"/>
  <c r="F197" i="2"/>
  <c r="H197" i="2" s="1"/>
  <c r="F198" i="2"/>
  <c r="H198" i="2" s="1"/>
  <c r="F199" i="2"/>
  <c r="H199" i="2" s="1"/>
  <c r="F200" i="2"/>
  <c r="H200" i="2" s="1"/>
  <c r="F201" i="2"/>
  <c r="H201" i="2" s="1"/>
  <c r="F202" i="2"/>
  <c r="H202" i="2" s="1"/>
  <c r="F203" i="2"/>
  <c r="H203" i="2" s="1"/>
  <c r="F204" i="2"/>
  <c r="H204" i="2" s="1"/>
  <c r="F205" i="2"/>
  <c r="H205" i="2" s="1"/>
  <c r="F206" i="2"/>
  <c r="H206" i="2" s="1"/>
  <c r="F207" i="2"/>
  <c r="H207" i="2" s="1"/>
  <c r="F208" i="2"/>
  <c r="H208" i="2" s="1"/>
  <c r="F209" i="2"/>
  <c r="H209" i="2" s="1"/>
  <c r="F210" i="2"/>
  <c r="H210" i="2" s="1"/>
  <c r="F211" i="2"/>
  <c r="H211" i="2" s="1"/>
  <c r="F212" i="2"/>
  <c r="H212" i="2" s="1"/>
  <c r="F213" i="2"/>
  <c r="H213" i="2" s="1"/>
  <c r="F214" i="2"/>
  <c r="H214" i="2" s="1"/>
  <c r="F215" i="2"/>
  <c r="H215" i="2" s="1"/>
  <c r="F216" i="2"/>
  <c r="H216" i="2" s="1"/>
  <c r="F217" i="2"/>
  <c r="H217" i="2" s="1"/>
  <c r="F218" i="2"/>
  <c r="H218" i="2" s="1"/>
  <c r="F219" i="2"/>
  <c r="H219" i="2" s="1"/>
  <c r="F220" i="2"/>
  <c r="H220" i="2" s="1"/>
  <c r="F221" i="2"/>
  <c r="H221" i="2" s="1"/>
  <c r="F222" i="2"/>
  <c r="H222" i="2" s="1"/>
  <c r="F223" i="2"/>
  <c r="H223" i="2" s="1"/>
  <c r="F224" i="2"/>
  <c r="H224" i="2" s="1"/>
  <c r="F225" i="2"/>
  <c r="H225" i="2" s="1"/>
  <c r="F226" i="2"/>
  <c r="H226" i="2" s="1"/>
  <c r="F227" i="2"/>
  <c r="H227" i="2" s="1"/>
  <c r="F228" i="2"/>
  <c r="H228" i="2" s="1"/>
  <c r="F229" i="2"/>
  <c r="H229" i="2" s="1"/>
  <c r="F230" i="2"/>
  <c r="H230" i="2" s="1"/>
  <c r="F231" i="2"/>
  <c r="H231" i="2" s="1"/>
  <c r="F232" i="2"/>
  <c r="H232" i="2" s="1"/>
  <c r="F233" i="2"/>
  <c r="H233" i="2" s="1"/>
  <c r="F234" i="2"/>
  <c r="H234" i="2" s="1"/>
  <c r="F235" i="2"/>
  <c r="H235" i="2" s="1"/>
  <c r="F236" i="2"/>
  <c r="H236" i="2" s="1"/>
  <c r="F237" i="2"/>
  <c r="H237" i="2" s="1"/>
  <c r="F238" i="2"/>
  <c r="H238" i="2" s="1"/>
  <c r="F239" i="2"/>
  <c r="H239" i="2" s="1"/>
  <c r="F240" i="2"/>
  <c r="H240" i="2" s="1"/>
  <c r="F241" i="2"/>
  <c r="H241" i="2" s="1"/>
  <c r="F242" i="2"/>
  <c r="H242" i="2" s="1"/>
  <c r="F243" i="2"/>
  <c r="H243" i="2" s="1"/>
  <c r="F244" i="2"/>
  <c r="H244" i="2" s="1"/>
  <c r="F245" i="2"/>
  <c r="H245" i="2" s="1"/>
  <c r="F246" i="2"/>
  <c r="H246" i="2" s="1"/>
  <c r="F247" i="2"/>
  <c r="H247" i="2" s="1"/>
  <c r="F248" i="2"/>
  <c r="H248" i="2" s="1"/>
  <c r="F249" i="2"/>
  <c r="H249" i="2" s="1"/>
  <c r="F250" i="2"/>
  <c r="H250" i="2" s="1"/>
  <c r="F251" i="2"/>
  <c r="H251" i="2" s="1"/>
  <c r="F252" i="2"/>
  <c r="H252" i="2" s="1"/>
  <c r="F253" i="2"/>
  <c r="H253" i="2" s="1"/>
  <c r="F254" i="2"/>
  <c r="H254" i="2" s="1"/>
  <c r="F255" i="2"/>
  <c r="H255" i="2" s="1"/>
  <c r="F256" i="2"/>
  <c r="H256" i="2" s="1"/>
  <c r="F257" i="2"/>
  <c r="H257" i="2" s="1"/>
  <c r="F258" i="2"/>
  <c r="H258" i="2" s="1"/>
  <c r="F259" i="2"/>
  <c r="H259" i="2" s="1"/>
  <c r="F260" i="2"/>
  <c r="H260" i="2" s="1"/>
  <c r="F261" i="2"/>
  <c r="H261" i="2" s="1"/>
  <c r="F262" i="2"/>
  <c r="H262" i="2" s="1"/>
  <c r="F263" i="2"/>
  <c r="H263" i="2" s="1"/>
  <c r="F264" i="2"/>
  <c r="H264" i="2" s="1"/>
  <c r="F265" i="2"/>
  <c r="H265" i="2" s="1"/>
  <c r="F266" i="2"/>
  <c r="H266" i="2" s="1"/>
  <c r="F267" i="2"/>
  <c r="H267" i="2" s="1"/>
  <c r="F268" i="2"/>
  <c r="H268" i="2" s="1"/>
  <c r="F269" i="2"/>
  <c r="H269" i="2" s="1"/>
  <c r="F270" i="2"/>
  <c r="H270" i="2" s="1"/>
  <c r="F271" i="2"/>
  <c r="H271" i="2" s="1"/>
  <c r="F272" i="2"/>
  <c r="H272" i="2" s="1"/>
  <c r="F273" i="2"/>
  <c r="H273" i="2" s="1"/>
  <c r="F274" i="2"/>
  <c r="H274" i="2" s="1"/>
  <c r="F275" i="2"/>
  <c r="H275" i="2" s="1"/>
  <c r="F276" i="2"/>
  <c r="H276" i="2" s="1"/>
  <c r="F277" i="2"/>
  <c r="H277" i="2" s="1"/>
  <c r="F278" i="2"/>
  <c r="H278" i="2" s="1"/>
  <c r="F279" i="2"/>
  <c r="H279" i="2" s="1"/>
  <c r="F280" i="2"/>
  <c r="H280" i="2" s="1"/>
  <c r="F281" i="2"/>
  <c r="H281" i="2" s="1"/>
  <c r="F282" i="2"/>
  <c r="H282" i="2" s="1"/>
  <c r="F283" i="2"/>
  <c r="H283" i="2" s="1"/>
  <c r="F284" i="2"/>
  <c r="H284" i="2" s="1"/>
  <c r="F285" i="2"/>
  <c r="H285" i="2" s="1"/>
  <c r="F286" i="2"/>
  <c r="H286" i="2" s="1"/>
  <c r="F287" i="2"/>
  <c r="H287" i="2" s="1"/>
  <c r="F288" i="2"/>
  <c r="H288" i="2" s="1"/>
  <c r="F289" i="2"/>
  <c r="H289" i="2" s="1"/>
  <c r="F290" i="2"/>
  <c r="H290" i="2" s="1"/>
  <c r="F291" i="2"/>
  <c r="H291" i="2" s="1"/>
  <c r="F292" i="2"/>
  <c r="H292" i="2" s="1"/>
  <c r="F293" i="2"/>
  <c r="H293" i="2" s="1"/>
  <c r="F294" i="2"/>
  <c r="H294" i="2" s="1"/>
  <c r="F295" i="2"/>
  <c r="H295" i="2" s="1"/>
  <c r="F296" i="2"/>
  <c r="H296" i="2" s="1"/>
  <c r="F297" i="2"/>
  <c r="H297" i="2" s="1"/>
  <c r="F298" i="2"/>
  <c r="H298" i="2" s="1"/>
  <c r="F299" i="2"/>
  <c r="H299" i="2" s="1"/>
  <c r="F300" i="2"/>
  <c r="H300" i="2" s="1"/>
  <c r="F301" i="2"/>
  <c r="H301" i="2" s="1"/>
  <c r="F302" i="2"/>
  <c r="H302" i="2" s="1"/>
  <c r="F303" i="2"/>
  <c r="H303" i="2" s="1"/>
  <c r="F304" i="2"/>
  <c r="H304" i="2" s="1"/>
  <c r="F305" i="2"/>
  <c r="H305" i="2" s="1"/>
  <c r="F306" i="2"/>
  <c r="H306" i="2" s="1"/>
  <c r="F307" i="2"/>
  <c r="H307" i="2" s="1"/>
  <c r="F308" i="2"/>
  <c r="H308" i="2" s="1"/>
  <c r="F309" i="2"/>
  <c r="H309" i="2" s="1"/>
  <c r="F310" i="2"/>
  <c r="H310" i="2" s="1"/>
  <c r="F311" i="2"/>
  <c r="H311" i="2" s="1"/>
  <c r="F312" i="2"/>
  <c r="H312" i="2" s="1"/>
  <c r="F313" i="2"/>
  <c r="H313" i="2" s="1"/>
  <c r="F314" i="2"/>
  <c r="H314" i="2" s="1"/>
  <c r="F315" i="2"/>
  <c r="H315" i="2" s="1"/>
  <c r="F316" i="2"/>
  <c r="H316" i="2" s="1"/>
  <c r="F317" i="2"/>
  <c r="H317" i="2" s="1"/>
  <c r="F318" i="2"/>
  <c r="H318" i="2" s="1"/>
  <c r="F319" i="2"/>
  <c r="H319" i="2" s="1"/>
  <c r="F320" i="2"/>
  <c r="H320" i="2" s="1"/>
  <c r="F321" i="2"/>
  <c r="H321" i="2" s="1"/>
  <c r="F322" i="2"/>
  <c r="H322" i="2" s="1"/>
  <c r="F323" i="2"/>
  <c r="H323" i="2" s="1"/>
  <c r="F324" i="2"/>
  <c r="H324" i="2" s="1"/>
  <c r="F325" i="2"/>
  <c r="H325" i="2" s="1"/>
  <c r="F326" i="2"/>
  <c r="H326" i="2" s="1"/>
  <c r="F327" i="2"/>
  <c r="H327" i="2" s="1"/>
  <c r="F328" i="2"/>
  <c r="H328" i="2" s="1"/>
  <c r="F329" i="2"/>
  <c r="H329" i="2" s="1"/>
  <c r="F330" i="2"/>
  <c r="H330" i="2" s="1"/>
  <c r="F331" i="2"/>
  <c r="H331" i="2" s="1"/>
  <c r="F332" i="2"/>
  <c r="H332" i="2" s="1"/>
  <c r="F333" i="2"/>
  <c r="H333" i="2" s="1"/>
  <c r="F334" i="2"/>
  <c r="H334" i="2" s="1"/>
  <c r="F335" i="2"/>
  <c r="H335" i="2" s="1"/>
  <c r="F336" i="2"/>
  <c r="H336" i="2" s="1"/>
  <c r="F337" i="2"/>
  <c r="H337" i="2" s="1"/>
  <c r="F338" i="2"/>
  <c r="H338" i="2" s="1"/>
  <c r="F339" i="2"/>
  <c r="H339" i="2" s="1"/>
  <c r="F340" i="2"/>
  <c r="H340" i="2" s="1"/>
  <c r="F341" i="2"/>
  <c r="H341" i="2" s="1"/>
  <c r="F342" i="2"/>
  <c r="H342" i="2" s="1"/>
  <c r="F343" i="2"/>
  <c r="H343" i="2" s="1"/>
  <c r="F344" i="2"/>
  <c r="H344" i="2" s="1"/>
  <c r="F345" i="2"/>
  <c r="H345" i="2" s="1"/>
  <c r="F346" i="2"/>
  <c r="H346" i="2" s="1"/>
  <c r="F347" i="2"/>
  <c r="H347" i="2" s="1"/>
  <c r="F348" i="2"/>
  <c r="H348" i="2" s="1"/>
  <c r="F349" i="2"/>
  <c r="H349" i="2" s="1"/>
  <c r="F350" i="2"/>
  <c r="H350" i="2" s="1"/>
  <c r="F351" i="2"/>
  <c r="H351" i="2" s="1"/>
  <c r="F352" i="2"/>
  <c r="H352" i="2" s="1"/>
  <c r="F353" i="2"/>
  <c r="H353" i="2" s="1"/>
  <c r="F354" i="2"/>
  <c r="H354" i="2" s="1"/>
  <c r="F355" i="2"/>
  <c r="H355" i="2" s="1"/>
  <c r="F356" i="2"/>
  <c r="H356" i="2" s="1"/>
  <c r="F357" i="2"/>
  <c r="H357" i="2" s="1"/>
  <c r="F358" i="2"/>
  <c r="H358" i="2" s="1"/>
  <c r="F359" i="2"/>
  <c r="H359" i="2" s="1"/>
  <c r="F360" i="2"/>
  <c r="H360" i="2" s="1"/>
  <c r="F361" i="2"/>
  <c r="H361" i="2" s="1"/>
  <c r="F362" i="2"/>
  <c r="H362" i="2" s="1"/>
  <c r="F363" i="2"/>
  <c r="H363" i="2" s="1"/>
  <c r="F364" i="2"/>
  <c r="H364" i="2" s="1"/>
  <c r="F365" i="2"/>
  <c r="H365" i="2" s="1"/>
  <c r="F366" i="2"/>
  <c r="H366" i="2" s="1"/>
  <c r="F367" i="2"/>
  <c r="H367" i="2" s="1"/>
  <c r="F368" i="2"/>
  <c r="H368" i="2" s="1"/>
  <c r="F369" i="2"/>
  <c r="H369" i="2" s="1"/>
  <c r="F370" i="2"/>
  <c r="H370" i="2" s="1"/>
  <c r="F371" i="2"/>
  <c r="H371" i="2" s="1"/>
  <c r="F372" i="2"/>
  <c r="H372" i="2" s="1"/>
  <c r="F373" i="2"/>
  <c r="H373" i="2" s="1"/>
  <c r="F374" i="2"/>
  <c r="H374" i="2" s="1"/>
  <c r="F375" i="2"/>
  <c r="H375" i="2" s="1"/>
  <c r="F376" i="2"/>
  <c r="H376" i="2" s="1"/>
  <c r="F377" i="2"/>
  <c r="H377" i="2" s="1"/>
  <c r="F378" i="2"/>
  <c r="H378" i="2" s="1"/>
  <c r="F379" i="2"/>
  <c r="H379" i="2" s="1"/>
  <c r="J379" i="2" s="1"/>
  <c r="F380" i="2"/>
  <c r="H380" i="2" s="1"/>
  <c r="F381" i="2"/>
  <c r="H381" i="2" s="1"/>
  <c r="F382" i="2"/>
  <c r="H382" i="2" s="1"/>
  <c r="J382" i="2" s="1"/>
  <c r="F383" i="2"/>
  <c r="H383" i="2" s="1"/>
  <c r="F384" i="2"/>
  <c r="H384" i="2" s="1"/>
  <c r="F385" i="2"/>
  <c r="H385" i="2" s="1"/>
  <c r="F386" i="2"/>
  <c r="H386" i="2" s="1"/>
  <c r="F387" i="2"/>
  <c r="H387" i="2" s="1"/>
  <c r="F388" i="2"/>
  <c r="H388" i="2" s="1"/>
  <c r="F389" i="2"/>
  <c r="H389" i="2" s="1"/>
  <c r="F390" i="2"/>
  <c r="H390" i="2" s="1"/>
  <c r="F391" i="2"/>
  <c r="H391" i="2" s="1"/>
  <c r="F392" i="2"/>
  <c r="H392" i="2" s="1"/>
  <c r="F393" i="2"/>
  <c r="H393" i="2" s="1"/>
  <c r="F394" i="2"/>
  <c r="H394" i="2" s="1"/>
  <c r="F395" i="2"/>
  <c r="H395" i="2" s="1"/>
  <c r="F396" i="2"/>
  <c r="H396" i="2" s="1"/>
  <c r="F397" i="2"/>
  <c r="H397" i="2" s="1"/>
  <c r="F398" i="2"/>
  <c r="H398" i="2" s="1"/>
  <c r="F399" i="2"/>
  <c r="H399" i="2" s="1"/>
  <c r="F400" i="2"/>
  <c r="H400" i="2" s="1"/>
  <c r="F401" i="2"/>
  <c r="H401" i="2" s="1"/>
  <c r="J401" i="2" s="1"/>
  <c r="F402" i="2"/>
  <c r="H402" i="2" s="1"/>
  <c r="F403" i="2"/>
  <c r="H403" i="2" s="1"/>
  <c r="F404" i="2"/>
  <c r="H404" i="2" s="1"/>
  <c r="F405" i="2"/>
  <c r="H405" i="2" s="1"/>
  <c r="F406" i="2"/>
  <c r="H406" i="2" s="1"/>
  <c r="F407" i="2"/>
  <c r="H407" i="2" s="1"/>
  <c r="F408" i="2"/>
  <c r="H408" i="2" s="1"/>
  <c r="F409" i="2"/>
  <c r="H409" i="2" s="1"/>
  <c r="F410" i="2"/>
  <c r="H410" i="2" s="1"/>
  <c r="F411" i="2"/>
  <c r="H411" i="2" s="1"/>
  <c r="F412" i="2"/>
  <c r="H412" i="2" s="1"/>
  <c r="F413" i="2"/>
  <c r="H413" i="2" s="1"/>
  <c r="F414" i="2"/>
  <c r="H414" i="2" s="1"/>
  <c r="F415" i="2"/>
  <c r="H415" i="2" s="1"/>
  <c r="F416" i="2"/>
  <c r="H416" i="2" s="1"/>
  <c r="F417" i="2"/>
  <c r="H417" i="2" s="1"/>
  <c r="F418" i="2"/>
  <c r="H418" i="2" s="1"/>
  <c r="F419" i="2"/>
  <c r="H419" i="2" s="1"/>
  <c r="F420" i="2"/>
  <c r="H420" i="2" s="1"/>
  <c r="F421" i="2"/>
  <c r="H421" i="2" s="1"/>
  <c r="F422" i="2"/>
  <c r="H422" i="2" s="1"/>
  <c r="F423" i="2"/>
  <c r="H423" i="2" s="1"/>
  <c r="F424" i="2"/>
  <c r="H424" i="2" s="1"/>
  <c r="F425" i="2"/>
  <c r="H425" i="2" s="1"/>
  <c r="F426" i="2"/>
  <c r="H426" i="2" s="1"/>
  <c r="F427" i="2"/>
  <c r="H427" i="2" s="1"/>
  <c r="F428" i="2"/>
  <c r="H428" i="2" s="1"/>
  <c r="F429" i="2"/>
  <c r="H429" i="2" s="1"/>
  <c r="F430" i="2"/>
  <c r="H430" i="2" s="1"/>
  <c r="F431" i="2"/>
  <c r="H431" i="2" s="1"/>
  <c r="F432" i="2"/>
  <c r="H432" i="2" s="1"/>
  <c r="F433" i="2"/>
  <c r="H433" i="2" s="1"/>
  <c r="F434" i="2"/>
  <c r="H434" i="2" s="1"/>
  <c r="F435" i="2"/>
  <c r="H435" i="2" s="1"/>
  <c r="F436" i="2"/>
  <c r="H436" i="2" s="1"/>
  <c r="F437" i="2"/>
  <c r="H437" i="2" s="1"/>
  <c r="F438" i="2"/>
  <c r="H438" i="2" s="1"/>
  <c r="F439" i="2"/>
  <c r="H439" i="2" s="1"/>
  <c r="F440" i="2"/>
  <c r="H440" i="2" s="1"/>
  <c r="F441" i="2"/>
  <c r="H441" i="2" s="1"/>
  <c r="F442" i="2"/>
  <c r="H442" i="2" s="1"/>
  <c r="F443" i="2"/>
  <c r="H443" i="2" s="1"/>
  <c r="F444" i="2"/>
  <c r="H444" i="2" s="1"/>
  <c r="F445" i="2"/>
  <c r="H445" i="2" s="1"/>
  <c r="F446" i="2"/>
  <c r="H446" i="2" s="1"/>
  <c r="F447" i="2"/>
  <c r="H447" i="2" s="1"/>
  <c r="F448" i="2"/>
  <c r="H448" i="2" s="1"/>
  <c r="F449" i="2"/>
  <c r="H449" i="2" s="1"/>
  <c r="F450" i="2"/>
  <c r="H450" i="2" s="1"/>
  <c r="F451" i="2"/>
  <c r="H451" i="2" s="1"/>
  <c r="F452" i="2"/>
  <c r="H452" i="2" s="1"/>
  <c r="F453" i="2"/>
  <c r="H453" i="2" s="1"/>
  <c r="F454" i="2"/>
  <c r="H454" i="2" s="1"/>
  <c r="F455" i="2"/>
  <c r="H455" i="2" s="1"/>
  <c r="F456" i="2"/>
  <c r="H456" i="2" s="1"/>
  <c r="F457" i="2"/>
  <c r="H457" i="2" s="1"/>
  <c r="F458" i="2"/>
  <c r="H458" i="2" s="1"/>
  <c r="F459" i="2"/>
  <c r="H459" i="2" s="1"/>
  <c r="F460" i="2"/>
  <c r="H460" i="2" s="1"/>
  <c r="F461" i="2"/>
  <c r="H461" i="2" s="1"/>
  <c r="F462" i="2"/>
  <c r="H462" i="2" s="1"/>
  <c r="F463" i="2"/>
  <c r="H463" i="2" s="1"/>
  <c r="F464" i="2"/>
  <c r="H464" i="2" s="1"/>
  <c r="F465" i="2"/>
  <c r="H465" i="2" s="1"/>
  <c r="F466" i="2"/>
  <c r="H466" i="2" s="1"/>
  <c r="F467" i="2"/>
  <c r="H467" i="2" s="1"/>
  <c r="F468" i="2"/>
  <c r="H468" i="2" s="1"/>
  <c r="F469" i="2"/>
  <c r="H469" i="2" s="1"/>
  <c r="F470" i="2"/>
  <c r="H470" i="2" s="1"/>
  <c r="F471" i="2"/>
  <c r="H471" i="2" s="1"/>
  <c r="F472" i="2"/>
  <c r="H472" i="2" s="1"/>
  <c r="F473" i="2"/>
  <c r="H473" i="2" s="1"/>
  <c r="F474" i="2"/>
  <c r="H474" i="2" s="1"/>
  <c r="F475" i="2"/>
  <c r="H475" i="2" s="1"/>
  <c r="F476" i="2"/>
  <c r="H476" i="2" s="1"/>
  <c r="F477" i="2"/>
  <c r="H477" i="2" s="1"/>
  <c r="F478" i="2"/>
  <c r="H478" i="2" s="1"/>
  <c r="F479" i="2"/>
  <c r="H479" i="2" s="1"/>
  <c r="F480" i="2"/>
  <c r="H480" i="2" s="1"/>
  <c r="F481" i="2"/>
  <c r="H481" i="2" s="1"/>
  <c r="F482" i="2"/>
  <c r="H482" i="2" s="1"/>
  <c r="F483" i="2"/>
  <c r="H483" i="2" s="1"/>
  <c r="F484" i="2"/>
  <c r="H484" i="2" s="1"/>
  <c r="F485" i="2"/>
  <c r="H485" i="2" s="1"/>
  <c r="F486" i="2"/>
  <c r="H486" i="2" s="1"/>
  <c r="F487" i="2"/>
  <c r="H487" i="2" s="1"/>
  <c r="F488" i="2"/>
  <c r="H488" i="2" s="1"/>
  <c r="F489" i="2"/>
  <c r="H489" i="2" s="1"/>
  <c r="F490" i="2"/>
  <c r="H490" i="2" s="1"/>
  <c r="F491" i="2"/>
  <c r="H491" i="2" s="1"/>
  <c r="F492" i="2"/>
  <c r="H492" i="2" s="1"/>
  <c r="F493" i="2"/>
  <c r="H493" i="2" s="1"/>
  <c r="F494" i="2"/>
  <c r="H494" i="2" s="1"/>
  <c r="F495" i="2"/>
  <c r="H495" i="2" s="1"/>
  <c r="F496" i="2"/>
  <c r="H496" i="2" s="1"/>
  <c r="F497" i="2"/>
  <c r="H497" i="2" s="1"/>
  <c r="F498" i="2"/>
  <c r="H498" i="2" s="1"/>
  <c r="F499" i="2"/>
  <c r="H499" i="2" s="1"/>
  <c r="F500" i="2"/>
  <c r="H500" i="2" s="1"/>
  <c r="F501" i="2"/>
  <c r="H501" i="2" s="1"/>
  <c r="F502" i="2"/>
  <c r="H502" i="2" s="1"/>
  <c r="F503" i="2"/>
  <c r="H503" i="2" s="1"/>
  <c r="F504" i="2"/>
  <c r="H504" i="2" s="1"/>
  <c r="F505" i="2"/>
  <c r="H505" i="2" s="1"/>
  <c r="F506" i="2"/>
  <c r="H506" i="2" s="1"/>
  <c r="F507" i="2"/>
  <c r="H507" i="2" s="1"/>
  <c r="F508" i="2"/>
  <c r="H508" i="2" s="1"/>
  <c r="F509" i="2"/>
  <c r="H509" i="2" s="1"/>
  <c r="F510" i="2"/>
  <c r="H510" i="2" s="1"/>
  <c r="F511" i="2"/>
  <c r="H511" i="2" s="1"/>
  <c r="F512" i="2"/>
  <c r="H512" i="2" s="1"/>
  <c r="J512" i="2" s="1"/>
  <c r="F513" i="2"/>
  <c r="H513" i="2" s="1"/>
  <c r="F514" i="2"/>
  <c r="H514" i="2" s="1"/>
  <c r="F515" i="2"/>
  <c r="H515" i="2" s="1"/>
  <c r="F516" i="2"/>
  <c r="H516" i="2" s="1"/>
  <c r="F517" i="2"/>
  <c r="H517" i="2" s="1"/>
  <c r="F518" i="2"/>
  <c r="H518" i="2" s="1"/>
  <c r="F519" i="2"/>
  <c r="H519" i="2" s="1"/>
  <c r="F520" i="2"/>
  <c r="H520" i="2" s="1"/>
  <c r="F521" i="2"/>
  <c r="H521" i="2" s="1"/>
  <c r="J521" i="2" s="1"/>
  <c r="F522" i="2"/>
  <c r="H522" i="2" s="1"/>
  <c r="F523" i="2"/>
  <c r="H523" i="2" s="1"/>
  <c r="F524" i="2"/>
  <c r="H524" i="2" s="1"/>
  <c r="F525" i="2"/>
  <c r="H525" i="2" s="1"/>
  <c r="F526" i="2"/>
  <c r="H526" i="2" s="1"/>
  <c r="F527" i="2"/>
  <c r="H527" i="2" s="1"/>
  <c r="F528" i="2"/>
  <c r="H528" i="2" s="1"/>
  <c r="F529" i="2"/>
  <c r="H529" i="2" s="1"/>
  <c r="F530" i="2"/>
  <c r="H530" i="2" s="1"/>
  <c r="F531" i="2"/>
  <c r="H531" i="2" s="1"/>
  <c r="F532" i="2"/>
  <c r="H532" i="2" s="1"/>
  <c r="F533" i="2"/>
  <c r="H533" i="2" s="1"/>
  <c r="F534" i="2"/>
  <c r="H534" i="2" s="1"/>
  <c r="F535" i="2"/>
  <c r="H535" i="2" s="1"/>
  <c r="F536" i="2"/>
  <c r="H536" i="2" s="1"/>
  <c r="F537" i="2"/>
  <c r="H537" i="2" s="1"/>
  <c r="F538" i="2"/>
  <c r="H538" i="2" s="1"/>
  <c r="F539" i="2"/>
  <c r="H539" i="2" s="1"/>
  <c r="F540" i="2"/>
  <c r="H540" i="2" s="1"/>
  <c r="F541" i="2"/>
  <c r="H541" i="2" s="1"/>
  <c r="F542" i="2"/>
  <c r="H542" i="2" s="1"/>
  <c r="F543" i="2"/>
  <c r="H543" i="2" s="1"/>
  <c r="F544" i="2"/>
  <c r="H544" i="2" s="1"/>
  <c r="F545" i="2"/>
  <c r="H545" i="2" s="1"/>
  <c r="F546" i="2"/>
  <c r="H546" i="2" s="1"/>
  <c r="F547" i="2"/>
  <c r="H547" i="2" s="1"/>
  <c r="F548" i="2"/>
  <c r="H548" i="2" s="1"/>
  <c r="F549" i="2"/>
  <c r="H549" i="2" s="1"/>
  <c r="F550" i="2"/>
  <c r="H550" i="2" s="1"/>
  <c r="F551" i="2"/>
  <c r="H551" i="2" s="1"/>
  <c r="F552" i="2"/>
  <c r="H552" i="2" s="1"/>
  <c r="F553" i="2"/>
  <c r="H553" i="2" s="1"/>
  <c r="F554" i="2"/>
  <c r="H554" i="2" s="1"/>
  <c r="F555" i="2"/>
  <c r="H555" i="2" s="1"/>
  <c r="F556" i="2"/>
  <c r="H556" i="2" s="1"/>
  <c r="F557" i="2"/>
  <c r="H557" i="2" s="1"/>
  <c r="F558" i="2"/>
  <c r="H558" i="2" s="1"/>
  <c r="F559" i="2"/>
  <c r="H559" i="2" s="1"/>
  <c r="F560" i="2"/>
  <c r="H560" i="2" s="1"/>
  <c r="F561" i="2"/>
  <c r="H561" i="2" s="1"/>
  <c r="F562" i="2"/>
  <c r="H562" i="2" s="1"/>
  <c r="F563" i="2"/>
  <c r="H563" i="2" s="1"/>
  <c r="F564" i="2"/>
  <c r="H564" i="2" s="1"/>
  <c r="F565" i="2"/>
  <c r="H565" i="2" s="1"/>
  <c r="F566" i="2"/>
  <c r="H566" i="2" s="1"/>
  <c r="F567" i="2"/>
  <c r="H567" i="2" s="1"/>
  <c r="F568" i="2"/>
  <c r="H568" i="2" s="1"/>
  <c r="F569" i="2"/>
  <c r="H569" i="2" s="1"/>
  <c r="F570" i="2"/>
  <c r="H570" i="2" s="1"/>
  <c r="F571" i="2"/>
  <c r="H571" i="2" s="1"/>
  <c r="F572" i="2"/>
  <c r="H572" i="2" s="1"/>
  <c r="F573" i="2"/>
  <c r="H573" i="2" s="1"/>
  <c r="F574" i="2"/>
  <c r="H574" i="2" s="1"/>
  <c r="F575" i="2"/>
  <c r="H575" i="2" s="1"/>
  <c r="F576" i="2"/>
  <c r="H576" i="2" s="1"/>
  <c r="F577" i="2"/>
  <c r="H577" i="2" s="1"/>
  <c r="F578" i="2"/>
  <c r="H578" i="2" s="1"/>
  <c r="F579" i="2"/>
  <c r="H579" i="2" s="1"/>
  <c r="F580" i="2"/>
  <c r="H580" i="2" s="1"/>
  <c r="F581" i="2"/>
  <c r="H581" i="2" s="1"/>
  <c r="F582" i="2"/>
  <c r="H582" i="2" s="1"/>
  <c r="F583" i="2"/>
  <c r="H583" i="2" s="1"/>
  <c r="F584" i="2"/>
  <c r="H584" i="2" s="1"/>
  <c r="F585" i="2"/>
  <c r="H585" i="2" s="1"/>
  <c r="F586" i="2"/>
  <c r="H586" i="2" s="1"/>
  <c r="F587" i="2"/>
  <c r="H587" i="2" s="1"/>
  <c r="F588" i="2"/>
  <c r="H588" i="2" s="1"/>
  <c r="F589" i="2"/>
  <c r="H589" i="2" s="1"/>
  <c r="F590" i="2"/>
  <c r="H590" i="2" s="1"/>
  <c r="F591" i="2"/>
  <c r="H591" i="2" s="1"/>
  <c r="F592" i="2"/>
  <c r="H592" i="2" s="1"/>
  <c r="F593" i="2"/>
  <c r="H593" i="2" s="1"/>
  <c r="F594" i="2"/>
  <c r="H594" i="2" s="1"/>
  <c r="F595" i="2"/>
  <c r="H595" i="2" s="1"/>
  <c r="F596" i="2"/>
  <c r="H596" i="2" s="1"/>
  <c r="F597" i="2"/>
  <c r="H597" i="2" s="1"/>
  <c r="F598" i="2"/>
  <c r="H598" i="2" s="1"/>
  <c r="F599" i="2"/>
  <c r="H599" i="2" s="1"/>
  <c r="F600" i="2"/>
  <c r="H600" i="2" s="1"/>
  <c r="F601" i="2"/>
  <c r="H601" i="2" s="1"/>
  <c r="F602" i="2"/>
  <c r="H602" i="2" s="1"/>
  <c r="F603" i="2"/>
  <c r="H603" i="2" s="1"/>
  <c r="F604" i="2"/>
  <c r="H604" i="2" s="1"/>
  <c r="F605" i="2"/>
  <c r="H605" i="2" s="1"/>
  <c r="F606" i="2"/>
  <c r="H606" i="2" s="1"/>
  <c r="F607" i="2"/>
  <c r="H607" i="2" s="1"/>
  <c r="F608" i="2"/>
  <c r="H608" i="2" s="1"/>
  <c r="F609" i="2"/>
  <c r="H609" i="2" s="1"/>
  <c r="F610" i="2"/>
  <c r="H610" i="2" s="1"/>
  <c r="F611" i="2"/>
  <c r="H611" i="2" s="1"/>
  <c r="F612" i="2"/>
  <c r="H612" i="2" s="1"/>
  <c r="F613" i="2"/>
  <c r="H613" i="2" s="1"/>
  <c r="F614" i="2"/>
  <c r="H614" i="2" s="1"/>
  <c r="F615" i="2"/>
  <c r="H615" i="2" s="1"/>
  <c r="F616" i="2"/>
  <c r="H616" i="2" s="1"/>
  <c r="F617" i="2"/>
  <c r="H617" i="2" s="1"/>
  <c r="F618" i="2"/>
  <c r="H618" i="2" s="1"/>
  <c r="F619" i="2"/>
  <c r="H619" i="2" s="1"/>
  <c r="F620" i="2"/>
  <c r="H620" i="2" s="1"/>
  <c r="F621" i="2"/>
  <c r="H621" i="2" s="1"/>
  <c r="F622" i="2"/>
  <c r="H622" i="2" s="1"/>
  <c r="F623" i="2"/>
  <c r="H623" i="2" s="1"/>
  <c r="F624" i="2"/>
  <c r="H624" i="2" s="1"/>
  <c r="F625" i="2"/>
  <c r="H625" i="2" s="1"/>
  <c r="F626" i="2"/>
  <c r="H626" i="2" s="1"/>
  <c r="F627" i="2"/>
  <c r="H627" i="2" s="1"/>
  <c r="F628" i="2"/>
  <c r="H628" i="2" s="1"/>
  <c r="F629" i="2"/>
  <c r="H629" i="2" s="1"/>
  <c r="F630" i="2"/>
  <c r="H630" i="2" s="1"/>
  <c r="F631" i="2"/>
  <c r="H631" i="2" s="1"/>
  <c r="F632" i="2"/>
  <c r="H632" i="2" s="1"/>
  <c r="F633" i="2"/>
  <c r="H633" i="2" s="1"/>
  <c r="F634" i="2"/>
  <c r="H634" i="2" s="1"/>
  <c r="F635" i="2"/>
  <c r="H635" i="2" s="1"/>
  <c r="F636" i="2"/>
  <c r="H636" i="2" s="1"/>
  <c r="F637" i="2"/>
  <c r="H637" i="2" s="1"/>
  <c r="F638" i="2"/>
  <c r="H638" i="2" s="1"/>
  <c r="F639" i="2"/>
  <c r="H639" i="2" s="1"/>
  <c r="F640" i="2"/>
  <c r="H640" i="2" s="1"/>
  <c r="F641" i="2"/>
  <c r="H641" i="2" s="1"/>
  <c r="F642" i="2"/>
  <c r="H642" i="2" s="1"/>
  <c r="F643" i="2"/>
  <c r="H643" i="2" s="1"/>
  <c r="F644" i="2"/>
  <c r="H644" i="2" s="1"/>
  <c r="F645" i="2"/>
  <c r="H645" i="2" s="1"/>
  <c r="F646" i="2"/>
  <c r="H646" i="2" s="1"/>
  <c r="F647" i="2"/>
  <c r="H647" i="2" s="1"/>
  <c r="F648" i="2"/>
  <c r="H648" i="2" s="1"/>
  <c r="F649" i="2"/>
  <c r="H649" i="2" s="1"/>
  <c r="F650" i="2"/>
  <c r="H650" i="2" s="1"/>
  <c r="F651" i="2"/>
  <c r="H651" i="2" s="1"/>
  <c r="F652" i="2"/>
  <c r="H652" i="2" s="1"/>
  <c r="F653" i="2"/>
  <c r="H653" i="2" s="1"/>
  <c r="F654" i="2"/>
  <c r="H654" i="2" s="1"/>
  <c r="F655" i="2"/>
  <c r="H655" i="2" s="1"/>
  <c r="F656" i="2"/>
  <c r="H656" i="2" s="1"/>
  <c r="F657" i="2"/>
  <c r="H657" i="2" s="1"/>
  <c r="F658" i="2"/>
  <c r="H658" i="2" s="1"/>
  <c r="F659" i="2"/>
  <c r="H659" i="2" s="1"/>
  <c r="F660" i="2"/>
  <c r="H660" i="2" s="1"/>
  <c r="F661" i="2"/>
  <c r="H661" i="2" s="1"/>
  <c r="F662" i="2"/>
  <c r="H662" i="2" s="1"/>
  <c r="F663" i="2"/>
  <c r="H663" i="2" s="1"/>
  <c r="F664" i="2"/>
  <c r="H664" i="2" s="1"/>
  <c r="F665" i="2"/>
  <c r="H665" i="2" s="1"/>
  <c r="F666" i="2"/>
  <c r="H666" i="2" s="1"/>
  <c r="J666" i="2" s="1"/>
  <c r="F667" i="2"/>
  <c r="H667" i="2" s="1"/>
  <c r="F668" i="2"/>
  <c r="H668" i="2" s="1"/>
  <c r="F669" i="2"/>
  <c r="H669" i="2" s="1"/>
  <c r="F670" i="2"/>
  <c r="H670" i="2" s="1"/>
  <c r="I670" i="2" s="1"/>
  <c r="F671" i="2"/>
  <c r="H671" i="2" s="1"/>
  <c r="F672" i="2"/>
  <c r="H672" i="2" s="1"/>
  <c r="F673" i="2"/>
  <c r="H673" i="2" s="1"/>
  <c r="F674" i="2"/>
  <c r="H674" i="2" s="1"/>
  <c r="F675" i="2"/>
  <c r="H675" i="2" s="1"/>
  <c r="F676" i="2"/>
  <c r="H676" i="2" s="1"/>
  <c r="F677" i="2"/>
  <c r="H677" i="2" s="1"/>
  <c r="F678" i="2"/>
  <c r="H678" i="2" s="1"/>
  <c r="F679" i="2"/>
  <c r="H679" i="2" s="1"/>
  <c r="F680" i="2"/>
  <c r="H680" i="2" s="1"/>
  <c r="F681" i="2"/>
  <c r="H681" i="2" s="1"/>
  <c r="F682" i="2"/>
  <c r="H682" i="2" s="1"/>
  <c r="F683" i="2"/>
  <c r="H683" i="2" s="1"/>
  <c r="F684" i="2"/>
  <c r="H684" i="2" s="1"/>
  <c r="F685" i="2"/>
  <c r="H685" i="2" s="1"/>
  <c r="F686" i="2"/>
  <c r="H686" i="2" s="1"/>
  <c r="F687" i="2"/>
  <c r="H687" i="2" s="1"/>
  <c r="F688" i="2"/>
  <c r="H688" i="2" s="1"/>
  <c r="F689" i="2"/>
  <c r="H689" i="2" s="1"/>
  <c r="F690" i="2"/>
  <c r="H690" i="2" s="1"/>
  <c r="F691" i="2"/>
  <c r="H691" i="2" s="1"/>
  <c r="F692" i="2"/>
  <c r="H692" i="2" s="1"/>
  <c r="F693" i="2"/>
  <c r="H693" i="2" s="1"/>
  <c r="F694" i="2"/>
  <c r="H694" i="2" s="1"/>
  <c r="F695" i="2"/>
  <c r="H695" i="2" s="1"/>
  <c r="F696" i="2"/>
  <c r="H696" i="2" s="1"/>
  <c r="F697" i="2"/>
  <c r="H697" i="2" s="1"/>
  <c r="F698" i="2"/>
  <c r="H698" i="2" s="1"/>
  <c r="F699" i="2"/>
  <c r="H699" i="2" s="1"/>
  <c r="F700" i="2"/>
  <c r="H700" i="2" s="1"/>
  <c r="F701" i="2"/>
  <c r="H701" i="2" s="1"/>
  <c r="F702" i="2"/>
  <c r="H702" i="2" s="1"/>
  <c r="F703" i="2"/>
  <c r="H703" i="2" s="1"/>
  <c r="F704" i="2"/>
  <c r="H704" i="2" s="1"/>
  <c r="F705" i="2"/>
  <c r="H705" i="2" s="1"/>
  <c r="F706" i="2"/>
  <c r="H706" i="2" s="1"/>
  <c r="F707" i="2"/>
  <c r="H707" i="2" s="1"/>
  <c r="F708" i="2"/>
  <c r="H708" i="2" s="1"/>
  <c r="F709" i="2"/>
  <c r="H709" i="2" s="1"/>
  <c r="F710" i="2"/>
  <c r="H710" i="2" s="1"/>
  <c r="F711" i="2"/>
  <c r="H711" i="2" s="1"/>
  <c r="F712" i="2"/>
  <c r="H712" i="2" s="1"/>
  <c r="F713" i="2"/>
  <c r="H713" i="2" s="1"/>
  <c r="F714" i="2"/>
  <c r="H714" i="2" s="1"/>
  <c r="F715" i="2"/>
  <c r="H715" i="2" s="1"/>
  <c r="F716" i="2"/>
  <c r="H716" i="2" s="1"/>
  <c r="F717" i="2"/>
  <c r="H717" i="2" s="1"/>
  <c r="F718" i="2"/>
  <c r="H718" i="2" s="1"/>
  <c r="F719" i="2"/>
  <c r="H719" i="2" s="1"/>
  <c r="F720" i="2"/>
  <c r="H720" i="2" s="1"/>
  <c r="F721" i="2"/>
  <c r="H721" i="2" s="1"/>
  <c r="F722" i="2"/>
  <c r="H722" i="2" s="1"/>
  <c r="F723" i="2"/>
  <c r="H723" i="2" s="1"/>
  <c r="F724" i="2"/>
  <c r="H724" i="2" s="1"/>
  <c r="F725" i="2"/>
  <c r="H725" i="2" s="1"/>
  <c r="F726" i="2"/>
  <c r="H726" i="2" s="1"/>
  <c r="F727" i="2"/>
  <c r="H727" i="2" s="1"/>
  <c r="F728" i="2"/>
  <c r="H728" i="2" s="1"/>
  <c r="F729" i="2"/>
  <c r="H729" i="2" s="1"/>
  <c r="F730" i="2"/>
  <c r="H730" i="2" s="1"/>
  <c r="F731" i="2"/>
  <c r="H731" i="2" s="1"/>
  <c r="F732" i="2"/>
  <c r="H732" i="2" s="1"/>
  <c r="F733" i="2"/>
  <c r="H733" i="2" s="1"/>
  <c r="J733" i="2" s="1"/>
  <c r="F734" i="2"/>
  <c r="H734" i="2" s="1"/>
  <c r="F735" i="2"/>
  <c r="H735" i="2" s="1"/>
  <c r="F736" i="2"/>
  <c r="H736" i="2" s="1"/>
  <c r="F737" i="2"/>
  <c r="H737" i="2" s="1"/>
  <c r="F738" i="2"/>
  <c r="H738" i="2" s="1"/>
  <c r="F739" i="2"/>
  <c r="H739" i="2" s="1"/>
  <c r="F740" i="2"/>
  <c r="H740" i="2" s="1"/>
  <c r="F741" i="2"/>
  <c r="H741" i="2" s="1"/>
  <c r="F742" i="2"/>
  <c r="H742" i="2" s="1"/>
  <c r="F743" i="2"/>
  <c r="H743" i="2" s="1"/>
  <c r="F744" i="2"/>
  <c r="H744" i="2" s="1"/>
  <c r="F745" i="2"/>
  <c r="H745" i="2" s="1"/>
  <c r="F746" i="2"/>
  <c r="H746" i="2" s="1"/>
  <c r="F747" i="2"/>
  <c r="H747" i="2" s="1"/>
  <c r="F748" i="2"/>
  <c r="H748" i="2" s="1"/>
  <c r="F749" i="2"/>
  <c r="H749" i="2" s="1"/>
  <c r="F750" i="2"/>
  <c r="H750" i="2" s="1"/>
  <c r="F751" i="2"/>
  <c r="H751" i="2" s="1"/>
  <c r="F752" i="2"/>
  <c r="H752" i="2" s="1"/>
  <c r="F753" i="2"/>
  <c r="H753" i="2" s="1"/>
  <c r="F754" i="2"/>
  <c r="H754" i="2" s="1"/>
  <c r="F755" i="2"/>
  <c r="H755" i="2" s="1"/>
  <c r="F756" i="2"/>
  <c r="H756" i="2" s="1"/>
  <c r="J756" i="2" s="1"/>
  <c r="F757" i="2"/>
  <c r="H757" i="2" s="1"/>
  <c r="F758" i="2"/>
  <c r="H758" i="2" s="1"/>
  <c r="F759" i="2"/>
  <c r="H759" i="2" s="1"/>
  <c r="F760" i="2"/>
  <c r="H760" i="2" s="1"/>
  <c r="F761" i="2"/>
  <c r="H761" i="2" s="1"/>
  <c r="F762" i="2"/>
  <c r="H762" i="2" s="1"/>
  <c r="F763" i="2"/>
  <c r="H763" i="2" s="1"/>
  <c r="F764" i="2"/>
  <c r="H764" i="2" s="1"/>
  <c r="F765" i="2"/>
  <c r="H765" i="2" s="1"/>
  <c r="F766" i="2"/>
  <c r="H766" i="2" s="1"/>
  <c r="F767" i="2"/>
  <c r="H767" i="2" s="1"/>
  <c r="F768" i="2"/>
  <c r="H768" i="2" s="1"/>
  <c r="F769" i="2"/>
  <c r="H769" i="2" s="1"/>
  <c r="F770" i="2"/>
  <c r="H770" i="2" s="1"/>
  <c r="F771" i="2"/>
  <c r="H771" i="2" s="1"/>
  <c r="F772" i="2"/>
  <c r="H772" i="2" s="1"/>
  <c r="F773" i="2"/>
  <c r="H773" i="2" s="1"/>
  <c r="F774" i="2"/>
  <c r="H774" i="2" s="1"/>
  <c r="F775" i="2"/>
  <c r="H775" i="2" s="1"/>
  <c r="F776" i="2"/>
  <c r="H776" i="2" s="1"/>
  <c r="F777" i="2"/>
  <c r="H777" i="2" s="1"/>
  <c r="F778" i="2"/>
  <c r="H778" i="2" s="1"/>
  <c r="F779" i="2"/>
  <c r="H779" i="2" s="1"/>
  <c r="F780" i="2"/>
  <c r="H780" i="2" s="1"/>
  <c r="F781" i="2"/>
  <c r="H781" i="2" s="1"/>
  <c r="F782" i="2"/>
  <c r="H782" i="2" s="1"/>
  <c r="F783" i="2"/>
  <c r="H783" i="2" s="1"/>
  <c r="F784" i="2"/>
  <c r="H784" i="2" s="1"/>
  <c r="F785" i="2"/>
  <c r="H785" i="2" s="1"/>
  <c r="F786" i="2"/>
  <c r="H786" i="2" s="1"/>
  <c r="F787" i="2"/>
  <c r="H787" i="2" s="1"/>
  <c r="F788" i="2"/>
  <c r="H788" i="2" s="1"/>
  <c r="F789" i="2"/>
  <c r="H789" i="2" s="1"/>
  <c r="F790" i="2"/>
  <c r="H790" i="2" s="1"/>
  <c r="F791" i="2"/>
  <c r="H791" i="2" s="1"/>
  <c r="F792" i="2"/>
  <c r="H792" i="2" s="1"/>
  <c r="F793" i="2"/>
  <c r="H793" i="2" s="1"/>
  <c r="F794" i="2"/>
  <c r="H794" i="2" s="1"/>
  <c r="F795" i="2"/>
  <c r="H795" i="2" s="1"/>
  <c r="F796" i="2"/>
  <c r="H796" i="2" s="1"/>
  <c r="F797" i="2"/>
  <c r="H797" i="2" s="1"/>
  <c r="F798" i="2"/>
  <c r="H798" i="2" s="1"/>
  <c r="F799" i="2"/>
  <c r="H799" i="2" s="1"/>
  <c r="J799" i="2" s="1"/>
  <c r="F800" i="2"/>
  <c r="H800" i="2" s="1"/>
  <c r="F801" i="2"/>
  <c r="H801" i="2" s="1"/>
  <c r="F802" i="2"/>
  <c r="H802" i="2" s="1"/>
  <c r="F803" i="2"/>
  <c r="H803" i="2" s="1"/>
  <c r="F804" i="2"/>
  <c r="H804" i="2" s="1"/>
  <c r="F805" i="2"/>
  <c r="H805" i="2" s="1"/>
  <c r="F806" i="2"/>
  <c r="H806" i="2" s="1"/>
  <c r="F807" i="2"/>
  <c r="H807" i="2" s="1"/>
  <c r="F808" i="2"/>
  <c r="H808" i="2" s="1"/>
  <c r="F809" i="2"/>
  <c r="H809" i="2" s="1"/>
  <c r="F810" i="2"/>
  <c r="H810" i="2" s="1"/>
  <c r="F811" i="2"/>
  <c r="H811" i="2" s="1"/>
  <c r="F812" i="2"/>
  <c r="H812" i="2" s="1"/>
  <c r="F813" i="2"/>
  <c r="H813" i="2" s="1"/>
  <c r="F814" i="2"/>
  <c r="H814" i="2" s="1"/>
  <c r="F815" i="2"/>
  <c r="H815" i="2" s="1"/>
  <c r="F816" i="2"/>
  <c r="H816" i="2" s="1"/>
  <c r="F817" i="2"/>
  <c r="H817" i="2" s="1"/>
  <c r="F818" i="2"/>
  <c r="H818" i="2" s="1"/>
  <c r="F819" i="2"/>
  <c r="H819" i="2" s="1"/>
  <c r="F820" i="2"/>
  <c r="H820" i="2" s="1"/>
  <c r="F821" i="2"/>
  <c r="H821" i="2" s="1"/>
  <c r="F822" i="2"/>
  <c r="H822" i="2" s="1"/>
  <c r="F823" i="2"/>
  <c r="H823" i="2" s="1"/>
  <c r="F824" i="2"/>
  <c r="H824" i="2" s="1"/>
  <c r="F825" i="2"/>
  <c r="H825" i="2" s="1"/>
  <c r="F826" i="2"/>
  <c r="H826" i="2" s="1"/>
  <c r="F827" i="2"/>
  <c r="H827" i="2" s="1"/>
  <c r="F828" i="2"/>
  <c r="H828" i="2" s="1"/>
  <c r="F829" i="2"/>
  <c r="H829" i="2" s="1"/>
  <c r="F830" i="2"/>
  <c r="H830" i="2" s="1"/>
  <c r="F831" i="2"/>
  <c r="H831" i="2" s="1"/>
  <c r="F832" i="2"/>
  <c r="H832" i="2" s="1"/>
  <c r="F833" i="2"/>
  <c r="H833" i="2" s="1"/>
  <c r="F834" i="2"/>
  <c r="H834" i="2" s="1"/>
  <c r="F835" i="2"/>
  <c r="H835" i="2" s="1"/>
  <c r="F836" i="2"/>
  <c r="H836" i="2" s="1"/>
  <c r="F837" i="2"/>
  <c r="H837" i="2" s="1"/>
  <c r="F838" i="2"/>
  <c r="H838" i="2" s="1"/>
  <c r="F839" i="2"/>
  <c r="H839" i="2" s="1"/>
  <c r="F840" i="2"/>
  <c r="H840" i="2" s="1"/>
  <c r="F841" i="2"/>
  <c r="H841" i="2" s="1"/>
  <c r="F842" i="2"/>
  <c r="H842" i="2" s="1"/>
  <c r="I842" i="2" s="1"/>
  <c r="F843" i="2"/>
  <c r="H843" i="2" s="1"/>
  <c r="F844" i="2"/>
  <c r="H844" i="2" s="1"/>
  <c r="F845" i="2"/>
  <c r="H845" i="2" s="1"/>
  <c r="F846" i="2"/>
  <c r="H846" i="2" s="1"/>
  <c r="F847" i="2"/>
  <c r="H847" i="2" s="1"/>
  <c r="F848" i="2"/>
  <c r="H848" i="2" s="1"/>
  <c r="F849" i="2"/>
  <c r="H849" i="2" s="1"/>
  <c r="F850" i="2"/>
  <c r="H850" i="2" s="1"/>
  <c r="F851" i="2"/>
  <c r="H851" i="2" s="1"/>
  <c r="F852" i="2"/>
  <c r="H852" i="2" s="1"/>
  <c r="F853" i="2"/>
  <c r="H853" i="2" s="1"/>
  <c r="F854" i="2"/>
  <c r="H854" i="2" s="1"/>
  <c r="F855" i="2"/>
  <c r="H855" i="2" s="1"/>
  <c r="F856" i="2"/>
  <c r="H856" i="2" s="1"/>
  <c r="F857" i="2"/>
  <c r="H857" i="2" s="1"/>
  <c r="F858" i="2"/>
  <c r="H858" i="2" s="1"/>
  <c r="F859" i="2"/>
  <c r="H859" i="2" s="1"/>
  <c r="F860" i="2"/>
  <c r="H860" i="2" s="1"/>
  <c r="F861" i="2"/>
  <c r="H861" i="2" s="1"/>
  <c r="F862" i="2"/>
  <c r="H862" i="2" s="1"/>
  <c r="F863" i="2"/>
  <c r="H863" i="2" s="1"/>
  <c r="F864" i="2"/>
  <c r="H864" i="2" s="1"/>
  <c r="F865" i="2"/>
  <c r="H865" i="2" s="1"/>
  <c r="F866" i="2"/>
  <c r="H866" i="2" s="1"/>
  <c r="F867" i="2"/>
  <c r="H867" i="2" s="1"/>
  <c r="F868" i="2"/>
  <c r="H868" i="2" s="1"/>
  <c r="F869" i="2"/>
  <c r="H869" i="2" s="1"/>
  <c r="J869" i="2" s="1"/>
  <c r="F870" i="2"/>
  <c r="H870" i="2" s="1"/>
  <c r="F871" i="2"/>
  <c r="H871" i="2" s="1"/>
  <c r="F872" i="2"/>
  <c r="H872" i="2" s="1"/>
  <c r="F873" i="2"/>
  <c r="H873" i="2" s="1"/>
  <c r="F874" i="2"/>
  <c r="H874" i="2" s="1"/>
  <c r="F875" i="2"/>
  <c r="H875" i="2" s="1"/>
  <c r="F876" i="2"/>
  <c r="H876" i="2" s="1"/>
  <c r="F877" i="2"/>
  <c r="H877" i="2" s="1"/>
  <c r="F878" i="2"/>
  <c r="H878" i="2" s="1"/>
  <c r="F879" i="2"/>
  <c r="H879" i="2" s="1"/>
  <c r="F880" i="2"/>
  <c r="H880" i="2" s="1"/>
  <c r="F881" i="2"/>
  <c r="H881" i="2" s="1"/>
  <c r="F882" i="2"/>
  <c r="H882" i="2" s="1"/>
  <c r="F883" i="2"/>
  <c r="H883" i="2" s="1"/>
  <c r="F884" i="2"/>
  <c r="H884" i="2" s="1"/>
  <c r="F885" i="2"/>
  <c r="H885" i="2" s="1"/>
  <c r="F886" i="2"/>
  <c r="H886" i="2" s="1"/>
  <c r="F887" i="2"/>
  <c r="H887" i="2" s="1"/>
  <c r="F888" i="2"/>
  <c r="H888" i="2" s="1"/>
  <c r="F889" i="2"/>
  <c r="H889" i="2" s="1"/>
  <c r="F890" i="2"/>
  <c r="H890" i="2" s="1"/>
  <c r="F891" i="2"/>
  <c r="H891" i="2" s="1"/>
  <c r="F892" i="2"/>
  <c r="H892" i="2" s="1"/>
  <c r="F893" i="2"/>
  <c r="H893" i="2" s="1"/>
  <c r="F894" i="2"/>
  <c r="H894" i="2" s="1"/>
  <c r="F895" i="2"/>
  <c r="H895" i="2" s="1"/>
  <c r="F896" i="2"/>
  <c r="H896" i="2" s="1"/>
  <c r="F897" i="2"/>
  <c r="H897" i="2" s="1"/>
  <c r="J897" i="2" s="1"/>
  <c r="F898" i="2"/>
  <c r="H898" i="2" s="1"/>
  <c r="F899" i="2"/>
  <c r="H899" i="2" s="1"/>
  <c r="F900" i="2"/>
  <c r="H900" i="2" s="1"/>
  <c r="F901" i="2"/>
  <c r="H901" i="2" s="1"/>
  <c r="F902" i="2"/>
  <c r="H902" i="2" s="1"/>
  <c r="F903" i="2"/>
  <c r="H903" i="2" s="1"/>
  <c r="F904" i="2"/>
  <c r="H904" i="2" s="1"/>
  <c r="F905" i="2"/>
  <c r="H905" i="2" s="1"/>
  <c r="F906" i="2"/>
  <c r="H906" i="2" s="1"/>
  <c r="F907" i="2"/>
  <c r="H907" i="2" s="1"/>
  <c r="F908" i="2"/>
  <c r="H908" i="2" s="1"/>
  <c r="F909" i="2"/>
  <c r="H909" i="2" s="1"/>
  <c r="F910" i="2"/>
  <c r="H910" i="2" s="1"/>
  <c r="F911" i="2"/>
  <c r="H911" i="2" s="1"/>
  <c r="F912" i="2"/>
  <c r="H912" i="2" s="1"/>
  <c r="F913" i="2"/>
  <c r="H913" i="2" s="1"/>
  <c r="F914" i="2"/>
  <c r="H914" i="2" s="1"/>
  <c r="F915" i="2"/>
  <c r="H915" i="2" s="1"/>
  <c r="F916" i="2"/>
  <c r="H916" i="2" s="1"/>
  <c r="F917" i="2"/>
  <c r="H917" i="2" s="1"/>
  <c r="F918" i="2"/>
  <c r="H918" i="2" s="1"/>
  <c r="F919" i="2"/>
  <c r="H919" i="2" s="1"/>
  <c r="F920" i="2"/>
  <c r="H920" i="2" s="1"/>
  <c r="F921" i="2"/>
  <c r="H921" i="2" s="1"/>
  <c r="F922" i="2"/>
  <c r="H922" i="2" s="1"/>
  <c r="F923" i="2"/>
  <c r="H923" i="2" s="1"/>
  <c r="F924" i="2"/>
  <c r="H924" i="2" s="1"/>
  <c r="F925" i="2"/>
  <c r="H925" i="2" s="1"/>
  <c r="F926" i="2"/>
  <c r="H926" i="2" s="1"/>
  <c r="F927" i="2"/>
  <c r="H927" i="2" s="1"/>
  <c r="F928" i="2"/>
  <c r="H928" i="2" s="1"/>
  <c r="F929" i="2"/>
  <c r="H929" i="2" s="1"/>
  <c r="F930" i="2"/>
  <c r="H930" i="2" s="1"/>
  <c r="F931" i="2"/>
  <c r="H931" i="2" s="1"/>
  <c r="F932" i="2"/>
  <c r="H932" i="2" s="1"/>
  <c r="F933" i="2"/>
  <c r="H933" i="2" s="1"/>
  <c r="F934" i="2"/>
  <c r="H934" i="2" s="1"/>
  <c r="F935" i="2"/>
  <c r="H935" i="2" s="1"/>
  <c r="J935" i="2" s="1"/>
  <c r="F936" i="2"/>
  <c r="H936" i="2" s="1"/>
  <c r="F937" i="2"/>
  <c r="H937" i="2" s="1"/>
  <c r="F938" i="2"/>
  <c r="H938" i="2" s="1"/>
  <c r="F939" i="2"/>
  <c r="H939" i="2" s="1"/>
  <c r="F940" i="2"/>
  <c r="H940" i="2" s="1"/>
  <c r="F941" i="2"/>
  <c r="H941" i="2" s="1"/>
  <c r="F942" i="2"/>
  <c r="H942" i="2" s="1"/>
  <c r="F943" i="2"/>
  <c r="H943" i="2" s="1"/>
  <c r="F944" i="2"/>
  <c r="H944" i="2" s="1"/>
  <c r="F945" i="2"/>
  <c r="H945" i="2" s="1"/>
  <c r="F946" i="2"/>
  <c r="H946" i="2" s="1"/>
  <c r="F947" i="2"/>
  <c r="H947" i="2" s="1"/>
  <c r="F948" i="2"/>
  <c r="H948" i="2" s="1"/>
  <c r="F949" i="2"/>
  <c r="H949" i="2" s="1"/>
  <c r="F950" i="2"/>
  <c r="H950" i="2" s="1"/>
  <c r="F951" i="2"/>
  <c r="H951" i="2" s="1"/>
  <c r="F952" i="2"/>
  <c r="H952" i="2" s="1"/>
  <c r="F953" i="2"/>
  <c r="H953" i="2" s="1"/>
  <c r="F954" i="2"/>
  <c r="H954" i="2" s="1"/>
  <c r="F955" i="2"/>
  <c r="H955" i="2" s="1"/>
  <c r="F956" i="2"/>
  <c r="H956" i="2" s="1"/>
  <c r="F957" i="2"/>
  <c r="H957" i="2" s="1"/>
  <c r="F958" i="2"/>
  <c r="H958" i="2" s="1"/>
  <c r="F959" i="2"/>
  <c r="H959" i="2" s="1"/>
  <c r="F960" i="2"/>
  <c r="H960" i="2" s="1"/>
  <c r="F961" i="2"/>
  <c r="H961" i="2" s="1"/>
  <c r="F962" i="2"/>
  <c r="H962" i="2" s="1"/>
  <c r="F963" i="2"/>
  <c r="H963" i="2" s="1"/>
  <c r="F964" i="2"/>
  <c r="H964" i="2" s="1"/>
  <c r="F965" i="2"/>
  <c r="H965" i="2" s="1"/>
  <c r="F966" i="2"/>
  <c r="H966" i="2" s="1"/>
  <c r="F967" i="2"/>
  <c r="H967" i="2" s="1"/>
  <c r="F968" i="2"/>
  <c r="H968" i="2" s="1"/>
  <c r="F969" i="2"/>
  <c r="H969" i="2" s="1"/>
  <c r="F970" i="2"/>
  <c r="H970" i="2" s="1"/>
  <c r="F971" i="2"/>
  <c r="H971" i="2" s="1"/>
  <c r="F972" i="2"/>
  <c r="H972" i="2" s="1"/>
  <c r="F973" i="2"/>
  <c r="H973" i="2" s="1"/>
  <c r="F974" i="2"/>
  <c r="H974" i="2" s="1"/>
  <c r="F975" i="2"/>
  <c r="H975" i="2" s="1"/>
  <c r="F976" i="2"/>
  <c r="H976" i="2" s="1"/>
  <c r="F977" i="2"/>
  <c r="H977" i="2" s="1"/>
  <c r="F978" i="2"/>
  <c r="H978" i="2" s="1"/>
  <c r="F979" i="2"/>
  <c r="H979" i="2" s="1"/>
  <c r="F980" i="2"/>
  <c r="H980" i="2" s="1"/>
  <c r="F981" i="2"/>
  <c r="H981" i="2" s="1"/>
  <c r="F982" i="2"/>
  <c r="H982" i="2" s="1"/>
  <c r="F983" i="2"/>
  <c r="H983" i="2" s="1"/>
  <c r="F984" i="2"/>
  <c r="H984" i="2" s="1"/>
  <c r="F985" i="2"/>
  <c r="H985" i="2" s="1"/>
  <c r="F986" i="2"/>
  <c r="H986" i="2" s="1"/>
  <c r="F987" i="2"/>
  <c r="H987" i="2" s="1"/>
  <c r="F988" i="2"/>
  <c r="H988" i="2" s="1"/>
  <c r="F989" i="2"/>
  <c r="H989" i="2" s="1"/>
  <c r="F990" i="2"/>
  <c r="H990" i="2" s="1"/>
  <c r="F991" i="2"/>
  <c r="H991" i="2" s="1"/>
  <c r="F992" i="2"/>
  <c r="H992" i="2" s="1"/>
  <c r="F993" i="2"/>
  <c r="H993" i="2" s="1"/>
  <c r="F994" i="2"/>
  <c r="H994" i="2" s="1"/>
  <c r="F995" i="2"/>
  <c r="H995" i="2" s="1"/>
  <c r="F996" i="2"/>
  <c r="H996" i="2" s="1"/>
  <c r="F997" i="2"/>
  <c r="H997" i="2" s="1"/>
  <c r="F998" i="2"/>
  <c r="H998" i="2" s="1"/>
  <c r="F999" i="2"/>
  <c r="H999" i="2" s="1"/>
  <c r="F1000" i="2"/>
  <c r="H1000" i="2" s="1"/>
  <c r="F1001" i="2"/>
  <c r="H1001" i="2" s="1"/>
  <c r="F1002" i="2"/>
  <c r="H1002" i="2" s="1"/>
  <c r="F1003" i="2"/>
  <c r="H1003" i="2" s="1"/>
  <c r="F1004" i="2"/>
  <c r="H1004" i="2" s="1"/>
  <c r="F1005" i="2"/>
  <c r="H1005" i="2" s="1"/>
  <c r="F1006" i="2"/>
  <c r="H1006" i="2" s="1"/>
  <c r="F1007" i="2"/>
  <c r="H1007" i="2" s="1"/>
  <c r="F1008" i="2"/>
  <c r="H1008" i="2" s="1"/>
  <c r="F1009" i="2"/>
  <c r="H1009" i="2" s="1"/>
  <c r="F1010" i="2"/>
  <c r="H1010" i="2" s="1"/>
  <c r="F1011" i="2"/>
  <c r="H1011" i="2" s="1"/>
  <c r="F1012" i="2"/>
  <c r="H1012" i="2" s="1"/>
  <c r="F1013" i="2"/>
  <c r="H1013" i="2" s="1"/>
  <c r="F1014" i="2"/>
  <c r="H1014" i="2" s="1"/>
  <c r="F1015" i="2"/>
  <c r="H1015" i="2" s="1"/>
  <c r="F1016" i="2"/>
  <c r="H1016" i="2" s="1"/>
  <c r="F1017" i="2"/>
  <c r="H1017" i="2" s="1"/>
  <c r="F1018" i="2"/>
  <c r="H1018" i="2" s="1"/>
  <c r="F1019" i="2"/>
  <c r="H1019" i="2" s="1"/>
  <c r="F1020" i="2"/>
  <c r="H1020" i="2" s="1"/>
  <c r="F1021" i="2"/>
  <c r="H1021" i="2" s="1"/>
  <c r="F1022" i="2"/>
  <c r="H1022" i="2" s="1"/>
  <c r="F1023" i="2"/>
  <c r="H1023" i="2" s="1"/>
  <c r="F1024" i="2"/>
  <c r="H1024" i="2" s="1"/>
  <c r="F1025" i="2"/>
  <c r="H1025" i="2" s="1"/>
  <c r="F1026" i="2"/>
  <c r="H1026" i="2" s="1"/>
  <c r="F1027" i="2"/>
  <c r="H1027" i="2" s="1"/>
  <c r="F1028" i="2"/>
  <c r="H1028" i="2" s="1"/>
  <c r="F1029" i="2"/>
  <c r="H1029" i="2" s="1"/>
  <c r="F1030" i="2"/>
  <c r="H1030" i="2" s="1"/>
  <c r="F1031" i="2"/>
  <c r="H1031" i="2" s="1"/>
  <c r="F1032" i="2"/>
  <c r="H1032" i="2" s="1"/>
  <c r="F1033" i="2"/>
  <c r="H1033" i="2" s="1"/>
  <c r="F1034" i="2"/>
  <c r="H1034" i="2" s="1"/>
  <c r="F1035" i="2"/>
  <c r="H1035" i="2" s="1"/>
  <c r="F1036" i="2"/>
  <c r="H1036" i="2" s="1"/>
  <c r="F1037" i="2"/>
  <c r="H1037" i="2" s="1"/>
  <c r="F1038" i="2"/>
  <c r="H1038" i="2" s="1"/>
  <c r="F1039" i="2"/>
  <c r="H1039" i="2" s="1"/>
  <c r="F1040" i="2"/>
  <c r="H1040" i="2" s="1"/>
  <c r="F1041" i="2"/>
  <c r="H1041" i="2" s="1"/>
  <c r="F1042" i="2"/>
  <c r="H1042" i="2" s="1"/>
  <c r="F1043" i="2"/>
  <c r="H1043" i="2" s="1"/>
  <c r="F1044" i="2"/>
  <c r="H1044" i="2" s="1"/>
  <c r="F1045" i="2"/>
  <c r="H1045" i="2" s="1"/>
  <c r="F1046" i="2"/>
  <c r="H1046" i="2" s="1"/>
  <c r="F1047" i="2"/>
  <c r="H1047" i="2" s="1"/>
  <c r="F1048" i="2"/>
  <c r="H1048" i="2" s="1"/>
  <c r="F1049" i="2"/>
  <c r="H1049" i="2" s="1"/>
  <c r="F1050" i="2"/>
  <c r="H1050" i="2" s="1"/>
  <c r="F1051" i="2"/>
  <c r="H1051" i="2" s="1"/>
  <c r="F1052" i="2"/>
  <c r="H1052" i="2" s="1"/>
  <c r="F1053" i="2"/>
  <c r="H1053" i="2" s="1"/>
  <c r="F1054" i="2"/>
  <c r="H1054" i="2" s="1"/>
  <c r="F1055" i="2"/>
  <c r="H1055" i="2" s="1"/>
  <c r="F1056" i="2"/>
  <c r="H1056" i="2" s="1"/>
  <c r="F1057" i="2"/>
  <c r="H1057" i="2" s="1"/>
  <c r="F1058" i="2"/>
  <c r="H1058" i="2" s="1"/>
  <c r="F1059" i="2"/>
  <c r="H1059" i="2" s="1"/>
  <c r="F1060" i="2"/>
  <c r="H1060" i="2" s="1"/>
  <c r="F1061" i="2"/>
  <c r="H1061" i="2" s="1"/>
  <c r="F1062" i="2"/>
  <c r="H1062" i="2" s="1"/>
  <c r="F1063" i="2"/>
  <c r="H1063" i="2" s="1"/>
  <c r="F1064" i="2"/>
  <c r="H1064" i="2" s="1"/>
  <c r="F1065" i="2"/>
  <c r="H1065" i="2" s="1"/>
  <c r="F1066" i="2"/>
  <c r="H1066" i="2" s="1"/>
  <c r="F1067" i="2"/>
  <c r="H1067" i="2" s="1"/>
  <c r="F1068" i="2"/>
  <c r="H1068" i="2" s="1"/>
  <c r="J1068" i="2" s="1"/>
  <c r="F1069" i="2"/>
  <c r="H1069" i="2" s="1"/>
  <c r="F1070" i="2"/>
  <c r="H1070" i="2" s="1"/>
  <c r="F1071" i="2"/>
  <c r="H1071" i="2" s="1"/>
  <c r="F1072" i="2"/>
  <c r="H1072" i="2" s="1"/>
  <c r="F1073" i="2"/>
  <c r="H1073" i="2" s="1"/>
  <c r="F1074" i="2"/>
  <c r="H1074" i="2" s="1"/>
  <c r="F1075" i="2"/>
  <c r="H1075" i="2" s="1"/>
  <c r="F1076" i="2"/>
  <c r="H1076" i="2" s="1"/>
  <c r="F1077" i="2"/>
  <c r="H1077" i="2" s="1"/>
  <c r="F1078" i="2"/>
  <c r="H1078" i="2" s="1"/>
  <c r="F1079" i="2"/>
  <c r="H1079" i="2" s="1"/>
  <c r="F1080" i="2"/>
  <c r="H1080" i="2" s="1"/>
  <c r="F1081" i="2"/>
  <c r="H1081" i="2" s="1"/>
  <c r="F1082" i="2"/>
  <c r="H1082" i="2" s="1"/>
  <c r="F1083" i="2"/>
  <c r="H1083" i="2" s="1"/>
  <c r="F1084" i="2"/>
  <c r="H1084" i="2" s="1"/>
  <c r="F1085" i="2"/>
  <c r="H1085" i="2" s="1"/>
  <c r="F1086" i="2"/>
  <c r="H1086" i="2" s="1"/>
  <c r="F1087" i="2"/>
  <c r="H1087" i="2" s="1"/>
  <c r="F1088" i="2"/>
  <c r="H1088" i="2" s="1"/>
  <c r="F1089" i="2"/>
  <c r="H1089" i="2" s="1"/>
  <c r="F1090" i="2"/>
  <c r="H1090" i="2" s="1"/>
  <c r="F1091" i="2"/>
  <c r="H1091" i="2" s="1"/>
  <c r="F1092" i="2"/>
  <c r="H1092" i="2" s="1"/>
  <c r="F1093" i="2"/>
  <c r="H1093" i="2" s="1"/>
  <c r="F1094" i="2"/>
  <c r="H1094" i="2" s="1"/>
  <c r="F1095" i="2"/>
  <c r="H1095" i="2" s="1"/>
  <c r="F1096" i="2"/>
  <c r="H1096" i="2" s="1"/>
  <c r="F1097" i="2"/>
  <c r="H1097" i="2" s="1"/>
  <c r="F1098" i="2"/>
  <c r="H1098" i="2" s="1"/>
  <c r="F1099" i="2"/>
  <c r="H1099" i="2" s="1"/>
  <c r="F1100" i="2"/>
  <c r="H1100" i="2" s="1"/>
  <c r="F1101" i="2"/>
  <c r="H1101" i="2" s="1"/>
  <c r="F1102" i="2"/>
  <c r="H1102" i="2" s="1"/>
  <c r="F1103" i="2"/>
  <c r="H1103" i="2" s="1"/>
  <c r="F1104" i="2"/>
  <c r="H1104" i="2" s="1"/>
  <c r="F1105" i="2"/>
  <c r="H1105" i="2" s="1"/>
  <c r="F1106" i="2"/>
  <c r="H1106" i="2" s="1"/>
  <c r="F1107" i="2"/>
  <c r="H1107" i="2" s="1"/>
  <c r="F1108" i="2"/>
  <c r="H1108" i="2" s="1"/>
  <c r="F1109" i="2"/>
  <c r="H1109" i="2" s="1"/>
  <c r="F1110" i="2"/>
  <c r="H1110" i="2" s="1"/>
  <c r="F1111" i="2"/>
  <c r="H1111" i="2" s="1"/>
  <c r="F1112" i="2"/>
  <c r="H1112" i="2" s="1"/>
  <c r="F1113" i="2"/>
  <c r="H1113" i="2" s="1"/>
  <c r="F1114" i="2"/>
  <c r="H1114" i="2" s="1"/>
  <c r="F1115" i="2"/>
  <c r="H1115" i="2" s="1"/>
  <c r="F1116" i="2"/>
  <c r="H1116" i="2" s="1"/>
  <c r="F1117" i="2"/>
  <c r="H1117" i="2" s="1"/>
  <c r="F1118" i="2"/>
  <c r="H1118" i="2" s="1"/>
  <c r="F1119" i="2"/>
  <c r="H1119" i="2" s="1"/>
  <c r="F1120" i="2"/>
  <c r="H1120" i="2" s="1"/>
  <c r="F1121" i="2"/>
  <c r="H1121" i="2" s="1"/>
  <c r="F1122" i="2"/>
  <c r="H1122" i="2" s="1"/>
  <c r="F1123" i="2"/>
  <c r="H1123" i="2" s="1"/>
  <c r="F1124" i="2"/>
  <c r="H1124" i="2" s="1"/>
  <c r="F1125" i="2"/>
  <c r="H1125" i="2" s="1"/>
  <c r="F1126" i="2"/>
  <c r="H1126" i="2" s="1"/>
  <c r="F1127" i="2"/>
  <c r="H1127" i="2" s="1"/>
  <c r="F1128" i="2"/>
  <c r="H1128" i="2" s="1"/>
  <c r="F1129" i="2"/>
  <c r="H1129" i="2" s="1"/>
  <c r="F1130" i="2"/>
  <c r="H1130" i="2" s="1"/>
  <c r="F1131" i="2"/>
  <c r="H1131" i="2" s="1"/>
  <c r="F1132" i="2"/>
  <c r="H1132" i="2" s="1"/>
  <c r="F1133" i="2"/>
  <c r="H1133" i="2" s="1"/>
  <c r="F1134" i="2"/>
  <c r="H1134" i="2" s="1"/>
  <c r="F1135" i="2"/>
  <c r="H1135" i="2" s="1"/>
  <c r="F1136" i="2"/>
  <c r="H1136" i="2" s="1"/>
  <c r="F1137" i="2"/>
  <c r="H1137" i="2" s="1"/>
  <c r="F1138" i="2"/>
  <c r="H1138" i="2" s="1"/>
  <c r="F1139" i="2"/>
  <c r="H1139" i="2" s="1"/>
  <c r="F1140" i="2"/>
  <c r="H1140" i="2" s="1"/>
  <c r="F1141" i="2"/>
  <c r="H1141" i="2" s="1"/>
  <c r="F1142" i="2"/>
  <c r="H1142" i="2" s="1"/>
  <c r="F1143" i="2"/>
  <c r="H1143" i="2" s="1"/>
  <c r="F1144" i="2"/>
  <c r="H1144" i="2" s="1"/>
  <c r="F1145" i="2"/>
  <c r="H1145" i="2" s="1"/>
  <c r="F1146" i="2"/>
  <c r="H1146" i="2" s="1"/>
  <c r="F1147" i="2"/>
  <c r="H1147" i="2" s="1"/>
  <c r="F1148" i="2"/>
  <c r="H1148" i="2" s="1"/>
  <c r="F1149" i="2"/>
  <c r="H1149" i="2" s="1"/>
  <c r="F1150" i="2"/>
  <c r="H1150" i="2" s="1"/>
  <c r="F1151" i="2"/>
  <c r="H1151" i="2" s="1"/>
  <c r="F1152" i="2"/>
  <c r="H1152" i="2" s="1"/>
  <c r="F1153" i="2"/>
  <c r="H1153" i="2" s="1"/>
  <c r="F1154" i="2"/>
  <c r="H1154" i="2" s="1"/>
  <c r="F1155" i="2"/>
  <c r="H1155" i="2" s="1"/>
  <c r="F1156" i="2"/>
  <c r="H1156" i="2" s="1"/>
  <c r="F1157" i="2"/>
  <c r="H1157" i="2" s="1"/>
  <c r="F1158" i="2"/>
  <c r="H1158" i="2" s="1"/>
  <c r="F1159" i="2"/>
  <c r="H1159" i="2" s="1"/>
  <c r="F1160" i="2"/>
  <c r="H1160" i="2" s="1"/>
  <c r="F1161" i="2"/>
  <c r="H1161" i="2" s="1"/>
  <c r="F1162" i="2"/>
  <c r="H1162" i="2" s="1"/>
  <c r="F1163" i="2"/>
  <c r="H1163" i="2" s="1"/>
  <c r="F1164" i="2"/>
  <c r="H1164" i="2" s="1"/>
  <c r="F1165" i="2"/>
  <c r="H1165" i="2" s="1"/>
  <c r="F1166" i="2"/>
  <c r="H1166" i="2" s="1"/>
  <c r="F1167" i="2"/>
  <c r="H1167" i="2" s="1"/>
  <c r="F1168" i="2"/>
  <c r="H1168" i="2" s="1"/>
  <c r="F1169" i="2"/>
  <c r="H1169" i="2" s="1"/>
  <c r="F1170" i="2"/>
  <c r="H1170" i="2" s="1"/>
  <c r="F1171" i="2"/>
  <c r="H1171" i="2" s="1"/>
  <c r="F1172" i="2"/>
  <c r="H1172" i="2" s="1"/>
  <c r="F1173" i="2"/>
  <c r="H1173" i="2" s="1"/>
  <c r="F1174" i="2"/>
  <c r="H1174" i="2" s="1"/>
  <c r="F1175" i="2"/>
  <c r="H1175" i="2" s="1"/>
  <c r="F1176" i="2"/>
  <c r="H1176" i="2" s="1"/>
  <c r="F1177" i="2"/>
  <c r="H1177" i="2" s="1"/>
  <c r="F1178" i="2"/>
  <c r="H1178" i="2" s="1"/>
  <c r="F1179" i="2"/>
  <c r="H1179" i="2" s="1"/>
  <c r="F1180" i="2"/>
  <c r="H1180" i="2" s="1"/>
  <c r="F1181" i="2"/>
  <c r="H1181" i="2" s="1"/>
  <c r="F1182" i="2"/>
  <c r="H1182" i="2" s="1"/>
  <c r="F1183" i="2"/>
  <c r="H1183" i="2" s="1"/>
  <c r="F1184" i="2"/>
  <c r="H1184" i="2" s="1"/>
  <c r="F1185" i="2"/>
  <c r="H1185" i="2" s="1"/>
  <c r="F1186" i="2"/>
  <c r="H1186" i="2" s="1"/>
  <c r="F1187" i="2"/>
  <c r="H1187" i="2" s="1"/>
  <c r="F1188" i="2"/>
  <c r="H1188" i="2" s="1"/>
  <c r="F1189" i="2"/>
  <c r="H1189" i="2" s="1"/>
  <c r="F1190" i="2"/>
  <c r="H1190" i="2" s="1"/>
  <c r="F1191" i="2"/>
  <c r="H1191" i="2" s="1"/>
  <c r="F1192" i="2"/>
  <c r="H1192" i="2" s="1"/>
  <c r="F1193" i="2"/>
  <c r="H1193" i="2" s="1"/>
  <c r="F1194" i="2"/>
  <c r="H1194" i="2" s="1"/>
  <c r="F1195" i="2"/>
  <c r="H1195" i="2" s="1"/>
  <c r="F1196" i="2"/>
  <c r="H1196" i="2" s="1"/>
  <c r="F1197" i="2"/>
  <c r="H1197" i="2" s="1"/>
  <c r="F1198" i="2"/>
  <c r="H1198" i="2" s="1"/>
  <c r="F1199" i="2"/>
  <c r="H1199" i="2" s="1"/>
  <c r="F1200" i="2"/>
  <c r="H1200" i="2" s="1"/>
  <c r="F1201" i="2"/>
  <c r="H1201" i="2" s="1"/>
  <c r="F1202" i="2"/>
  <c r="H1202" i="2" s="1"/>
  <c r="F1203" i="2"/>
  <c r="H1203" i="2" s="1"/>
  <c r="F1204" i="2"/>
  <c r="H1204" i="2" s="1"/>
  <c r="F1205" i="2"/>
  <c r="H1205" i="2" s="1"/>
  <c r="F1206" i="2"/>
  <c r="H1206" i="2" s="1"/>
  <c r="F1207" i="2"/>
  <c r="H1207" i="2" s="1"/>
  <c r="F1208" i="2"/>
  <c r="H1208" i="2" s="1"/>
  <c r="F1209" i="2"/>
  <c r="H1209" i="2" s="1"/>
  <c r="F1210" i="2"/>
  <c r="H1210" i="2" s="1"/>
  <c r="F1211" i="2"/>
  <c r="H1211" i="2" s="1"/>
  <c r="F1212" i="2"/>
  <c r="H1212" i="2" s="1"/>
  <c r="F1213" i="2"/>
  <c r="H1213" i="2" s="1"/>
  <c r="F1214" i="2"/>
  <c r="H1214" i="2" s="1"/>
  <c r="F1215" i="2"/>
  <c r="H1215" i="2" s="1"/>
  <c r="F1216" i="2"/>
  <c r="H1216" i="2" s="1"/>
  <c r="F1217" i="2"/>
  <c r="H1217" i="2" s="1"/>
  <c r="F1218" i="2"/>
  <c r="H1218" i="2" s="1"/>
  <c r="F1219" i="2"/>
  <c r="H1219" i="2" s="1"/>
  <c r="F1220" i="2"/>
  <c r="H1220" i="2" s="1"/>
  <c r="F1221" i="2"/>
  <c r="H1221" i="2" s="1"/>
  <c r="F1222" i="2"/>
  <c r="H1222" i="2" s="1"/>
  <c r="F1223" i="2"/>
  <c r="H1223" i="2" s="1"/>
  <c r="F1224" i="2"/>
  <c r="H1224" i="2" s="1"/>
  <c r="F1225" i="2"/>
  <c r="H1225" i="2" s="1"/>
  <c r="F1226" i="2"/>
  <c r="H1226" i="2" s="1"/>
  <c r="F1227" i="2"/>
  <c r="H1227" i="2" s="1"/>
  <c r="F1228" i="2"/>
  <c r="H1228" i="2" s="1"/>
  <c r="F1229" i="2"/>
  <c r="H1229" i="2" s="1"/>
  <c r="F1230" i="2"/>
  <c r="H1230" i="2" s="1"/>
  <c r="F1231" i="2"/>
  <c r="H1231" i="2" s="1"/>
  <c r="F1232" i="2"/>
  <c r="H1232" i="2" s="1"/>
  <c r="F1233" i="2"/>
  <c r="H1233" i="2" s="1"/>
  <c r="F1234" i="2"/>
  <c r="H1234" i="2" s="1"/>
  <c r="F1235" i="2"/>
  <c r="H1235" i="2" s="1"/>
  <c r="F1236" i="2"/>
  <c r="H1236" i="2" s="1"/>
  <c r="F1237" i="2"/>
  <c r="H1237" i="2" s="1"/>
  <c r="F1238" i="2"/>
  <c r="H1238" i="2" s="1"/>
  <c r="F1239" i="2"/>
  <c r="H1239" i="2" s="1"/>
  <c r="F1240" i="2"/>
  <c r="H1240" i="2" s="1"/>
  <c r="F1241" i="2"/>
  <c r="H1241" i="2" s="1"/>
  <c r="F1242" i="2"/>
  <c r="H1242" i="2" s="1"/>
  <c r="F1243" i="2"/>
  <c r="H1243" i="2" s="1"/>
  <c r="F1244" i="2"/>
  <c r="H1244" i="2" s="1"/>
  <c r="F1245" i="2"/>
  <c r="H1245" i="2" s="1"/>
  <c r="F1246" i="2"/>
  <c r="H1246" i="2" s="1"/>
  <c r="F1247" i="2"/>
  <c r="H1247" i="2" s="1"/>
  <c r="F1248" i="2"/>
  <c r="H1248" i="2" s="1"/>
  <c r="F1249" i="2"/>
  <c r="H1249" i="2" s="1"/>
  <c r="F1250" i="2"/>
  <c r="H1250" i="2" s="1"/>
  <c r="F1251" i="2"/>
  <c r="H1251" i="2" s="1"/>
  <c r="F1252" i="2"/>
  <c r="H1252" i="2" s="1"/>
  <c r="J1252" i="2" s="1"/>
  <c r="F1253" i="2"/>
  <c r="H1253" i="2" s="1"/>
  <c r="F1254" i="2"/>
  <c r="H1254" i="2" s="1"/>
  <c r="F1255" i="2"/>
  <c r="H1255" i="2" s="1"/>
  <c r="F1256" i="2"/>
  <c r="H1256" i="2" s="1"/>
  <c r="F1257" i="2"/>
  <c r="H1257" i="2" s="1"/>
  <c r="F1258" i="2"/>
  <c r="H1258" i="2" s="1"/>
  <c r="F1259" i="2"/>
  <c r="H1259" i="2" s="1"/>
  <c r="F1260" i="2"/>
  <c r="H1260" i="2" s="1"/>
  <c r="F1261" i="2"/>
  <c r="H1261" i="2" s="1"/>
  <c r="F1262" i="2"/>
  <c r="H1262" i="2" s="1"/>
  <c r="F1263" i="2"/>
  <c r="H1263" i="2" s="1"/>
  <c r="F1264" i="2"/>
  <c r="H1264" i="2" s="1"/>
  <c r="F1265" i="2"/>
  <c r="H1265" i="2" s="1"/>
  <c r="F1266" i="2"/>
  <c r="H1266" i="2" s="1"/>
  <c r="F1267" i="2"/>
  <c r="H1267" i="2" s="1"/>
  <c r="F1268" i="2"/>
  <c r="H1268" i="2" s="1"/>
  <c r="F1269" i="2"/>
  <c r="H1269" i="2" s="1"/>
  <c r="F1270" i="2"/>
  <c r="H1270" i="2" s="1"/>
  <c r="F1271" i="2"/>
  <c r="H1271" i="2" s="1"/>
  <c r="F1272" i="2"/>
  <c r="H1272" i="2" s="1"/>
  <c r="F1273" i="2"/>
  <c r="H1273" i="2" s="1"/>
  <c r="F1274" i="2"/>
  <c r="H1274" i="2" s="1"/>
  <c r="F1275" i="2"/>
  <c r="H1275" i="2" s="1"/>
  <c r="F1276" i="2"/>
  <c r="H1276" i="2" s="1"/>
  <c r="F1277" i="2"/>
  <c r="H1277" i="2" s="1"/>
  <c r="F1278" i="2"/>
  <c r="H1278" i="2" s="1"/>
  <c r="F1279" i="2"/>
  <c r="H1279" i="2" s="1"/>
  <c r="F1280" i="2"/>
  <c r="H1280" i="2" s="1"/>
  <c r="F1281" i="2"/>
  <c r="H1281" i="2" s="1"/>
  <c r="F1282" i="2"/>
  <c r="H1282" i="2" s="1"/>
  <c r="F1283" i="2"/>
  <c r="H1283" i="2" s="1"/>
  <c r="F1284" i="2"/>
  <c r="H1284" i="2" s="1"/>
  <c r="F1285" i="2"/>
  <c r="H1285" i="2" s="1"/>
  <c r="F1286" i="2"/>
  <c r="H1286" i="2" s="1"/>
  <c r="F1287" i="2"/>
  <c r="H1287" i="2" s="1"/>
  <c r="F1288" i="2"/>
  <c r="H1288" i="2" s="1"/>
  <c r="F1289" i="2"/>
  <c r="H1289" i="2" s="1"/>
  <c r="F1290" i="2"/>
  <c r="H1290" i="2" s="1"/>
  <c r="F1291" i="2"/>
  <c r="H1291" i="2" s="1"/>
  <c r="F1292" i="2"/>
  <c r="H1292" i="2" s="1"/>
  <c r="F1293" i="2"/>
  <c r="H1293" i="2" s="1"/>
  <c r="F1294" i="2"/>
  <c r="H1294" i="2" s="1"/>
  <c r="F1295" i="2"/>
  <c r="H1295" i="2" s="1"/>
  <c r="F1296" i="2"/>
  <c r="H1296" i="2" s="1"/>
  <c r="F1297" i="2"/>
  <c r="H1297" i="2" s="1"/>
  <c r="F1298" i="2"/>
  <c r="H1298" i="2" s="1"/>
  <c r="F1299" i="2"/>
  <c r="H1299" i="2" s="1"/>
  <c r="F1300" i="2"/>
  <c r="H1300" i="2" s="1"/>
  <c r="F1301" i="2"/>
  <c r="H1301" i="2" s="1"/>
  <c r="F1302" i="2"/>
  <c r="H1302" i="2" s="1"/>
  <c r="F1303" i="2"/>
  <c r="H1303" i="2" s="1"/>
  <c r="F1304" i="2"/>
  <c r="H1304" i="2" s="1"/>
  <c r="F1305" i="2"/>
  <c r="H1305" i="2" s="1"/>
  <c r="F1306" i="2"/>
  <c r="H1306" i="2" s="1"/>
  <c r="F1307" i="2"/>
  <c r="H1307" i="2" s="1"/>
  <c r="F1308" i="2"/>
  <c r="H1308" i="2" s="1"/>
  <c r="F1309" i="2"/>
  <c r="H1309" i="2" s="1"/>
  <c r="F1310" i="2"/>
  <c r="H1310" i="2" s="1"/>
  <c r="F1311" i="2"/>
  <c r="H1311" i="2" s="1"/>
  <c r="F1312" i="2"/>
  <c r="H1312" i="2" s="1"/>
  <c r="F1313" i="2"/>
  <c r="H1313" i="2" s="1"/>
  <c r="F1314" i="2"/>
  <c r="H1314" i="2" s="1"/>
  <c r="F1315" i="2"/>
  <c r="H1315" i="2" s="1"/>
  <c r="F1316" i="2"/>
  <c r="H1316" i="2" s="1"/>
  <c r="F1317" i="2"/>
  <c r="H1317" i="2" s="1"/>
  <c r="F1318" i="2"/>
  <c r="H1318" i="2" s="1"/>
  <c r="F1319" i="2"/>
  <c r="H1319" i="2" s="1"/>
  <c r="F1320" i="2"/>
  <c r="H1320" i="2" s="1"/>
  <c r="F1321" i="2"/>
  <c r="H1321" i="2" s="1"/>
  <c r="F1322" i="2"/>
  <c r="H1322" i="2" s="1"/>
  <c r="F1323" i="2"/>
  <c r="H1323" i="2" s="1"/>
  <c r="F1324" i="2"/>
  <c r="H1324" i="2" s="1"/>
  <c r="F1325" i="2"/>
  <c r="H1325" i="2" s="1"/>
  <c r="F1326" i="2"/>
  <c r="H1326" i="2" s="1"/>
  <c r="F1327" i="2"/>
  <c r="H1327" i="2" s="1"/>
  <c r="F1328" i="2"/>
  <c r="H1328" i="2" s="1"/>
  <c r="F1329" i="2"/>
  <c r="H1329" i="2" s="1"/>
  <c r="F1330" i="2"/>
  <c r="H1330" i="2" s="1"/>
  <c r="F1331" i="2"/>
  <c r="H1331" i="2" s="1"/>
  <c r="F1332" i="2"/>
  <c r="H1332" i="2" s="1"/>
  <c r="F1333" i="2"/>
  <c r="H1333" i="2" s="1"/>
  <c r="F1334" i="2"/>
  <c r="H1334" i="2" s="1"/>
  <c r="F1335" i="2"/>
  <c r="H1335" i="2" s="1"/>
  <c r="F1336" i="2"/>
  <c r="H1336" i="2" s="1"/>
  <c r="F1337" i="2"/>
  <c r="H1337" i="2" s="1"/>
  <c r="F1338" i="2"/>
  <c r="H1338" i="2" s="1"/>
  <c r="F1339" i="2"/>
  <c r="H1339" i="2" s="1"/>
  <c r="F1340" i="2"/>
  <c r="H1340" i="2" s="1"/>
  <c r="F1341" i="2"/>
  <c r="H1341" i="2" s="1"/>
  <c r="F1342" i="2"/>
  <c r="H1342" i="2" s="1"/>
  <c r="F1343" i="2"/>
  <c r="H1343" i="2" s="1"/>
  <c r="F1344" i="2"/>
  <c r="H1344" i="2" s="1"/>
  <c r="F1345" i="2"/>
  <c r="H1345" i="2" s="1"/>
  <c r="F1346" i="2"/>
  <c r="H1346" i="2" s="1"/>
  <c r="F1347" i="2"/>
  <c r="H1347" i="2" s="1"/>
  <c r="F1348" i="2"/>
  <c r="H1348" i="2" s="1"/>
  <c r="F1349" i="2"/>
  <c r="H1349" i="2" s="1"/>
  <c r="F1350" i="2"/>
  <c r="H1350" i="2" s="1"/>
  <c r="F1351" i="2"/>
  <c r="H1351" i="2" s="1"/>
  <c r="F1352" i="2"/>
  <c r="H1352" i="2" s="1"/>
  <c r="F1353" i="2"/>
  <c r="H1353" i="2" s="1"/>
  <c r="F1354" i="2"/>
  <c r="H1354" i="2" s="1"/>
  <c r="F1355" i="2"/>
  <c r="H1355" i="2" s="1"/>
  <c r="F1356" i="2"/>
  <c r="H1356" i="2" s="1"/>
  <c r="F1357" i="2"/>
  <c r="H1357" i="2" s="1"/>
  <c r="F1358" i="2"/>
  <c r="H1358" i="2" s="1"/>
  <c r="F1359" i="2"/>
  <c r="H1359" i="2" s="1"/>
  <c r="F1360" i="2"/>
  <c r="H1360" i="2" s="1"/>
  <c r="F1361" i="2"/>
  <c r="H1361" i="2" s="1"/>
  <c r="F1362" i="2"/>
  <c r="H1362" i="2" s="1"/>
  <c r="F1363" i="2"/>
  <c r="H1363" i="2" s="1"/>
  <c r="F1364" i="2"/>
  <c r="H1364" i="2" s="1"/>
  <c r="F1365" i="2"/>
  <c r="H1365" i="2" s="1"/>
  <c r="F1366" i="2"/>
  <c r="H1366" i="2" s="1"/>
  <c r="F1367" i="2"/>
  <c r="H1367" i="2" s="1"/>
  <c r="F1368" i="2"/>
  <c r="H1368" i="2" s="1"/>
  <c r="F1369" i="2"/>
  <c r="H1369" i="2" s="1"/>
  <c r="F1370" i="2"/>
  <c r="H1370" i="2" s="1"/>
  <c r="F1371" i="2"/>
  <c r="H1371" i="2" s="1"/>
  <c r="F1372" i="2"/>
  <c r="H1372" i="2" s="1"/>
  <c r="F1373" i="2"/>
  <c r="H1373" i="2" s="1"/>
  <c r="F1374" i="2"/>
  <c r="H1374" i="2" s="1"/>
  <c r="F1375" i="2"/>
  <c r="H1375" i="2" s="1"/>
  <c r="F1376" i="2"/>
  <c r="H1376" i="2" s="1"/>
  <c r="F1377" i="2"/>
  <c r="H1377" i="2" s="1"/>
  <c r="F1378" i="2"/>
  <c r="H1378" i="2" s="1"/>
  <c r="F1379" i="2"/>
  <c r="H1379" i="2" s="1"/>
  <c r="F1380" i="2"/>
  <c r="H1380" i="2" s="1"/>
  <c r="F1381" i="2"/>
  <c r="H1381" i="2" s="1"/>
  <c r="F1382" i="2"/>
  <c r="H1382" i="2" s="1"/>
  <c r="F1383" i="2"/>
  <c r="H1383" i="2" s="1"/>
  <c r="F1384" i="2"/>
  <c r="H1384" i="2" s="1"/>
  <c r="F1385" i="2"/>
  <c r="H1385" i="2" s="1"/>
  <c r="F1386" i="2"/>
  <c r="H1386" i="2" s="1"/>
  <c r="F1387" i="2"/>
  <c r="H1387" i="2" s="1"/>
  <c r="F1388" i="2"/>
  <c r="H1388" i="2" s="1"/>
  <c r="F1389" i="2"/>
  <c r="H1389" i="2" s="1"/>
  <c r="F1390" i="2"/>
  <c r="H1390" i="2" s="1"/>
  <c r="F1391" i="2"/>
  <c r="H1391" i="2" s="1"/>
  <c r="F1392" i="2"/>
  <c r="H1392" i="2" s="1"/>
  <c r="F1393" i="2"/>
  <c r="H1393" i="2" s="1"/>
  <c r="F1394" i="2"/>
  <c r="H1394" i="2" s="1"/>
  <c r="F1395" i="2"/>
  <c r="H1395" i="2" s="1"/>
  <c r="F1396" i="2"/>
  <c r="H1396" i="2" s="1"/>
  <c r="F1397" i="2"/>
  <c r="H1397" i="2" s="1"/>
  <c r="F1398" i="2"/>
  <c r="H1398" i="2" s="1"/>
  <c r="F1399" i="2"/>
  <c r="H1399" i="2" s="1"/>
  <c r="F1400" i="2"/>
  <c r="H1400" i="2" s="1"/>
  <c r="F1401" i="2"/>
  <c r="H1401" i="2" s="1"/>
  <c r="F1402" i="2"/>
  <c r="H1402" i="2" s="1"/>
  <c r="F1403" i="2"/>
  <c r="H1403" i="2" s="1"/>
  <c r="F1404" i="2"/>
  <c r="H1404" i="2" s="1"/>
  <c r="F1405" i="2"/>
  <c r="H1405" i="2" s="1"/>
  <c r="F1406" i="2"/>
  <c r="H1406" i="2" s="1"/>
  <c r="F1407" i="2"/>
  <c r="H1407" i="2" s="1"/>
  <c r="F1408" i="2"/>
  <c r="H1408" i="2" s="1"/>
  <c r="F1409" i="2"/>
  <c r="H1409" i="2" s="1"/>
  <c r="F1410" i="2"/>
  <c r="H1410" i="2" s="1"/>
  <c r="F1411" i="2"/>
  <c r="H1411" i="2" s="1"/>
  <c r="F1412" i="2"/>
  <c r="H1412" i="2" s="1"/>
  <c r="F1413" i="2"/>
  <c r="H1413" i="2" s="1"/>
  <c r="F1414" i="2"/>
  <c r="H1414" i="2" s="1"/>
  <c r="F1415" i="2"/>
  <c r="H1415" i="2" s="1"/>
  <c r="F1416" i="2"/>
  <c r="H1416" i="2" s="1"/>
  <c r="F1417" i="2"/>
  <c r="H1417" i="2" s="1"/>
  <c r="F1418" i="2"/>
  <c r="H1418" i="2" s="1"/>
  <c r="F1419" i="2"/>
  <c r="H1419" i="2" s="1"/>
  <c r="F1420" i="2"/>
  <c r="H1420" i="2" s="1"/>
  <c r="F1421" i="2"/>
  <c r="H1421" i="2" s="1"/>
  <c r="F1422" i="2"/>
  <c r="H1422" i="2" s="1"/>
  <c r="F1423" i="2"/>
  <c r="H1423" i="2" s="1"/>
  <c r="F1424" i="2"/>
  <c r="H1424" i="2" s="1"/>
  <c r="F1425" i="2"/>
  <c r="H1425" i="2" s="1"/>
  <c r="F1426" i="2"/>
  <c r="H1426" i="2" s="1"/>
  <c r="F1427" i="2"/>
  <c r="H1427" i="2" s="1"/>
  <c r="F1428" i="2"/>
  <c r="H1428" i="2" s="1"/>
  <c r="F1429" i="2"/>
  <c r="H1429" i="2" s="1"/>
  <c r="F1430" i="2"/>
  <c r="H1430" i="2" s="1"/>
  <c r="F1431" i="2"/>
  <c r="H1431" i="2" s="1"/>
  <c r="F1432" i="2"/>
  <c r="H1432" i="2" s="1"/>
  <c r="F1433" i="2"/>
  <c r="H1433" i="2" s="1"/>
  <c r="F1434" i="2"/>
  <c r="H1434" i="2" s="1"/>
  <c r="F1435" i="2"/>
  <c r="H1435" i="2" s="1"/>
  <c r="F1436" i="2"/>
  <c r="H1436" i="2" s="1"/>
  <c r="F1437" i="2"/>
  <c r="H1437" i="2" s="1"/>
  <c r="F1438" i="2"/>
  <c r="H1438" i="2" s="1"/>
  <c r="F1439" i="2"/>
  <c r="H1439" i="2" s="1"/>
  <c r="F1440" i="2"/>
  <c r="H1440" i="2" s="1"/>
  <c r="F1441" i="2"/>
  <c r="H1441" i="2" s="1"/>
  <c r="F1442" i="2"/>
  <c r="H1442" i="2" s="1"/>
  <c r="F1443" i="2"/>
  <c r="H1443" i="2" s="1"/>
  <c r="F1444" i="2"/>
  <c r="H1444" i="2" s="1"/>
  <c r="F1445" i="2"/>
  <c r="H1445" i="2" s="1"/>
  <c r="F1446" i="2"/>
  <c r="H1446" i="2" s="1"/>
  <c r="F1447" i="2"/>
  <c r="H1447" i="2" s="1"/>
  <c r="F1448" i="2"/>
  <c r="H1448" i="2" s="1"/>
  <c r="F1449" i="2"/>
  <c r="H1449" i="2" s="1"/>
  <c r="F1450" i="2"/>
  <c r="H1450" i="2" s="1"/>
  <c r="F1451" i="2"/>
  <c r="H1451" i="2" s="1"/>
  <c r="F1452" i="2"/>
  <c r="H1452" i="2" s="1"/>
  <c r="F1453" i="2"/>
  <c r="H1453" i="2" s="1"/>
  <c r="F1454" i="2"/>
  <c r="H1454" i="2" s="1"/>
  <c r="F1455" i="2"/>
  <c r="H1455" i="2" s="1"/>
  <c r="F1456" i="2"/>
  <c r="H1456" i="2" s="1"/>
  <c r="F1457" i="2"/>
  <c r="H1457" i="2" s="1"/>
  <c r="F1458" i="2"/>
  <c r="H1458" i="2" s="1"/>
  <c r="F1459" i="2"/>
  <c r="H1459" i="2" s="1"/>
  <c r="F1460" i="2"/>
  <c r="H1460" i="2" s="1"/>
  <c r="F1461" i="2"/>
  <c r="H1461" i="2" s="1"/>
  <c r="F1462" i="2"/>
  <c r="H1462" i="2" s="1"/>
  <c r="F1463" i="2"/>
  <c r="H1463" i="2" s="1"/>
  <c r="F1464" i="2"/>
  <c r="H1464" i="2" s="1"/>
  <c r="F1465" i="2"/>
  <c r="H1465" i="2" s="1"/>
  <c r="F1466" i="2"/>
  <c r="H1466" i="2" s="1"/>
  <c r="F1467" i="2"/>
  <c r="H1467" i="2" s="1"/>
  <c r="F1468" i="2"/>
  <c r="H1468" i="2" s="1"/>
  <c r="F1469" i="2"/>
  <c r="H1469" i="2" s="1"/>
  <c r="F1470" i="2"/>
  <c r="H1470" i="2" s="1"/>
  <c r="F1471" i="2"/>
  <c r="H1471" i="2" s="1"/>
  <c r="F1472" i="2"/>
  <c r="H1472" i="2" s="1"/>
  <c r="F1473" i="2"/>
  <c r="H1473" i="2" s="1"/>
  <c r="F1474" i="2"/>
  <c r="H1474" i="2" s="1"/>
  <c r="F1475" i="2"/>
  <c r="H1475" i="2" s="1"/>
  <c r="F1476" i="2"/>
  <c r="H1476" i="2" s="1"/>
  <c r="F1477" i="2"/>
  <c r="H1477" i="2" s="1"/>
  <c r="F1478" i="2"/>
  <c r="H1478" i="2" s="1"/>
  <c r="F1479" i="2"/>
  <c r="H1479" i="2" s="1"/>
  <c r="F1480" i="2"/>
  <c r="H1480" i="2" s="1"/>
  <c r="F1481" i="2"/>
  <c r="H1481" i="2" s="1"/>
  <c r="F1482" i="2"/>
  <c r="H1482" i="2" s="1"/>
  <c r="F1483" i="2"/>
  <c r="H1483" i="2" s="1"/>
  <c r="F1484" i="2"/>
  <c r="H1484" i="2" s="1"/>
  <c r="F1485" i="2"/>
  <c r="H1485" i="2" s="1"/>
  <c r="F1486" i="2"/>
  <c r="H1486" i="2" s="1"/>
  <c r="F1487" i="2"/>
  <c r="H1487" i="2" s="1"/>
  <c r="F1488" i="2"/>
  <c r="H1488" i="2" s="1"/>
  <c r="F1489" i="2"/>
  <c r="H1489" i="2" s="1"/>
  <c r="F1490" i="2"/>
  <c r="H1490" i="2" s="1"/>
  <c r="F1491" i="2"/>
  <c r="H1491" i="2" s="1"/>
  <c r="F1492" i="2"/>
  <c r="H1492" i="2" s="1"/>
  <c r="F1493" i="2"/>
  <c r="H1493" i="2" s="1"/>
  <c r="F1494" i="2"/>
  <c r="H1494" i="2" s="1"/>
  <c r="F1495" i="2"/>
  <c r="H1495" i="2" s="1"/>
  <c r="J1495" i="2" s="1"/>
  <c r="F1496" i="2"/>
  <c r="H1496" i="2" s="1"/>
  <c r="F1497" i="2"/>
  <c r="H1497" i="2" s="1"/>
  <c r="F1498" i="2"/>
  <c r="H1498" i="2" s="1"/>
  <c r="F1499" i="2"/>
  <c r="H1499" i="2" s="1"/>
  <c r="F1500" i="2"/>
  <c r="H1500" i="2" s="1"/>
  <c r="F1501" i="2"/>
  <c r="H1501" i="2" s="1"/>
  <c r="F1502" i="2"/>
  <c r="H1502" i="2" s="1"/>
  <c r="F1503" i="2"/>
  <c r="H1503" i="2" s="1"/>
  <c r="F1504" i="2"/>
  <c r="H1504" i="2" s="1"/>
  <c r="F1505" i="2"/>
  <c r="H1505" i="2" s="1"/>
  <c r="F1506" i="2"/>
  <c r="H1506" i="2" s="1"/>
  <c r="F1507" i="2"/>
  <c r="H1507" i="2" s="1"/>
  <c r="F1508" i="2"/>
  <c r="H1508" i="2" s="1"/>
  <c r="F1509" i="2"/>
  <c r="H1509" i="2" s="1"/>
  <c r="F1510" i="2"/>
  <c r="H1510" i="2" s="1"/>
  <c r="F1511" i="2"/>
  <c r="H1511" i="2" s="1"/>
  <c r="F1512" i="2"/>
  <c r="H1512" i="2" s="1"/>
  <c r="F1513" i="2"/>
  <c r="H1513" i="2" s="1"/>
  <c r="F1514" i="2"/>
  <c r="H1514" i="2" s="1"/>
  <c r="F1515" i="2"/>
  <c r="H1515" i="2" s="1"/>
  <c r="F1516" i="2"/>
  <c r="H1516" i="2" s="1"/>
  <c r="F1517" i="2"/>
  <c r="H1517" i="2" s="1"/>
  <c r="F1518" i="2"/>
  <c r="H1518" i="2" s="1"/>
  <c r="F1519" i="2"/>
  <c r="H1519" i="2" s="1"/>
  <c r="F1520" i="2"/>
  <c r="H1520" i="2" s="1"/>
  <c r="F1521" i="2"/>
  <c r="H1521" i="2" s="1"/>
  <c r="F1522" i="2"/>
  <c r="H1522" i="2" s="1"/>
  <c r="F1523" i="2"/>
  <c r="H1523" i="2" s="1"/>
  <c r="F1524" i="2"/>
  <c r="H1524" i="2" s="1"/>
  <c r="F1525" i="2"/>
  <c r="H1525" i="2" s="1"/>
  <c r="F1526" i="2"/>
  <c r="H1526" i="2" s="1"/>
  <c r="F1527" i="2"/>
  <c r="H1527" i="2" s="1"/>
  <c r="F1528" i="2"/>
  <c r="H1528" i="2" s="1"/>
  <c r="F1529" i="2"/>
  <c r="H1529" i="2" s="1"/>
  <c r="F1530" i="2"/>
  <c r="H1530" i="2" s="1"/>
  <c r="F1531" i="2"/>
  <c r="H1531" i="2" s="1"/>
  <c r="F1532" i="2"/>
  <c r="H1532" i="2" s="1"/>
  <c r="F1533" i="2"/>
  <c r="H1533" i="2" s="1"/>
  <c r="F1534" i="2"/>
  <c r="H1534" i="2" s="1"/>
  <c r="F1535" i="2"/>
  <c r="H1535" i="2" s="1"/>
  <c r="F1536" i="2"/>
  <c r="H1536" i="2" s="1"/>
  <c r="F1537" i="2"/>
  <c r="H1537" i="2" s="1"/>
  <c r="F1538" i="2"/>
  <c r="H1538" i="2" s="1"/>
  <c r="F1539" i="2"/>
  <c r="H1539" i="2" s="1"/>
  <c r="F1540" i="2"/>
  <c r="H1540" i="2" s="1"/>
  <c r="F1541" i="2"/>
  <c r="H1541" i="2" s="1"/>
  <c r="F1542" i="2"/>
  <c r="H1542" i="2" s="1"/>
  <c r="F1543" i="2"/>
  <c r="H1543" i="2" s="1"/>
  <c r="F1544" i="2"/>
  <c r="H1544" i="2" s="1"/>
  <c r="F1545" i="2"/>
  <c r="H1545" i="2" s="1"/>
  <c r="F1546" i="2"/>
  <c r="H1546" i="2" s="1"/>
  <c r="F1547" i="2"/>
  <c r="H1547" i="2" s="1"/>
  <c r="F1548" i="2"/>
  <c r="H1548" i="2" s="1"/>
  <c r="F1549" i="2"/>
  <c r="H1549" i="2" s="1"/>
  <c r="F1550" i="2"/>
  <c r="H1550" i="2" s="1"/>
  <c r="F1551" i="2"/>
  <c r="H1551" i="2" s="1"/>
  <c r="F1552" i="2"/>
  <c r="H1552" i="2" s="1"/>
  <c r="F1553" i="2"/>
  <c r="H1553" i="2" s="1"/>
  <c r="F1554" i="2"/>
  <c r="H1554" i="2" s="1"/>
  <c r="F1555" i="2"/>
  <c r="H1555" i="2" s="1"/>
  <c r="F1556" i="2"/>
  <c r="H1556" i="2" s="1"/>
  <c r="F1557" i="2"/>
  <c r="H1557" i="2" s="1"/>
  <c r="F1558" i="2"/>
  <c r="H1558" i="2" s="1"/>
  <c r="F1559" i="2"/>
  <c r="H1559" i="2" s="1"/>
  <c r="F1560" i="2"/>
  <c r="H1560" i="2" s="1"/>
  <c r="F1561" i="2"/>
  <c r="H1561" i="2" s="1"/>
  <c r="F1562" i="2"/>
  <c r="H1562" i="2" s="1"/>
  <c r="F1563" i="2"/>
  <c r="H1563" i="2" s="1"/>
  <c r="F1564" i="2"/>
  <c r="H1564" i="2" s="1"/>
  <c r="F1565" i="2"/>
  <c r="H1565" i="2" s="1"/>
  <c r="F1566" i="2"/>
  <c r="H1566" i="2" s="1"/>
  <c r="F1567" i="2"/>
  <c r="H1567" i="2" s="1"/>
  <c r="F1568" i="2"/>
  <c r="H1568" i="2" s="1"/>
  <c r="F1569" i="2"/>
  <c r="H1569" i="2" s="1"/>
  <c r="F1570" i="2"/>
  <c r="H1570" i="2" s="1"/>
  <c r="F1571" i="2"/>
  <c r="H1571" i="2" s="1"/>
  <c r="F1572" i="2"/>
  <c r="H1572" i="2" s="1"/>
  <c r="F1573" i="2"/>
  <c r="H1573" i="2" s="1"/>
  <c r="F1574" i="2"/>
  <c r="H1574" i="2" s="1"/>
  <c r="F1575" i="2"/>
  <c r="H1575" i="2" s="1"/>
  <c r="F1576" i="2"/>
  <c r="H1576" i="2" s="1"/>
  <c r="F1577" i="2"/>
  <c r="H1577" i="2" s="1"/>
  <c r="F1578" i="2"/>
  <c r="H1578" i="2" s="1"/>
  <c r="F1579" i="2"/>
  <c r="H1579" i="2" s="1"/>
  <c r="F1580" i="2"/>
  <c r="H1580" i="2" s="1"/>
  <c r="F1581" i="2"/>
  <c r="H1581" i="2" s="1"/>
  <c r="F1582" i="2"/>
  <c r="H1582" i="2" s="1"/>
  <c r="F1583" i="2"/>
  <c r="H1583" i="2" s="1"/>
  <c r="F1584" i="2"/>
  <c r="H1584" i="2" s="1"/>
  <c r="F1585" i="2"/>
  <c r="H1585" i="2" s="1"/>
  <c r="F1586" i="2"/>
  <c r="H1586" i="2" s="1"/>
  <c r="F1587" i="2"/>
  <c r="H1587" i="2" s="1"/>
  <c r="F1588" i="2"/>
  <c r="H1588" i="2" s="1"/>
  <c r="F1589" i="2"/>
  <c r="H1589" i="2" s="1"/>
  <c r="F1590" i="2"/>
  <c r="H1590" i="2" s="1"/>
  <c r="F1591" i="2"/>
  <c r="H1591" i="2" s="1"/>
  <c r="F1592" i="2"/>
  <c r="H1592" i="2" s="1"/>
  <c r="F1593" i="2"/>
  <c r="H1593" i="2" s="1"/>
  <c r="F1594" i="2"/>
  <c r="H1594" i="2" s="1"/>
  <c r="F1595" i="2"/>
  <c r="H1595" i="2" s="1"/>
  <c r="F1596" i="2"/>
  <c r="H1596" i="2" s="1"/>
  <c r="F1597" i="2"/>
  <c r="H1597" i="2" s="1"/>
  <c r="F1598" i="2"/>
  <c r="H1598" i="2" s="1"/>
  <c r="F1599" i="2"/>
  <c r="H1599" i="2" s="1"/>
  <c r="F1600" i="2"/>
  <c r="H1600" i="2" s="1"/>
  <c r="F1601" i="2"/>
  <c r="H1601" i="2" s="1"/>
  <c r="F1602" i="2"/>
  <c r="H1602" i="2" s="1"/>
  <c r="F1603" i="2"/>
  <c r="H1603" i="2" s="1"/>
  <c r="F1604" i="2"/>
  <c r="H1604" i="2" s="1"/>
  <c r="F1605" i="2"/>
  <c r="H1605" i="2" s="1"/>
  <c r="F1606" i="2"/>
  <c r="H1606" i="2" s="1"/>
  <c r="F1607" i="2"/>
  <c r="H1607" i="2" s="1"/>
  <c r="F1608" i="2"/>
  <c r="H1608" i="2" s="1"/>
  <c r="F1609" i="2"/>
  <c r="H1609" i="2" s="1"/>
  <c r="F1610" i="2"/>
  <c r="H1610" i="2" s="1"/>
  <c r="F1611" i="2"/>
  <c r="H1611" i="2" s="1"/>
  <c r="F1612" i="2"/>
  <c r="H1612" i="2" s="1"/>
  <c r="F1613" i="2"/>
  <c r="H1613" i="2" s="1"/>
  <c r="F1614" i="2"/>
  <c r="H1614" i="2" s="1"/>
  <c r="F1615" i="2"/>
  <c r="H1615" i="2" s="1"/>
  <c r="F1616" i="2"/>
  <c r="H1616" i="2" s="1"/>
  <c r="F1617" i="2"/>
  <c r="H1617" i="2" s="1"/>
  <c r="F1618" i="2"/>
  <c r="H1618" i="2" s="1"/>
  <c r="F1619" i="2"/>
  <c r="H1619" i="2" s="1"/>
  <c r="F1620" i="2"/>
  <c r="H1620" i="2" s="1"/>
  <c r="F1621" i="2"/>
  <c r="H1621" i="2" s="1"/>
  <c r="F1622" i="2"/>
  <c r="H1622" i="2" s="1"/>
  <c r="F1623" i="2"/>
  <c r="H1623" i="2" s="1"/>
  <c r="F1624" i="2"/>
  <c r="H1624" i="2" s="1"/>
  <c r="F1625" i="2"/>
  <c r="H1625" i="2" s="1"/>
  <c r="F1626" i="2"/>
  <c r="H1626" i="2" s="1"/>
  <c r="F1627" i="2"/>
  <c r="H1627" i="2" s="1"/>
  <c r="F1628" i="2"/>
  <c r="H1628" i="2" s="1"/>
  <c r="F1629" i="2"/>
  <c r="H1629" i="2" s="1"/>
  <c r="F1630" i="2"/>
  <c r="H1630" i="2" s="1"/>
  <c r="F1631" i="2"/>
  <c r="H1631" i="2" s="1"/>
  <c r="F1632" i="2"/>
  <c r="H1632" i="2" s="1"/>
  <c r="F1633" i="2"/>
  <c r="H1633" i="2" s="1"/>
  <c r="F1634" i="2"/>
  <c r="H1634" i="2" s="1"/>
  <c r="F1635" i="2"/>
  <c r="H1635" i="2" s="1"/>
  <c r="F1636" i="2"/>
  <c r="H1636" i="2" s="1"/>
  <c r="F1637" i="2"/>
  <c r="H1637" i="2" s="1"/>
  <c r="F1638" i="2"/>
  <c r="H1638" i="2" s="1"/>
  <c r="F1639" i="2"/>
  <c r="H1639" i="2" s="1"/>
  <c r="F1640" i="2"/>
  <c r="H1640" i="2" s="1"/>
  <c r="F1641" i="2"/>
  <c r="H1641" i="2" s="1"/>
  <c r="F1642" i="2"/>
  <c r="H1642" i="2" s="1"/>
  <c r="F1643" i="2"/>
  <c r="H1643" i="2" s="1"/>
  <c r="F1644" i="2"/>
  <c r="H1644" i="2" s="1"/>
  <c r="F1645" i="2"/>
  <c r="H1645" i="2" s="1"/>
  <c r="F1646" i="2"/>
  <c r="H1646" i="2" s="1"/>
  <c r="F1647" i="2"/>
  <c r="H1647" i="2" s="1"/>
  <c r="F1648" i="2"/>
  <c r="H1648" i="2" s="1"/>
  <c r="F1649" i="2"/>
  <c r="H1649" i="2" s="1"/>
  <c r="F1650" i="2"/>
  <c r="H1650" i="2" s="1"/>
  <c r="F1651" i="2"/>
  <c r="H1651" i="2" s="1"/>
  <c r="F1652" i="2"/>
  <c r="H1652" i="2" s="1"/>
  <c r="F1653" i="2"/>
  <c r="H1653" i="2" s="1"/>
  <c r="F1654" i="2"/>
  <c r="H1654" i="2" s="1"/>
  <c r="F1655" i="2"/>
  <c r="H1655" i="2" s="1"/>
  <c r="F1656" i="2"/>
  <c r="H1656" i="2" s="1"/>
  <c r="F1657" i="2"/>
  <c r="H1657" i="2" s="1"/>
  <c r="F1658" i="2"/>
  <c r="H1658" i="2" s="1"/>
  <c r="F1659" i="2"/>
  <c r="H1659" i="2" s="1"/>
  <c r="F1660" i="2"/>
  <c r="H1660" i="2" s="1"/>
  <c r="F1661" i="2"/>
  <c r="H1661" i="2" s="1"/>
  <c r="F1662" i="2"/>
  <c r="H1662" i="2" s="1"/>
  <c r="F1663" i="2"/>
  <c r="H1663" i="2" s="1"/>
  <c r="F1664" i="2"/>
  <c r="H1664" i="2" s="1"/>
  <c r="F1665" i="2"/>
  <c r="H1665" i="2" s="1"/>
  <c r="F1666" i="2"/>
  <c r="H1666" i="2" s="1"/>
  <c r="F1667" i="2"/>
  <c r="H1667" i="2" s="1"/>
  <c r="F1668" i="2"/>
  <c r="H1668" i="2" s="1"/>
  <c r="F1669" i="2"/>
  <c r="H1669" i="2" s="1"/>
  <c r="F1670" i="2"/>
  <c r="H1670" i="2" s="1"/>
  <c r="F1671" i="2"/>
  <c r="H1671" i="2" s="1"/>
  <c r="F1672" i="2"/>
  <c r="H1672" i="2" s="1"/>
  <c r="F1673" i="2"/>
  <c r="H1673" i="2" s="1"/>
  <c r="F1674" i="2"/>
  <c r="H1674" i="2" s="1"/>
  <c r="F1675" i="2"/>
  <c r="H1675" i="2" s="1"/>
  <c r="F1676" i="2"/>
  <c r="H1676" i="2" s="1"/>
  <c r="F1677" i="2"/>
  <c r="H1677" i="2" s="1"/>
  <c r="F1678" i="2"/>
  <c r="H1678" i="2" s="1"/>
  <c r="F1679" i="2"/>
  <c r="H1679" i="2" s="1"/>
  <c r="F1680" i="2"/>
  <c r="H1680" i="2" s="1"/>
  <c r="F1681" i="2"/>
  <c r="H1681" i="2" s="1"/>
  <c r="F1682" i="2"/>
  <c r="H1682" i="2" s="1"/>
  <c r="F1683" i="2"/>
  <c r="H1683" i="2" s="1"/>
  <c r="F1684" i="2"/>
  <c r="H1684" i="2" s="1"/>
  <c r="F1685" i="2"/>
  <c r="H1685" i="2" s="1"/>
  <c r="F1686" i="2"/>
  <c r="H1686" i="2" s="1"/>
  <c r="F1687" i="2"/>
  <c r="H1687" i="2" s="1"/>
  <c r="F1688" i="2"/>
  <c r="H1688" i="2" s="1"/>
  <c r="F1689" i="2"/>
  <c r="H1689" i="2" s="1"/>
  <c r="J1689" i="2" s="1"/>
  <c r="F1690" i="2"/>
  <c r="H1690" i="2" s="1"/>
  <c r="F1691" i="2"/>
  <c r="H1691" i="2" s="1"/>
  <c r="F1692" i="2"/>
  <c r="H1692" i="2" s="1"/>
  <c r="F1693" i="2"/>
  <c r="H1693" i="2" s="1"/>
  <c r="F1694" i="2"/>
  <c r="H1694" i="2" s="1"/>
  <c r="F1695" i="2"/>
  <c r="H1695" i="2" s="1"/>
  <c r="F1696" i="2"/>
  <c r="H1696" i="2" s="1"/>
  <c r="F1697" i="2"/>
  <c r="H1697" i="2" s="1"/>
  <c r="F1698" i="2"/>
  <c r="H1698" i="2" s="1"/>
  <c r="F1699" i="2"/>
  <c r="H1699" i="2" s="1"/>
  <c r="F1700" i="2"/>
  <c r="H1700" i="2" s="1"/>
  <c r="F1701" i="2"/>
  <c r="H1701" i="2" s="1"/>
  <c r="F1702" i="2"/>
  <c r="H1702" i="2" s="1"/>
  <c r="F1703" i="2"/>
  <c r="H1703" i="2" s="1"/>
  <c r="F1704" i="2"/>
  <c r="H1704" i="2" s="1"/>
  <c r="F1705" i="2"/>
  <c r="H1705" i="2" s="1"/>
  <c r="F1706" i="2"/>
  <c r="H1706" i="2" s="1"/>
  <c r="F1707" i="2"/>
  <c r="H1707" i="2" s="1"/>
  <c r="F1708" i="2"/>
  <c r="H1708" i="2" s="1"/>
  <c r="F1709" i="2"/>
  <c r="H1709" i="2" s="1"/>
  <c r="F1710" i="2"/>
  <c r="H1710" i="2" s="1"/>
  <c r="F1711" i="2"/>
  <c r="H1711" i="2" s="1"/>
  <c r="F1712" i="2"/>
  <c r="H1712" i="2" s="1"/>
  <c r="F1713" i="2"/>
  <c r="H1713" i="2" s="1"/>
  <c r="F1714" i="2"/>
  <c r="H1714" i="2" s="1"/>
  <c r="F1715" i="2"/>
  <c r="H1715" i="2" s="1"/>
  <c r="F1716" i="2"/>
  <c r="H1716" i="2" s="1"/>
  <c r="F1717" i="2"/>
  <c r="H1717" i="2" s="1"/>
  <c r="F1718" i="2"/>
  <c r="H1718" i="2" s="1"/>
  <c r="F1719" i="2"/>
  <c r="H1719" i="2" s="1"/>
  <c r="F1720" i="2"/>
  <c r="H1720" i="2" s="1"/>
  <c r="F1721" i="2"/>
  <c r="H1721" i="2" s="1"/>
  <c r="F1722" i="2"/>
  <c r="H1722" i="2" s="1"/>
  <c r="F1723" i="2"/>
  <c r="H1723" i="2" s="1"/>
  <c r="F1724" i="2"/>
  <c r="H1724" i="2" s="1"/>
  <c r="F1725" i="2"/>
  <c r="H1725" i="2" s="1"/>
  <c r="F1726" i="2"/>
  <c r="H1726" i="2" s="1"/>
  <c r="F1727" i="2"/>
  <c r="H1727" i="2" s="1"/>
  <c r="F1728" i="2"/>
  <c r="H1728" i="2" s="1"/>
  <c r="F1729" i="2"/>
  <c r="H1729" i="2" s="1"/>
  <c r="F1730" i="2"/>
  <c r="H1730" i="2" s="1"/>
  <c r="F1731" i="2"/>
  <c r="H1731" i="2" s="1"/>
  <c r="F1732" i="2"/>
  <c r="H1732" i="2" s="1"/>
  <c r="F1733" i="2"/>
  <c r="H1733" i="2" s="1"/>
  <c r="F1734" i="2"/>
  <c r="H1734" i="2" s="1"/>
  <c r="F1735" i="2"/>
  <c r="H1735" i="2" s="1"/>
  <c r="F1736" i="2"/>
  <c r="H1736" i="2" s="1"/>
  <c r="F1737" i="2"/>
  <c r="H1737" i="2" s="1"/>
  <c r="F1738" i="2"/>
  <c r="H1738" i="2" s="1"/>
  <c r="F1739" i="2"/>
  <c r="H1739" i="2" s="1"/>
  <c r="F1740" i="2"/>
  <c r="H1740" i="2" s="1"/>
  <c r="F1741" i="2"/>
  <c r="H1741" i="2" s="1"/>
  <c r="F1742" i="2"/>
  <c r="H1742" i="2" s="1"/>
  <c r="F1743" i="2"/>
  <c r="H1743" i="2" s="1"/>
  <c r="F1744" i="2"/>
  <c r="H1744" i="2" s="1"/>
  <c r="F1745" i="2"/>
  <c r="H1745" i="2" s="1"/>
  <c r="F1746" i="2"/>
  <c r="H1746" i="2" s="1"/>
  <c r="F1747" i="2"/>
  <c r="H1747" i="2" s="1"/>
  <c r="F1748" i="2"/>
  <c r="H1748" i="2" s="1"/>
  <c r="F1749" i="2"/>
  <c r="H1749" i="2" s="1"/>
  <c r="F1750" i="2"/>
  <c r="H1750" i="2" s="1"/>
  <c r="F1751" i="2"/>
  <c r="H1751" i="2" s="1"/>
  <c r="F1752" i="2"/>
  <c r="H1752" i="2" s="1"/>
  <c r="F1753" i="2"/>
  <c r="H1753" i="2" s="1"/>
  <c r="F1754" i="2"/>
  <c r="H1754" i="2" s="1"/>
  <c r="F1755" i="2"/>
  <c r="H1755" i="2" s="1"/>
  <c r="F1756" i="2"/>
  <c r="H1756" i="2" s="1"/>
  <c r="F1757" i="2"/>
  <c r="H1757" i="2" s="1"/>
  <c r="F1758" i="2"/>
  <c r="H1758" i="2" s="1"/>
  <c r="F1759" i="2"/>
  <c r="H1759" i="2" s="1"/>
  <c r="F1760" i="2"/>
  <c r="H1760" i="2" s="1"/>
  <c r="F1761" i="2"/>
  <c r="H1761" i="2" s="1"/>
  <c r="F1762" i="2"/>
  <c r="H1762" i="2" s="1"/>
  <c r="F1763" i="2"/>
  <c r="H1763" i="2" s="1"/>
  <c r="F1764" i="2"/>
  <c r="H1764" i="2" s="1"/>
  <c r="F1765" i="2"/>
  <c r="H1765" i="2" s="1"/>
  <c r="F1766" i="2"/>
  <c r="H1766" i="2" s="1"/>
  <c r="F1767" i="2"/>
  <c r="H1767" i="2" s="1"/>
  <c r="F1768" i="2"/>
  <c r="H1768" i="2" s="1"/>
  <c r="F1769" i="2"/>
  <c r="H1769" i="2" s="1"/>
  <c r="F1770" i="2"/>
  <c r="H1770" i="2" s="1"/>
  <c r="F1771" i="2"/>
  <c r="H1771" i="2" s="1"/>
  <c r="F1772" i="2"/>
  <c r="H1772" i="2" s="1"/>
  <c r="F1773" i="2"/>
  <c r="H1773" i="2" s="1"/>
  <c r="F1774" i="2"/>
  <c r="H1774" i="2" s="1"/>
  <c r="F1775" i="2"/>
  <c r="H1775" i="2" s="1"/>
  <c r="F1776" i="2"/>
  <c r="H1776" i="2" s="1"/>
  <c r="F1777" i="2"/>
  <c r="H1777" i="2" s="1"/>
  <c r="F1778" i="2"/>
  <c r="H1778" i="2" s="1"/>
  <c r="F1779" i="2"/>
  <c r="H1779" i="2" s="1"/>
  <c r="F1780" i="2"/>
  <c r="H1780" i="2" s="1"/>
  <c r="F1781" i="2"/>
  <c r="H1781" i="2" s="1"/>
  <c r="F1782" i="2"/>
  <c r="H1782" i="2" s="1"/>
  <c r="F1783" i="2"/>
  <c r="H1783" i="2" s="1"/>
  <c r="F1784" i="2"/>
  <c r="H1784" i="2" s="1"/>
  <c r="F1785" i="2"/>
  <c r="H1785" i="2" s="1"/>
  <c r="F1786" i="2"/>
  <c r="H1786" i="2" s="1"/>
  <c r="F1787" i="2"/>
  <c r="H1787" i="2" s="1"/>
  <c r="F1788" i="2"/>
  <c r="H1788" i="2" s="1"/>
  <c r="F1789" i="2"/>
  <c r="H1789" i="2" s="1"/>
  <c r="F1790" i="2"/>
  <c r="H1790" i="2" s="1"/>
  <c r="F1791" i="2"/>
  <c r="H1791" i="2" s="1"/>
  <c r="F1792" i="2"/>
  <c r="H1792" i="2" s="1"/>
  <c r="F1793" i="2"/>
  <c r="H1793" i="2" s="1"/>
  <c r="F1794" i="2"/>
  <c r="H1794" i="2" s="1"/>
  <c r="F1795" i="2"/>
  <c r="H1795" i="2" s="1"/>
  <c r="F1796" i="2"/>
  <c r="H1796" i="2" s="1"/>
  <c r="F1797" i="2"/>
  <c r="H1797" i="2" s="1"/>
  <c r="F1798" i="2"/>
  <c r="H1798" i="2" s="1"/>
  <c r="F1799" i="2"/>
  <c r="H1799" i="2" s="1"/>
  <c r="F1800" i="2"/>
  <c r="H1800" i="2" s="1"/>
  <c r="F1801" i="2"/>
  <c r="H1801" i="2" s="1"/>
  <c r="F1802" i="2"/>
  <c r="H1802" i="2" s="1"/>
  <c r="F1803" i="2"/>
  <c r="H1803" i="2" s="1"/>
  <c r="F1804" i="2"/>
  <c r="H1804" i="2" s="1"/>
  <c r="F1805" i="2"/>
  <c r="H1805" i="2" s="1"/>
  <c r="F1806" i="2"/>
  <c r="H1806" i="2" s="1"/>
  <c r="F1807" i="2"/>
  <c r="H1807" i="2" s="1"/>
  <c r="F1808" i="2"/>
  <c r="H1808" i="2" s="1"/>
  <c r="F1809" i="2"/>
  <c r="H1809" i="2" s="1"/>
  <c r="F1810" i="2"/>
  <c r="H1810" i="2" s="1"/>
  <c r="F1811" i="2"/>
  <c r="H1811" i="2" s="1"/>
  <c r="F1812" i="2"/>
  <c r="H1812" i="2" s="1"/>
  <c r="F1813" i="2"/>
  <c r="H1813" i="2" s="1"/>
  <c r="F1814" i="2"/>
  <c r="H1814" i="2" s="1"/>
  <c r="F1815" i="2"/>
  <c r="H1815" i="2" s="1"/>
  <c r="F1816" i="2"/>
  <c r="H1816" i="2" s="1"/>
  <c r="F1817" i="2"/>
  <c r="H1817" i="2" s="1"/>
  <c r="F1818" i="2"/>
  <c r="H1818" i="2" s="1"/>
  <c r="F1819" i="2"/>
  <c r="H1819" i="2" s="1"/>
  <c r="F1820" i="2"/>
  <c r="H1820" i="2" s="1"/>
  <c r="F1821" i="2"/>
  <c r="H1821" i="2" s="1"/>
  <c r="F1822" i="2"/>
  <c r="H1822" i="2" s="1"/>
  <c r="F1823" i="2"/>
  <c r="H1823" i="2" s="1"/>
  <c r="F1824" i="2"/>
  <c r="H1824" i="2" s="1"/>
  <c r="F1825" i="2"/>
  <c r="H1825" i="2" s="1"/>
  <c r="F1826" i="2"/>
  <c r="H1826" i="2" s="1"/>
  <c r="F1827" i="2"/>
  <c r="H1827" i="2" s="1"/>
  <c r="F1828" i="2"/>
  <c r="H1828" i="2" s="1"/>
  <c r="F1829" i="2"/>
  <c r="H1829" i="2" s="1"/>
  <c r="F1830" i="2"/>
  <c r="H1830" i="2" s="1"/>
  <c r="F1831" i="2"/>
  <c r="H1831" i="2" s="1"/>
  <c r="F1832" i="2"/>
  <c r="H1832" i="2" s="1"/>
  <c r="F1833" i="2"/>
  <c r="H1833" i="2" s="1"/>
  <c r="F1834" i="2"/>
  <c r="H1834" i="2" s="1"/>
  <c r="F1835" i="2"/>
  <c r="H1835" i="2" s="1"/>
  <c r="F1836" i="2"/>
  <c r="H1836" i="2" s="1"/>
  <c r="F1837" i="2"/>
  <c r="H1837" i="2" s="1"/>
  <c r="F1838" i="2"/>
  <c r="H1838" i="2" s="1"/>
  <c r="F1839" i="2"/>
  <c r="H1839" i="2" s="1"/>
  <c r="F1840" i="2"/>
  <c r="H1840" i="2" s="1"/>
  <c r="F1841" i="2"/>
  <c r="H1841" i="2" s="1"/>
  <c r="F1842" i="2"/>
  <c r="H1842" i="2" s="1"/>
  <c r="F1843" i="2"/>
  <c r="H1843" i="2" s="1"/>
  <c r="F1844" i="2"/>
  <c r="H1844" i="2" s="1"/>
  <c r="F1845" i="2"/>
  <c r="H1845" i="2" s="1"/>
  <c r="F1846" i="2"/>
  <c r="H1846" i="2" s="1"/>
  <c r="F1847" i="2"/>
  <c r="H1847" i="2" s="1"/>
  <c r="F1848" i="2"/>
  <c r="H1848" i="2" s="1"/>
  <c r="F1849" i="2"/>
  <c r="H1849" i="2" s="1"/>
  <c r="F1850" i="2"/>
  <c r="H1850" i="2" s="1"/>
  <c r="F1851" i="2"/>
  <c r="H1851" i="2" s="1"/>
  <c r="F1852" i="2"/>
  <c r="H1852" i="2" s="1"/>
  <c r="F1853" i="2"/>
  <c r="H1853" i="2" s="1"/>
  <c r="F1854" i="2"/>
  <c r="H1854" i="2" s="1"/>
  <c r="F1855" i="2"/>
  <c r="H1855" i="2" s="1"/>
  <c r="F1856" i="2"/>
  <c r="H1856" i="2" s="1"/>
  <c r="F1857" i="2"/>
  <c r="H1857" i="2" s="1"/>
  <c r="F1858" i="2"/>
  <c r="H1858" i="2" s="1"/>
  <c r="F1859" i="2"/>
  <c r="H1859" i="2" s="1"/>
  <c r="F1860" i="2"/>
  <c r="H1860" i="2" s="1"/>
  <c r="F1861" i="2"/>
  <c r="H1861" i="2" s="1"/>
  <c r="F1862" i="2"/>
  <c r="H1862" i="2" s="1"/>
  <c r="F1863" i="2"/>
  <c r="H1863" i="2" s="1"/>
  <c r="F1864" i="2"/>
  <c r="H1864" i="2" s="1"/>
  <c r="F1865" i="2"/>
  <c r="H1865" i="2" s="1"/>
  <c r="F1866" i="2"/>
  <c r="H1866" i="2" s="1"/>
  <c r="F1867" i="2"/>
  <c r="H1867" i="2" s="1"/>
  <c r="F1868" i="2"/>
  <c r="H1868" i="2" s="1"/>
  <c r="F1869" i="2"/>
  <c r="H1869" i="2" s="1"/>
  <c r="F1870" i="2"/>
  <c r="H1870" i="2" s="1"/>
  <c r="F1871" i="2"/>
  <c r="H1871" i="2" s="1"/>
  <c r="F1872" i="2"/>
  <c r="H1872" i="2" s="1"/>
  <c r="F1873" i="2"/>
  <c r="H1873" i="2" s="1"/>
  <c r="F1874" i="2"/>
  <c r="H1874" i="2" s="1"/>
  <c r="F1875" i="2"/>
  <c r="H1875" i="2" s="1"/>
  <c r="F1876" i="2"/>
  <c r="H1876" i="2" s="1"/>
  <c r="F1877" i="2"/>
  <c r="H1877" i="2" s="1"/>
  <c r="F1878" i="2"/>
  <c r="H1878" i="2" s="1"/>
  <c r="F1879" i="2"/>
  <c r="H1879" i="2" s="1"/>
  <c r="F1880" i="2"/>
  <c r="H1880" i="2" s="1"/>
  <c r="F1881" i="2"/>
  <c r="H1881" i="2" s="1"/>
  <c r="F1882" i="2"/>
  <c r="H1882" i="2" s="1"/>
  <c r="F1883" i="2"/>
  <c r="H1883" i="2" s="1"/>
  <c r="F1884" i="2"/>
  <c r="H1884" i="2" s="1"/>
  <c r="F1885" i="2"/>
  <c r="H1885" i="2" s="1"/>
  <c r="F1886" i="2"/>
  <c r="H1886" i="2" s="1"/>
  <c r="F1887" i="2"/>
  <c r="H1887" i="2" s="1"/>
  <c r="F1888" i="2"/>
  <c r="H1888" i="2" s="1"/>
  <c r="F1889" i="2"/>
  <c r="H1889" i="2" s="1"/>
  <c r="F1890" i="2"/>
  <c r="H1890" i="2" s="1"/>
  <c r="F1891" i="2"/>
  <c r="H1891" i="2" s="1"/>
  <c r="F1892" i="2"/>
  <c r="H1892" i="2" s="1"/>
  <c r="F1893" i="2"/>
  <c r="H1893" i="2" s="1"/>
  <c r="F1894" i="2"/>
  <c r="H1894" i="2" s="1"/>
  <c r="F1895" i="2"/>
  <c r="H1895" i="2" s="1"/>
  <c r="F1896" i="2"/>
  <c r="H1896" i="2" s="1"/>
  <c r="F1897" i="2"/>
  <c r="H1897" i="2" s="1"/>
  <c r="F1898" i="2"/>
  <c r="H1898" i="2" s="1"/>
  <c r="F1899" i="2"/>
  <c r="H1899" i="2" s="1"/>
  <c r="F1900" i="2"/>
  <c r="H1900" i="2" s="1"/>
  <c r="F1901" i="2"/>
  <c r="H1901" i="2" s="1"/>
  <c r="F1902" i="2"/>
  <c r="H1902" i="2" s="1"/>
  <c r="F1903" i="2"/>
  <c r="H1903" i="2" s="1"/>
  <c r="F1904" i="2"/>
  <c r="H1904" i="2" s="1"/>
  <c r="F1905" i="2"/>
  <c r="H1905" i="2" s="1"/>
  <c r="F1906" i="2"/>
  <c r="H1906" i="2" s="1"/>
  <c r="F1907" i="2"/>
  <c r="H1907" i="2" s="1"/>
  <c r="F1908" i="2"/>
  <c r="H1908" i="2" s="1"/>
  <c r="F1909" i="2"/>
  <c r="H1909" i="2" s="1"/>
  <c r="F1910" i="2"/>
  <c r="H1910" i="2" s="1"/>
  <c r="J1910" i="2" s="1"/>
  <c r="F1911" i="2"/>
  <c r="H1911" i="2" s="1"/>
  <c r="F1912" i="2"/>
  <c r="H1912" i="2" s="1"/>
  <c r="F1913" i="2"/>
  <c r="H1913" i="2" s="1"/>
  <c r="F1914" i="2"/>
  <c r="H1914" i="2" s="1"/>
  <c r="F1915" i="2"/>
  <c r="H1915" i="2" s="1"/>
  <c r="F1916" i="2"/>
  <c r="H1916" i="2" s="1"/>
  <c r="F1917" i="2"/>
  <c r="H1917" i="2" s="1"/>
  <c r="F1918" i="2"/>
  <c r="H1918" i="2" s="1"/>
  <c r="F1919" i="2"/>
  <c r="H1919" i="2" s="1"/>
  <c r="F1920" i="2"/>
  <c r="H1920" i="2" s="1"/>
  <c r="F1921" i="2"/>
  <c r="H1921" i="2" s="1"/>
  <c r="F1922" i="2"/>
  <c r="H1922" i="2" s="1"/>
  <c r="F1923" i="2"/>
  <c r="H1923" i="2" s="1"/>
  <c r="F1924" i="2"/>
  <c r="H1924" i="2" s="1"/>
  <c r="F1925" i="2"/>
  <c r="H1925" i="2" s="1"/>
  <c r="F1926" i="2"/>
  <c r="H1926" i="2" s="1"/>
  <c r="F1927" i="2"/>
  <c r="H1927" i="2" s="1"/>
  <c r="F1928" i="2"/>
  <c r="H1928" i="2" s="1"/>
  <c r="F1929" i="2"/>
  <c r="H1929" i="2" s="1"/>
  <c r="F1930" i="2"/>
  <c r="H1930" i="2" s="1"/>
  <c r="F1931" i="2"/>
  <c r="H1931" i="2" s="1"/>
  <c r="F1932" i="2"/>
  <c r="H1932" i="2" s="1"/>
  <c r="F1933" i="2"/>
  <c r="H1933" i="2" s="1"/>
  <c r="F1934" i="2"/>
  <c r="H1934" i="2" s="1"/>
  <c r="F1935" i="2"/>
  <c r="H1935" i="2" s="1"/>
  <c r="F1936" i="2"/>
  <c r="H1936" i="2" s="1"/>
  <c r="F1937" i="2"/>
  <c r="H1937" i="2" s="1"/>
  <c r="F1938" i="2"/>
  <c r="H1938" i="2" s="1"/>
  <c r="F1939" i="2"/>
  <c r="H1939" i="2" s="1"/>
  <c r="F1940" i="2"/>
  <c r="H1940" i="2" s="1"/>
  <c r="F1941" i="2"/>
  <c r="H1941" i="2" s="1"/>
  <c r="F1942" i="2"/>
  <c r="H1942" i="2" s="1"/>
  <c r="F1943" i="2"/>
  <c r="H1943" i="2" s="1"/>
  <c r="F1944" i="2"/>
  <c r="H1944" i="2" s="1"/>
  <c r="F1945" i="2"/>
  <c r="H1945" i="2" s="1"/>
  <c r="F1946" i="2"/>
  <c r="H1946" i="2" s="1"/>
  <c r="F1947" i="2"/>
  <c r="H1947" i="2" s="1"/>
  <c r="F1948" i="2"/>
  <c r="H1948" i="2" s="1"/>
  <c r="F1949" i="2"/>
  <c r="H1949" i="2" s="1"/>
  <c r="F1950" i="2"/>
  <c r="H1950" i="2" s="1"/>
  <c r="F1951" i="2"/>
  <c r="H1951" i="2" s="1"/>
  <c r="F1952" i="2"/>
  <c r="H1952" i="2" s="1"/>
  <c r="F1953" i="2"/>
  <c r="H1953" i="2" s="1"/>
  <c r="F1954" i="2"/>
  <c r="H1954" i="2" s="1"/>
  <c r="F1955" i="2"/>
  <c r="H1955" i="2" s="1"/>
  <c r="F1956" i="2"/>
  <c r="H1956" i="2" s="1"/>
  <c r="F1957" i="2"/>
  <c r="H1957" i="2" s="1"/>
  <c r="F1958" i="2"/>
  <c r="H1958" i="2" s="1"/>
  <c r="F1959" i="2"/>
  <c r="H1959" i="2" s="1"/>
  <c r="F1960" i="2"/>
  <c r="H1960" i="2" s="1"/>
  <c r="F1961" i="2"/>
  <c r="H1961" i="2" s="1"/>
  <c r="F1962" i="2"/>
  <c r="H1962" i="2" s="1"/>
  <c r="F1963" i="2"/>
  <c r="H1963" i="2" s="1"/>
  <c r="F1964" i="2"/>
  <c r="H1964" i="2" s="1"/>
  <c r="F1965" i="2"/>
  <c r="H1965" i="2" s="1"/>
  <c r="F1966" i="2"/>
  <c r="H1966" i="2" s="1"/>
  <c r="F1967" i="2"/>
  <c r="H1967" i="2" s="1"/>
  <c r="F1968" i="2"/>
  <c r="H1968" i="2" s="1"/>
  <c r="F1969" i="2"/>
  <c r="H1969" i="2" s="1"/>
  <c r="F1970" i="2"/>
  <c r="H1970" i="2" s="1"/>
  <c r="F1971" i="2"/>
  <c r="H1971" i="2" s="1"/>
  <c r="F1972" i="2"/>
  <c r="H1972" i="2" s="1"/>
  <c r="F1973" i="2"/>
  <c r="H1973" i="2" s="1"/>
  <c r="F1974" i="2"/>
  <c r="H1974" i="2" s="1"/>
  <c r="F1975" i="2"/>
  <c r="H1975" i="2" s="1"/>
  <c r="F1976" i="2"/>
  <c r="H1976" i="2" s="1"/>
  <c r="F1977" i="2"/>
  <c r="H1977" i="2" s="1"/>
  <c r="F1978" i="2"/>
  <c r="H1978" i="2" s="1"/>
  <c r="F1979" i="2"/>
  <c r="H1979" i="2" s="1"/>
  <c r="F1980" i="2"/>
  <c r="H1980" i="2" s="1"/>
  <c r="F1981" i="2"/>
  <c r="H1981" i="2" s="1"/>
  <c r="F1982" i="2"/>
  <c r="H1982" i="2" s="1"/>
  <c r="F1983" i="2"/>
  <c r="H1983" i="2" s="1"/>
  <c r="F1984" i="2"/>
  <c r="H1984" i="2" s="1"/>
  <c r="F1985" i="2"/>
  <c r="H1985" i="2" s="1"/>
  <c r="F1986" i="2"/>
  <c r="H1986" i="2" s="1"/>
  <c r="F1987" i="2"/>
  <c r="H1987" i="2" s="1"/>
  <c r="F1988" i="2"/>
  <c r="H1988" i="2" s="1"/>
  <c r="F1989" i="2"/>
  <c r="H1989" i="2" s="1"/>
  <c r="F1990" i="2"/>
  <c r="H1990" i="2" s="1"/>
  <c r="F1991" i="2"/>
  <c r="H1991" i="2" s="1"/>
  <c r="F1992" i="2"/>
  <c r="H1992" i="2" s="1"/>
  <c r="F1993" i="2"/>
  <c r="H1993" i="2" s="1"/>
  <c r="F1994" i="2"/>
  <c r="H1994" i="2" s="1"/>
  <c r="F1995" i="2"/>
  <c r="H1995" i="2" s="1"/>
  <c r="F1996" i="2"/>
  <c r="H1996" i="2" s="1"/>
  <c r="F1997" i="2"/>
  <c r="H1997" i="2" s="1"/>
  <c r="F1998" i="2"/>
  <c r="H1998" i="2" s="1"/>
  <c r="F1999" i="2"/>
  <c r="H1999" i="2" s="1"/>
  <c r="F2000" i="2"/>
  <c r="H2000" i="2" s="1"/>
  <c r="F2001" i="2"/>
  <c r="H2001" i="2" s="1"/>
  <c r="F2002" i="2"/>
  <c r="H2002" i="2" s="1"/>
  <c r="F2003" i="2"/>
  <c r="H2003" i="2" s="1"/>
  <c r="F2004" i="2"/>
  <c r="H2004" i="2" s="1"/>
  <c r="F2005" i="2"/>
  <c r="H2005" i="2" s="1"/>
  <c r="F2006" i="2"/>
  <c r="H2006" i="2" s="1"/>
  <c r="F2007" i="2"/>
  <c r="H2007" i="2" s="1"/>
  <c r="F2008" i="2"/>
  <c r="H2008" i="2" s="1"/>
  <c r="F2009" i="2"/>
  <c r="H2009" i="2" s="1"/>
  <c r="F2010" i="2"/>
  <c r="H2010" i="2" s="1"/>
  <c r="F2011" i="2"/>
  <c r="H2011" i="2" s="1"/>
  <c r="F2012" i="2"/>
  <c r="H2012" i="2" s="1"/>
  <c r="F2013" i="2"/>
  <c r="H2013" i="2" s="1"/>
  <c r="F2014" i="2"/>
  <c r="H2014" i="2" s="1"/>
  <c r="F2015" i="2"/>
  <c r="H2015" i="2" s="1"/>
  <c r="F2016" i="2"/>
  <c r="H2016" i="2" s="1"/>
  <c r="F2017" i="2"/>
  <c r="H2017" i="2" s="1"/>
  <c r="F2018" i="2"/>
  <c r="H2018" i="2" s="1"/>
  <c r="F2019" i="2"/>
  <c r="H2019" i="2" s="1"/>
  <c r="F2020" i="2"/>
  <c r="H2020" i="2" s="1"/>
  <c r="F2021" i="2"/>
  <c r="H2021" i="2" s="1"/>
  <c r="F2022" i="2"/>
  <c r="H2022" i="2" s="1"/>
  <c r="F2023" i="2"/>
  <c r="H2023" i="2" s="1"/>
  <c r="F2024" i="2"/>
  <c r="H2024" i="2" s="1"/>
  <c r="F2025" i="2"/>
  <c r="H2025" i="2" s="1"/>
  <c r="F2026" i="2"/>
  <c r="H2026" i="2" s="1"/>
  <c r="F2027" i="2"/>
  <c r="H2027" i="2" s="1"/>
  <c r="F2028" i="2"/>
  <c r="H2028" i="2" s="1"/>
  <c r="F2029" i="2"/>
  <c r="H2029" i="2" s="1"/>
  <c r="F2030" i="2"/>
  <c r="H2030" i="2" s="1"/>
  <c r="F2031" i="2"/>
  <c r="H2031" i="2" s="1"/>
  <c r="F2032" i="2"/>
  <c r="H2032" i="2" s="1"/>
  <c r="F2033" i="2"/>
  <c r="H2033" i="2" s="1"/>
  <c r="F2034" i="2"/>
  <c r="H2034" i="2" s="1"/>
  <c r="F2035" i="2"/>
  <c r="H2035" i="2" s="1"/>
  <c r="F2036" i="2"/>
  <c r="H2036" i="2" s="1"/>
  <c r="F2037" i="2"/>
  <c r="H2037" i="2" s="1"/>
  <c r="F2038" i="2"/>
  <c r="H2038" i="2" s="1"/>
  <c r="F2039" i="2"/>
  <c r="H2039" i="2" s="1"/>
  <c r="F2040" i="2"/>
  <c r="H2040" i="2" s="1"/>
  <c r="F2041" i="2"/>
  <c r="H2041" i="2" s="1"/>
  <c r="F2042" i="2"/>
  <c r="H2042" i="2" s="1"/>
  <c r="F2043" i="2"/>
  <c r="H2043" i="2" s="1"/>
  <c r="F2044" i="2"/>
  <c r="H2044" i="2" s="1"/>
  <c r="F2045" i="2"/>
  <c r="H2045" i="2" s="1"/>
  <c r="F2046" i="2"/>
  <c r="H2046" i="2" s="1"/>
  <c r="F2047" i="2"/>
  <c r="H2047" i="2" s="1"/>
  <c r="F2048" i="2"/>
  <c r="H2048" i="2" s="1"/>
  <c r="F2049" i="2"/>
  <c r="H2049" i="2" s="1"/>
  <c r="F2050" i="2"/>
  <c r="H2050" i="2" s="1"/>
  <c r="F2051" i="2"/>
  <c r="H2051" i="2" s="1"/>
  <c r="F2052" i="2"/>
  <c r="H2052" i="2" s="1"/>
  <c r="F2053" i="2"/>
  <c r="H2053" i="2" s="1"/>
  <c r="F2054" i="2"/>
  <c r="H2054" i="2" s="1"/>
  <c r="F2055" i="2"/>
  <c r="H2055" i="2" s="1"/>
  <c r="F2056" i="2"/>
  <c r="H2056" i="2" s="1"/>
  <c r="F2057" i="2"/>
  <c r="H2057" i="2" s="1"/>
  <c r="J2057" i="2" s="1"/>
  <c r="F2058" i="2"/>
  <c r="H2058" i="2" s="1"/>
  <c r="F2059" i="2"/>
  <c r="H2059" i="2" s="1"/>
  <c r="F2060" i="2"/>
  <c r="H2060" i="2" s="1"/>
  <c r="F2061" i="2"/>
  <c r="H2061" i="2" s="1"/>
  <c r="F2062" i="2"/>
  <c r="H2062" i="2" s="1"/>
  <c r="F2063" i="2"/>
  <c r="H2063" i="2" s="1"/>
  <c r="F2064" i="2"/>
  <c r="H2064" i="2" s="1"/>
  <c r="F2065" i="2"/>
  <c r="H2065" i="2" s="1"/>
  <c r="F2066" i="2"/>
  <c r="H2066" i="2" s="1"/>
  <c r="F2067" i="2"/>
  <c r="H2067" i="2" s="1"/>
  <c r="F2068" i="2"/>
  <c r="H2068" i="2" s="1"/>
  <c r="F2069" i="2"/>
  <c r="H2069" i="2" s="1"/>
  <c r="F2070" i="2"/>
  <c r="H2070" i="2" s="1"/>
  <c r="F2071" i="2"/>
  <c r="H2071" i="2" s="1"/>
  <c r="F2072" i="2"/>
  <c r="H2072" i="2" s="1"/>
  <c r="F2073" i="2"/>
  <c r="H2073" i="2" s="1"/>
  <c r="F2074" i="2"/>
  <c r="H2074" i="2" s="1"/>
  <c r="F2075" i="2"/>
  <c r="H2075" i="2" s="1"/>
  <c r="F2076" i="2"/>
  <c r="H2076" i="2" s="1"/>
  <c r="F2077" i="2"/>
  <c r="H2077" i="2" s="1"/>
  <c r="F2078" i="2"/>
  <c r="H2078" i="2" s="1"/>
  <c r="F2079" i="2"/>
  <c r="H2079" i="2" s="1"/>
  <c r="F2080" i="2"/>
  <c r="H2080" i="2" s="1"/>
  <c r="F2081" i="2"/>
  <c r="H2081" i="2" s="1"/>
  <c r="F2082" i="2"/>
  <c r="H2082" i="2" s="1"/>
  <c r="F2083" i="2"/>
  <c r="H2083" i="2" s="1"/>
  <c r="F2084" i="2"/>
  <c r="H2084" i="2" s="1"/>
  <c r="F2085" i="2"/>
  <c r="H2085" i="2" s="1"/>
  <c r="F2086" i="2"/>
  <c r="H2086" i="2" s="1"/>
  <c r="F2087" i="2"/>
  <c r="H2087" i="2" s="1"/>
  <c r="F2088" i="2"/>
  <c r="H2088" i="2" s="1"/>
  <c r="F2089" i="2"/>
  <c r="H2089" i="2" s="1"/>
  <c r="F2090" i="2"/>
  <c r="H2090" i="2" s="1"/>
  <c r="F2091" i="2"/>
  <c r="H2091" i="2" s="1"/>
  <c r="F2092" i="2"/>
  <c r="H2092" i="2" s="1"/>
  <c r="F2093" i="2"/>
  <c r="H2093" i="2" s="1"/>
  <c r="F2094" i="2"/>
  <c r="H2094" i="2" s="1"/>
  <c r="F2095" i="2"/>
  <c r="H2095" i="2" s="1"/>
  <c r="F2096" i="2"/>
  <c r="H2096" i="2" s="1"/>
  <c r="F2097" i="2"/>
  <c r="H2097" i="2" s="1"/>
  <c r="F2098" i="2"/>
  <c r="H2098" i="2" s="1"/>
  <c r="F2099" i="2"/>
  <c r="H2099" i="2" s="1"/>
  <c r="F2100" i="2"/>
  <c r="H2100" i="2" s="1"/>
  <c r="F2101" i="2"/>
  <c r="H2101" i="2" s="1"/>
  <c r="F2102" i="2"/>
  <c r="H2102" i="2" s="1"/>
  <c r="F2103" i="2"/>
  <c r="H2103" i="2" s="1"/>
  <c r="F2104" i="2"/>
  <c r="H2104" i="2" s="1"/>
  <c r="F2105" i="2"/>
  <c r="H2105" i="2" s="1"/>
  <c r="F2106" i="2"/>
  <c r="H2106" i="2" s="1"/>
  <c r="F2107" i="2"/>
  <c r="H2107" i="2" s="1"/>
  <c r="F2108" i="2"/>
  <c r="H2108" i="2" s="1"/>
  <c r="F2109" i="2"/>
  <c r="H2109" i="2" s="1"/>
  <c r="F2110" i="2"/>
  <c r="H2110" i="2" s="1"/>
  <c r="F2111" i="2"/>
  <c r="H2111" i="2" s="1"/>
  <c r="F2112" i="2"/>
  <c r="H2112" i="2" s="1"/>
  <c r="F2113" i="2"/>
  <c r="H2113" i="2" s="1"/>
  <c r="F2114" i="2"/>
  <c r="H2114" i="2" s="1"/>
  <c r="F2115" i="2"/>
  <c r="H2115" i="2" s="1"/>
  <c r="F2116" i="2"/>
  <c r="H2116" i="2" s="1"/>
  <c r="F2117" i="2"/>
  <c r="H2117" i="2" s="1"/>
  <c r="F2118" i="2"/>
  <c r="H2118" i="2" s="1"/>
  <c r="F2119" i="2"/>
  <c r="H2119" i="2" s="1"/>
  <c r="F2120" i="2"/>
  <c r="H2120" i="2" s="1"/>
  <c r="F2121" i="2"/>
  <c r="H2121" i="2" s="1"/>
  <c r="F2122" i="2"/>
  <c r="H2122" i="2" s="1"/>
  <c r="F2123" i="2"/>
  <c r="H2123" i="2" s="1"/>
  <c r="F2124" i="2"/>
  <c r="H2124" i="2" s="1"/>
  <c r="F2125" i="2"/>
  <c r="H2125" i="2" s="1"/>
  <c r="F2126" i="2"/>
  <c r="H2126" i="2" s="1"/>
  <c r="F2127" i="2"/>
  <c r="H2127" i="2" s="1"/>
  <c r="F2128" i="2"/>
  <c r="H2128" i="2" s="1"/>
  <c r="F2129" i="2"/>
  <c r="H2129" i="2" s="1"/>
  <c r="F2130" i="2"/>
  <c r="H2130" i="2" s="1"/>
  <c r="F2131" i="2"/>
  <c r="H2131" i="2" s="1"/>
  <c r="F2132" i="2"/>
  <c r="H2132" i="2" s="1"/>
  <c r="F2133" i="2"/>
  <c r="H2133" i="2" s="1"/>
  <c r="F2134" i="2"/>
  <c r="H2134" i="2" s="1"/>
  <c r="F2135" i="2"/>
  <c r="H2135" i="2" s="1"/>
  <c r="F2136" i="2"/>
  <c r="H2136" i="2" s="1"/>
  <c r="F2137" i="2"/>
  <c r="H2137" i="2" s="1"/>
  <c r="F2138" i="2"/>
  <c r="H2138" i="2" s="1"/>
  <c r="F2139" i="2"/>
  <c r="H2139" i="2" s="1"/>
  <c r="F2140" i="2"/>
  <c r="H2140" i="2" s="1"/>
  <c r="F2141" i="2"/>
  <c r="H2141" i="2" s="1"/>
  <c r="F2142" i="2"/>
  <c r="H2142" i="2" s="1"/>
  <c r="F2143" i="2"/>
  <c r="H2143" i="2" s="1"/>
  <c r="F2144" i="2"/>
  <c r="H2144" i="2" s="1"/>
  <c r="F2145" i="2"/>
  <c r="H2145" i="2" s="1"/>
  <c r="F2146" i="2"/>
  <c r="H2146" i="2" s="1"/>
  <c r="F2147" i="2"/>
  <c r="H2147" i="2" s="1"/>
  <c r="F2148" i="2"/>
  <c r="H2148" i="2" s="1"/>
  <c r="F2149" i="2"/>
  <c r="H2149" i="2" s="1"/>
  <c r="F2150" i="2"/>
  <c r="H2150" i="2" s="1"/>
  <c r="F2151" i="2"/>
  <c r="H2151" i="2" s="1"/>
  <c r="F2152" i="2"/>
  <c r="H2152" i="2" s="1"/>
  <c r="F2153" i="2"/>
  <c r="H2153" i="2" s="1"/>
  <c r="F2154" i="2"/>
  <c r="H2154" i="2" s="1"/>
  <c r="F2155" i="2"/>
  <c r="H2155" i="2" s="1"/>
  <c r="F2156" i="2"/>
  <c r="H2156" i="2" s="1"/>
  <c r="F2157" i="2"/>
  <c r="H2157" i="2" s="1"/>
  <c r="F2158" i="2"/>
  <c r="H2158" i="2" s="1"/>
  <c r="F2159" i="2"/>
  <c r="H2159" i="2" s="1"/>
  <c r="F2160" i="2"/>
  <c r="H2160" i="2" s="1"/>
  <c r="F2161" i="2"/>
  <c r="H2161" i="2" s="1"/>
  <c r="F2162" i="2"/>
  <c r="H2162" i="2" s="1"/>
  <c r="F2163" i="2"/>
  <c r="H2163" i="2" s="1"/>
  <c r="F2164" i="2"/>
  <c r="H2164" i="2" s="1"/>
  <c r="F2165" i="2"/>
  <c r="H2165" i="2" s="1"/>
  <c r="F2166" i="2"/>
  <c r="H2166" i="2" s="1"/>
  <c r="F2167" i="2"/>
  <c r="H2167" i="2" s="1"/>
  <c r="F2168" i="2"/>
  <c r="H2168" i="2" s="1"/>
  <c r="F2169" i="2"/>
  <c r="H2169" i="2" s="1"/>
  <c r="F2170" i="2"/>
  <c r="H2170" i="2" s="1"/>
  <c r="F2171" i="2"/>
  <c r="H2171" i="2" s="1"/>
  <c r="F2172" i="2"/>
  <c r="H2172" i="2" s="1"/>
  <c r="F2173" i="2"/>
  <c r="H2173" i="2" s="1"/>
  <c r="F2174" i="2"/>
  <c r="H2174" i="2" s="1"/>
  <c r="F2175" i="2"/>
  <c r="H2175" i="2" s="1"/>
  <c r="F2176" i="2"/>
  <c r="H2176" i="2" s="1"/>
  <c r="F2177" i="2"/>
  <c r="H2177" i="2" s="1"/>
  <c r="F2178" i="2"/>
  <c r="H2178" i="2" s="1"/>
  <c r="J2178" i="2" s="1"/>
  <c r="F2179" i="2"/>
  <c r="H2179" i="2" s="1"/>
  <c r="F2180" i="2"/>
  <c r="H2180" i="2" s="1"/>
  <c r="F2181" i="2"/>
  <c r="H2181" i="2" s="1"/>
  <c r="F2182" i="2"/>
  <c r="H2182" i="2" s="1"/>
  <c r="F2183" i="2"/>
  <c r="H2183" i="2" s="1"/>
  <c r="F2184" i="2"/>
  <c r="H2184" i="2" s="1"/>
  <c r="F2185" i="2"/>
  <c r="H2185" i="2" s="1"/>
  <c r="F2186" i="2"/>
  <c r="H2186" i="2" s="1"/>
  <c r="F2187" i="2"/>
  <c r="H2187" i="2" s="1"/>
  <c r="F2188" i="2"/>
  <c r="H2188" i="2" s="1"/>
  <c r="F2189" i="2"/>
  <c r="H2189" i="2" s="1"/>
  <c r="F2190" i="2"/>
  <c r="H2190" i="2" s="1"/>
  <c r="F2191" i="2"/>
  <c r="H2191" i="2" s="1"/>
  <c r="F2192" i="2"/>
  <c r="H2192" i="2" s="1"/>
  <c r="F2193" i="2"/>
  <c r="H2193" i="2" s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I379" i="2" l="1"/>
  <c r="J1693" i="2"/>
  <c r="I1693" i="2"/>
  <c r="I1499" i="2"/>
  <c r="J1499" i="2"/>
  <c r="J1467" i="2"/>
  <c r="I1467" i="2"/>
  <c r="J1435" i="2"/>
  <c r="I1435" i="2"/>
  <c r="J1019" i="2"/>
  <c r="I1019" i="2"/>
  <c r="J1609" i="2"/>
  <c r="I1609" i="2"/>
  <c r="J1176" i="2"/>
  <c r="I1176" i="2"/>
  <c r="J760" i="2"/>
  <c r="I760" i="2"/>
  <c r="J264" i="2"/>
  <c r="I264" i="2"/>
  <c r="J2167" i="2"/>
  <c r="I2167" i="2"/>
  <c r="J2135" i="2"/>
  <c r="I2135" i="2"/>
  <c r="J2119" i="2"/>
  <c r="I2119" i="2"/>
  <c r="J2103" i="2"/>
  <c r="I2103" i="2"/>
  <c r="J2087" i="2"/>
  <c r="I2087" i="2"/>
  <c r="J2039" i="2"/>
  <c r="I2039" i="2"/>
  <c r="J2023" i="2"/>
  <c r="I2023" i="2"/>
  <c r="J2007" i="2"/>
  <c r="I2007" i="2"/>
  <c r="J1991" i="2"/>
  <c r="I1991" i="2"/>
  <c r="J1959" i="2"/>
  <c r="I1959" i="2"/>
  <c r="J1943" i="2"/>
  <c r="I1943" i="2"/>
  <c r="J1927" i="2"/>
  <c r="I1927" i="2"/>
  <c r="J1911" i="2"/>
  <c r="I1911" i="2"/>
  <c r="J1895" i="2"/>
  <c r="I1895" i="2"/>
  <c r="J1879" i="2"/>
  <c r="I1879" i="2"/>
  <c r="J1863" i="2"/>
  <c r="I1863" i="2"/>
  <c r="J1847" i="2"/>
  <c r="I1847" i="2"/>
  <c r="J1831" i="2"/>
  <c r="I1831" i="2"/>
  <c r="J1639" i="2"/>
  <c r="I1639" i="2"/>
  <c r="J807" i="2"/>
  <c r="I807" i="2"/>
  <c r="J2183" i="2"/>
  <c r="I2183" i="2"/>
  <c r="J2151" i="2"/>
  <c r="I2151" i="2"/>
  <c r="J1975" i="2"/>
  <c r="I1975" i="2"/>
  <c r="J1782" i="2"/>
  <c r="I1782" i="2"/>
  <c r="J1526" i="2"/>
  <c r="I1526" i="2"/>
  <c r="J918" i="2"/>
  <c r="I918" i="2"/>
  <c r="J1765" i="2"/>
  <c r="I1765" i="2"/>
  <c r="J1717" i="2"/>
  <c r="I1717" i="2"/>
  <c r="J1076" i="2"/>
  <c r="I1076" i="2"/>
  <c r="J1556" i="2"/>
  <c r="I1556" i="2"/>
  <c r="J1123" i="2"/>
  <c r="I1123" i="2"/>
  <c r="J1234" i="2"/>
  <c r="I1234" i="2"/>
  <c r="J1665" i="2"/>
  <c r="I1665" i="2"/>
  <c r="J1582" i="2"/>
  <c r="I1582" i="2"/>
  <c r="J2186" i="2"/>
  <c r="I2186" i="2"/>
  <c r="J1946" i="2"/>
  <c r="I1946" i="2"/>
  <c r="J1658" i="2"/>
  <c r="I1658" i="2"/>
  <c r="J1976" i="2"/>
  <c r="I1976" i="2"/>
  <c r="J1752" i="2"/>
  <c r="I1752" i="2"/>
  <c r="J1480" i="2"/>
  <c r="I1480" i="2"/>
  <c r="J1128" i="2"/>
  <c r="I1128" i="2"/>
  <c r="J8" i="2"/>
  <c r="I8" i="2"/>
  <c r="J1703" i="2"/>
  <c r="I1703" i="2"/>
  <c r="J1575" i="2"/>
  <c r="I1575" i="2"/>
  <c r="J1399" i="2"/>
  <c r="I1399" i="2"/>
  <c r="J1255" i="2"/>
  <c r="I1255" i="2"/>
  <c r="J1095" i="2"/>
  <c r="I1095" i="2"/>
  <c r="J951" i="2"/>
  <c r="I951" i="2"/>
  <c r="J791" i="2"/>
  <c r="I791" i="2"/>
  <c r="J647" i="2"/>
  <c r="I647" i="2"/>
  <c r="J519" i="2"/>
  <c r="I519" i="2"/>
  <c r="J375" i="2"/>
  <c r="I375" i="2"/>
  <c r="J199" i="2"/>
  <c r="I199" i="2"/>
  <c r="J2187" i="2"/>
  <c r="I2187" i="2"/>
  <c r="J2171" i="2"/>
  <c r="I2171" i="2"/>
  <c r="J2155" i="2"/>
  <c r="I2155" i="2"/>
  <c r="J2139" i="2"/>
  <c r="I2139" i="2"/>
  <c r="J2123" i="2"/>
  <c r="I2123" i="2"/>
  <c r="J2107" i="2"/>
  <c r="I2107" i="2"/>
  <c r="J2091" i="2"/>
  <c r="I2091" i="2"/>
  <c r="J2075" i="2"/>
  <c r="I2075" i="2"/>
  <c r="J2059" i="2"/>
  <c r="I2059" i="2"/>
  <c r="I2043" i="2"/>
  <c r="J2043" i="2"/>
  <c r="J2027" i="2"/>
  <c r="I2027" i="2"/>
  <c r="J2011" i="2"/>
  <c r="I2011" i="2"/>
  <c r="J1995" i="2"/>
  <c r="I1995" i="2"/>
  <c r="J1979" i="2"/>
  <c r="I1979" i="2"/>
  <c r="I1963" i="2"/>
  <c r="J1963" i="2"/>
  <c r="J1947" i="2"/>
  <c r="I1947" i="2"/>
  <c r="J1931" i="2"/>
  <c r="I1931" i="2"/>
  <c r="I1915" i="2"/>
  <c r="J1915" i="2"/>
  <c r="J1899" i="2"/>
  <c r="I1899" i="2"/>
  <c r="J1883" i="2"/>
  <c r="I1883" i="2"/>
  <c r="I1867" i="2"/>
  <c r="J1867" i="2"/>
  <c r="J1851" i="2"/>
  <c r="I1851" i="2"/>
  <c r="J1835" i="2"/>
  <c r="I1835" i="2"/>
  <c r="I1819" i="2"/>
  <c r="J1819" i="2"/>
  <c r="J1803" i="2"/>
  <c r="I1803" i="2"/>
  <c r="J1787" i="2"/>
  <c r="I1787" i="2"/>
  <c r="J1771" i="2"/>
  <c r="I1771" i="2"/>
  <c r="I1755" i="2"/>
  <c r="J1755" i="2"/>
  <c r="I1739" i="2"/>
  <c r="J1739" i="2"/>
  <c r="J1723" i="2"/>
  <c r="I1723" i="2"/>
  <c r="J1707" i="2"/>
  <c r="I1707" i="2"/>
  <c r="J1691" i="2"/>
  <c r="I1691" i="2"/>
  <c r="J1675" i="2"/>
  <c r="I1675" i="2"/>
  <c r="J1659" i="2"/>
  <c r="I1659" i="2"/>
  <c r="J1643" i="2"/>
  <c r="I1643" i="2"/>
  <c r="I1627" i="2"/>
  <c r="J1627" i="2"/>
  <c r="J1611" i="2"/>
  <c r="I1611" i="2"/>
  <c r="J1595" i="2"/>
  <c r="I1595" i="2"/>
  <c r="I1579" i="2"/>
  <c r="J1579" i="2"/>
  <c r="J1563" i="2"/>
  <c r="I1563" i="2"/>
  <c r="I1547" i="2"/>
  <c r="J1547" i="2"/>
  <c r="I1531" i="2"/>
  <c r="J1531" i="2"/>
  <c r="J1515" i="2"/>
  <c r="I1515" i="2"/>
  <c r="I1483" i="2"/>
  <c r="J1483" i="2"/>
  <c r="J1451" i="2"/>
  <c r="I1451" i="2"/>
  <c r="J1419" i="2"/>
  <c r="I1419" i="2"/>
  <c r="J1403" i="2"/>
  <c r="I1403" i="2"/>
  <c r="J1387" i="2"/>
  <c r="I1387" i="2"/>
  <c r="J1371" i="2"/>
  <c r="I1371" i="2"/>
  <c r="J1355" i="2"/>
  <c r="I1355" i="2"/>
  <c r="J1339" i="2"/>
  <c r="I1339" i="2"/>
  <c r="J1323" i="2"/>
  <c r="I1323" i="2"/>
  <c r="J1307" i="2"/>
  <c r="I1307" i="2"/>
  <c r="J1291" i="2"/>
  <c r="I1291" i="2"/>
  <c r="J1275" i="2"/>
  <c r="I1275" i="2"/>
  <c r="J1259" i="2"/>
  <c r="I1259" i="2"/>
  <c r="J1243" i="2"/>
  <c r="I1243" i="2"/>
  <c r="J1227" i="2"/>
  <c r="I1227" i="2"/>
  <c r="J1211" i="2"/>
  <c r="I1211" i="2"/>
  <c r="J1195" i="2"/>
  <c r="I1195" i="2"/>
  <c r="J1179" i="2"/>
  <c r="I1179" i="2"/>
  <c r="J1163" i="2"/>
  <c r="I1163" i="2"/>
  <c r="J1147" i="2"/>
  <c r="I1147" i="2"/>
  <c r="J1131" i="2"/>
  <c r="I1131" i="2"/>
  <c r="J1115" i="2"/>
  <c r="I1115" i="2"/>
  <c r="J1099" i="2"/>
  <c r="I1099" i="2"/>
  <c r="J1083" i="2"/>
  <c r="I1083" i="2"/>
  <c r="J1067" i="2"/>
  <c r="I1067" i="2"/>
  <c r="J1051" i="2"/>
  <c r="I1051" i="2"/>
  <c r="J1035" i="2"/>
  <c r="I1035" i="2"/>
  <c r="J1003" i="2"/>
  <c r="I1003" i="2"/>
  <c r="J987" i="2"/>
  <c r="I987" i="2"/>
  <c r="J971" i="2"/>
  <c r="I971" i="2"/>
  <c r="J955" i="2"/>
  <c r="I955" i="2"/>
  <c r="J939" i="2"/>
  <c r="I939" i="2"/>
  <c r="J923" i="2"/>
  <c r="I923" i="2"/>
  <c r="J907" i="2"/>
  <c r="I907" i="2"/>
  <c r="J891" i="2"/>
  <c r="I891" i="2"/>
  <c r="J875" i="2"/>
  <c r="I875" i="2"/>
  <c r="J859" i="2"/>
  <c r="I859" i="2"/>
  <c r="J843" i="2"/>
  <c r="I843" i="2"/>
  <c r="J827" i="2"/>
  <c r="I827" i="2"/>
  <c r="J811" i="2"/>
  <c r="I811" i="2"/>
  <c r="J795" i="2"/>
  <c r="I795" i="2"/>
  <c r="J779" i="2"/>
  <c r="I779" i="2"/>
  <c r="J763" i="2"/>
  <c r="I763" i="2"/>
  <c r="J747" i="2"/>
  <c r="I747" i="2"/>
  <c r="J731" i="2"/>
  <c r="I731" i="2"/>
  <c r="J715" i="2"/>
  <c r="I715" i="2"/>
  <c r="J699" i="2"/>
  <c r="I699" i="2"/>
  <c r="J683" i="2"/>
  <c r="I683" i="2"/>
  <c r="J587" i="2"/>
  <c r="I587" i="2"/>
  <c r="J571" i="2"/>
  <c r="I571" i="2"/>
  <c r="J555" i="2"/>
  <c r="I555" i="2"/>
  <c r="J507" i="2"/>
  <c r="I507" i="2"/>
  <c r="J603" i="2"/>
  <c r="I603" i="2"/>
  <c r="J2090" i="2"/>
  <c r="I2090" i="2"/>
  <c r="J1898" i="2"/>
  <c r="I1898" i="2"/>
  <c r="J1706" i="2"/>
  <c r="I1706" i="2"/>
  <c r="J1546" i="2"/>
  <c r="I1546" i="2"/>
  <c r="J1354" i="2"/>
  <c r="I1354" i="2"/>
  <c r="J1162" i="2"/>
  <c r="I1162" i="2"/>
  <c r="J954" i="2"/>
  <c r="I954" i="2"/>
  <c r="J2041" i="2"/>
  <c r="I2041" i="2"/>
  <c r="J1865" i="2"/>
  <c r="I1865" i="2"/>
  <c r="J1721" i="2"/>
  <c r="I1721" i="2"/>
  <c r="J1465" i="2"/>
  <c r="I1465" i="2"/>
  <c r="J1289" i="2"/>
  <c r="I1289" i="2"/>
  <c r="J1113" i="2"/>
  <c r="I1113" i="2"/>
  <c r="J969" i="2"/>
  <c r="I969" i="2"/>
  <c r="J809" i="2"/>
  <c r="I809" i="2"/>
  <c r="J585" i="2"/>
  <c r="I585" i="2"/>
  <c r="J2088" i="2"/>
  <c r="I2088" i="2"/>
  <c r="J1896" i="2"/>
  <c r="I1896" i="2"/>
  <c r="J1624" i="2"/>
  <c r="I1624" i="2"/>
  <c r="J1448" i="2"/>
  <c r="I1448" i="2"/>
  <c r="J1272" i="2"/>
  <c r="I1272" i="2"/>
  <c r="J984" i="2"/>
  <c r="I984" i="2"/>
  <c r="J840" i="2"/>
  <c r="I840" i="2"/>
  <c r="J680" i="2"/>
  <c r="I680" i="2"/>
  <c r="J520" i="2"/>
  <c r="I520" i="2"/>
  <c r="J376" i="2"/>
  <c r="I376" i="2"/>
  <c r="I248" i="2"/>
  <c r="J248" i="2"/>
  <c r="J216" i="2"/>
  <c r="I216" i="2"/>
  <c r="J200" i="2"/>
  <c r="I200" i="2"/>
  <c r="I184" i="2"/>
  <c r="J184" i="2"/>
  <c r="I168" i="2"/>
  <c r="J168" i="2"/>
  <c r="J152" i="2"/>
  <c r="I152" i="2"/>
  <c r="J88" i="2"/>
  <c r="I88" i="2"/>
  <c r="J1281" i="2"/>
  <c r="I1281" i="2"/>
  <c r="J444" i="2"/>
  <c r="I444" i="2"/>
  <c r="J2122" i="2"/>
  <c r="I2122" i="2"/>
  <c r="J1930" i="2"/>
  <c r="I1930" i="2"/>
  <c r="I1722" i="2"/>
  <c r="J1722" i="2"/>
  <c r="J1530" i="2"/>
  <c r="I1530" i="2"/>
  <c r="J1338" i="2"/>
  <c r="I1338" i="2"/>
  <c r="J1194" i="2"/>
  <c r="I1194" i="2"/>
  <c r="J1066" i="2"/>
  <c r="I1066" i="2"/>
  <c r="J1391" i="2"/>
  <c r="I1391" i="2"/>
  <c r="J1849" i="2"/>
  <c r="I1849" i="2"/>
  <c r="J1673" i="2"/>
  <c r="I1673" i="2"/>
  <c r="J1529" i="2"/>
  <c r="I1529" i="2"/>
  <c r="J1369" i="2"/>
  <c r="I1369" i="2"/>
  <c r="J1193" i="2"/>
  <c r="I1193" i="2"/>
  <c r="I1017" i="2"/>
  <c r="J1017" i="2"/>
  <c r="J825" i="2"/>
  <c r="I825" i="2"/>
  <c r="J505" i="2"/>
  <c r="I505" i="2"/>
  <c r="J2152" i="2"/>
  <c r="I2152" i="2"/>
  <c r="J1944" i="2"/>
  <c r="I1944" i="2"/>
  <c r="J1688" i="2"/>
  <c r="I1688" i="2"/>
  <c r="J1496" i="2"/>
  <c r="I1496" i="2"/>
  <c r="J1288" i="2"/>
  <c r="I1288" i="2"/>
  <c r="J1112" i="2"/>
  <c r="I1112" i="2"/>
  <c r="J952" i="2"/>
  <c r="I952" i="2"/>
  <c r="J824" i="2"/>
  <c r="I824" i="2"/>
  <c r="J728" i="2"/>
  <c r="I728" i="2"/>
  <c r="J584" i="2"/>
  <c r="I584" i="2"/>
  <c r="J488" i="2"/>
  <c r="I488" i="2"/>
  <c r="I328" i="2"/>
  <c r="J328" i="2"/>
  <c r="J120" i="2"/>
  <c r="I120" i="2"/>
  <c r="J1767" i="2"/>
  <c r="I1767" i="2"/>
  <c r="J1463" i="2"/>
  <c r="I1463" i="2"/>
  <c r="J1287" i="2"/>
  <c r="I1287" i="2"/>
  <c r="J1143" i="2"/>
  <c r="I1143" i="2"/>
  <c r="J999" i="2"/>
  <c r="I999" i="2"/>
  <c r="J839" i="2"/>
  <c r="I839" i="2"/>
  <c r="J663" i="2"/>
  <c r="I663" i="2"/>
  <c r="J503" i="2"/>
  <c r="I503" i="2"/>
  <c r="J359" i="2"/>
  <c r="I359" i="2"/>
  <c r="J215" i="2"/>
  <c r="I215" i="2"/>
  <c r="J71" i="2"/>
  <c r="I71" i="2"/>
  <c r="J351" i="2"/>
  <c r="I351" i="2"/>
  <c r="J1305" i="2"/>
  <c r="I1305" i="2"/>
  <c r="J1511" i="2"/>
  <c r="I1511" i="2"/>
  <c r="J1335" i="2"/>
  <c r="I1335" i="2"/>
  <c r="J1159" i="2"/>
  <c r="I1159" i="2"/>
  <c r="J1015" i="2"/>
  <c r="I1015" i="2"/>
  <c r="J1743" i="2"/>
  <c r="I1743" i="2"/>
  <c r="J2170" i="2"/>
  <c r="I2170" i="2"/>
  <c r="J1994" i="2"/>
  <c r="I1994" i="2"/>
  <c r="J1754" i="2"/>
  <c r="I1754" i="2"/>
  <c r="J1594" i="2"/>
  <c r="I1594" i="2"/>
  <c r="J1418" i="2"/>
  <c r="I1418" i="2"/>
  <c r="J1226" i="2"/>
  <c r="I1226" i="2"/>
  <c r="J906" i="2"/>
  <c r="I906" i="2"/>
  <c r="J1993" i="2"/>
  <c r="I1993" i="2"/>
  <c r="J1497" i="2"/>
  <c r="I1497" i="2"/>
  <c r="J1337" i="2"/>
  <c r="I1337" i="2"/>
  <c r="J1161" i="2"/>
  <c r="I1161" i="2"/>
  <c r="J1001" i="2"/>
  <c r="I1001" i="2"/>
  <c r="J857" i="2"/>
  <c r="I857" i="2"/>
  <c r="J665" i="2"/>
  <c r="I665" i="2"/>
  <c r="J2120" i="2"/>
  <c r="I2120" i="2"/>
  <c r="J1816" i="2"/>
  <c r="I1816" i="2"/>
  <c r="I1096" i="2"/>
  <c r="J1096" i="2"/>
  <c r="J2118" i="2"/>
  <c r="I2118" i="2"/>
  <c r="J1990" i="2"/>
  <c r="I1990" i="2"/>
  <c r="J1830" i="2"/>
  <c r="I1830" i="2"/>
  <c r="J1686" i="2"/>
  <c r="I1686" i="2"/>
  <c r="J1542" i="2"/>
  <c r="I1542" i="2"/>
  <c r="J1398" i="2"/>
  <c r="I1398" i="2"/>
  <c r="J1254" i="2"/>
  <c r="I1254" i="2"/>
  <c r="J1110" i="2"/>
  <c r="I1110" i="2"/>
  <c r="I998" i="2"/>
  <c r="J998" i="2"/>
  <c r="I870" i="2"/>
  <c r="J870" i="2"/>
  <c r="J678" i="2"/>
  <c r="I678" i="2"/>
  <c r="J502" i="2"/>
  <c r="I502" i="2"/>
  <c r="J374" i="2"/>
  <c r="I374" i="2"/>
  <c r="J246" i="2"/>
  <c r="I246" i="2"/>
  <c r="J118" i="2"/>
  <c r="I118" i="2"/>
  <c r="I38" i="2"/>
  <c r="J38" i="2"/>
  <c r="J2181" i="2"/>
  <c r="I2181" i="2"/>
  <c r="J2165" i="2"/>
  <c r="I2165" i="2"/>
  <c r="J2149" i="2"/>
  <c r="I2149" i="2"/>
  <c r="J2133" i="2"/>
  <c r="I2133" i="2"/>
  <c r="I2117" i="2"/>
  <c r="J2117" i="2"/>
  <c r="J2101" i="2"/>
  <c r="I2101" i="2"/>
  <c r="J2085" i="2"/>
  <c r="I2085" i="2"/>
  <c r="J2069" i="2"/>
  <c r="I2069" i="2"/>
  <c r="J2053" i="2"/>
  <c r="I2053" i="2"/>
  <c r="J2037" i="2"/>
  <c r="I2037" i="2"/>
  <c r="J2021" i="2"/>
  <c r="I2021" i="2"/>
  <c r="J2005" i="2"/>
  <c r="I2005" i="2"/>
  <c r="J1989" i="2"/>
  <c r="I1989" i="2"/>
  <c r="J1973" i="2"/>
  <c r="I1973" i="2"/>
  <c r="J1957" i="2"/>
  <c r="I1957" i="2"/>
  <c r="J1941" i="2"/>
  <c r="I1941" i="2"/>
  <c r="J1925" i="2"/>
  <c r="I1925" i="2"/>
  <c r="J1909" i="2"/>
  <c r="I1909" i="2"/>
  <c r="J1893" i="2"/>
  <c r="I1893" i="2"/>
  <c r="J1877" i="2"/>
  <c r="I1877" i="2"/>
  <c r="J1861" i="2"/>
  <c r="I1861" i="2"/>
  <c r="J1845" i="2"/>
  <c r="I1845" i="2"/>
  <c r="J1829" i="2"/>
  <c r="I1829" i="2"/>
  <c r="J1813" i="2"/>
  <c r="I1813" i="2"/>
  <c r="J1797" i="2"/>
  <c r="I1797" i="2"/>
  <c r="J1781" i="2"/>
  <c r="I1781" i="2"/>
  <c r="J1749" i="2"/>
  <c r="I1749" i="2"/>
  <c r="J1733" i="2"/>
  <c r="I1733" i="2"/>
  <c r="J1701" i="2"/>
  <c r="I1701" i="2"/>
  <c r="J1685" i="2"/>
  <c r="I1685" i="2"/>
  <c r="J1669" i="2"/>
  <c r="I1669" i="2"/>
  <c r="I1653" i="2"/>
  <c r="J1653" i="2"/>
  <c r="J1637" i="2"/>
  <c r="I1637" i="2"/>
  <c r="J1621" i="2"/>
  <c r="I1621" i="2"/>
  <c r="J1605" i="2"/>
  <c r="I1605" i="2"/>
  <c r="J1589" i="2"/>
  <c r="I1589" i="2"/>
  <c r="J1573" i="2"/>
  <c r="I1573" i="2"/>
  <c r="J1557" i="2"/>
  <c r="I1557" i="2"/>
  <c r="J1541" i="2"/>
  <c r="I1541" i="2"/>
  <c r="J1525" i="2"/>
  <c r="I1525" i="2"/>
  <c r="J1509" i="2"/>
  <c r="I1509" i="2"/>
  <c r="J1493" i="2"/>
  <c r="I1493" i="2"/>
  <c r="J1477" i="2"/>
  <c r="I1477" i="2"/>
  <c r="J1461" i="2"/>
  <c r="I1461" i="2"/>
  <c r="J1445" i="2"/>
  <c r="I1445" i="2"/>
  <c r="J1429" i="2"/>
  <c r="I1429" i="2"/>
  <c r="J1413" i="2"/>
  <c r="I1413" i="2"/>
  <c r="J1397" i="2"/>
  <c r="I1397" i="2"/>
  <c r="J1381" i="2"/>
  <c r="I1381" i="2"/>
  <c r="J1365" i="2"/>
  <c r="I1365" i="2"/>
  <c r="J1349" i="2"/>
  <c r="I1349" i="2"/>
  <c r="J1333" i="2"/>
  <c r="I1333" i="2"/>
  <c r="J1317" i="2"/>
  <c r="I1317" i="2"/>
  <c r="J1301" i="2"/>
  <c r="I1301" i="2"/>
  <c r="J1285" i="2"/>
  <c r="I1285" i="2"/>
  <c r="J1269" i="2"/>
  <c r="I1269" i="2"/>
  <c r="I1253" i="2"/>
  <c r="J1253" i="2"/>
  <c r="J1237" i="2"/>
  <c r="I1237" i="2"/>
  <c r="J1221" i="2"/>
  <c r="I1221" i="2"/>
  <c r="J1205" i="2"/>
  <c r="I1205" i="2"/>
  <c r="J1189" i="2"/>
  <c r="I1189" i="2"/>
  <c r="J1173" i="2"/>
  <c r="I1173" i="2"/>
  <c r="J1157" i="2"/>
  <c r="I1157" i="2"/>
  <c r="J1141" i="2"/>
  <c r="I1141" i="2"/>
  <c r="J1125" i="2"/>
  <c r="I1125" i="2"/>
  <c r="J1109" i="2"/>
  <c r="I1109" i="2"/>
  <c r="J1093" i="2"/>
  <c r="I1093" i="2"/>
  <c r="J1077" i="2"/>
  <c r="I1077" i="2"/>
  <c r="J997" i="2"/>
  <c r="I997" i="2"/>
  <c r="J981" i="2"/>
  <c r="I981" i="2"/>
  <c r="J949" i="2"/>
  <c r="I949" i="2"/>
  <c r="J901" i="2"/>
  <c r="I901" i="2"/>
  <c r="J821" i="2"/>
  <c r="I821" i="2"/>
  <c r="J741" i="2"/>
  <c r="I741" i="2"/>
  <c r="I725" i="2"/>
  <c r="J725" i="2"/>
  <c r="J709" i="2"/>
  <c r="I709" i="2"/>
  <c r="J693" i="2"/>
  <c r="I693" i="2"/>
  <c r="J645" i="2"/>
  <c r="I645" i="2"/>
  <c r="I565" i="2"/>
  <c r="J565" i="2"/>
  <c r="J485" i="2"/>
  <c r="I485" i="2"/>
  <c r="J469" i="2"/>
  <c r="I469" i="2"/>
  <c r="J453" i="2"/>
  <c r="I453" i="2"/>
  <c r="I421" i="2"/>
  <c r="J421" i="2"/>
  <c r="J389" i="2"/>
  <c r="I389" i="2"/>
  <c r="J357" i="2"/>
  <c r="I357" i="2"/>
  <c r="J325" i="2"/>
  <c r="I325" i="2"/>
  <c r="I293" i="2"/>
  <c r="J293" i="2"/>
  <c r="J261" i="2"/>
  <c r="I261" i="2"/>
  <c r="I229" i="2"/>
  <c r="J229" i="2"/>
  <c r="J197" i="2"/>
  <c r="I197" i="2"/>
  <c r="J165" i="2"/>
  <c r="I165" i="2"/>
  <c r="J133" i="2"/>
  <c r="I133" i="2"/>
  <c r="J101" i="2"/>
  <c r="I101" i="2"/>
  <c r="J188" i="2"/>
  <c r="I188" i="2"/>
  <c r="J2042" i="2"/>
  <c r="I2042" i="2"/>
  <c r="J1866" i="2"/>
  <c r="I1866" i="2"/>
  <c r="J1674" i="2"/>
  <c r="I1674" i="2"/>
  <c r="I1482" i="2"/>
  <c r="J1482" i="2"/>
  <c r="J1322" i="2"/>
  <c r="I1322" i="2"/>
  <c r="J1130" i="2"/>
  <c r="I1130" i="2"/>
  <c r="J970" i="2"/>
  <c r="I970" i="2"/>
  <c r="J2137" i="2"/>
  <c r="I2137" i="2"/>
  <c r="J1945" i="2"/>
  <c r="I1945" i="2"/>
  <c r="J1769" i="2"/>
  <c r="I1769" i="2"/>
  <c r="J1577" i="2"/>
  <c r="I1577" i="2"/>
  <c r="J1433" i="2"/>
  <c r="I1433" i="2"/>
  <c r="J1257" i="2"/>
  <c r="I1257" i="2"/>
  <c r="J1049" i="2"/>
  <c r="I1049" i="2"/>
  <c r="J889" i="2"/>
  <c r="I889" i="2"/>
  <c r="J729" i="2"/>
  <c r="I729" i="2"/>
  <c r="J2040" i="2"/>
  <c r="I2040" i="2"/>
  <c r="J1880" i="2"/>
  <c r="I1880" i="2"/>
  <c r="J1672" i="2"/>
  <c r="I1672" i="2"/>
  <c r="J1544" i="2"/>
  <c r="I1544" i="2"/>
  <c r="J1368" i="2"/>
  <c r="I1368" i="2"/>
  <c r="I1208" i="2"/>
  <c r="J1208" i="2"/>
  <c r="J1032" i="2"/>
  <c r="I1032" i="2"/>
  <c r="J904" i="2"/>
  <c r="I904" i="2"/>
  <c r="J792" i="2"/>
  <c r="I792" i="2"/>
  <c r="J648" i="2"/>
  <c r="I648" i="2"/>
  <c r="J536" i="2"/>
  <c r="I536" i="2"/>
  <c r="J408" i="2"/>
  <c r="I408" i="2"/>
  <c r="J280" i="2"/>
  <c r="I280" i="2"/>
  <c r="J24" i="2"/>
  <c r="I24" i="2"/>
  <c r="J1687" i="2"/>
  <c r="I1687" i="2"/>
  <c r="J1527" i="2"/>
  <c r="I1527" i="2"/>
  <c r="J1367" i="2"/>
  <c r="I1367" i="2"/>
  <c r="J1223" i="2"/>
  <c r="I1223" i="2"/>
  <c r="J1031" i="2"/>
  <c r="I1031" i="2"/>
  <c r="J887" i="2"/>
  <c r="I887" i="2"/>
  <c r="J727" i="2"/>
  <c r="I727" i="2"/>
  <c r="J599" i="2"/>
  <c r="I599" i="2"/>
  <c r="J439" i="2"/>
  <c r="I439" i="2"/>
  <c r="J311" i="2"/>
  <c r="I311" i="2"/>
  <c r="J167" i="2"/>
  <c r="I167" i="2"/>
  <c r="J55" i="2"/>
  <c r="I55" i="2"/>
  <c r="J2134" i="2"/>
  <c r="I2134" i="2"/>
  <c r="J2006" i="2"/>
  <c r="I2006" i="2"/>
  <c r="J1862" i="2"/>
  <c r="I1862" i="2"/>
  <c r="J1734" i="2"/>
  <c r="I1734" i="2"/>
  <c r="J1574" i="2"/>
  <c r="I1574" i="2"/>
  <c r="J1446" i="2"/>
  <c r="I1446" i="2"/>
  <c r="J1286" i="2"/>
  <c r="I1286" i="2"/>
  <c r="J1094" i="2"/>
  <c r="I1094" i="2"/>
  <c r="J934" i="2"/>
  <c r="I934" i="2"/>
  <c r="J774" i="2"/>
  <c r="I774" i="2"/>
  <c r="J726" i="2"/>
  <c r="I726" i="2"/>
  <c r="J598" i="2"/>
  <c r="I598" i="2"/>
  <c r="J470" i="2"/>
  <c r="I470" i="2"/>
  <c r="J310" i="2"/>
  <c r="I310" i="2"/>
  <c r="J134" i="2"/>
  <c r="I134" i="2"/>
  <c r="J2180" i="2"/>
  <c r="I2180" i="2"/>
  <c r="J2164" i="2"/>
  <c r="I2164" i="2"/>
  <c r="J2148" i="2"/>
  <c r="I2148" i="2"/>
  <c r="J2132" i="2"/>
  <c r="I2132" i="2"/>
  <c r="J2116" i="2"/>
  <c r="I2116" i="2"/>
  <c r="J2100" i="2"/>
  <c r="I2100" i="2"/>
  <c r="J2084" i="2"/>
  <c r="I2084" i="2"/>
  <c r="J2068" i="2"/>
  <c r="I2068" i="2"/>
  <c r="J2052" i="2"/>
  <c r="I2052" i="2"/>
  <c r="I2036" i="2"/>
  <c r="J2036" i="2"/>
  <c r="J2020" i="2"/>
  <c r="I2020" i="2"/>
  <c r="J2004" i="2"/>
  <c r="I2004" i="2"/>
  <c r="J1988" i="2"/>
  <c r="I1988" i="2"/>
  <c r="J1972" i="2"/>
  <c r="I1972" i="2"/>
  <c r="J1956" i="2"/>
  <c r="I1956" i="2"/>
  <c r="J1940" i="2"/>
  <c r="I1940" i="2"/>
  <c r="J1924" i="2"/>
  <c r="I1924" i="2"/>
  <c r="J1908" i="2"/>
  <c r="I1908" i="2"/>
  <c r="I1892" i="2"/>
  <c r="J1892" i="2"/>
  <c r="J1876" i="2"/>
  <c r="I1876" i="2"/>
  <c r="J1860" i="2"/>
  <c r="I1860" i="2"/>
  <c r="J1844" i="2"/>
  <c r="I1844" i="2"/>
  <c r="J1828" i="2"/>
  <c r="I1828" i="2"/>
  <c r="J1812" i="2"/>
  <c r="I1812" i="2"/>
  <c r="J1796" i="2"/>
  <c r="I1796" i="2"/>
  <c r="J1780" i="2"/>
  <c r="I1780" i="2"/>
  <c r="J1764" i="2"/>
  <c r="I1764" i="2"/>
  <c r="J1748" i="2"/>
  <c r="I1748" i="2"/>
  <c r="J1732" i="2"/>
  <c r="I1732" i="2"/>
  <c r="J1716" i="2"/>
  <c r="I1716" i="2"/>
  <c r="J1700" i="2"/>
  <c r="I1700" i="2"/>
  <c r="J1684" i="2"/>
  <c r="I1684" i="2"/>
  <c r="J1668" i="2"/>
  <c r="I1668" i="2"/>
  <c r="J1652" i="2"/>
  <c r="I1652" i="2"/>
  <c r="J1636" i="2"/>
  <c r="I1636" i="2"/>
  <c r="J1620" i="2"/>
  <c r="I1620" i="2"/>
  <c r="J1604" i="2"/>
  <c r="I1604" i="2"/>
  <c r="J1588" i="2"/>
  <c r="I1588" i="2"/>
  <c r="J1572" i="2"/>
  <c r="I1572" i="2"/>
  <c r="J1540" i="2"/>
  <c r="I1540" i="2"/>
  <c r="J1524" i="2"/>
  <c r="I1524" i="2"/>
  <c r="J1508" i="2"/>
  <c r="I1508" i="2"/>
  <c r="J1492" i="2"/>
  <c r="I1492" i="2"/>
  <c r="J1476" i="2"/>
  <c r="I1476" i="2"/>
  <c r="J1460" i="2"/>
  <c r="I1460" i="2"/>
  <c r="J1444" i="2"/>
  <c r="I1444" i="2"/>
  <c r="J1428" i="2"/>
  <c r="I1428" i="2"/>
  <c r="J1412" i="2"/>
  <c r="I1412" i="2"/>
  <c r="J1396" i="2"/>
  <c r="I1396" i="2"/>
  <c r="J1380" i="2"/>
  <c r="I1380" i="2"/>
  <c r="J1364" i="2"/>
  <c r="I1364" i="2"/>
  <c r="J1348" i="2"/>
  <c r="I1348" i="2"/>
  <c r="J1332" i="2"/>
  <c r="I1332" i="2"/>
  <c r="J1316" i="2"/>
  <c r="I1316" i="2"/>
  <c r="J1300" i="2"/>
  <c r="I1300" i="2"/>
  <c r="J1284" i="2"/>
  <c r="I1284" i="2"/>
  <c r="J1268" i="2"/>
  <c r="I1268" i="2"/>
  <c r="J1236" i="2"/>
  <c r="I1236" i="2"/>
  <c r="J1220" i="2"/>
  <c r="I1220" i="2"/>
  <c r="J1204" i="2"/>
  <c r="I1204" i="2"/>
  <c r="J1188" i="2"/>
  <c r="I1188" i="2"/>
  <c r="J1172" i="2"/>
  <c r="I1172" i="2"/>
  <c r="J1156" i="2"/>
  <c r="I1156" i="2"/>
  <c r="J1140" i="2"/>
  <c r="I1140" i="2"/>
  <c r="J1124" i="2"/>
  <c r="I1124" i="2"/>
  <c r="J1108" i="2"/>
  <c r="I1108" i="2"/>
  <c r="J1092" i="2"/>
  <c r="I1092" i="2"/>
  <c r="J1060" i="2"/>
  <c r="I1060" i="2"/>
  <c r="I1044" i="2"/>
  <c r="J1044" i="2"/>
  <c r="J1028" i="2"/>
  <c r="I1028" i="2"/>
  <c r="J1012" i="2"/>
  <c r="I1012" i="2"/>
  <c r="J996" i="2"/>
  <c r="I996" i="2"/>
  <c r="J980" i="2"/>
  <c r="I980" i="2"/>
  <c r="J964" i="2"/>
  <c r="I964" i="2"/>
  <c r="J948" i="2"/>
  <c r="I948" i="2"/>
  <c r="J932" i="2"/>
  <c r="I932" i="2"/>
  <c r="I916" i="2"/>
  <c r="J916" i="2"/>
  <c r="J900" i="2"/>
  <c r="I900" i="2"/>
  <c r="J884" i="2"/>
  <c r="I884" i="2"/>
  <c r="J868" i="2"/>
  <c r="I868" i="2"/>
  <c r="I852" i="2"/>
  <c r="J852" i="2"/>
  <c r="J820" i="2"/>
  <c r="I820" i="2"/>
  <c r="J804" i="2"/>
  <c r="I804" i="2"/>
  <c r="J788" i="2"/>
  <c r="I788" i="2"/>
  <c r="J772" i="2"/>
  <c r="I772" i="2"/>
  <c r="J724" i="2"/>
  <c r="I724" i="2"/>
  <c r="J644" i="2"/>
  <c r="I644" i="2"/>
  <c r="J564" i="2"/>
  <c r="I564" i="2"/>
  <c r="J548" i="2"/>
  <c r="I548" i="2"/>
  <c r="I532" i="2"/>
  <c r="J532" i="2"/>
  <c r="J516" i="2"/>
  <c r="I516" i="2"/>
  <c r="J468" i="2"/>
  <c r="I468" i="2"/>
  <c r="J95" i="2"/>
  <c r="I95" i="2"/>
  <c r="J2074" i="2"/>
  <c r="I2074" i="2"/>
  <c r="J1914" i="2"/>
  <c r="I1914" i="2"/>
  <c r="J1738" i="2"/>
  <c r="I1738" i="2"/>
  <c r="J1562" i="2"/>
  <c r="I1562" i="2"/>
  <c r="J1434" i="2"/>
  <c r="I1434" i="2"/>
  <c r="J1370" i="2"/>
  <c r="I1370" i="2"/>
  <c r="J1210" i="2"/>
  <c r="I1210" i="2"/>
  <c r="J1034" i="2"/>
  <c r="I1034" i="2"/>
  <c r="J1815" i="2"/>
  <c r="I1815" i="2"/>
  <c r="J2185" i="2"/>
  <c r="I2185" i="2"/>
  <c r="J1977" i="2"/>
  <c r="I1977" i="2"/>
  <c r="J1753" i="2"/>
  <c r="I1753" i="2"/>
  <c r="J1513" i="2"/>
  <c r="I1513" i="2"/>
  <c r="J1177" i="2"/>
  <c r="I1177" i="2"/>
  <c r="J2024" i="2"/>
  <c r="I2024" i="2"/>
  <c r="J1800" i="2"/>
  <c r="I1800" i="2"/>
  <c r="J1416" i="2"/>
  <c r="I1416" i="2"/>
  <c r="I456" i="2"/>
  <c r="J456" i="2"/>
  <c r="J2070" i="2"/>
  <c r="I2070" i="2"/>
  <c r="I1846" i="2"/>
  <c r="J1846" i="2"/>
  <c r="J1606" i="2"/>
  <c r="I1606" i="2"/>
  <c r="J1414" i="2"/>
  <c r="I1414" i="2"/>
  <c r="J1222" i="2"/>
  <c r="I1222" i="2"/>
  <c r="I1030" i="2"/>
  <c r="J1030" i="2"/>
  <c r="J822" i="2"/>
  <c r="I822" i="2"/>
  <c r="J614" i="2"/>
  <c r="I614" i="2"/>
  <c r="J262" i="2"/>
  <c r="I262" i="2"/>
  <c r="J2083" i="2"/>
  <c r="I2083" i="2"/>
  <c r="J1923" i="2"/>
  <c r="I1923" i="2"/>
  <c r="J1795" i="2"/>
  <c r="I1795" i="2"/>
  <c r="J1651" i="2"/>
  <c r="I1651" i="2"/>
  <c r="J1491" i="2"/>
  <c r="I1491" i="2"/>
  <c r="J1363" i="2"/>
  <c r="I1363" i="2"/>
  <c r="J1235" i="2"/>
  <c r="I1235" i="2"/>
  <c r="J1091" i="2"/>
  <c r="I1091" i="2"/>
  <c r="J947" i="2"/>
  <c r="I947" i="2"/>
  <c r="J867" i="2"/>
  <c r="I867" i="2"/>
  <c r="J771" i="2"/>
  <c r="I771" i="2"/>
  <c r="J643" i="2"/>
  <c r="I643" i="2"/>
  <c r="J515" i="2"/>
  <c r="I515" i="2"/>
  <c r="J403" i="2"/>
  <c r="I403" i="2"/>
  <c r="J339" i="2"/>
  <c r="I339" i="2"/>
  <c r="J259" i="2"/>
  <c r="I259" i="2"/>
  <c r="J147" i="2"/>
  <c r="I147" i="2"/>
  <c r="J99" i="2"/>
  <c r="I99" i="2"/>
  <c r="J35" i="2"/>
  <c r="I35" i="2"/>
  <c r="I2178" i="2"/>
  <c r="J2058" i="2"/>
  <c r="I2058" i="2"/>
  <c r="J1882" i="2"/>
  <c r="I1882" i="2"/>
  <c r="J1690" i="2"/>
  <c r="I1690" i="2"/>
  <c r="J1514" i="2"/>
  <c r="I1514" i="2"/>
  <c r="J1386" i="2"/>
  <c r="I1386" i="2"/>
  <c r="J1242" i="2"/>
  <c r="I1242" i="2"/>
  <c r="J1098" i="2"/>
  <c r="I1098" i="2"/>
  <c r="J986" i="2"/>
  <c r="I986" i="2"/>
  <c r="J2073" i="2"/>
  <c r="I2073" i="2"/>
  <c r="J1881" i="2"/>
  <c r="I1881" i="2"/>
  <c r="I1705" i="2"/>
  <c r="J1705" i="2"/>
  <c r="J1545" i="2"/>
  <c r="I1545" i="2"/>
  <c r="J1321" i="2"/>
  <c r="I1321" i="2"/>
  <c r="J1129" i="2"/>
  <c r="I1129" i="2"/>
  <c r="J985" i="2"/>
  <c r="I985" i="2"/>
  <c r="J841" i="2"/>
  <c r="I841" i="2"/>
  <c r="I681" i="2"/>
  <c r="J681" i="2"/>
  <c r="J2055" i="2"/>
  <c r="I2055" i="2"/>
  <c r="I2056" i="2"/>
  <c r="J2056" i="2"/>
  <c r="I1848" i="2"/>
  <c r="J1848" i="2"/>
  <c r="J1656" i="2"/>
  <c r="I1656" i="2"/>
  <c r="J1528" i="2"/>
  <c r="I1528" i="2"/>
  <c r="J1352" i="2"/>
  <c r="I1352" i="2"/>
  <c r="J1192" i="2"/>
  <c r="I1192" i="2"/>
  <c r="J1016" i="2"/>
  <c r="I1016" i="2"/>
  <c r="J872" i="2"/>
  <c r="I872" i="2"/>
  <c r="I632" i="2"/>
  <c r="J632" i="2"/>
  <c r="J504" i="2"/>
  <c r="I504" i="2"/>
  <c r="J360" i="2"/>
  <c r="I360" i="2"/>
  <c r="I56" i="2"/>
  <c r="J56" i="2"/>
  <c r="J1671" i="2"/>
  <c r="I1671" i="2"/>
  <c r="J1319" i="2"/>
  <c r="I1319" i="2"/>
  <c r="J1111" i="2"/>
  <c r="I1111" i="2"/>
  <c r="J967" i="2"/>
  <c r="I967" i="2"/>
  <c r="J823" i="2"/>
  <c r="I823" i="2"/>
  <c r="J679" i="2"/>
  <c r="I679" i="2"/>
  <c r="J535" i="2"/>
  <c r="I535" i="2"/>
  <c r="J391" i="2"/>
  <c r="I391" i="2"/>
  <c r="J263" i="2"/>
  <c r="I263" i="2"/>
  <c r="J151" i="2"/>
  <c r="I151" i="2"/>
  <c r="J7" i="2"/>
  <c r="I7" i="2"/>
  <c r="I2102" i="2"/>
  <c r="J2102" i="2"/>
  <c r="J1750" i="2"/>
  <c r="I1750" i="2"/>
  <c r="J1590" i="2"/>
  <c r="I1590" i="2"/>
  <c r="J1430" i="2"/>
  <c r="I1430" i="2"/>
  <c r="J1302" i="2"/>
  <c r="I1302" i="2"/>
  <c r="J1142" i="2"/>
  <c r="I1142" i="2"/>
  <c r="J966" i="2"/>
  <c r="I966" i="2"/>
  <c r="J758" i="2"/>
  <c r="I758" i="2"/>
  <c r="J630" i="2"/>
  <c r="I630" i="2"/>
  <c r="J534" i="2"/>
  <c r="I534" i="2"/>
  <c r="J422" i="2"/>
  <c r="I422" i="2"/>
  <c r="J294" i="2"/>
  <c r="I294" i="2"/>
  <c r="J150" i="2"/>
  <c r="I150" i="2"/>
  <c r="J2099" i="2"/>
  <c r="I2099" i="2"/>
  <c r="J1987" i="2"/>
  <c r="I1987" i="2"/>
  <c r="J1859" i="2"/>
  <c r="I1859" i="2"/>
  <c r="J1731" i="2"/>
  <c r="I1731" i="2"/>
  <c r="J1619" i="2"/>
  <c r="I1619" i="2"/>
  <c r="J1523" i="2"/>
  <c r="I1523" i="2"/>
  <c r="J1411" i="2"/>
  <c r="I1411" i="2"/>
  <c r="J1283" i="2"/>
  <c r="I1283" i="2"/>
  <c r="J1171" i="2"/>
  <c r="I1171" i="2"/>
  <c r="J1043" i="2"/>
  <c r="I1043" i="2"/>
  <c r="J931" i="2"/>
  <c r="I931" i="2"/>
  <c r="J819" i="2"/>
  <c r="I819" i="2"/>
  <c r="J675" i="2"/>
  <c r="I675" i="2"/>
  <c r="J595" i="2"/>
  <c r="I595" i="2"/>
  <c r="J483" i="2"/>
  <c r="I483" i="2"/>
  <c r="J387" i="2"/>
  <c r="I387" i="2"/>
  <c r="J307" i="2"/>
  <c r="I307" i="2"/>
  <c r="J243" i="2"/>
  <c r="I243" i="2"/>
  <c r="J163" i="2"/>
  <c r="I163" i="2"/>
  <c r="J131" i="2"/>
  <c r="I131" i="2"/>
  <c r="J51" i="2"/>
  <c r="I51" i="2"/>
  <c r="J19" i="2"/>
  <c r="I19" i="2"/>
  <c r="J2162" i="2"/>
  <c r="I2162" i="2"/>
  <c r="I2146" i="2"/>
  <c r="J2146" i="2"/>
  <c r="J2130" i="2"/>
  <c r="I2130" i="2"/>
  <c r="J2114" i="2"/>
  <c r="I2114" i="2"/>
  <c r="J2098" i="2"/>
  <c r="I2098" i="2"/>
  <c r="J2082" i="2"/>
  <c r="I2082" i="2"/>
  <c r="J2066" i="2"/>
  <c r="I2066" i="2"/>
  <c r="J2050" i="2"/>
  <c r="I2050" i="2"/>
  <c r="J2034" i="2"/>
  <c r="I2034" i="2"/>
  <c r="J2018" i="2"/>
  <c r="I2018" i="2"/>
  <c r="J2002" i="2"/>
  <c r="I2002" i="2"/>
  <c r="J1986" i="2"/>
  <c r="I1986" i="2"/>
  <c r="J1970" i="2"/>
  <c r="I1970" i="2"/>
  <c r="J1954" i="2"/>
  <c r="I1954" i="2"/>
  <c r="J1938" i="2"/>
  <c r="I1938" i="2"/>
  <c r="J1922" i="2"/>
  <c r="I1922" i="2"/>
  <c r="I1906" i="2"/>
  <c r="J1906" i="2"/>
  <c r="J1890" i="2"/>
  <c r="I1890" i="2"/>
  <c r="J1874" i="2"/>
  <c r="I1874" i="2"/>
  <c r="J1858" i="2"/>
  <c r="I1858" i="2"/>
  <c r="I1842" i="2"/>
  <c r="J1842" i="2"/>
  <c r="I1826" i="2"/>
  <c r="J1826" i="2"/>
  <c r="I1810" i="2"/>
  <c r="J1810" i="2"/>
  <c r="I1794" i="2"/>
  <c r="J1794" i="2"/>
  <c r="I1778" i="2"/>
  <c r="J1778" i="2"/>
  <c r="I1762" i="2"/>
  <c r="J1762" i="2"/>
  <c r="J1746" i="2"/>
  <c r="I1746" i="2"/>
  <c r="I1730" i="2"/>
  <c r="J1730" i="2"/>
  <c r="J1714" i="2"/>
  <c r="I1714" i="2"/>
  <c r="J1698" i="2"/>
  <c r="I1698" i="2"/>
  <c r="I1682" i="2"/>
  <c r="J1682" i="2"/>
  <c r="J1666" i="2"/>
  <c r="I1666" i="2"/>
  <c r="J1650" i="2"/>
  <c r="I1650" i="2"/>
  <c r="I1634" i="2"/>
  <c r="J1634" i="2"/>
  <c r="J1618" i="2"/>
  <c r="I1618" i="2"/>
  <c r="I1602" i="2"/>
  <c r="J1602" i="2"/>
  <c r="I1586" i="2"/>
  <c r="J1586" i="2"/>
  <c r="J1570" i="2"/>
  <c r="I1570" i="2"/>
  <c r="J1554" i="2"/>
  <c r="I1554" i="2"/>
  <c r="J1538" i="2"/>
  <c r="I1538" i="2"/>
  <c r="J1522" i="2"/>
  <c r="I1522" i="2"/>
  <c r="J1506" i="2"/>
  <c r="I1506" i="2"/>
  <c r="J1490" i="2"/>
  <c r="I1490" i="2"/>
  <c r="J1474" i="2"/>
  <c r="I1474" i="2"/>
  <c r="I1458" i="2"/>
  <c r="J1458" i="2"/>
  <c r="J1442" i="2"/>
  <c r="I1442" i="2"/>
  <c r="J1426" i="2"/>
  <c r="I1426" i="2"/>
  <c r="J1410" i="2"/>
  <c r="I1410" i="2"/>
  <c r="J1394" i="2"/>
  <c r="I1394" i="2"/>
  <c r="J1378" i="2"/>
  <c r="I1378" i="2"/>
  <c r="J1362" i="2"/>
  <c r="I1362" i="2"/>
  <c r="J1346" i="2"/>
  <c r="I1346" i="2"/>
  <c r="J1330" i="2"/>
  <c r="I1330" i="2"/>
  <c r="J1314" i="2"/>
  <c r="I1314" i="2"/>
  <c r="J1298" i="2"/>
  <c r="I1298" i="2"/>
  <c r="J1282" i="2"/>
  <c r="I1282" i="2"/>
  <c r="J1266" i="2"/>
  <c r="I1266" i="2"/>
  <c r="J1250" i="2"/>
  <c r="I1250" i="2"/>
  <c r="J1218" i="2"/>
  <c r="I1218" i="2"/>
  <c r="J1202" i="2"/>
  <c r="I1202" i="2"/>
  <c r="J1186" i="2"/>
  <c r="I1186" i="2"/>
  <c r="J1170" i="2"/>
  <c r="I1170" i="2"/>
  <c r="J1154" i="2"/>
  <c r="I1154" i="2"/>
  <c r="J1138" i="2"/>
  <c r="I1138" i="2"/>
  <c r="J1122" i="2"/>
  <c r="I1122" i="2"/>
  <c r="J1106" i="2"/>
  <c r="I1106" i="2"/>
  <c r="J1090" i="2"/>
  <c r="I1090" i="2"/>
  <c r="J1074" i="2"/>
  <c r="I1074" i="2"/>
  <c r="J1058" i="2"/>
  <c r="I1058" i="2"/>
  <c r="J1042" i="2"/>
  <c r="I1042" i="2"/>
  <c r="J1026" i="2"/>
  <c r="I1026" i="2"/>
  <c r="J1010" i="2"/>
  <c r="I1010" i="2"/>
  <c r="J994" i="2"/>
  <c r="I994" i="2"/>
  <c r="J978" i="2"/>
  <c r="I978" i="2"/>
  <c r="J962" i="2"/>
  <c r="I962" i="2"/>
  <c r="J946" i="2"/>
  <c r="I946" i="2"/>
  <c r="J930" i="2"/>
  <c r="I930" i="2"/>
  <c r="J914" i="2"/>
  <c r="I914" i="2"/>
  <c r="J898" i="2"/>
  <c r="I898" i="2"/>
  <c r="J882" i="2"/>
  <c r="I882" i="2"/>
  <c r="J866" i="2"/>
  <c r="I866" i="2"/>
  <c r="J850" i="2"/>
  <c r="I850" i="2"/>
  <c r="J834" i="2"/>
  <c r="I834" i="2"/>
  <c r="J818" i="2"/>
  <c r="I818" i="2"/>
  <c r="J802" i="2"/>
  <c r="I802" i="2"/>
  <c r="J786" i="2"/>
  <c r="I786" i="2"/>
  <c r="J770" i="2"/>
  <c r="I770" i="2"/>
  <c r="J722" i="2"/>
  <c r="I722" i="2"/>
  <c r="J706" i="2"/>
  <c r="I706" i="2"/>
  <c r="J690" i="2"/>
  <c r="I690" i="2"/>
  <c r="J674" i="2"/>
  <c r="I674" i="2"/>
  <c r="J626" i="2"/>
  <c r="I626" i="2"/>
  <c r="J546" i="2"/>
  <c r="I546" i="2"/>
  <c r="J466" i="2"/>
  <c r="I466" i="2"/>
  <c r="J965" i="2"/>
  <c r="I965" i="2"/>
  <c r="I2057" i="2"/>
  <c r="J2138" i="2"/>
  <c r="I2138" i="2"/>
  <c r="J1978" i="2"/>
  <c r="I1978" i="2"/>
  <c r="J1802" i="2"/>
  <c r="I1802" i="2"/>
  <c r="J1610" i="2"/>
  <c r="I1610" i="2"/>
  <c r="J1450" i="2"/>
  <c r="I1450" i="2"/>
  <c r="J1258" i="2"/>
  <c r="I1258" i="2"/>
  <c r="J1082" i="2"/>
  <c r="I1082" i="2"/>
  <c r="J922" i="2"/>
  <c r="I922" i="2"/>
  <c r="J547" i="2"/>
  <c r="I547" i="2"/>
  <c r="J2169" i="2"/>
  <c r="I2169" i="2"/>
  <c r="J1961" i="2"/>
  <c r="I1961" i="2"/>
  <c r="J1785" i="2"/>
  <c r="I1785" i="2"/>
  <c r="J1641" i="2"/>
  <c r="I1641" i="2"/>
  <c r="J1385" i="2"/>
  <c r="I1385" i="2"/>
  <c r="J1225" i="2"/>
  <c r="I1225" i="2"/>
  <c r="J1065" i="2"/>
  <c r="I1065" i="2"/>
  <c r="J905" i="2"/>
  <c r="I905" i="2"/>
  <c r="J777" i="2"/>
  <c r="I777" i="2"/>
  <c r="J492" i="2"/>
  <c r="I492" i="2"/>
  <c r="J2136" i="2"/>
  <c r="I2136" i="2"/>
  <c r="J1928" i="2"/>
  <c r="I1928" i="2"/>
  <c r="J1768" i="2"/>
  <c r="I1768" i="2"/>
  <c r="J1640" i="2"/>
  <c r="I1640" i="2"/>
  <c r="J1464" i="2"/>
  <c r="I1464" i="2"/>
  <c r="J1304" i="2"/>
  <c r="I1304" i="2"/>
  <c r="J1160" i="2"/>
  <c r="I1160" i="2"/>
  <c r="J968" i="2"/>
  <c r="I968" i="2"/>
  <c r="J856" i="2"/>
  <c r="I856" i="2"/>
  <c r="I696" i="2"/>
  <c r="J696" i="2"/>
  <c r="J568" i="2"/>
  <c r="I568" i="2"/>
  <c r="J392" i="2"/>
  <c r="I392" i="2"/>
  <c r="J232" i="2"/>
  <c r="I232" i="2"/>
  <c r="I72" i="2"/>
  <c r="J72" i="2"/>
  <c r="J1783" i="2"/>
  <c r="I1783" i="2"/>
  <c r="J1655" i="2"/>
  <c r="I1655" i="2"/>
  <c r="J1543" i="2"/>
  <c r="I1543" i="2"/>
  <c r="J1383" i="2"/>
  <c r="I1383" i="2"/>
  <c r="J1239" i="2"/>
  <c r="I1239" i="2"/>
  <c r="J1047" i="2"/>
  <c r="I1047" i="2"/>
  <c r="J871" i="2"/>
  <c r="I871" i="2"/>
  <c r="I711" i="2"/>
  <c r="J711" i="2"/>
  <c r="J567" i="2"/>
  <c r="I567" i="2"/>
  <c r="J423" i="2"/>
  <c r="I423" i="2"/>
  <c r="J279" i="2"/>
  <c r="I279" i="2"/>
  <c r="J135" i="2"/>
  <c r="I135" i="2"/>
  <c r="J23" i="2"/>
  <c r="I23" i="2"/>
  <c r="J2054" i="2"/>
  <c r="I2054" i="2"/>
  <c r="J1958" i="2"/>
  <c r="I1958" i="2"/>
  <c r="J1798" i="2"/>
  <c r="I1798" i="2"/>
  <c r="J1654" i="2"/>
  <c r="I1654" i="2"/>
  <c r="J1510" i="2"/>
  <c r="I1510" i="2"/>
  <c r="J1366" i="2"/>
  <c r="I1366" i="2"/>
  <c r="J1206" i="2"/>
  <c r="I1206" i="2"/>
  <c r="J1078" i="2"/>
  <c r="I1078" i="2"/>
  <c r="I950" i="2"/>
  <c r="J950" i="2"/>
  <c r="J806" i="2"/>
  <c r="I806" i="2"/>
  <c r="J662" i="2"/>
  <c r="I662" i="2"/>
  <c r="J550" i="2"/>
  <c r="I550" i="2"/>
  <c r="J406" i="2"/>
  <c r="I406" i="2"/>
  <c r="I278" i="2"/>
  <c r="J278" i="2"/>
  <c r="J166" i="2"/>
  <c r="I166" i="2"/>
  <c r="J2147" i="2"/>
  <c r="I2147" i="2"/>
  <c r="J2051" i="2"/>
  <c r="I2051" i="2"/>
  <c r="J1955" i="2"/>
  <c r="I1955" i="2"/>
  <c r="J1827" i="2"/>
  <c r="I1827" i="2"/>
  <c r="J1683" i="2"/>
  <c r="I1683" i="2"/>
  <c r="J1555" i="2"/>
  <c r="I1555" i="2"/>
  <c r="J1459" i="2"/>
  <c r="I1459" i="2"/>
  <c r="J1331" i="2"/>
  <c r="I1331" i="2"/>
  <c r="J1203" i="2"/>
  <c r="I1203" i="2"/>
  <c r="J1075" i="2"/>
  <c r="I1075" i="2"/>
  <c r="J979" i="2"/>
  <c r="I979" i="2"/>
  <c r="J883" i="2"/>
  <c r="I883" i="2"/>
  <c r="J755" i="2"/>
  <c r="I755" i="2"/>
  <c r="J611" i="2"/>
  <c r="I611" i="2"/>
  <c r="J499" i="2"/>
  <c r="I499" i="2"/>
  <c r="J371" i="2"/>
  <c r="I371" i="2"/>
  <c r="J291" i="2"/>
  <c r="I291" i="2"/>
  <c r="J227" i="2"/>
  <c r="I227" i="2"/>
  <c r="J179" i="2"/>
  <c r="I179" i="2"/>
  <c r="J115" i="2"/>
  <c r="I115" i="2"/>
  <c r="J67" i="2"/>
  <c r="I67" i="2"/>
  <c r="J3" i="2"/>
  <c r="I3" i="2"/>
  <c r="J2193" i="2"/>
  <c r="I2193" i="2"/>
  <c r="J2177" i="2"/>
  <c r="I2177" i="2"/>
  <c r="J2161" i="2"/>
  <c r="I2161" i="2"/>
  <c r="J2145" i="2"/>
  <c r="I2145" i="2"/>
  <c r="J2129" i="2"/>
  <c r="I2129" i="2"/>
  <c r="J2113" i="2"/>
  <c r="I2113" i="2"/>
  <c r="J2097" i="2"/>
  <c r="I2097" i="2"/>
  <c r="J2081" i="2"/>
  <c r="I2081" i="2"/>
  <c r="J2065" i="2"/>
  <c r="I2065" i="2"/>
  <c r="J2049" i="2"/>
  <c r="I2049" i="2"/>
  <c r="J2033" i="2"/>
  <c r="I2033" i="2"/>
  <c r="J2017" i="2"/>
  <c r="I2017" i="2"/>
  <c r="J2001" i="2"/>
  <c r="I2001" i="2"/>
  <c r="J1985" i="2"/>
  <c r="I1985" i="2"/>
  <c r="J1969" i="2"/>
  <c r="I1969" i="2"/>
  <c r="J1953" i="2"/>
  <c r="I1953" i="2"/>
  <c r="J1937" i="2"/>
  <c r="I1937" i="2"/>
  <c r="J1921" i="2"/>
  <c r="I1921" i="2"/>
  <c r="J1905" i="2"/>
  <c r="I1905" i="2"/>
  <c r="J1889" i="2"/>
  <c r="I1889" i="2"/>
  <c r="J1873" i="2"/>
  <c r="I1873" i="2"/>
  <c r="J1857" i="2"/>
  <c r="I1857" i="2"/>
  <c r="J1841" i="2"/>
  <c r="I1841" i="2"/>
  <c r="J1825" i="2"/>
  <c r="I1825" i="2"/>
  <c r="J1809" i="2"/>
  <c r="I1809" i="2"/>
  <c r="J1793" i="2"/>
  <c r="I1793" i="2"/>
  <c r="J1777" i="2"/>
  <c r="I1777" i="2"/>
  <c r="J1761" i="2"/>
  <c r="I1761" i="2"/>
  <c r="J1745" i="2"/>
  <c r="I1745" i="2"/>
  <c r="J1729" i="2"/>
  <c r="I1729" i="2"/>
  <c r="J1713" i="2"/>
  <c r="I1713" i="2"/>
  <c r="I1697" i="2"/>
  <c r="J1697" i="2"/>
  <c r="J1681" i="2"/>
  <c r="I1681" i="2"/>
  <c r="J1649" i="2"/>
  <c r="I1649" i="2"/>
  <c r="J1633" i="2"/>
  <c r="I1633" i="2"/>
  <c r="I1617" i="2"/>
  <c r="J1617" i="2"/>
  <c r="J1601" i="2"/>
  <c r="I1601" i="2"/>
  <c r="J1585" i="2"/>
  <c r="I1585" i="2"/>
  <c r="J1569" i="2"/>
  <c r="I1569" i="2"/>
  <c r="I1553" i="2"/>
  <c r="J1553" i="2"/>
  <c r="J1537" i="2"/>
  <c r="I1537" i="2"/>
  <c r="J1521" i="2"/>
  <c r="I1521" i="2"/>
  <c r="J1505" i="2"/>
  <c r="I1505" i="2"/>
  <c r="J1489" i="2"/>
  <c r="I1489" i="2"/>
  <c r="J1473" i="2"/>
  <c r="I1473" i="2"/>
  <c r="J1457" i="2"/>
  <c r="I1457" i="2"/>
  <c r="J1441" i="2"/>
  <c r="I1441" i="2"/>
  <c r="J1425" i="2"/>
  <c r="I1425" i="2"/>
  <c r="J1409" i="2"/>
  <c r="I1409" i="2"/>
  <c r="J1393" i="2"/>
  <c r="I1393" i="2"/>
  <c r="J1377" i="2"/>
  <c r="I1377" i="2"/>
  <c r="J1361" i="2"/>
  <c r="I1361" i="2"/>
  <c r="I1345" i="2"/>
  <c r="J1345" i="2"/>
  <c r="J1329" i="2"/>
  <c r="I1329" i="2"/>
  <c r="J1313" i="2"/>
  <c r="I1313" i="2"/>
  <c r="J1297" i="2"/>
  <c r="I1297" i="2"/>
  <c r="I1265" i="2"/>
  <c r="J1265" i="2"/>
  <c r="J1249" i="2"/>
  <c r="I1249" i="2"/>
  <c r="J1233" i="2"/>
  <c r="I1233" i="2"/>
  <c r="J1217" i="2"/>
  <c r="I1217" i="2"/>
  <c r="J1201" i="2"/>
  <c r="I1201" i="2"/>
  <c r="J1185" i="2"/>
  <c r="I1185" i="2"/>
  <c r="I1169" i="2"/>
  <c r="J1169" i="2"/>
  <c r="J1153" i="2"/>
  <c r="I1153" i="2"/>
  <c r="J1137" i="2"/>
  <c r="I1137" i="2"/>
  <c r="J1121" i="2"/>
  <c r="I1121" i="2"/>
  <c r="J1105" i="2"/>
  <c r="I1105" i="2"/>
  <c r="J1089" i="2"/>
  <c r="I1089" i="2"/>
  <c r="J1073" i="2"/>
  <c r="I1073" i="2"/>
  <c r="J1057" i="2"/>
  <c r="I1057" i="2"/>
  <c r="J1041" i="2"/>
  <c r="I1041" i="2"/>
  <c r="J1025" i="2"/>
  <c r="I1025" i="2"/>
  <c r="J1009" i="2"/>
  <c r="I1009" i="2"/>
  <c r="J993" i="2"/>
  <c r="I993" i="2"/>
  <c r="J977" i="2"/>
  <c r="I977" i="2"/>
  <c r="J961" i="2"/>
  <c r="I961" i="2"/>
  <c r="J881" i="2"/>
  <c r="I881" i="2"/>
  <c r="J801" i="2"/>
  <c r="I801" i="2"/>
  <c r="J785" i="2"/>
  <c r="I785" i="2"/>
  <c r="J769" i="2"/>
  <c r="I769" i="2"/>
  <c r="J753" i="2"/>
  <c r="I753" i="2"/>
  <c r="J625" i="2"/>
  <c r="I625" i="2"/>
  <c r="J545" i="2"/>
  <c r="I545" i="2"/>
  <c r="J529" i="2"/>
  <c r="I529" i="2"/>
  <c r="J513" i="2"/>
  <c r="I513" i="2"/>
  <c r="J497" i="2"/>
  <c r="I497" i="2"/>
  <c r="J449" i="2"/>
  <c r="I449" i="2"/>
  <c r="I1910" i="2"/>
  <c r="J2026" i="2"/>
  <c r="I2026" i="2"/>
  <c r="J1850" i="2"/>
  <c r="I1850" i="2"/>
  <c r="J1642" i="2"/>
  <c r="I1642" i="2"/>
  <c r="J1498" i="2"/>
  <c r="I1498" i="2"/>
  <c r="J1290" i="2"/>
  <c r="I1290" i="2"/>
  <c r="J1178" i="2"/>
  <c r="I1178" i="2"/>
  <c r="J1018" i="2"/>
  <c r="I1018" i="2"/>
  <c r="J2071" i="2"/>
  <c r="I2071" i="2"/>
  <c r="J2089" i="2"/>
  <c r="I2089" i="2"/>
  <c r="J1897" i="2"/>
  <c r="I1897" i="2"/>
  <c r="J1801" i="2"/>
  <c r="I1801" i="2"/>
  <c r="J1625" i="2"/>
  <c r="I1625" i="2"/>
  <c r="J1449" i="2"/>
  <c r="I1449" i="2"/>
  <c r="J1273" i="2"/>
  <c r="I1273" i="2"/>
  <c r="J1081" i="2"/>
  <c r="I1081" i="2"/>
  <c r="J921" i="2"/>
  <c r="I921" i="2"/>
  <c r="J745" i="2"/>
  <c r="I745" i="2"/>
  <c r="J2072" i="2"/>
  <c r="I2072" i="2"/>
  <c r="I1832" i="2"/>
  <c r="J1832" i="2"/>
  <c r="J1608" i="2"/>
  <c r="I1608" i="2"/>
  <c r="J1400" i="2"/>
  <c r="I1400" i="2"/>
  <c r="I1240" i="2"/>
  <c r="J1240" i="2"/>
  <c r="J1064" i="2"/>
  <c r="I1064" i="2"/>
  <c r="J936" i="2"/>
  <c r="I936" i="2"/>
  <c r="J808" i="2"/>
  <c r="I808" i="2"/>
  <c r="J712" i="2"/>
  <c r="I712" i="2"/>
  <c r="J600" i="2"/>
  <c r="I600" i="2"/>
  <c r="J472" i="2"/>
  <c r="I472" i="2"/>
  <c r="J312" i="2"/>
  <c r="I312" i="2"/>
  <c r="J104" i="2"/>
  <c r="I104" i="2"/>
  <c r="J1735" i="2"/>
  <c r="I1735" i="2"/>
  <c r="J1559" i="2"/>
  <c r="I1559" i="2"/>
  <c r="J1415" i="2"/>
  <c r="I1415" i="2"/>
  <c r="J1271" i="2"/>
  <c r="I1271" i="2"/>
  <c r="J1175" i="2"/>
  <c r="I1175" i="2"/>
  <c r="J1079" i="2"/>
  <c r="I1079" i="2"/>
  <c r="J919" i="2"/>
  <c r="I919" i="2"/>
  <c r="I743" i="2"/>
  <c r="J743" i="2"/>
  <c r="J615" i="2"/>
  <c r="I615" i="2"/>
  <c r="I487" i="2"/>
  <c r="J487" i="2"/>
  <c r="J327" i="2"/>
  <c r="I327" i="2"/>
  <c r="J231" i="2"/>
  <c r="I231" i="2"/>
  <c r="J87" i="2"/>
  <c r="I87" i="2"/>
  <c r="J2182" i="2"/>
  <c r="I2182" i="2"/>
  <c r="J2022" i="2"/>
  <c r="I2022" i="2"/>
  <c r="I1894" i="2"/>
  <c r="J1894" i="2"/>
  <c r="J1622" i="2"/>
  <c r="I1622" i="2"/>
  <c r="J1462" i="2"/>
  <c r="I1462" i="2"/>
  <c r="J1174" i="2"/>
  <c r="I1174" i="2"/>
  <c r="I1046" i="2"/>
  <c r="J1046" i="2"/>
  <c r="J886" i="2"/>
  <c r="I886" i="2"/>
  <c r="J710" i="2"/>
  <c r="I710" i="2"/>
  <c r="J518" i="2"/>
  <c r="I518" i="2"/>
  <c r="I358" i="2"/>
  <c r="J358" i="2"/>
  <c r="I198" i="2"/>
  <c r="J198" i="2"/>
  <c r="J70" i="2"/>
  <c r="I70" i="2"/>
  <c r="J2163" i="2"/>
  <c r="I2163" i="2"/>
  <c r="J2019" i="2"/>
  <c r="I2019" i="2"/>
  <c r="J1875" i="2"/>
  <c r="I1875" i="2"/>
  <c r="J1763" i="2"/>
  <c r="I1763" i="2"/>
  <c r="J1635" i="2"/>
  <c r="I1635" i="2"/>
  <c r="J1507" i="2"/>
  <c r="I1507" i="2"/>
  <c r="J1379" i="2"/>
  <c r="I1379" i="2"/>
  <c r="J1267" i="2"/>
  <c r="I1267" i="2"/>
  <c r="J1139" i="2"/>
  <c r="I1139" i="2"/>
  <c r="J1011" i="2"/>
  <c r="I1011" i="2"/>
  <c r="J899" i="2"/>
  <c r="I899" i="2"/>
  <c r="J803" i="2"/>
  <c r="I803" i="2"/>
  <c r="J707" i="2"/>
  <c r="I707" i="2"/>
  <c r="J627" i="2"/>
  <c r="I627" i="2"/>
  <c r="J531" i="2"/>
  <c r="I531" i="2"/>
  <c r="J419" i="2"/>
  <c r="I419" i="2"/>
  <c r="J355" i="2"/>
  <c r="I355" i="2"/>
  <c r="J195" i="2"/>
  <c r="I195" i="2"/>
  <c r="J2192" i="2"/>
  <c r="I2192" i="2"/>
  <c r="J2176" i="2"/>
  <c r="I2176" i="2"/>
  <c r="J2160" i="2"/>
  <c r="I2160" i="2"/>
  <c r="J2144" i="2"/>
  <c r="I2144" i="2"/>
  <c r="J2128" i="2"/>
  <c r="I2128" i="2"/>
  <c r="J2112" i="2"/>
  <c r="I2112" i="2"/>
  <c r="J2096" i="2"/>
  <c r="I2096" i="2"/>
  <c r="J2080" i="2"/>
  <c r="I2080" i="2"/>
  <c r="J2064" i="2"/>
  <c r="I2064" i="2"/>
  <c r="J2048" i="2"/>
  <c r="I2048" i="2"/>
  <c r="J2032" i="2"/>
  <c r="I2032" i="2"/>
  <c r="J2016" i="2"/>
  <c r="I2016" i="2"/>
  <c r="J2000" i="2"/>
  <c r="I2000" i="2"/>
  <c r="J1984" i="2"/>
  <c r="I1984" i="2"/>
  <c r="J1968" i="2"/>
  <c r="I1968" i="2"/>
  <c r="J1952" i="2"/>
  <c r="I1952" i="2"/>
  <c r="J1936" i="2"/>
  <c r="I1936" i="2"/>
  <c r="J1920" i="2"/>
  <c r="I1920" i="2"/>
  <c r="J1904" i="2"/>
  <c r="I1904" i="2"/>
  <c r="J1888" i="2"/>
  <c r="I1888" i="2"/>
  <c r="I1872" i="2"/>
  <c r="J1872" i="2"/>
  <c r="J1856" i="2"/>
  <c r="I1856" i="2"/>
  <c r="J1840" i="2"/>
  <c r="I1840" i="2"/>
  <c r="J1824" i="2"/>
  <c r="I1824" i="2"/>
  <c r="J1808" i="2"/>
  <c r="I1808" i="2"/>
  <c r="J1792" i="2"/>
  <c r="I1792" i="2"/>
  <c r="J1776" i="2"/>
  <c r="I1776" i="2"/>
  <c r="J1760" i="2"/>
  <c r="I1760" i="2"/>
  <c r="J1744" i="2"/>
  <c r="I1744" i="2"/>
  <c r="J1728" i="2"/>
  <c r="I1728" i="2"/>
  <c r="J1712" i="2"/>
  <c r="I1712" i="2"/>
  <c r="J1696" i="2"/>
  <c r="I1696" i="2"/>
  <c r="J1680" i="2"/>
  <c r="I1680" i="2"/>
  <c r="J1664" i="2"/>
  <c r="I1664" i="2"/>
  <c r="J1648" i="2"/>
  <c r="I1648" i="2"/>
  <c r="J1632" i="2"/>
  <c r="I1632" i="2"/>
  <c r="J1616" i="2"/>
  <c r="I1616" i="2"/>
  <c r="J1600" i="2"/>
  <c r="I1600" i="2"/>
  <c r="J1584" i="2"/>
  <c r="I1584" i="2"/>
  <c r="J1568" i="2"/>
  <c r="I1568" i="2"/>
  <c r="J1552" i="2"/>
  <c r="I1552" i="2"/>
  <c r="J1536" i="2"/>
  <c r="I1536" i="2"/>
  <c r="J1520" i="2"/>
  <c r="I1520" i="2"/>
  <c r="J1504" i="2"/>
  <c r="I1504" i="2"/>
  <c r="J1488" i="2"/>
  <c r="I1488" i="2"/>
  <c r="J1472" i="2"/>
  <c r="I1472" i="2"/>
  <c r="J1456" i="2"/>
  <c r="I1456" i="2"/>
  <c r="J1440" i="2"/>
  <c r="I1440" i="2"/>
  <c r="J1424" i="2"/>
  <c r="I1424" i="2"/>
  <c r="J1408" i="2"/>
  <c r="I1408" i="2"/>
  <c r="J1392" i="2"/>
  <c r="I1392" i="2"/>
  <c r="J1376" i="2"/>
  <c r="I1376" i="2"/>
  <c r="J1360" i="2"/>
  <c r="I1360" i="2"/>
  <c r="J1344" i="2"/>
  <c r="I1344" i="2"/>
  <c r="J1328" i="2"/>
  <c r="I1328" i="2"/>
  <c r="J1312" i="2"/>
  <c r="I1312" i="2"/>
  <c r="J1296" i="2"/>
  <c r="I1296" i="2"/>
  <c r="J1280" i="2"/>
  <c r="I1280" i="2"/>
  <c r="J1264" i="2"/>
  <c r="I1264" i="2"/>
  <c r="J1248" i="2"/>
  <c r="I1248" i="2"/>
  <c r="J1232" i="2"/>
  <c r="I1232" i="2"/>
  <c r="J1216" i="2"/>
  <c r="I1216" i="2"/>
  <c r="J1200" i="2"/>
  <c r="I1200" i="2"/>
  <c r="J1184" i="2"/>
  <c r="I1184" i="2"/>
  <c r="J1168" i="2"/>
  <c r="I1168" i="2"/>
  <c r="J1152" i="2"/>
  <c r="I1152" i="2"/>
  <c r="J1136" i="2"/>
  <c r="I1136" i="2"/>
  <c r="J1120" i="2"/>
  <c r="I1120" i="2"/>
  <c r="J1104" i="2"/>
  <c r="I1104" i="2"/>
  <c r="J1088" i="2"/>
  <c r="I1088" i="2"/>
  <c r="J1072" i="2"/>
  <c r="I1072" i="2"/>
  <c r="J1056" i="2"/>
  <c r="I1056" i="2"/>
  <c r="J1040" i="2"/>
  <c r="I1040" i="2"/>
  <c r="J1024" i="2"/>
  <c r="I1024" i="2"/>
  <c r="J1008" i="2"/>
  <c r="I1008" i="2"/>
  <c r="J992" i="2"/>
  <c r="I992" i="2"/>
  <c r="J976" i="2"/>
  <c r="I976" i="2"/>
  <c r="J960" i="2"/>
  <c r="I960" i="2"/>
  <c r="J944" i="2"/>
  <c r="I944" i="2"/>
  <c r="J928" i="2"/>
  <c r="I928" i="2"/>
  <c r="J912" i="2"/>
  <c r="I912" i="2"/>
  <c r="J896" i="2"/>
  <c r="I896" i="2"/>
  <c r="J880" i="2"/>
  <c r="I880" i="2"/>
  <c r="J864" i="2"/>
  <c r="I864" i="2"/>
  <c r="J848" i="2"/>
  <c r="I848" i="2"/>
  <c r="J832" i="2"/>
  <c r="I832" i="2"/>
  <c r="J816" i="2"/>
  <c r="I816" i="2"/>
  <c r="J800" i="2"/>
  <c r="I800" i="2"/>
  <c r="J784" i="2"/>
  <c r="I784" i="2"/>
  <c r="J768" i="2"/>
  <c r="I768" i="2"/>
  <c r="J752" i="2"/>
  <c r="I752" i="2"/>
  <c r="J736" i="2"/>
  <c r="I736" i="2"/>
  <c r="J720" i="2"/>
  <c r="I720" i="2"/>
  <c r="J704" i="2"/>
  <c r="I704" i="2"/>
  <c r="J688" i="2"/>
  <c r="I688" i="2"/>
  <c r="J672" i="2"/>
  <c r="I672" i="2"/>
  <c r="J656" i="2"/>
  <c r="I656" i="2"/>
  <c r="J640" i="2"/>
  <c r="I640" i="2"/>
  <c r="J624" i="2"/>
  <c r="I624" i="2"/>
  <c r="J608" i="2"/>
  <c r="I608" i="2"/>
  <c r="J861" i="2"/>
  <c r="I861" i="2"/>
  <c r="I1689" i="2"/>
  <c r="J2154" i="2"/>
  <c r="I2154" i="2"/>
  <c r="J1962" i="2"/>
  <c r="I1962" i="2"/>
  <c r="J1770" i="2"/>
  <c r="I1770" i="2"/>
  <c r="J1578" i="2"/>
  <c r="I1578" i="2"/>
  <c r="J1402" i="2"/>
  <c r="I1402" i="2"/>
  <c r="J1306" i="2"/>
  <c r="I1306" i="2"/>
  <c r="J1114" i="2"/>
  <c r="I1114" i="2"/>
  <c r="J938" i="2"/>
  <c r="I938" i="2"/>
  <c r="J2153" i="2"/>
  <c r="I2153" i="2"/>
  <c r="J2009" i="2"/>
  <c r="I2009" i="2"/>
  <c r="J1833" i="2"/>
  <c r="I1833" i="2"/>
  <c r="J1657" i="2"/>
  <c r="I1657" i="2"/>
  <c r="I1481" i="2"/>
  <c r="J1481" i="2"/>
  <c r="J1353" i="2"/>
  <c r="I1353" i="2"/>
  <c r="J1145" i="2"/>
  <c r="I1145" i="2"/>
  <c r="J953" i="2"/>
  <c r="I953" i="2"/>
  <c r="J761" i="2"/>
  <c r="I761" i="2"/>
  <c r="J57" i="2"/>
  <c r="I57" i="2"/>
  <c r="J1334" i="2"/>
  <c r="I1334" i="2"/>
  <c r="J2184" i="2"/>
  <c r="I2184" i="2"/>
  <c r="J2008" i="2"/>
  <c r="I2008" i="2"/>
  <c r="J1864" i="2"/>
  <c r="I1864" i="2"/>
  <c r="J1720" i="2"/>
  <c r="I1720" i="2"/>
  <c r="J1560" i="2"/>
  <c r="I1560" i="2"/>
  <c r="J1384" i="2"/>
  <c r="I1384" i="2"/>
  <c r="J1256" i="2"/>
  <c r="I1256" i="2"/>
  <c r="J1080" i="2"/>
  <c r="I1080" i="2"/>
  <c r="J920" i="2"/>
  <c r="I920" i="2"/>
  <c r="J776" i="2"/>
  <c r="I776" i="2"/>
  <c r="I664" i="2"/>
  <c r="J664" i="2"/>
  <c r="I552" i="2"/>
  <c r="J552" i="2"/>
  <c r="J424" i="2"/>
  <c r="I424" i="2"/>
  <c r="I296" i="2"/>
  <c r="J296" i="2"/>
  <c r="J40" i="2"/>
  <c r="I40" i="2"/>
  <c r="J1751" i="2"/>
  <c r="I1751" i="2"/>
  <c r="J1623" i="2"/>
  <c r="I1623" i="2"/>
  <c r="J1479" i="2"/>
  <c r="I1479" i="2"/>
  <c r="J1303" i="2"/>
  <c r="I1303" i="2"/>
  <c r="J1127" i="2"/>
  <c r="I1127" i="2"/>
  <c r="J983" i="2"/>
  <c r="I983" i="2"/>
  <c r="J855" i="2"/>
  <c r="I855" i="2"/>
  <c r="J695" i="2"/>
  <c r="I695" i="2"/>
  <c r="J551" i="2"/>
  <c r="I551" i="2"/>
  <c r="J455" i="2"/>
  <c r="I455" i="2"/>
  <c r="J295" i="2"/>
  <c r="I295" i="2"/>
  <c r="J183" i="2"/>
  <c r="I183" i="2"/>
  <c r="J39" i="2"/>
  <c r="I39" i="2"/>
  <c r="J2086" i="2"/>
  <c r="I2086" i="2"/>
  <c r="J1942" i="2"/>
  <c r="I1942" i="2"/>
  <c r="J1814" i="2"/>
  <c r="I1814" i="2"/>
  <c r="J1670" i="2"/>
  <c r="I1670" i="2"/>
  <c r="J1494" i="2"/>
  <c r="I1494" i="2"/>
  <c r="J1350" i="2"/>
  <c r="I1350" i="2"/>
  <c r="J1190" i="2"/>
  <c r="I1190" i="2"/>
  <c r="J1062" i="2"/>
  <c r="I1062" i="2"/>
  <c r="J790" i="2"/>
  <c r="I790" i="2"/>
  <c r="J694" i="2"/>
  <c r="I694" i="2"/>
  <c r="J566" i="2"/>
  <c r="I566" i="2"/>
  <c r="J454" i="2"/>
  <c r="I454" i="2"/>
  <c r="J326" i="2"/>
  <c r="I326" i="2"/>
  <c r="J214" i="2"/>
  <c r="I214" i="2"/>
  <c r="J86" i="2"/>
  <c r="I86" i="2"/>
  <c r="J6" i="2"/>
  <c r="I6" i="2"/>
  <c r="I2131" i="2"/>
  <c r="J2131" i="2"/>
  <c r="J2035" i="2"/>
  <c r="I2035" i="2"/>
  <c r="J1939" i="2"/>
  <c r="I1939" i="2"/>
  <c r="J1811" i="2"/>
  <c r="I1811" i="2"/>
  <c r="J1699" i="2"/>
  <c r="I1699" i="2"/>
  <c r="J1571" i="2"/>
  <c r="I1571" i="2"/>
  <c r="J1443" i="2"/>
  <c r="I1443" i="2"/>
  <c r="J1315" i="2"/>
  <c r="I1315" i="2"/>
  <c r="J1187" i="2"/>
  <c r="I1187" i="2"/>
  <c r="J1059" i="2"/>
  <c r="I1059" i="2"/>
  <c r="J963" i="2"/>
  <c r="I963" i="2"/>
  <c r="J835" i="2"/>
  <c r="I835" i="2"/>
  <c r="J739" i="2"/>
  <c r="I739" i="2"/>
  <c r="J563" i="2"/>
  <c r="I563" i="2"/>
  <c r="J451" i="2"/>
  <c r="I451" i="2"/>
  <c r="J323" i="2"/>
  <c r="I323" i="2"/>
  <c r="J211" i="2"/>
  <c r="I211" i="2"/>
  <c r="J83" i="2"/>
  <c r="I83" i="2"/>
  <c r="I2191" i="2"/>
  <c r="J2191" i="2"/>
  <c r="J2175" i="2"/>
  <c r="I2175" i="2"/>
  <c r="J2159" i="2"/>
  <c r="I2159" i="2"/>
  <c r="J2143" i="2"/>
  <c r="I2143" i="2"/>
  <c r="J2127" i="2"/>
  <c r="I2127" i="2"/>
  <c r="J2111" i="2"/>
  <c r="I2111" i="2"/>
  <c r="J2095" i="2"/>
  <c r="I2095" i="2"/>
  <c r="J2079" i="2"/>
  <c r="I2079" i="2"/>
  <c r="J2063" i="2"/>
  <c r="I2063" i="2"/>
  <c r="J2047" i="2"/>
  <c r="I2047" i="2"/>
  <c r="J2031" i="2"/>
  <c r="I2031" i="2"/>
  <c r="J2015" i="2"/>
  <c r="I2015" i="2"/>
  <c r="J1999" i="2"/>
  <c r="I1999" i="2"/>
  <c r="J1983" i="2"/>
  <c r="I1983" i="2"/>
  <c r="J1967" i="2"/>
  <c r="I1967" i="2"/>
  <c r="J1951" i="2"/>
  <c r="I1951" i="2"/>
  <c r="J1935" i="2"/>
  <c r="I1935" i="2"/>
  <c r="J1919" i="2"/>
  <c r="I1919" i="2"/>
  <c r="J1903" i="2"/>
  <c r="I1903" i="2"/>
  <c r="J1887" i="2"/>
  <c r="I1887" i="2"/>
  <c r="J1871" i="2"/>
  <c r="I1871" i="2"/>
  <c r="J1855" i="2"/>
  <c r="I1855" i="2"/>
  <c r="J1839" i="2"/>
  <c r="I1839" i="2"/>
  <c r="J1823" i="2"/>
  <c r="I1823" i="2"/>
  <c r="J1807" i="2"/>
  <c r="I1807" i="2"/>
  <c r="J1791" i="2"/>
  <c r="I1791" i="2"/>
  <c r="J1775" i="2"/>
  <c r="I1775" i="2"/>
  <c r="J1759" i="2"/>
  <c r="I1759" i="2"/>
  <c r="J1727" i="2"/>
  <c r="I1727" i="2"/>
  <c r="J1711" i="2"/>
  <c r="I1711" i="2"/>
  <c r="J1695" i="2"/>
  <c r="I1695" i="2"/>
  <c r="J1679" i="2"/>
  <c r="I1679" i="2"/>
  <c r="J1663" i="2"/>
  <c r="I1663" i="2"/>
  <c r="J1647" i="2"/>
  <c r="I1647" i="2"/>
  <c r="J1631" i="2"/>
  <c r="I1631" i="2"/>
  <c r="J1615" i="2"/>
  <c r="I1615" i="2"/>
  <c r="J1599" i="2"/>
  <c r="I1599" i="2"/>
  <c r="J1583" i="2"/>
  <c r="I1583" i="2"/>
  <c r="J1567" i="2"/>
  <c r="I1567" i="2"/>
  <c r="J1551" i="2"/>
  <c r="I1551" i="2"/>
  <c r="J1535" i="2"/>
  <c r="I1535" i="2"/>
  <c r="J1519" i="2"/>
  <c r="I1519" i="2"/>
  <c r="J1503" i="2"/>
  <c r="I1503" i="2"/>
  <c r="J1487" i="2"/>
  <c r="I1487" i="2"/>
  <c r="J1471" i="2"/>
  <c r="I1471" i="2"/>
  <c r="J1455" i="2"/>
  <c r="I1455" i="2"/>
  <c r="J1439" i="2"/>
  <c r="I1439" i="2"/>
  <c r="J1423" i="2"/>
  <c r="I1423" i="2"/>
  <c r="J1407" i="2"/>
  <c r="I1407" i="2"/>
  <c r="J1375" i="2"/>
  <c r="I1375" i="2"/>
  <c r="J1359" i="2"/>
  <c r="I1359" i="2"/>
  <c r="J1343" i="2"/>
  <c r="I1343" i="2"/>
  <c r="J1327" i="2"/>
  <c r="I1327" i="2"/>
  <c r="J1311" i="2"/>
  <c r="I1311" i="2"/>
  <c r="J1295" i="2"/>
  <c r="I1295" i="2"/>
  <c r="J1279" i="2"/>
  <c r="I1279" i="2"/>
  <c r="J1263" i="2"/>
  <c r="I1263" i="2"/>
  <c r="J1247" i="2"/>
  <c r="I1247" i="2"/>
  <c r="J1231" i="2"/>
  <c r="I1231" i="2"/>
  <c r="J1215" i="2"/>
  <c r="I1215" i="2"/>
  <c r="J1199" i="2"/>
  <c r="I1199" i="2"/>
  <c r="J1183" i="2"/>
  <c r="I1183" i="2"/>
  <c r="J1167" i="2"/>
  <c r="I1167" i="2"/>
  <c r="J1151" i="2"/>
  <c r="I1151" i="2"/>
  <c r="J1135" i="2"/>
  <c r="I1135" i="2"/>
  <c r="J1119" i="2"/>
  <c r="I1119" i="2"/>
  <c r="J1103" i="2"/>
  <c r="I1103" i="2"/>
  <c r="J1087" i="2"/>
  <c r="I1087" i="2"/>
  <c r="J1071" i="2"/>
  <c r="I1071" i="2"/>
  <c r="J1055" i="2"/>
  <c r="I1055" i="2"/>
  <c r="J1039" i="2"/>
  <c r="I1039" i="2"/>
  <c r="J1023" i="2"/>
  <c r="I1023" i="2"/>
  <c r="J1007" i="2"/>
  <c r="I1007" i="2"/>
  <c r="J991" i="2"/>
  <c r="I991" i="2"/>
  <c r="J959" i="2"/>
  <c r="I959" i="2"/>
  <c r="J879" i="2"/>
  <c r="I879" i="2"/>
  <c r="J863" i="2"/>
  <c r="I863" i="2"/>
  <c r="J847" i="2"/>
  <c r="I847" i="2"/>
  <c r="J831" i="2"/>
  <c r="I831" i="2"/>
  <c r="J783" i="2"/>
  <c r="I783" i="2"/>
  <c r="J703" i="2"/>
  <c r="I703" i="2"/>
  <c r="J623" i="2"/>
  <c r="I623" i="2"/>
  <c r="J607" i="2"/>
  <c r="I607" i="2"/>
  <c r="J591" i="2"/>
  <c r="I591" i="2"/>
  <c r="J575" i="2"/>
  <c r="I575" i="2"/>
  <c r="J527" i="2"/>
  <c r="I527" i="2"/>
  <c r="J447" i="2"/>
  <c r="I447" i="2"/>
  <c r="J415" i="2"/>
  <c r="I415" i="2"/>
  <c r="J383" i="2"/>
  <c r="I383" i="2"/>
  <c r="J319" i="2"/>
  <c r="I319" i="2"/>
  <c r="J287" i="2"/>
  <c r="I287" i="2"/>
  <c r="J255" i="2"/>
  <c r="I255" i="2"/>
  <c r="J223" i="2"/>
  <c r="I223" i="2"/>
  <c r="J191" i="2"/>
  <c r="I191" i="2"/>
  <c r="J159" i="2"/>
  <c r="I159" i="2"/>
  <c r="J127" i="2"/>
  <c r="I127" i="2"/>
  <c r="J63" i="2"/>
  <c r="I63" i="2"/>
  <c r="J15" i="2"/>
  <c r="I15" i="2"/>
  <c r="I1495" i="2"/>
  <c r="J1786" i="2"/>
  <c r="I1786" i="2"/>
  <c r="J2025" i="2"/>
  <c r="I2025" i="2"/>
  <c r="J1992" i="2"/>
  <c r="I1992" i="2"/>
  <c r="J1784" i="2"/>
  <c r="I1784" i="2"/>
  <c r="J1576" i="2"/>
  <c r="I1576" i="2"/>
  <c r="J1320" i="2"/>
  <c r="I1320" i="2"/>
  <c r="J1000" i="2"/>
  <c r="I1000" i="2"/>
  <c r="J136" i="2"/>
  <c r="I136" i="2"/>
  <c r="J1607" i="2"/>
  <c r="I1607" i="2"/>
  <c r="J1431" i="2"/>
  <c r="I1431" i="2"/>
  <c r="J1207" i="2"/>
  <c r="I1207" i="2"/>
  <c r="J775" i="2"/>
  <c r="I775" i="2"/>
  <c r="J583" i="2"/>
  <c r="I583" i="2"/>
  <c r="I407" i="2"/>
  <c r="J407" i="2"/>
  <c r="J119" i="2"/>
  <c r="I119" i="2"/>
  <c r="J2166" i="2"/>
  <c r="I2166" i="2"/>
  <c r="I1926" i="2"/>
  <c r="J1926" i="2"/>
  <c r="J1718" i="2"/>
  <c r="I1718" i="2"/>
  <c r="J1478" i="2"/>
  <c r="I1478" i="2"/>
  <c r="J1238" i="2"/>
  <c r="I1238" i="2"/>
  <c r="I902" i="2"/>
  <c r="J902" i="2"/>
  <c r="J438" i="2"/>
  <c r="I438" i="2"/>
  <c r="J2115" i="2"/>
  <c r="I2115" i="2"/>
  <c r="J2003" i="2"/>
  <c r="I2003" i="2"/>
  <c r="J1891" i="2"/>
  <c r="I1891" i="2"/>
  <c r="J1747" i="2"/>
  <c r="I1747" i="2"/>
  <c r="J1587" i="2"/>
  <c r="I1587" i="2"/>
  <c r="J1395" i="2"/>
  <c r="I1395" i="2"/>
  <c r="J1155" i="2"/>
  <c r="I1155" i="2"/>
  <c r="J723" i="2"/>
  <c r="I723" i="2"/>
  <c r="J2190" i="2"/>
  <c r="I2190" i="2"/>
  <c r="J2174" i="2"/>
  <c r="I2174" i="2"/>
  <c r="J2158" i="2"/>
  <c r="I2158" i="2"/>
  <c r="J2142" i="2"/>
  <c r="I2142" i="2"/>
  <c r="J2126" i="2"/>
  <c r="I2126" i="2"/>
  <c r="J2110" i="2"/>
  <c r="I2110" i="2"/>
  <c r="J2094" i="2"/>
  <c r="I2094" i="2"/>
  <c r="J2078" i="2"/>
  <c r="I2078" i="2"/>
  <c r="J2062" i="2"/>
  <c r="I2062" i="2"/>
  <c r="J2046" i="2"/>
  <c r="I2046" i="2"/>
  <c r="J2030" i="2"/>
  <c r="I2030" i="2"/>
  <c r="J2014" i="2"/>
  <c r="I2014" i="2"/>
  <c r="J1998" i="2"/>
  <c r="I1998" i="2"/>
  <c r="J1982" i="2"/>
  <c r="I1982" i="2"/>
  <c r="J1966" i="2"/>
  <c r="I1966" i="2"/>
  <c r="J1950" i="2"/>
  <c r="I1950" i="2"/>
  <c r="J1934" i="2"/>
  <c r="I1934" i="2"/>
  <c r="J1918" i="2"/>
  <c r="I1918" i="2"/>
  <c r="J1902" i="2"/>
  <c r="I1902" i="2"/>
  <c r="J1886" i="2"/>
  <c r="I1886" i="2"/>
  <c r="J1870" i="2"/>
  <c r="I1870" i="2"/>
  <c r="J1854" i="2"/>
  <c r="I1854" i="2"/>
  <c r="J1838" i="2"/>
  <c r="I1838" i="2"/>
  <c r="J1822" i="2"/>
  <c r="I1822" i="2"/>
  <c r="J1806" i="2"/>
  <c r="I1806" i="2"/>
  <c r="J1790" i="2"/>
  <c r="I1790" i="2"/>
  <c r="J1774" i="2"/>
  <c r="I1774" i="2"/>
  <c r="J1758" i="2"/>
  <c r="I1758" i="2"/>
  <c r="J1742" i="2"/>
  <c r="I1742" i="2"/>
  <c r="J1726" i="2"/>
  <c r="I1726" i="2"/>
  <c r="J1710" i="2"/>
  <c r="I1710" i="2"/>
  <c r="J1694" i="2"/>
  <c r="I1694" i="2"/>
  <c r="J1678" i="2"/>
  <c r="I1678" i="2"/>
  <c r="J1662" i="2"/>
  <c r="I1662" i="2"/>
  <c r="J1646" i="2"/>
  <c r="I1646" i="2"/>
  <c r="J1630" i="2"/>
  <c r="I1630" i="2"/>
  <c r="J1614" i="2"/>
  <c r="I1614" i="2"/>
  <c r="J1598" i="2"/>
  <c r="I1598" i="2"/>
  <c r="J1566" i="2"/>
  <c r="I1566" i="2"/>
  <c r="I1550" i="2"/>
  <c r="J1550" i="2"/>
  <c r="J1534" i="2"/>
  <c r="I1534" i="2"/>
  <c r="J1518" i="2"/>
  <c r="I1518" i="2"/>
  <c r="J1502" i="2"/>
  <c r="I1502" i="2"/>
  <c r="J1486" i="2"/>
  <c r="I1486" i="2"/>
  <c r="J1470" i="2"/>
  <c r="I1470" i="2"/>
  <c r="J1454" i="2"/>
  <c r="I1454" i="2"/>
  <c r="J1438" i="2"/>
  <c r="I1438" i="2"/>
  <c r="J1422" i="2"/>
  <c r="I1422" i="2"/>
  <c r="J1406" i="2"/>
  <c r="I1406" i="2"/>
  <c r="I1390" i="2"/>
  <c r="J1390" i="2"/>
  <c r="J1374" i="2"/>
  <c r="I1374" i="2"/>
  <c r="J1358" i="2"/>
  <c r="I1358" i="2"/>
  <c r="J1342" i="2"/>
  <c r="I1342" i="2"/>
  <c r="J1326" i="2"/>
  <c r="I1326" i="2"/>
  <c r="J1310" i="2"/>
  <c r="I1310" i="2"/>
  <c r="J1294" i="2"/>
  <c r="I1294" i="2"/>
  <c r="J1278" i="2"/>
  <c r="I1278" i="2"/>
  <c r="J1262" i="2"/>
  <c r="I1262" i="2"/>
  <c r="J1246" i="2"/>
  <c r="I1246" i="2"/>
  <c r="J1230" i="2"/>
  <c r="I1230" i="2"/>
  <c r="J1214" i="2"/>
  <c r="I1214" i="2"/>
  <c r="J1198" i="2"/>
  <c r="I1198" i="2"/>
  <c r="J1182" i="2"/>
  <c r="I1182" i="2"/>
  <c r="J1166" i="2"/>
  <c r="I1166" i="2"/>
  <c r="J1150" i="2"/>
  <c r="I1150" i="2"/>
  <c r="J1134" i="2"/>
  <c r="I1134" i="2"/>
  <c r="J1118" i="2"/>
  <c r="I1118" i="2"/>
  <c r="J1102" i="2"/>
  <c r="I1102" i="2"/>
  <c r="J1086" i="2"/>
  <c r="I1086" i="2"/>
  <c r="J1070" i="2"/>
  <c r="I1070" i="2"/>
  <c r="J1054" i="2"/>
  <c r="I1054" i="2"/>
  <c r="J1038" i="2"/>
  <c r="I1038" i="2"/>
  <c r="J1022" i="2"/>
  <c r="I1022" i="2"/>
  <c r="J1006" i="2"/>
  <c r="I1006" i="2"/>
  <c r="J990" i="2"/>
  <c r="I990" i="2"/>
  <c r="J974" i="2"/>
  <c r="I974" i="2"/>
  <c r="J958" i="2"/>
  <c r="I958" i="2"/>
  <c r="J942" i="2"/>
  <c r="I942" i="2"/>
  <c r="J926" i="2"/>
  <c r="I926" i="2"/>
  <c r="J910" i="2"/>
  <c r="I910" i="2"/>
  <c r="J894" i="2"/>
  <c r="I894" i="2"/>
  <c r="J878" i="2"/>
  <c r="I878" i="2"/>
  <c r="J862" i="2"/>
  <c r="I862" i="2"/>
  <c r="I846" i="2"/>
  <c r="J846" i="2"/>
  <c r="J830" i="2"/>
  <c r="I830" i="2"/>
  <c r="J814" i="2"/>
  <c r="I814" i="2"/>
  <c r="J798" i="2"/>
  <c r="I798" i="2"/>
  <c r="J782" i="2"/>
  <c r="I782" i="2"/>
  <c r="J766" i="2"/>
  <c r="I766" i="2"/>
  <c r="J750" i="2"/>
  <c r="I750" i="2"/>
  <c r="J734" i="2"/>
  <c r="I734" i="2"/>
  <c r="J718" i="2"/>
  <c r="I718" i="2"/>
  <c r="J702" i="2"/>
  <c r="I702" i="2"/>
  <c r="I1252" i="2"/>
  <c r="J2010" i="2"/>
  <c r="I2010" i="2"/>
  <c r="J1834" i="2"/>
  <c r="I1834" i="2"/>
  <c r="J1626" i="2"/>
  <c r="I1626" i="2"/>
  <c r="J1466" i="2"/>
  <c r="I1466" i="2"/>
  <c r="J1274" i="2"/>
  <c r="I1274" i="2"/>
  <c r="J1146" i="2"/>
  <c r="I1146" i="2"/>
  <c r="J1050" i="2"/>
  <c r="I1050" i="2"/>
  <c r="J2105" i="2"/>
  <c r="I2105" i="2"/>
  <c r="J1913" i="2"/>
  <c r="I1913" i="2"/>
  <c r="J1737" i="2"/>
  <c r="I1737" i="2"/>
  <c r="J1561" i="2"/>
  <c r="I1561" i="2"/>
  <c r="J1401" i="2"/>
  <c r="I1401" i="2"/>
  <c r="J1241" i="2"/>
  <c r="I1241" i="2"/>
  <c r="J1097" i="2"/>
  <c r="I1097" i="2"/>
  <c r="J937" i="2"/>
  <c r="I937" i="2"/>
  <c r="J793" i="2"/>
  <c r="I793" i="2"/>
  <c r="J633" i="2"/>
  <c r="I633" i="2"/>
  <c r="J1799" i="2"/>
  <c r="I1799" i="2"/>
  <c r="J2168" i="2"/>
  <c r="I2168" i="2"/>
  <c r="J1960" i="2"/>
  <c r="I1960" i="2"/>
  <c r="J1704" i="2"/>
  <c r="I1704" i="2"/>
  <c r="J1512" i="2"/>
  <c r="I1512" i="2"/>
  <c r="J1336" i="2"/>
  <c r="I1336" i="2"/>
  <c r="J1224" i="2"/>
  <c r="I1224" i="2"/>
  <c r="J1048" i="2"/>
  <c r="I1048" i="2"/>
  <c r="J888" i="2"/>
  <c r="I888" i="2"/>
  <c r="I744" i="2"/>
  <c r="J744" i="2"/>
  <c r="J616" i="2"/>
  <c r="I616" i="2"/>
  <c r="J440" i="2"/>
  <c r="I440" i="2"/>
  <c r="J1719" i="2"/>
  <c r="I1719" i="2"/>
  <c r="J1591" i="2"/>
  <c r="I1591" i="2"/>
  <c r="J1447" i="2"/>
  <c r="I1447" i="2"/>
  <c r="J1351" i="2"/>
  <c r="I1351" i="2"/>
  <c r="J1191" i="2"/>
  <c r="I1191" i="2"/>
  <c r="J1063" i="2"/>
  <c r="I1063" i="2"/>
  <c r="J903" i="2"/>
  <c r="I903" i="2"/>
  <c r="J759" i="2"/>
  <c r="I759" i="2"/>
  <c r="J631" i="2"/>
  <c r="I631" i="2"/>
  <c r="J471" i="2"/>
  <c r="I471" i="2"/>
  <c r="J343" i="2"/>
  <c r="I343" i="2"/>
  <c r="J247" i="2"/>
  <c r="I247" i="2"/>
  <c r="J103" i="2"/>
  <c r="I103" i="2"/>
  <c r="I2150" i="2"/>
  <c r="J2150" i="2"/>
  <c r="J1974" i="2"/>
  <c r="I1974" i="2"/>
  <c r="J1766" i="2"/>
  <c r="I1766" i="2"/>
  <c r="J1638" i="2"/>
  <c r="I1638" i="2"/>
  <c r="J1318" i="2"/>
  <c r="I1318" i="2"/>
  <c r="J1158" i="2"/>
  <c r="I1158" i="2"/>
  <c r="J1014" i="2"/>
  <c r="I1014" i="2"/>
  <c r="J838" i="2"/>
  <c r="I838" i="2"/>
  <c r="J646" i="2"/>
  <c r="I646" i="2"/>
  <c r="I486" i="2"/>
  <c r="J486" i="2"/>
  <c r="J342" i="2"/>
  <c r="I342" i="2"/>
  <c r="J182" i="2"/>
  <c r="I182" i="2"/>
  <c r="J54" i="2"/>
  <c r="I54" i="2"/>
  <c r="J2067" i="2"/>
  <c r="I2067" i="2"/>
  <c r="J1907" i="2"/>
  <c r="I1907" i="2"/>
  <c r="J1779" i="2"/>
  <c r="I1779" i="2"/>
  <c r="J1667" i="2"/>
  <c r="I1667" i="2"/>
  <c r="J1539" i="2"/>
  <c r="I1539" i="2"/>
  <c r="J1427" i="2"/>
  <c r="I1427" i="2"/>
  <c r="J1299" i="2"/>
  <c r="I1299" i="2"/>
  <c r="J1219" i="2"/>
  <c r="I1219" i="2"/>
  <c r="J1027" i="2"/>
  <c r="I1027" i="2"/>
  <c r="J915" i="2"/>
  <c r="I915" i="2"/>
  <c r="J787" i="2"/>
  <c r="I787" i="2"/>
  <c r="J659" i="2"/>
  <c r="I659" i="2"/>
  <c r="J579" i="2"/>
  <c r="I579" i="2"/>
  <c r="J435" i="2"/>
  <c r="I435" i="2"/>
  <c r="J275" i="2"/>
  <c r="I275" i="2"/>
  <c r="J2189" i="2"/>
  <c r="I2189" i="2"/>
  <c r="J2173" i="2"/>
  <c r="I2173" i="2"/>
  <c r="J2157" i="2"/>
  <c r="I2157" i="2"/>
  <c r="J2141" i="2"/>
  <c r="I2141" i="2"/>
  <c r="J2125" i="2"/>
  <c r="I2125" i="2"/>
  <c r="J2109" i="2"/>
  <c r="I2109" i="2"/>
  <c r="J2093" i="2"/>
  <c r="I2093" i="2"/>
  <c r="J2077" i="2"/>
  <c r="I2077" i="2"/>
  <c r="J2061" i="2"/>
  <c r="I2061" i="2"/>
  <c r="J2045" i="2"/>
  <c r="I2045" i="2"/>
  <c r="J2029" i="2"/>
  <c r="I2029" i="2"/>
  <c r="J2013" i="2"/>
  <c r="I2013" i="2"/>
  <c r="I1997" i="2"/>
  <c r="J1997" i="2"/>
  <c r="J1981" i="2"/>
  <c r="I1981" i="2"/>
  <c r="J1965" i="2"/>
  <c r="I1965" i="2"/>
  <c r="J1949" i="2"/>
  <c r="I1949" i="2"/>
  <c r="J1933" i="2"/>
  <c r="I1933" i="2"/>
  <c r="J1917" i="2"/>
  <c r="I1917" i="2"/>
  <c r="J1901" i="2"/>
  <c r="I1901" i="2"/>
  <c r="J1885" i="2"/>
  <c r="I1885" i="2"/>
  <c r="J1869" i="2"/>
  <c r="I1869" i="2"/>
  <c r="I1853" i="2"/>
  <c r="J1853" i="2"/>
  <c r="J1837" i="2"/>
  <c r="I1837" i="2"/>
  <c r="I1821" i="2"/>
  <c r="J1821" i="2"/>
  <c r="J1805" i="2"/>
  <c r="I1805" i="2"/>
  <c r="I1789" i="2"/>
  <c r="J1789" i="2"/>
  <c r="J1773" i="2"/>
  <c r="I1773" i="2"/>
  <c r="J1757" i="2"/>
  <c r="I1757" i="2"/>
  <c r="J1741" i="2"/>
  <c r="I1741" i="2"/>
  <c r="J1725" i="2"/>
  <c r="I1725" i="2"/>
  <c r="J1709" i="2"/>
  <c r="I1709" i="2"/>
  <c r="J1677" i="2"/>
  <c r="I1677" i="2"/>
  <c r="J1661" i="2"/>
  <c r="I1661" i="2"/>
  <c r="J1645" i="2"/>
  <c r="I1645" i="2"/>
  <c r="J1629" i="2"/>
  <c r="I1629" i="2"/>
  <c r="J1613" i="2"/>
  <c r="I1613" i="2"/>
  <c r="J1597" i="2"/>
  <c r="I1597" i="2"/>
  <c r="J1581" i="2"/>
  <c r="I1581" i="2"/>
  <c r="J1565" i="2"/>
  <c r="I1565" i="2"/>
  <c r="J1549" i="2"/>
  <c r="I1549" i="2"/>
  <c r="J1533" i="2"/>
  <c r="I1533" i="2"/>
  <c r="J1517" i="2"/>
  <c r="I1517" i="2"/>
  <c r="J1501" i="2"/>
  <c r="I1501" i="2"/>
  <c r="J1485" i="2"/>
  <c r="I1485" i="2"/>
  <c r="J1469" i="2"/>
  <c r="I1469" i="2"/>
  <c r="J1453" i="2"/>
  <c r="I1453" i="2"/>
  <c r="J1437" i="2"/>
  <c r="I1437" i="2"/>
  <c r="J1421" i="2"/>
  <c r="I1421" i="2"/>
  <c r="J1405" i="2"/>
  <c r="I1405" i="2"/>
  <c r="J1389" i="2"/>
  <c r="I1389" i="2"/>
  <c r="J1373" i="2"/>
  <c r="I1373" i="2"/>
  <c r="J1357" i="2"/>
  <c r="I1357" i="2"/>
  <c r="J1341" i="2"/>
  <c r="I1341" i="2"/>
  <c r="J1325" i="2"/>
  <c r="I1325" i="2"/>
  <c r="J1309" i="2"/>
  <c r="I1309" i="2"/>
  <c r="J1293" i="2"/>
  <c r="I1293" i="2"/>
  <c r="J1277" i="2"/>
  <c r="I1277" i="2"/>
  <c r="J1261" i="2"/>
  <c r="I1261" i="2"/>
  <c r="J1245" i="2"/>
  <c r="I1245" i="2"/>
  <c r="J1229" i="2"/>
  <c r="I1229" i="2"/>
  <c r="J1213" i="2"/>
  <c r="I1213" i="2"/>
  <c r="J1197" i="2"/>
  <c r="I1197" i="2"/>
  <c r="J1181" i="2"/>
  <c r="I1181" i="2"/>
  <c r="J1165" i="2"/>
  <c r="I1165" i="2"/>
  <c r="J1149" i="2"/>
  <c r="I1149" i="2"/>
  <c r="J1133" i="2"/>
  <c r="I1133" i="2"/>
  <c r="J1117" i="2"/>
  <c r="I1117" i="2"/>
  <c r="J1101" i="2"/>
  <c r="I1101" i="2"/>
  <c r="J1085" i="2"/>
  <c r="I1085" i="2"/>
  <c r="I1069" i="2"/>
  <c r="J1069" i="2"/>
  <c r="J1053" i="2"/>
  <c r="I1053" i="2"/>
  <c r="J1037" i="2"/>
  <c r="I1037" i="2"/>
  <c r="J957" i="2"/>
  <c r="I957" i="2"/>
  <c r="J941" i="2"/>
  <c r="I941" i="2"/>
  <c r="J925" i="2"/>
  <c r="I925" i="2"/>
  <c r="J909" i="2"/>
  <c r="I909" i="2"/>
  <c r="J781" i="2"/>
  <c r="I781" i="2"/>
  <c r="J701" i="2"/>
  <c r="I701" i="2"/>
  <c r="J685" i="2"/>
  <c r="I685" i="2"/>
  <c r="J669" i="2"/>
  <c r="I669" i="2"/>
  <c r="J653" i="2"/>
  <c r="I653" i="2"/>
  <c r="J605" i="2"/>
  <c r="I605" i="2"/>
  <c r="J525" i="2"/>
  <c r="I525" i="2"/>
  <c r="J445" i="2"/>
  <c r="I445" i="2"/>
  <c r="J429" i="2"/>
  <c r="I429" i="2"/>
  <c r="J413" i="2"/>
  <c r="I413" i="2"/>
  <c r="J397" i="2"/>
  <c r="I397" i="2"/>
  <c r="J381" i="2"/>
  <c r="I381" i="2"/>
  <c r="J365" i="2"/>
  <c r="I365" i="2"/>
  <c r="J349" i="2"/>
  <c r="I349" i="2"/>
  <c r="J333" i="2"/>
  <c r="I333" i="2"/>
  <c r="J317" i="2"/>
  <c r="I317" i="2"/>
  <c r="J301" i="2"/>
  <c r="I301" i="2"/>
  <c r="J285" i="2"/>
  <c r="I285" i="2"/>
  <c r="J269" i="2"/>
  <c r="I269" i="2"/>
  <c r="J253" i="2"/>
  <c r="I253" i="2"/>
  <c r="J237" i="2"/>
  <c r="I237" i="2"/>
  <c r="J221" i="2"/>
  <c r="I221" i="2"/>
  <c r="J205" i="2"/>
  <c r="I205" i="2"/>
  <c r="J189" i="2"/>
  <c r="I189" i="2"/>
  <c r="J173" i="2"/>
  <c r="I173" i="2"/>
  <c r="J157" i="2"/>
  <c r="I157" i="2"/>
  <c r="J141" i="2"/>
  <c r="I141" i="2"/>
  <c r="J125" i="2"/>
  <c r="I125" i="2"/>
  <c r="J109" i="2"/>
  <c r="I109" i="2"/>
  <c r="J93" i="2"/>
  <c r="I93" i="2"/>
  <c r="J705" i="2"/>
  <c r="I705" i="2"/>
  <c r="I935" i="2"/>
  <c r="J2106" i="2"/>
  <c r="I2106" i="2"/>
  <c r="J1818" i="2"/>
  <c r="I1818" i="2"/>
  <c r="J1002" i="2"/>
  <c r="I1002" i="2"/>
  <c r="J2121" i="2"/>
  <c r="I2121" i="2"/>
  <c r="J1929" i="2"/>
  <c r="I1929" i="2"/>
  <c r="J1817" i="2"/>
  <c r="I1817" i="2"/>
  <c r="J1593" i="2"/>
  <c r="I1593" i="2"/>
  <c r="J1417" i="2"/>
  <c r="I1417" i="2"/>
  <c r="J1209" i="2"/>
  <c r="I1209" i="2"/>
  <c r="J1033" i="2"/>
  <c r="I1033" i="2"/>
  <c r="J873" i="2"/>
  <c r="I873" i="2"/>
  <c r="J713" i="2"/>
  <c r="I713" i="2"/>
  <c r="J2104" i="2"/>
  <c r="I2104" i="2"/>
  <c r="J1912" i="2"/>
  <c r="I1912" i="2"/>
  <c r="J1736" i="2"/>
  <c r="I1736" i="2"/>
  <c r="J1592" i="2"/>
  <c r="I1592" i="2"/>
  <c r="J1432" i="2"/>
  <c r="I1432" i="2"/>
  <c r="J1144" i="2"/>
  <c r="I1144" i="2"/>
  <c r="J344" i="2"/>
  <c r="I344" i="2"/>
  <c r="J2038" i="2"/>
  <c r="I2038" i="2"/>
  <c r="J1878" i="2"/>
  <c r="I1878" i="2"/>
  <c r="J1702" i="2"/>
  <c r="I1702" i="2"/>
  <c r="J1558" i="2"/>
  <c r="I1558" i="2"/>
  <c r="J1382" i="2"/>
  <c r="I1382" i="2"/>
  <c r="J1270" i="2"/>
  <c r="I1270" i="2"/>
  <c r="J1126" i="2"/>
  <c r="I1126" i="2"/>
  <c r="J982" i="2"/>
  <c r="I982" i="2"/>
  <c r="J854" i="2"/>
  <c r="I854" i="2"/>
  <c r="J742" i="2"/>
  <c r="I742" i="2"/>
  <c r="J582" i="2"/>
  <c r="I582" i="2"/>
  <c r="J390" i="2"/>
  <c r="I390" i="2"/>
  <c r="J230" i="2"/>
  <c r="I230" i="2"/>
  <c r="J102" i="2"/>
  <c r="I102" i="2"/>
  <c r="J22" i="2"/>
  <c r="I22" i="2"/>
  <c r="J2179" i="2"/>
  <c r="I2179" i="2"/>
  <c r="J1971" i="2"/>
  <c r="I1971" i="2"/>
  <c r="J1843" i="2"/>
  <c r="I1843" i="2"/>
  <c r="J1715" i="2"/>
  <c r="I1715" i="2"/>
  <c r="J1603" i="2"/>
  <c r="I1603" i="2"/>
  <c r="J1475" i="2"/>
  <c r="I1475" i="2"/>
  <c r="J1347" i="2"/>
  <c r="I1347" i="2"/>
  <c r="J1251" i="2"/>
  <c r="I1251" i="2"/>
  <c r="J1107" i="2"/>
  <c r="I1107" i="2"/>
  <c r="J995" i="2"/>
  <c r="I995" i="2"/>
  <c r="J851" i="2"/>
  <c r="I851" i="2"/>
  <c r="J691" i="2"/>
  <c r="I691" i="2"/>
  <c r="J467" i="2"/>
  <c r="I467" i="2"/>
  <c r="J2188" i="2"/>
  <c r="I2188" i="2"/>
  <c r="J2172" i="2"/>
  <c r="I2172" i="2"/>
  <c r="J2156" i="2"/>
  <c r="I2156" i="2"/>
  <c r="J2140" i="2"/>
  <c r="I2140" i="2"/>
  <c r="J2124" i="2"/>
  <c r="I2124" i="2"/>
  <c r="J2108" i="2"/>
  <c r="I2108" i="2"/>
  <c r="J2092" i="2"/>
  <c r="I2092" i="2"/>
  <c r="J2076" i="2"/>
  <c r="I2076" i="2"/>
  <c r="J2060" i="2"/>
  <c r="I2060" i="2"/>
  <c r="J2044" i="2"/>
  <c r="I2044" i="2"/>
  <c r="J2028" i="2"/>
  <c r="I2028" i="2"/>
  <c r="J2012" i="2"/>
  <c r="I2012" i="2"/>
  <c r="J1996" i="2"/>
  <c r="I1996" i="2"/>
  <c r="J1980" i="2"/>
  <c r="I1980" i="2"/>
  <c r="I1964" i="2"/>
  <c r="J1964" i="2"/>
  <c r="J1948" i="2"/>
  <c r="I1948" i="2"/>
  <c r="J1932" i="2"/>
  <c r="I1932" i="2"/>
  <c r="J1916" i="2"/>
  <c r="I1916" i="2"/>
  <c r="J1900" i="2"/>
  <c r="I1900" i="2"/>
  <c r="J1884" i="2"/>
  <c r="I1884" i="2"/>
  <c r="J1868" i="2"/>
  <c r="I1868" i="2"/>
  <c r="J1852" i="2"/>
  <c r="I1852" i="2"/>
  <c r="J1836" i="2"/>
  <c r="I1836" i="2"/>
  <c r="J1820" i="2"/>
  <c r="I1820" i="2"/>
  <c r="J1804" i="2"/>
  <c r="I1804" i="2"/>
  <c r="J1788" i="2"/>
  <c r="I1788" i="2"/>
  <c r="J1772" i="2"/>
  <c r="I1772" i="2"/>
  <c r="J1756" i="2"/>
  <c r="I1756" i="2"/>
  <c r="J1740" i="2"/>
  <c r="I1740" i="2"/>
  <c r="J1724" i="2"/>
  <c r="I1724" i="2"/>
  <c r="J1708" i="2"/>
  <c r="I1708" i="2"/>
  <c r="I1692" i="2"/>
  <c r="J1692" i="2"/>
  <c r="J1676" i="2"/>
  <c r="I1676" i="2"/>
  <c r="J1660" i="2"/>
  <c r="I1660" i="2"/>
  <c r="I1644" i="2"/>
  <c r="J1644" i="2"/>
  <c r="J1628" i="2"/>
  <c r="I1628" i="2"/>
  <c r="J1612" i="2"/>
  <c r="I1612" i="2"/>
  <c r="J1596" i="2"/>
  <c r="I1596" i="2"/>
  <c r="J1580" i="2"/>
  <c r="I1580" i="2"/>
  <c r="J1564" i="2"/>
  <c r="I1564" i="2"/>
  <c r="J1548" i="2"/>
  <c r="I1548" i="2"/>
  <c r="J1532" i="2"/>
  <c r="I1532" i="2"/>
  <c r="I1516" i="2"/>
  <c r="J1516" i="2"/>
  <c r="J1500" i="2"/>
  <c r="I1500" i="2"/>
  <c r="J1484" i="2"/>
  <c r="I1484" i="2"/>
  <c r="J1468" i="2"/>
  <c r="I1468" i="2"/>
  <c r="J1452" i="2"/>
  <c r="I1452" i="2"/>
  <c r="J1436" i="2"/>
  <c r="I1436" i="2"/>
  <c r="J1420" i="2"/>
  <c r="I1420" i="2"/>
  <c r="J1404" i="2"/>
  <c r="I1404" i="2"/>
  <c r="J1388" i="2"/>
  <c r="I1388" i="2"/>
  <c r="J1372" i="2"/>
  <c r="I1372" i="2"/>
  <c r="J1356" i="2"/>
  <c r="I1356" i="2"/>
  <c r="J1340" i="2"/>
  <c r="I1340" i="2"/>
  <c r="J1324" i="2"/>
  <c r="I1324" i="2"/>
  <c r="J1308" i="2"/>
  <c r="I1308" i="2"/>
  <c r="J1292" i="2"/>
  <c r="I1292" i="2"/>
  <c r="J1276" i="2"/>
  <c r="I1276" i="2"/>
  <c r="J1260" i="2"/>
  <c r="I1260" i="2"/>
  <c r="J1244" i="2"/>
  <c r="I1244" i="2"/>
  <c r="J1228" i="2"/>
  <c r="I1228" i="2"/>
  <c r="J1212" i="2"/>
  <c r="I1212" i="2"/>
  <c r="J1196" i="2"/>
  <c r="I1196" i="2"/>
  <c r="J1180" i="2"/>
  <c r="I1180" i="2"/>
  <c r="J1164" i="2"/>
  <c r="I1164" i="2"/>
  <c r="J1148" i="2"/>
  <c r="I1148" i="2"/>
  <c r="J1116" i="2"/>
  <c r="I1116" i="2"/>
  <c r="J1036" i="2"/>
  <c r="I1036" i="2"/>
  <c r="J1020" i="2"/>
  <c r="I1020" i="2"/>
  <c r="J1004" i="2"/>
  <c r="I1004" i="2"/>
  <c r="J988" i="2"/>
  <c r="I988" i="2"/>
  <c r="J940" i="2"/>
  <c r="I940" i="2"/>
  <c r="J860" i="2"/>
  <c r="I860" i="2"/>
  <c r="J780" i="2"/>
  <c r="I780" i="2"/>
  <c r="J764" i="2"/>
  <c r="I764" i="2"/>
  <c r="J748" i="2"/>
  <c r="I748" i="2"/>
  <c r="J732" i="2"/>
  <c r="I732" i="2"/>
  <c r="J684" i="2"/>
  <c r="I684" i="2"/>
  <c r="I604" i="2"/>
  <c r="J604" i="2"/>
  <c r="I524" i="2"/>
  <c r="J524" i="2"/>
  <c r="J508" i="2"/>
  <c r="I508" i="2"/>
  <c r="J476" i="2"/>
  <c r="I476" i="2"/>
  <c r="J412" i="2"/>
  <c r="I412" i="2"/>
  <c r="I380" i="2"/>
  <c r="J380" i="2"/>
  <c r="J348" i="2"/>
  <c r="I348" i="2"/>
  <c r="J316" i="2"/>
  <c r="I316" i="2"/>
  <c r="J284" i="2"/>
  <c r="I284" i="2"/>
  <c r="J252" i="2"/>
  <c r="I252" i="2"/>
  <c r="J220" i="2"/>
  <c r="I220" i="2"/>
  <c r="J156" i="2"/>
  <c r="I156" i="2"/>
  <c r="J124" i="2"/>
  <c r="I124" i="2"/>
  <c r="J92" i="2"/>
  <c r="I92" i="2"/>
  <c r="J76" i="2"/>
  <c r="I76" i="2"/>
  <c r="J60" i="2"/>
  <c r="I60" i="2"/>
  <c r="J28" i="2"/>
  <c r="I28" i="2"/>
  <c r="J12" i="2"/>
  <c r="I12" i="2"/>
  <c r="I649" i="2"/>
  <c r="J649" i="2"/>
  <c r="I382" i="2"/>
  <c r="I897" i="2"/>
  <c r="I169" i="2"/>
  <c r="J1061" i="2"/>
  <c r="I1061" i="2"/>
  <c r="I1045" i="2"/>
  <c r="J1045" i="2"/>
  <c r="J1029" i="2"/>
  <c r="I1029" i="2"/>
  <c r="J1013" i="2"/>
  <c r="I1013" i="2"/>
  <c r="J933" i="2"/>
  <c r="I933" i="2"/>
  <c r="J917" i="2"/>
  <c r="I917" i="2"/>
  <c r="J885" i="2"/>
  <c r="I885" i="2"/>
  <c r="J853" i="2"/>
  <c r="I853" i="2"/>
  <c r="J837" i="2"/>
  <c r="I837" i="2"/>
  <c r="J805" i="2"/>
  <c r="I805" i="2"/>
  <c r="J789" i="2"/>
  <c r="I789" i="2"/>
  <c r="J773" i="2"/>
  <c r="I773" i="2"/>
  <c r="J757" i="2"/>
  <c r="I757" i="2"/>
  <c r="J677" i="2"/>
  <c r="I677" i="2"/>
  <c r="J661" i="2"/>
  <c r="I661" i="2"/>
  <c r="J629" i="2"/>
  <c r="I629" i="2"/>
  <c r="J613" i="2"/>
  <c r="I613" i="2"/>
  <c r="I597" i="2"/>
  <c r="J597" i="2"/>
  <c r="J581" i="2"/>
  <c r="I581" i="2"/>
  <c r="J549" i="2"/>
  <c r="I549" i="2"/>
  <c r="I533" i="2"/>
  <c r="J533" i="2"/>
  <c r="J517" i="2"/>
  <c r="I517" i="2"/>
  <c r="J501" i="2"/>
  <c r="I501" i="2"/>
  <c r="J437" i="2"/>
  <c r="I437" i="2"/>
  <c r="I405" i="2"/>
  <c r="J405" i="2"/>
  <c r="J373" i="2"/>
  <c r="I373" i="2"/>
  <c r="I341" i="2"/>
  <c r="J341" i="2"/>
  <c r="J309" i="2"/>
  <c r="I309" i="2"/>
  <c r="J277" i="2"/>
  <c r="I277" i="2"/>
  <c r="J245" i="2"/>
  <c r="I245" i="2"/>
  <c r="J213" i="2"/>
  <c r="I213" i="2"/>
  <c r="J181" i="2"/>
  <c r="I181" i="2"/>
  <c r="I149" i="2"/>
  <c r="J149" i="2"/>
  <c r="J117" i="2"/>
  <c r="I117" i="2"/>
  <c r="J85" i="2"/>
  <c r="I85" i="2"/>
  <c r="J69" i="2"/>
  <c r="I69" i="2"/>
  <c r="I53" i="2"/>
  <c r="J53" i="2"/>
  <c r="J37" i="2"/>
  <c r="I37" i="2"/>
  <c r="J21" i="2"/>
  <c r="I21" i="2"/>
  <c r="J5" i="2"/>
  <c r="I5" i="2"/>
  <c r="J836" i="2"/>
  <c r="I836" i="2"/>
  <c r="J740" i="2"/>
  <c r="I740" i="2"/>
  <c r="J708" i="2"/>
  <c r="I708" i="2"/>
  <c r="J692" i="2"/>
  <c r="I692" i="2"/>
  <c r="J676" i="2"/>
  <c r="I676" i="2"/>
  <c r="J660" i="2"/>
  <c r="I660" i="2"/>
  <c r="J628" i="2"/>
  <c r="I628" i="2"/>
  <c r="J612" i="2"/>
  <c r="I612" i="2"/>
  <c r="J596" i="2"/>
  <c r="I596" i="2"/>
  <c r="J580" i="2"/>
  <c r="I580" i="2"/>
  <c r="J500" i="2"/>
  <c r="I500" i="2"/>
  <c r="J484" i="2"/>
  <c r="I484" i="2"/>
  <c r="J452" i="2"/>
  <c r="I452" i="2"/>
  <c r="J436" i="2"/>
  <c r="I436" i="2"/>
  <c r="J420" i="2"/>
  <c r="I420" i="2"/>
  <c r="J404" i="2"/>
  <c r="I404" i="2"/>
  <c r="J388" i="2"/>
  <c r="I388" i="2"/>
  <c r="J372" i="2"/>
  <c r="I372" i="2"/>
  <c r="I356" i="2"/>
  <c r="J356" i="2"/>
  <c r="J340" i="2"/>
  <c r="I340" i="2"/>
  <c r="J324" i="2"/>
  <c r="I324" i="2"/>
  <c r="J308" i="2"/>
  <c r="I308" i="2"/>
  <c r="J292" i="2"/>
  <c r="I292" i="2"/>
  <c r="J276" i="2"/>
  <c r="I276" i="2"/>
  <c r="J260" i="2"/>
  <c r="I260" i="2"/>
  <c r="J244" i="2"/>
  <c r="I244" i="2"/>
  <c r="I228" i="2"/>
  <c r="J228" i="2"/>
  <c r="J212" i="2"/>
  <c r="I212" i="2"/>
  <c r="J196" i="2"/>
  <c r="I196" i="2"/>
  <c r="J180" i="2"/>
  <c r="I180" i="2"/>
  <c r="J164" i="2"/>
  <c r="I164" i="2"/>
  <c r="J148" i="2"/>
  <c r="I148" i="2"/>
  <c r="J132" i="2"/>
  <c r="I132" i="2"/>
  <c r="J116" i="2"/>
  <c r="I116" i="2"/>
  <c r="J100" i="2"/>
  <c r="I100" i="2"/>
  <c r="J84" i="2"/>
  <c r="I84" i="2"/>
  <c r="J68" i="2"/>
  <c r="I68" i="2"/>
  <c r="J52" i="2"/>
  <c r="I52" i="2"/>
  <c r="J36" i="2"/>
  <c r="I36" i="2"/>
  <c r="J20" i="2"/>
  <c r="I20" i="2"/>
  <c r="J4" i="2"/>
  <c r="I4" i="2"/>
  <c r="I25" i="2"/>
  <c r="I869" i="2"/>
  <c r="J754" i="2"/>
  <c r="I754" i="2"/>
  <c r="J738" i="2"/>
  <c r="I738" i="2"/>
  <c r="J658" i="2"/>
  <c r="I658" i="2"/>
  <c r="J642" i="2"/>
  <c r="I642" i="2"/>
  <c r="J610" i="2"/>
  <c r="I610" i="2"/>
  <c r="J594" i="2"/>
  <c r="I594" i="2"/>
  <c r="J578" i="2"/>
  <c r="I578" i="2"/>
  <c r="J562" i="2"/>
  <c r="I562" i="2"/>
  <c r="J530" i="2"/>
  <c r="I530" i="2"/>
  <c r="J514" i="2"/>
  <c r="I514" i="2"/>
  <c r="J498" i="2"/>
  <c r="I498" i="2"/>
  <c r="J482" i="2"/>
  <c r="I482" i="2"/>
  <c r="J450" i="2"/>
  <c r="I450" i="2"/>
  <c r="J434" i="2"/>
  <c r="I434" i="2"/>
  <c r="J418" i="2"/>
  <c r="I418" i="2"/>
  <c r="J402" i="2"/>
  <c r="I402" i="2"/>
  <c r="J386" i="2"/>
  <c r="I386" i="2"/>
  <c r="J370" i="2"/>
  <c r="I370" i="2"/>
  <c r="J354" i="2"/>
  <c r="I354" i="2"/>
  <c r="J338" i="2"/>
  <c r="I338" i="2"/>
  <c r="J322" i="2"/>
  <c r="I322" i="2"/>
  <c r="J306" i="2"/>
  <c r="I306" i="2"/>
  <c r="J290" i="2"/>
  <c r="I290" i="2"/>
  <c r="J274" i="2"/>
  <c r="I274" i="2"/>
  <c r="J258" i="2"/>
  <c r="I258" i="2"/>
  <c r="J242" i="2"/>
  <c r="I242" i="2"/>
  <c r="J226" i="2"/>
  <c r="I226" i="2"/>
  <c r="J210" i="2"/>
  <c r="I210" i="2"/>
  <c r="J194" i="2"/>
  <c r="I194" i="2"/>
  <c r="J178" i="2"/>
  <c r="I178" i="2"/>
  <c r="J162" i="2"/>
  <c r="I162" i="2"/>
  <c r="J146" i="2"/>
  <c r="I146" i="2"/>
  <c r="J130" i="2"/>
  <c r="I130" i="2"/>
  <c r="J114" i="2"/>
  <c r="I114" i="2"/>
  <c r="J98" i="2"/>
  <c r="I98" i="2"/>
  <c r="J82" i="2"/>
  <c r="I82" i="2"/>
  <c r="J66" i="2"/>
  <c r="I66" i="2"/>
  <c r="J50" i="2"/>
  <c r="I50" i="2"/>
  <c r="J34" i="2"/>
  <c r="I34" i="2"/>
  <c r="J18" i="2"/>
  <c r="I18" i="2"/>
  <c r="J2" i="2"/>
  <c r="I2" i="2"/>
  <c r="I799" i="2"/>
  <c r="J945" i="2"/>
  <c r="I945" i="2"/>
  <c r="J929" i="2"/>
  <c r="I929" i="2"/>
  <c r="J913" i="2"/>
  <c r="I913" i="2"/>
  <c r="J865" i="2"/>
  <c r="I865" i="2"/>
  <c r="J849" i="2"/>
  <c r="I849" i="2"/>
  <c r="J833" i="2"/>
  <c r="I833" i="2"/>
  <c r="J817" i="2"/>
  <c r="I817" i="2"/>
  <c r="J737" i="2"/>
  <c r="I737" i="2"/>
  <c r="J721" i="2"/>
  <c r="I721" i="2"/>
  <c r="J689" i="2"/>
  <c r="I689" i="2"/>
  <c r="J673" i="2"/>
  <c r="I673" i="2"/>
  <c r="J657" i="2"/>
  <c r="I657" i="2"/>
  <c r="I641" i="2"/>
  <c r="J641" i="2"/>
  <c r="J609" i="2"/>
  <c r="I609" i="2"/>
  <c r="J593" i="2"/>
  <c r="I593" i="2"/>
  <c r="J577" i="2"/>
  <c r="I577" i="2"/>
  <c r="J561" i="2"/>
  <c r="I561" i="2"/>
  <c r="J481" i="2"/>
  <c r="I481" i="2"/>
  <c r="J465" i="2"/>
  <c r="I465" i="2"/>
  <c r="J433" i="2"/>
  <c r="I433" i="2"/>
  <c r="J417" i="2"/>
  <c r="I417" i="2"/>
  <c r="J385" i="2"/>
  <c r="I385" i="2"/>
  <c r="J369" i="2"/>
  <c r="I369" i="2"/>
  <c r="J353" i="2"/>
  <c r="I353" i="2"/>
  <c r="J337" i="2"/>
  <c r="I337" i="2"/>
  <c r="J321" i="2"/>
  <c r="I321" i="2"/>
  <c r="J305" i="2"/>
  <c r="I305" i="2"/>
  <c r="J289" i="2"/>
  <c r="I289" i="2"/>
  <c r="J273" i="2"/>
  <c r="I273" i="2"/>
  <c r="J257" i="2"/>
  <c r="I257" i="2"/>
  <c r="J241" i="2"/>
  <c r="I241" i="2"/>
  <c r="J225" i="2"/>
  <c r="I225" i="2"/>
  <c r="J209" i="2"/>
  <c r="I209" i="2"/>
  <c r="J193" i="2"/>
  <c r="I193" i="2"/>
  <c r="J177" i="2"/>
  <c r="I177" i="2"/>
  <c r="J161" i="2"/>
  <c r="I161" i="2"/>
  <c r="J145" i="2"/>
  <c r="I145" i="2"/>
  <c r="I129" i="2"/>
  <c r="J129" i="2"/>
  <c r="J113" i="2"/>
  <c r="I113" i="2"/>
  <c r="J97" i="2"/>
  <c r="I97" i="2"/>
  <c r="J81" i="2"/>
  <c r="I81" i="2"/>
  <c r="J65" i="2"/>
  <c r="I65" i="2"/>
  <c r="J49" i="2"/>
  <c r="I49" i="2"/>
  <c r="I33" i="2"/>
  <c r="J33" i="2"/>
  <c r="J17" i="2"/>
  <c r="I17" i="2"/>
  <c r="I756" i="2"/>
  <c r="J592" i="2"/>
  <c r="I592" i="2"/>
  <c r="J576" i="2"/>
  <c r="I576" i="2"/>
  <c r="J560" i="2"/>
  <c r="I560" i="2"/>
  <c r="J544" i="2"/>
  <c r="I544" i="2"/>
  <c r="J528" i="2"/>
  <c r="I528" i="2"/>
  <c r="J496" i="2"/>
  <c r="I496" i="2"/>
  <c r="J480" i="2"/>
  <c r="I480" i="2"/>
  <c r="J464" i="2"/>
  <c r="I464" i="2"/>
  <c r="J448" i="2"/>
  <c r="I448" i="2"/>
  <c r="J432" i="2"/>
  <c r="I432" i="2"/>
  <c r="J416" i="2"/>
  <c r="I416" i="2"/>
  <c r="J400" i="2"/>
  <c r="I400" i="2"/>
  <c r="J384" i="2"/>
  <c r="I384" i="2"/>
  <c r="J368" i="2"/>
  <c r="I368" i="2"/>
  <c r="J352" i="2"/>
  <c r="I352" i="2"/>
  <c r="J336" i="2"/>
  <c r="I336" i="2"/>
  <c r="J320" i="2"/>
  <c r="I320" i="2"/>
  <c r="J304" i="2"/>
  <c r="I304" i="2"/>
  <c r="J288" i="2"/>
  <c r="I288" i="2"/>
  <c r="J272" i="2"/>
  <c r="I272" i="2"/>
  <c r="J256" i="2"/>
  <c r="I256" i="2"/>
  <c r="J240" i="2"/>
  <c r="I240" i="2"/>
  <c r="J224" i="2"/>
  <c r="I224" i="2"/>
  <c r="J208" i="2"/>
  <c r="I208" i="2"/>
  <c r="J192" i="2"/>
  <c r="I192" i="2"/>
  <c r="J176" i="2"/>
  <c r="I176" i="2"/>
  <c r="J160" i="2"/>
  <c r="I160" i="2"/>
  <c r="J144" i="2"/>
  <c r="I144" i="2"/>
  <c r="J128" i="2"/>
  <c r="I128" i="2"/>
  <c r="J112" i="2"/>
  <c r="I112" i="2"/>
  <c r="J96" i="2"/>
  <c r="I96" i="2"/>
  <c r="J80" i="2"/>
  <c r="I80" i="2"/>
  <c r="J64" i="2"/>
  <c r="I64" i="2"/>
  <c r="J48" i="2"/>
  <c r="I48" i="2"/>
  <c r="J32" i="2"/>
  <c r="I32" i="2"/>
  <c r="J16" i="2"/>
  <c r="I16" i="2"/>
  <c r="J975" i="2"/>
  <c r="I975" i="2"/>
  <c r="J943" i="2"/>
  <c r="I943" i="2"/>
  <c r="J927" i="2"/>
  <c r="I927" i="2"/>
  <c r="J911" i="2"/>
  <c r="I911" i="2"/>
  <c r="J895" i="2"/>
  <c r="I895" i="2"/>
  <c r="J815" i="2"/>
  <c r="I815" i="2"/>
  <c r="J767" i="2"/>
  <c r="I767" i="2"/>
  <c r="J751" i="2"/>
  <c r="I751" i="2"/>
  <c r="J735" i="2"/>
  <c r="I735" i="2"/>
  <c r="J719" i="2"/>
  <c r="I719" i="2"/>
  <c r="J687" i="2"/>
  <c r="I687" i="2"/>
  <c r="J671" i="2"/>
  <c r="I671" i="2"/>
  <c r="J655" i="2"/>
  <c r="I655" i="2"/>
  <c r="J639" i="2"/>
  <c r="I639" i="2"/>
  <c r="J559" i="2"/>
  <c r="I559" i="2"/>
  <c r="J543" i="2"/>
  <c r="I543" i="2"/>
  <c r="J511" i="2"/>
  <c r="I511" i="2"/>
  <c r="J495" i="2"/>
  <c r="I495" i="2"/>
  <c r="J479" i="2"/>
  <c r="I479" i="2"/>
  <c r="J463" i="2"/>
  <c r="I463" i="2"/>
  <c r="J431" i="2"/>
  <c r="I431" i="2"/>
  <c r="J399" i="2"/>
  <c r="I399" i="2"/>
  <c r="J367" i="2"/>
  <c r="I367" i="2"/>
  <c r="J335" i="2"/>
  <c r="I335" i="2"/>
  <c r="J303" i="2"/>
  <c r="I303" i="2"/>
  <c r="J271" i="2"/>
  <c r="I271" i="2"/>
  <c r="J239" i="2"/>
  <c r="I239" i="2"/>
  <c r="J207" i="2"/>
  <c r="I207" i="2"/>
  <c r="J175" i="2"/>
  <c r="I175" i="2"/>
  <c r="J143" i="2"/>
  <c r="I143" i="2"/>
  <c r="J111" i="2"/>
  <c r="I111" i="2"/>
  <c r="J79" i="2"/>
  <c r="I79" i="2"/>
  <c r="J47" i="2"/>
  <c r="I47" i="2"/>
  <c r="J31" i="2"/>
  <c r="I31" i="2"/>
  <c r="I733" i="2"/>
  <c r="J686" i="2"/>
  <c r="I686" i="2"/>
  <c r="J654" i="2"/>
  <c r="I654" i="2"/>
  <c r="I638" i="2"/>
  <c r="J638" i="2"/>
  <c r="J622" i="2"/>
  <c r="I622" i="2"/>
  <c r="J606" i="2"/>
  <c r="I606" i="2"/>
  <c r="J590" i="2"/>
  <c r="I590" i="2"/>
  <c r="J574" i="2"/>
  <c r="I574" i="2"/>
  <c r="I558" i="2"/>
  <c r="J558" i="2"/>
  <c r="J542" i="2"/>
  <c r="I542" i="2"/>
  <c r="I526" i="2"/>
  <c r="J526" i="2"/>
  <c r="J510" i="2"/>
  <c r="I510" i="2"/>
  <c r="J494" i="2"/>
  <c r="I494" i="2"/>
  <c r="J478" i="2"/>
  <c r="I478" i="2"/>
  <c r="J462" i="2"/>
  <c r="I462" i="2"/>
  <c r="J446" i="2"/>
  <c r="I446" i="2"/>
  <c r="J430" i="2"/>
  <c r="I430" i="2"/>
  <c r="J414" i="2"/>
  <c r="I414" i="2"/>
  <c r="J398" i="2"/>
  <c r="I398" i="2"/>
  <c r="J366" i="2"/>
  <c r="I366" i="2"/>
  <c r="J350" i="2"/>
  <c r="I350" i="2"/>
  <c r="J334" i="2"/>
  <c r="I334" i="2"/>
  <c r="J318" i="2"/>
  <c r="I318" i="2"/>
  <c r="I302" i="2"/>
  <c r="J302" i="2"/>
  <c r="J286" i="2"/>
  <c r="I286" i="2"/>
  <c r="I270" i="2"/>
  <c r="J270" i="2"/>
  <c r="J254" i="2"/>
  <c r="I254" i="2"/>
  <c r="J238" i="2"/>
  <c r="I238" i="2"/>
  <c r="J222" i="2"/>
  <c r="I222" i="2"/>
  <c r="J206" i="2"/>
  <c r="I206" i="2"/>
  <c r="J190" i="2"/>
  <c r="I190" i="2"/>
  <c r="J174" i="2"/>
  <c r="I174" i="2"/>
  <c r="J158" i="2"/>
  <c r="I158" i="2"/>
  <c r="J142" i="2"/>
  <c r="I142" i="2"/>
  <c r="J126" i="2"/>
  <c r="I126" i="2"/>
  <c r="J110" i="2"/>
  <c r="I110" i="2"/>
  <c r="J94" i="2"/>
  <c r="I94" i="2"/>
  <c r="J78" i="2"/>
  <c r="I78" i="2"/>
  <c r="J62" i="2"/>
  <c r="I62" i="2"/>
  <c r="J46" i="2"/>
  <c r="I46" i="2"/>
  <c r="J30" i="2"/>
  <c r="I30" i="2"/>
  <c r="J14" i="2"/>
  <c r="I14" i="2"/>
  <c r="J1021" i="2"/>
  <c r="I1021" i="2"/>
  <c r="J1005" i="2"/>
  <c r="I1005" i="2"/>
  <c r="J989" i="2"/>
  <c r="I989" i="2"/>
  <c r="J973" i="2"/>
  <c r="I973" i="2"/>
  <c r="J893" i="2"/>
  <c r="I893" i="2"/>
  <c r="J877" i="2"/>
  <c r="I877" i="2"/>
  <c r="J845" i="2"/>
  <c r="I845" i="2"/>
  <c r="J829" i="2"/>
  <c r="I829" i="2"/>
  <c r="J813" i="2"/>
  <c r="I813" i="2"/>
  <c r="J797" i="2"/>
  <c r="I797" i="2"/>
  <c r="J765" i="2"/>
  <c r="I765" i="2"/>
  <c r="I749" i="2"/>
  <c r="J749" i="2"/>
  <c r="J717" i="2"/>
  <c r="I717" i="2"/>
  <c r="J637" i="2"/>
  <c r="I637" i="2"/>
  <c r="J621" i="2"/>
  <c r="I621" i="2"/>
  <c r="J589" i="2"/>
  <c r="I589" i="2"/>
  <c r="J573" i="2"/>
  <c r="I573" i="2"/>
  <c r="J557" i="2"/>
  <c r="I557" i="2"/>
  <c r="J541" i="2"/>
  <c r="I541" i="2"/>
  <c r="J509" i="2"/>
  <c r="I509" i="2"/>
  <c r="I493" i="2"/>
  <c r="J493" i="2"/>
  <c r="J477" i="2"/>
  <c r="I477" i="2"/>
  <c r="J461" i="2"/>
  <c r="I461" i="2"/>
  <c r="I77" i="2"/>
  <c r="J77" i="2"/>
  <c r="J61" i="2"/>
  <c r="I61" i="2"/>
  <c r="J45" i="2"/>
  <c r="I45" i="2"/>
  <c r="J29" i="2"/>
  <c r="I29" i="2"/>
  <c r="J13" i="2"/>
  <c r="I13" i="2"/>
  <c r="I666" i="2"/>
  <c r="J1132" i="2"/>
  <c r="I1132" i="2"/>
  <c r="J1100" i="2"/>
  <c r="I1100" i="2"/>
  <c r="J1084" i="2"/>
  <c r="I1084" i="2"/>
  <c r="J1052" i="2"/>
  <c r="I1052" i="2"/>
  <c r="I972" i="2"/>
  <c r="J972" i="2"/>
  <c r="J956" i="2"/>
  <c r="I956" i="2"/>
  <c r="J924" i="2"/>
  <c r="I924" i="2"/>
  <c r="J908" i="2"/>
  <c r="I908" i="2"/>
  <c r="I892" i="2"/>
  <c r="J892" i="2"/>
  <c r="J876" i="2"/>
  <c r="I876" i="2"/>
  <c r="J844" i="2"/>
  <c r="I844" i="2"/>
  <c r="J828" i="2"/>
  <c r="I828" i="2"/>
  <c r="J812" i="2"/>
  <c r="I812" i="2"/>
  <c r="I796" i="2"/>
  <c r="J796" i="2"/>
  <c r="J716" i="2"/>
  <c r="I716" i="2"/>
  <c r="I700" i="2"/>
  <c r="J700" i="2"/>
  <c r="J668" i="2"/>
  <c r="I668" i="2"/>
  <c r="J652" i="2"/>
  <c r="I652" i="2"/>
  <c r="J636" i="2"/>
  <c r="I636" i="2"/>
  <c r="J620" i="2"/>
  <c r="I620" i="2"/>
  <c r="I588" i="2"/>
  <c r="J588" i="2"/>
  <c r="J572" i="2"/>
  <c r="I572" i="2"/>
  <c r="J556" i="2"/>
  <c r="I556" i="2"/>
  <c r="J540" i="2"/>
  <c r="I540" i="2"/>
  <c r="J460" i="2"/>
  <c r="I460" i="2"/>
  <c r="J428" i="2"/>
  <c r="I428" i="2"/>
  <c r="I396" i="2"/>
  <c r="J396" i="2"/>
  <c r="J364" i="2"/>
  <c r="I364" i="2"/>
  <c r="J332" i="2"/>
  <c r="I332" i="2"/>
  <c r="J300" i="2"/>
  <c r="I300" i="2"/>
  <c r="I268" i="2"/>
  <c r="J268" i="2"/>
  <c r="J236" i="2"/>
  <c r="I236" i="2"/>
  <c r="J204" i="2"/>
  <c r="I204" i="2"/>
  <c r="J172" i="2"/>
  <c r="I172" i="2"/>
  <c r="J140" i="2"/>
  <c r="I140" i="2"/>
  <c r="J108" i="2"/>
  <c r="I108" i="2"/>
  <c r="J44" i="2"/>
  <c r="I44" i="2"/>
  <c r="I1068" i="2"/>
  <c r="I521" i="2"/>
  <c r="J667" i="2"/>
  <c r="I667" i="2"/>
  <c r="J651" i="2"/>
  <c r="I651" i="2"/>
  <c r="J635" i="2"/>
  <c r="I635" i="2"/>
  <c r="J619" i="2"/>
  <c r="I619" i="2"/>
  <c r="J539" i="2"/>
  <c r="I539" i="2"/>
  <c r="J523" i="2"/>
  <c r="I523" i="2"/>
  <c r="J491" i="2"/>
  <c r="I491" i="2"/>
  <c r="J475" i="2"/>
  <c r="I475" i="2"/>
  <c r="J459" i="2"/>
  <c r="I459" i="2"/>
  <c r="J443" i="2"/>
  <c r="I443" i="2"/>
  <c r="J427" i="2"/>
  <c r="I427" i="2"/>
  <c r="J411" i="2"/>
  <c r="I411" i="2"/>
  <c r="J395" i="2"/>
  <c r="I395" i="2"/>
  <c r="J363" i="2"/>
  <c r="I363" i="2"/>
  <c r="J347" i="2"/>
  <c r="I347" i="2"/>
  <c r="J331" i="2"/>
  <c r="I331" i="2"/>
  <c r="J315" i="2"/>
  <c r="I315" i="2"/>
  <c r="J299" i="2"/>
  <c r="I299" i="2"/>
  <c r="J283" i="2"/>
  <c r="I283" i="2"/>
  <c r="J267" i="2"/>
  <c r="I267" i="2"/>
  <c r="J251" i="2"/>
  <c r="I251" i="2"/>
  <c r="J235" i="2"/>
  <c r="I235" i="2"/>
  <c r="J219" i="2"/>
  <c r="I219" i="2"/>
  <c r="J203" i="2"/>
  <c r="I203" i="2"/>
  <c r="J187" i="2"/>
  <c r="I187" i="2"/>
  <c r="J171" i="2"/>
  <c r="I171" i="2"/>
  <c r="J155" i="2"/>
  <c r="I155" i="2"/>
  <c r="J139" i="2"/>
  <c r="I139" i="2"/>
  <c r="J123" i="2"/>
  <c r="I123" i="2"/>
  <c r="J107" i="2"/>
  <c r="I107" i="2"/>
  <c r="J91" i="2"/>
  <c r="I91" i="2"/>
  <c r="J75" i="2"/>
  <c r="I75" i="2"/>
  <c r="J59" i="2"/>
  <c r="I59" i="2"/>
  <c r="J43" i="2"/>
  <c r="I43" i="2"/>
  <c r="J27" i="2"/>
  <c r="I27" i="2"/>
  <c r="J11" i="2"/>
  <c r="I11" i="2"/>
  <c r="I512" i="2"/>
  <c r="J890" i="2"/>
  <c r="I890" i="2"/>
  <c r="J874" i="2"/>
  <c r="I874" i="2"/>
  <c r="J858" i="2"/>
  <c r="I858" i="2"/>
  <c r="J826" i="2"/>
  <c r="I826" i="2"/>
  <c r="J810" i="2"/>
  <c r="I810" i="2"/>
  <c r="J794" i="2"/>
  <c r="I794" i="2"/>
  <c r="J778" i="2"/>
  <c r="I778" i="2"/>
  <c r="J762" i="2"/>
  <c r="I762" i="2"/>
  <c r="J746" i="2"/>
  <c r="I746" i="2"/>
  <c r="I730" i="2"/>
  <c r="J730" i="2"/>
  <c r="J714" i="2"/>
  <c r="I714" i="2"/>
  <c r="J698" i="2"/>
  <c r="I698" i="2"/>
  <c r="J682" i="2"/>
  <c r="I682" i="2"/>
  <c r="J650" i="2"/>
  <c r="I650" i="2"/>
  <c r="J634" i="2"/>
  <c r="I634" i="2"/>
  <c r="J618" i="2"/>
  <c r="I618" i="2"/>
  <c r="J602" i="2"/>
  <c r="I602" i="2"/>
  <c r="J586" i="2"/>
  <c r="I586" i="2"/>
  <c r="J570" i="2"/>
  <c r="I570" i="2"/>
  <c r="J554" i="2"/>
  <c r="I554" i="2"/>
  <c r="J538" i="2"/>
  <c r="I538" i="2"/>
  <c r="J522" i="2"/>
  <c r="I522" i="2"/>
  <c r="J506" i="2"/>
  <c r="I506" i="2"/>
  <c r="J490" i="2"/>
  <c r="I490" i="2"/>
  <c r="J474" i="2"/>
  <c r="I474" i="2"/>
  <c r="J458" i="2"/>
  <c r="I458" i="2"/>
  <c r="J442" i="2"/>
  <c r="I442" i="2"/>
  <c r="J426" i="2"/>
  <c r="I426" i="2"/>
  <c r="J410" i="2"/>
  <c r="I410" i="2"/>
  <c r="J394" i="2"/>
  <c r="I394" i="2"/>
  <c r="J378" i="2"/>
  <c r="I378" i="2"/>
  <c r="J362" i="2"/>
  <c r="I362" i="2"/>
  <c r="J346" i="2"/>
  <c r="I346" i="2"/>
  <c r="J330" i="2"/>
  <c r="I330" i="2"/>
  <c r="I314" i="2"/>
  <c r="J314" i="2"/>
  <c r="J298" i="2"/>
  <c r="I298" i="2"/>
  <c r="J282" i="2"/>
  <c r="I282" i="2"/>
  <c r="I266" i="2"/>
  <c r="J266" i="2"/>
  <c r="J250" i="2"/>
  <c r="I250" i="2"/>
  <c r="J234" i="2"/>
  <c r="I234" i="2"/>
  <c r="J218" i="2"/>
  <c r="I218" i="2"/>
  <c r="I202" i="2"/>
  <c r="J202" i="2"/>
  <c r="J186" i="2"/>
  <c r="I186" i="2"/>
  <c r="J170" i="2"/>
  <c r="I170" i="2"/>
  <c r="I154" i="2"/>
  <c r="J154" i="2"/>
  <c r="J138" i="2"/>
  <c r="I138" i="2"/>
  <c r="J122" i="2"/>
  <c r="I122" i="2"/>
  <c r="J106" i="2"/>
  <c r="I106" i="2"/>
  <c r="J90" i="2"/>
  <c r="I90" i="2"/>
  <c r="J74" i="2"/>
  <c r="I74" i="2"/>
  <c r="J58" i="2"/>
  <c r="I58" i="2"/>
  <c r="J42" i="2"/>
  <c r="I42" i="2"/>
  <c r="I26" i="2"/>
  <c r="J26" i="2"/>
  <c r="I10" i="2"/>
  <c r="J10" i="2"/>
  <c r="I401" i="2"/>
  <c r="J842" i="2"/>
  <c r="J697" i="2"/>
  <c r="I697" i="2"/>
  <c r="J617" i="2"/>
  <c r="I617" i="2"/>
  <c r="J601" i="2"/>
  <c r="I601" i="2"/>
  <c r="J569" i="2"/>
  <c r="I569" i="2"/>
  <c r="J553" i="2"/>
  <c r="I553" i="2"/>
  <c r="J537" i="2"/>
  <c r="I537" i="2"/>
  <c r="J489" i="2"/>
  <c r="I489" i="2"/>
  <c r="J473" i="2"/>
  <c r="I473" i="2"/>
  <c r="J457" i="2"/>
  <c r="I457" i="2"/>
  <c r="J441" i="2"/>
  <c r="I441" i="2"/>
  <c r="J425" i="2"/>
  <c r="I425" i="2"/>
  <c r="J409" i="2"/>
  <c r="I409" i="2"/>
  <c r="J393" i="2"/>
  <c r="I393" i="2"/>
  <c r="J377" i="2"/>
  <c r="I377" i="2"/>
  <c r="J361" i="2"/>
  <c r="I361" i="2"/>
  <c r="J345" i="2"/>
  <c r="I345" i="2"/>
  <c r="J329" i="2"/>
  <c r="I329" i="2"/>
  <c r="J313" i="2"/>
  <c r="I313" i="2"/>
  <c r="J297" i="2"/>
  <c r="I297" i="2"/>
  <c r="J281" i="2"/>
  <c r="I281" i="2"/>
  <c r="J265" i="2"/>
  <c r="I265" i="2"/>
  <c r="J249" i="2"/>
  <c r="I249" i="2"/>
  <c r="J233" i="2"/>
  <c r="I233" i="2"/>
  <c r="J217" i="2"/>
  <c r="I217" i="2"/>
  <c r="J201" i="2"/>
  <c r="I201" i="2"/>
  <c r="J185" i="2"/>
  <c r="I185" i="2"/>
  <c r="J153" i="2"/>
  <c r="I153" i="2"/>
  <c r="J137" i="2"/>
  <c r="I137" i="2"/>
  <c r="J121" i="2"/>
  <c r="I121" i="2"/>
  <c r="J105" i="2"/>
  <c r="I105" i="2"/>
  <c r="J89" i="2"/>
  <c r="I89" i="2"/>
  <c r="J73" i="2"/>
  <c r="I73" i="2"/>
  <c r="J41" i="2"/>
  <c r="I41" i="2"/>
  <c r="J9" i="2"/>
  <c r="I9" i="2"/>
  <c r="J670" i="2"/>
</calcChain>
</file>

<file path=xl/sharedStrings.xml><?xml version="1.0" encoding="utf-8"?>
<sst xmlns="http://schemas.openxmlformats.org/spreadsheetml/2006/main" count="14689" uniqueCount="63">
  <si>
    <t>Datum</t>
  </si>
  <si>
    <t>Jahr</t>
  </si>
  <si>
    <t>Tag</t>
  </si>
  <si>
    <t>Monat</t>
  </si>
  <si>
    <t>Quartal</t>
  </si>
  <si>
    <t>Quartal_kurz</t>
  </si>
  <si>
    <t>Quartal_lang</t>
  </si>
  <si>
    <t>Wochentag</t>
  </si>
  <si>
    <t>Wochentagtext</t>
  </si>
  <si>
    <t>Monattext</t>
  </si>
  <si>
    <t>ISO_KW</t>
  </si>
  <si>
    <t>RgNr</t>
  </si>
  <si>
    <t>Kfz-Kennz.</t>
  </si>
  <si>
    <t>km</t>
  </si>
  <si>
    <t>EUR</t>
  </si>
  <si>
    <t>AC HH 1700</t>
  </si>
  <si>
    <t>AC HH 2900</t>
  </si>
  <si>
    <t>AC HH 1500</t>
  </si>
  <si>
    <t>AC HH 1717</t>
  </si>
  <si>
    <t>AC HH 1820</t>
  </si>
  <si>
    <t>AC HH 1822</t>
  </si>
  <si>
    <t>AC HH 1901</t>
  </si>
  <si>
    <t>AC HH 1902</t>
  </si>
  <si>
    <t>AC HH 1903</t>
  </si>
  <si>
    <t>AC HH 1906</t>
  </si>
  <si>
    <t>AC HH 2027</t>
  </si>
  <si>
    <t>AC HH 2028</t>
  </si>
  <si>
    <t>AC HH 2033</t>
  </si>
  <si>
    <t>AC HH 2103</t>
  </si>
  <si>
    <t>AC HH 2110</t>
  </si>
  <si>
    <t>AC HH 2111</t>
  </si>
  <si>
    <t>AC HH 2113</t>
  </si>
  <si>
    <t>AC HH 1602</t>
  </si>
  <si>
    <t>AC HH 2238</t>
  </si>
  <si>
    <t>AC HH 2239</t>
  </si>
  <si>
    <t>AC HH 2244</t>
  </si>
  <si>
    <t>AC HH 1914</t>
  </si>
  <si>
    <t>AC HH 2114</t>
  </si>
  <si>
    <t>AC HH 2234</t>
  </si>
  <si>
    <t>AC HH 2235</t>
  </si>
  <si>
    <t>AC HH 2236</t>
  </si>
  <si>
    <t>AC HH 2237</t>
  </si>
  <si>
    <t>AC HH 2240</t>
  </si>
  <si>
    <t>AC HH 2025</t>
  </si>
  <si>
    <t>AC HH 2112</t>
  </si>
  <si>
    <t>AC HH 2230</t>
  </si>
  <si>
    <t>AC HH 2313</t>
  </si>
  <si>
    <t>AC HH 2232</t>
  </si>
  <si>
    <t>AC HH 2003</t>
  </si>
  <si>
    <t>AC HH 2122</t>
  </si>
  <si>
    <t>AC HH 2241</t>
  </si>
  <si>
    <t>AC HH 2314</t>
  </si>
  <si>
    <t>AC HH 2242</t>
  </si>
  <si>
    <t>6028027539</t>
  </si>
  <si>
    <t>AC HH 1212</t>
  </si>
  <si>
    <t>AC HH 1600</t>
  </si>
  <si>
    <t>AC HH 1608</t>
  </si>
  <si>
    <t>AC HH 2026</t>
  </si>
  <si>
    <t>AC HH 2120</t>
  </si>
  <si>
    <t>AC HH 2121</t>
  </si>
  <si>
    <t>AC HH 2231</t>
  </si>
  <si>
    <t>AC HH 2233</t>
  </si>
  <si>
    <t>AC HH 2243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</si>
</sst>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14" fontId="0" fillId="0" borderId="0" xfId="0" applyNumberFormat="1"/>
    <xf numFmtId="0" fontId="2" fillId="0" borderId="0" xfId="1" applyFont="1"/>
    <xf numFmtId="0" fontId="1" fillId="0" borderId="0" xfId="1"/>
    <xf numFmtId="0" fontId="3" fillId="0" borderId="0" xfId="1" applyFont="1"/>
    <xf numFmtId="14" fontId="3" fillId="0" borderId="0" xfId="1" applyNumberFormat="1" applyFont="1"/>
    <xf numFmtId="0" fontId="1" fillId="2" borderId="1" xfId="1" applyFill="1" applyBorder="1"/>
    <xf numFmtId="0" fontId="1" fillId="2" borderId="2" xfId="1" applyFill="1" applyBorder="1"/>
    <xf numFmtId="14" fontId="1" fillId="2" borderId="2" xfId="1" applyNumberFormat="1" applyFill="1" applyBorder="1"/>
    <xf numFmtId="0" fontId="1" fillId="2" borderId="3" xfId="1" applyFill="1" applyBorder="1"/>
    <xf numFmtId="0" fontId="1" fillId="0" borderId="4" xfId="1" applyBorder="1"/>
    <xf numFmtId="0" fontId="1" fillId="0" borderId="5" xfId="1" applyBorder="1"/>
    <xf numFmtId="14" fontId="1" fillId="0" borderId="5" xfId="1" applyNumberFormat="1" applyBorder="1"/>
    <xf numFmtId="0" fontId="1" fillId="0" borderId="6" xfId="1" applyBorder="1"/>
    <xf numFmtId="0" fontId="1" fillId="2" borderId="4" xfId="1" applyFill="1" applyBorder="1"/>
    <xf numFmtId="0" fontId="1" fillId="2" borderId="5" xfId="1" applyFill="1" applyBorder="1"/>
    <xf numFmtId="14" fontId="1" fillId="2" borderId="5" xfId="1" applyNumberFormat="1" applyFill="1" applyBorder="1"/>
    <xf numFmtId="0" fontId="1" fillId="2" borderId="6" xfId="1" applyFill="1" applyBorder="1"/>
  </cellXfs>
  <cellStyles count="2">
    <cellStyle name="Standard" xfId="0" builtinId="0"/>
    <cellStyle name="Standard 2" xfId="1" xr:uid="{E5273B0B-2EDA-4B51-BEBF-029B1E19BB05}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1" defaultTableStyle="TableStyleMedium2" defaultPivotStyle="PivotStyleLight16">
    <tableStyle name="Invisible" pivot="0" table="0" count="0" xr9:uid="{47413D05-E55F-4374-AF96-7DA73B43050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Kalender" displayName="tbl_Kalender" ref="A1:K2193" totalsRowShown="0">
  <autoFilter ref="A1:K2193" xr:uid="{00000000-0009-0000-0100-000001000000}"/>
  <tableColumns count="11">
    <tableColumn id="1" xr3:uid="{00000000-0010-0000-0000-000001000000}" name="Datum" dataDxfId="17"/>
    <tableColumn id="2" xr3:uid="{00000000-0010-0000-0000-000002000000}" name="Jahr" dataDxfId="16">
      <calculatedColumnFormula>YEAR(tbl_Kalender[[#This Row],[Datum]])</calculatedColumnFormula>
    </tableColumn>
    <tableColumn id="5" xr3:uid="{00000000-0010-0000-0000-000005000000}" name="Tag" dataDxfId="15">
      <calculatedColumnFormula>DAY(tbl_Kalender[[#This Row],[Datum]])</calculatedColumnFormula>
    </tableColumn>
    <tableColumn id="10" xr3:uid="{00000000-0010-0000-0000-00000A000000}" name="Wochentagtext" dataDxfId="14">
      <calculatedColumnFormula>TEXT(tbl_Kalender[[#This Row],[Datum]],"TTTT")</calculatedColumnFormula>
    </tableColumn>
    <tableColumn id="9" xr3:uid="{00000000-0010-0000-0000-000009000000}" name="Wochentag" dataDxfId="13">
      <calculatedColumnFormula>WEEKDAY(tbl_Kalender[[#This Row],[Datum]],2)</calculatedColumnFormula>
    </tableColumn>
    <tableColumn id="3" xr3:uid="{00000000-0010-0000-0000-000003000000}" name="Monat" dataDxfId="12">
      <calculatedColumnFormula>MONTH(tbl_Kalender[[#This Row],[Datum]])</calculatedColumnFormula>
    </tableColumn>
    <tableColumn id="4" xr3:uid="{00000000-0010-0000-0000-000004000000}" name="Monattext" dataDxfId="11">
      <calculatedColumnFormula>TEXT(tbl_Kalender[[#This Row],[Datum]],"MMMM")</calculatedColumnFormula>
    </tableColumn>
    <tableColumn id="6" xr3:uid="{00000000-0010-0000-0000-000006000000}" name="Quartal" dataDxfId="10">
      <calculatedColumnFormula>ROUNDUP(tbl_Kalender[[#This Row],[Monat]]/3,0)</calculatedColumnFormula>
    </tableColumn>
    <tableColumn id="7" xr3:uid="{00000000-0010-0000-0000-000007000000}" name="Quartal_kurz" dataDxfId="9">
      <calculatedColumnFormula>"Q "&amp;tbl_Kalender[[#This Row],[Quartal]]</calculatedColumnFormula>
    </tableColumn>
    <tableColumn id="8" xr3:uid="{00000000-0010-0000-0000-000008000000}" name="Quartal_lang" dataDxfId="8">
      <calculatedColumnFormula>tbl_Kalender[[#This Row],[Quartal]]&amp;". Quartal"</calculatedColumnFormula>
    </tableColumn>
    <tableColumn id="11" xr3:uid="{00000000-0010-0000-0000-00000B000000}" name="ISO_KW" dataDxfId="7">
      <calculatedColumnFormula>_xlfn.ISOWEEKNUM(tbl_Kalender[[#This Row],[Datum]])</calculatedColumnFormula>
    </tableColumn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00472F-889F-4DA2-8A9F-4027BFDA9FE3}" name="tbl_KMkosten" displayName="tbl_KMkosten" ref="A1:E8193" totalsRowShown="0" headerRowDxfId="6" dataDxfId="5" headerRowCellStyle="Standard 2" dataCellStyle="Standard 2">
  <autoFilter ref="A1:E8193" xr:uid="{B2812756-9517-496A-879C-87B71D7FE9F2}"/>
  <tableColumns count="5">
    <tableColumn id="1" xr3:uid="{70872D52-B39A-428C-BCFF-0EFBBF501EDE}" name="RgNr" dataDxfId="4" dataCellStyle="Standard 2"/>
    <tableColumn id="2" xr3:uid="{4520A56C-F9C8-47C0-BBE3-772AA88C8715}" name="Kfz-Kennz." dataDxfId="3" dataCellStyle="Standard 2"/>
    <tableColumn id="3" xr3:uid="{9254F4A4-5915-4A72-8B47-24A440EB1F76}" name="Datum" dataDxfId="2" dataCellStyle="Standard 2"/>
    <tableColumn id="4" xr3:uid="{C164299D-D3DE-47C7-AA1C-13666E6C2E87}" name="km" dataDxfId="1" dataCellStyle="Standard 2"/>
    <tableColumn id="5" xr3:uid="{5A425F7A-AD7C-40A1-BCB5-F4EF14D1ED86}" name="EUR" dataDxfId="0" dataCellStyle="Standard 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93"/>
  <sheetViews>
    <sheetView workbookViewId="0">
      <selection activeCell="D3" sqref="D3"/>
    </sheetView>
  </sheetViews>
  <sheetFormatPr baseColWidth="10" defaultColWidth="13.28515625" defaultRowHeight="15" x14ac:dyDescent="0.25"/>
  <cols>
    <col min="2" max="2" width="10.5703125" customWidth="1"/>
    <col min="3" max="3" width="6.5703125" customWidth="1"/>
    <col min="4" max="4" width="19" customWidth="1"/>
    <col min="5" max="5" width="13.85546875" customWidth="1"/>
    <col min="6" max="6" width="8.85546875" customWidth="1"/>
    <col min="7" max="7" width="15.85546875" customWidth="1"/>
    <col min="8" max="8" width="10.140625" customWidth="1"/>
    <col min="9" max="9" width="15.28515625" customWidth="1"/>
    <col min="10" max="10" width="15.7109375" customWidth="1"/>
    <col min="11" max="11" width="11.28515625" customWidth="1"/>
    <col min="12" max="12" width="17.5703125" customWidth="1"/>
    <col min="15" max="15" width="12.5703125" customWidth="1"/>
  </cols>
  <sheetData>
    <row r="1" spans="1:11" ht="19.5" customHeight="1" x14ac:dyDescent="0.25">
      <c r="A1" t="s">
        <v>0</v>
      </c>
      <c r="B1" t="s">
        <v>1</v>
      </c>
      <c r="C1" t="s">
        <v>2</v>
      </c>
      <c r="D1" t="s">
        <v>8</v>
      </c>
      <c r="E1" t="s">
        <v>7</v>
      </c>
      <c r="F1" t="s">
        <v>3</v>
      </c>
      <c r="G1" t="s">
        <v>9</v>
      </c>
      <c r="H1" t="s">
        <v>4</v>
      </c>
      <c r="I1" t="s">
        <v>5</v>
      </c>
      <c r="J1" t="s">
        <v>6</v>
      </c>
      <c r="K1" t="s">
        <v>10</v>
      </c>
    </row>
    <row r="2" spans="1:11" x14ac:dyDescent="0.25">
      <c r="A2" s="1">
        <v>45292</v>
      </c>
      <c r="B2">
        <f>YEAR(tbl_Kalender[[#This Row],[Datum]])</f>
        <v>2024</v>
      </c>
      <c r="C2">
        <f>DAY(tbl_Kalender[[#This Row],[Datum]])</f>
        <v>1</v>
      </c>
      <c r="D2" t="str">
        <f>TEXT(tbl_Kalender[[#This Row],[Datum]],"TTTT")</f>
        <v>Montag</v>
      </c>
      <c r="E2">
        <f>WEEKDAY(tbl_Kalender[[#This Row],[Datum]],2)</f>
        <v>1</v>
      </c>
      <c r="F2">
        <f>MONTH(tbl_Kalender[[#This Row],[Datum]])</f>
        <v>1</v>
      </c>
      <c r="G2" t="str">
        <f>TEXT(tbl_Kalender[[#This Row],[Datum]],"MMMM")</f>
        <v>Januar</v>
      </c>
      <c r="H2">
        <f>ROUNDUP(tbl_Kalender[[#This Row],[Monat]]/3,0)</f>
        <v>1</v>
      </c>
      <c r="I2" t="str">
        <f>"Q "&amp;tbl_Kalender[[#This Row],[Quartal]]</f>
        <v>Q 1</v>
      </c>
      <c r="J2" t="str">
        <f>tbl_Kalender[[#This Row],[Quartal]]&amp;". Quartal"</f>
        <v>1. Quartal</v>
      </c>
      <c r="K2">
        <f>_xlfn.ISOWEEKNUM(tbl_Kalender[[#This Row],[Datum]])</f>
        <v>1</v>
      </c>
    </row>
    <row r="3" spans="1:11" x14ac:dyDescent="0.25">
      <c r="A3" s="1">
        <v>45293</v>
      </c>
      <c r="B3">
        <f>YEAR(tbl_Kalender[[#This Row],[Datum]])</f>
        <v>2024</v>
      </c>
      <c r="C3">
        <f>DAY(tbl_Kalender[[#This Row],[Datum]])</f>
        <v>2</v>
      </c>
      <c r="D3" t="str">
        <f>TEXT(tbl_Kalender[[#This Row],[Datum]],"TTTT")</f>
        <v>Dienstag</v>
      </c>
      <c r="E3">
        <f>WEEKDAY(tbl_Kalender[[#This Row],[Datum]],2)</f>
        <v>2</v>
      </c>
      <c r="F3">
        <f>MONTH(tbl_Kalender[[#This Row],[Datum]])</f>
        <v>1</v>
      </c>
      <c r="G3" t="str">
        <f>TEXT(tbl_Kalender[[#This Row],[Datum]],"MMMM")</f>
        <v>Januar</v>
      </c>
      <c r="H3">
        <f>ROUNDUP(tbl_Kalender[[#This Row],[Monat]]/3,0)</f>
        <v>1</v>
      </c>
      <c r="I3" t="str">
        <f>"Q "&amp;tbl_Kalender[[#This Row],[Quartal]]</f>
        <v>Q 1</v>
      </c>
      <c r="J3" t="str">
        <f>tbl_Kalender[[#This Row],[Quartal]]&amp;". Quartal"</f>
        <v>1. Quartal</v>
      </c>
      <c r="K3">
        <f>_xlfn.ISOWEEKNUM(tbl_Kalender[[#This Row],[Datum]])</f>
        <v>1</v>
      </c>
    </row>
    <row r="4" spans="1:11" x14ac:dyDescent="0.25">
      <c r="A4" s="1">
        <v>45294</v>
      </c>
      <c r="B4">
        <f>YEAR(tbl_Kalender[[#This Row],[Datum]])</f>
        <v>2024</v>
      </c>
      <c r="C4">
        <f>DAY(tbl_Kalender[[#This Row],[Datum]])</f>
        <v>3</v>
      </c>
      <c r="D4" t="str">
        <f>TEXT(tbl_Kalender[[#This Row],[Datum]],"TTTT")</f>
        <v>Mittwoch</v>
      </c>
      <c r="E4">
        <f>WEEKDAY(tbl_Kalender[[#This Row],[Datum]],2)</f>
        <v>3</v>
      </c>
      <c r="F4">
        <f>MONTH(tbl_Kalender[[#This Row],[Datum]])</f>
        <v>1</v>
      </c>
      <c r="G4" t="str">
        <f>TEXT(tbl_Kalender[[#This Row],[Datum]],"MMMM")</f>
        <v>Januar</v>
      </c>
      <c r="H4">
        <f>ROUNDUP(tbl_Kalender[[#This Row],[Monat]]/3,0)</f>
        <v>1</v>
      </c>
      <c r="I4" t="str">
        <f>"Q "&amp;tbl_Kalender[[#This Row],[Quartal]]</f>
        <v>Q 1</v>
      </c>
      <c r="J4" t="str">
        <f>tbl_Kalender[[#This Row],[Quartal]]&amp;". Quartal"</f>
        <v>1. Quartal</v>
      </c>
      <c r="K4">
        <f>_xlfn.ISOWEEKNUM(tbl_Kalender[[#This Row],[Datum]])</f>
        <v>1</v>
      </c>
    </row>
    <row r="5" spans="1:11" x14ac:dyDescent="0.25">
      <c r="A5" s="1">
        <v>45295</v>
      </c>
      <c r="B5">
        <f>YEAR(tbl_Kalender[[#This Row],[Datum]])</f>
        <v>2024</v>
      </c>
      <c r="C5">
        <f>DAY(tbl_Kalender[[#This Row],[Datum]])</f>
        <v>4</v>
      </c>
      <c r="D5" t="str">
        <f>TEXT(tbl_Kalender[[#This Row],[Datum]],"TTTT")</f>
        <v>Donnerstag</v>
      </c>
      <c r="E5">
        <f>WEEKDAY(tbl_Kalender[[#This Row],[Datum]],2)</f>
        <v>4</v>
      </c>
      <c r="F5">
        <f>MONTH(tbl_Kalender[[#This Row],[Datum]])</f>
        <v>1</v>
      </c>
      <c r="G5" t="str">
        <f>TEXT(tbl_Kalender[[#This Row],[Datum]],"MMMM")</f>
        <v>Januar</v>
      </c>
      <c r="H5">
        <f>ROUNDUP(tbl_Kalender[[#This Row],[Monat]]/3,0)</f>
        <v>1</v>
      </c>
      <c r="I5" t="str">
        <f>"Q "&amp;tbl_Kalender[[#This Row],[Quartal]]</f>
        <v>Q 1</v>
      </c>
      <c r="J5" t="str">
        <f>tbl_Kalender[[#This Row],[Quartal]]&amp;". Quartal"</f>
        <v>1. Quartal</v>
      </c>
      <c r="K5">
        <f>_xlfn.ISOWEEKNUM(tbl_Kalender[[#This Row],[Datum]])</f>
        <v>1</v>
      </c>
    </row>
    <row r="6" spans="1:11" x14ac:dyDescent="0.25">
      <c r="A6" s="1">
        <v>45296</v>
      </c>
      <c r="B6">
        <f>YEAR(tbl_Kalender[[#This Row],[Datum]])</f>
        <v>2024</v>
      </c>
      <c r="C6">
        <f>DAY(tbl_Kalender[[#This Row],[Datum]])</f>
        <v>5</v>
      </c>
      <c r="D6" t="str">
        <f>TEXT(tbl_Kalender[[#This Row],[Datum]],"TTTT")</f>
        <v>Freitag</v>
      </c>
      <c r="E6">
        <f>WEEKDAY(tbl_Kalender[[#This Row],[Datum]],2)</f>
        <v>5</v>
      </c>
      <c r="F6">
        <f>MONTH(tbl_Kalender[[#This Row],[Datum]])</f>
        <v>1</v>
      </c>
      <c r="G6" t="str">
        <f>TEXT(tbl_Kalender[[#This Row],[Datum]],"MMMM")</f>
        <v>Januar</v>
      </c>
      <c r="H6">
        <f>ROUNDUP(tbl_Kalender[[#This Row],[Monat]]/3,0)</f>
        <v>1</v>
      </c>
      <c r="I6" t="str">
        <f>"Q "&amp;tbl_Kalender[[#This Row],[Quartal]]</f>
        <v>Q 1</v>
      </c>
      <c r="J6" t="str">
        <f>tbl_Kalender[[#This Row],[Quartal]]&amp;". Quartal"</f>
        <v>1. Quartal</v>
      </c>
      <c r="K6">
        <f>_xlfn.ISOWEEKNUM(tbl_Kalender[[#This Row],[Datum]])</f>
        <v>1</v>
      </c>
    </row>
    <row r="7" spans="1:11" x14ac:dyDescent="0.25">
      <c r="A7" s="1">
        <v>45297</v>
      </c>
      <c r="B7">
        <f>YEAR(tbl_Kalender[[#This Row],[Datum]])</f>
        <v>2024</v>
      </c>
      <c r="C7">
        <f>DAY(tbl_Kalender[[#This Row],[Datum]])</f>
        <v>6</v>
      </c>
      <c r="D7" t="str">
        <f>TEXT(tbl_Kalender[[#This Row],[Datum]],"TTTT")</f>
        <v>Samstag</v>
      </c>
      <c r="E7">
        <f>WEEKDAY(tbl_Kalender[[#This Row],[Datum]],2)</f>
        <v>6</v>
      </c>
      <c r="F7">
        <f>MONTH(tbl_Kalender[[#This Row],[Datum]])</f>
        <v>1</v>
      </c>
      <c r="G7" t="str">
        <f>TEXT(tbl_Kalender[[#This Row],[Datum]],"MMMM")</f>
        <v>Januar</v>
      </c>
      <c r="H7">
        <f>ROUNDUP(tbl_Kalender[[#This Row],[Monat]]/3,0)</f>
        <v>1</v>
      </c>
      <c r="I7" t="str">
        <f>"Q "&amp;tbl_Kalender[[#This Row],[Quartal]]</f>
        <v>Q 1</v>
      </c>
      <c r="J7" t="str">
        <f>tbl_Kalender[[#This Row],[Quartal]]&amp;". Quartal"</f>
        <v>1. Quartal</v>
      </c>
      <c r="K7">
        <f>_xlfn.ISOWEEKNUM(tbl_Kalender[[#This Row],[Datum]])</f>
        <v>1</v>
      </c>
    </row>
    <row r="8" spans="1:11" x14ac:dyDescent="0.25">
      <c r="A8" s="1">
        <v>45298</v>
      </c>
      <c r="B8">
        <f>YEAR(tbl_Kalender[[#This Row],[Datum]])</f>
        <v>2024</v>
      </c>
      <c r="C8">
        <f>DAY(tbl_Kalender[[#This Row],[Datum]])</f>
        <v>7</v>
      </c>
      <c r="D8" t="str">
        <f>TEXT(tbl_Kalender[[#This Row],[Datum]],"TTTT")</f>
        <v>Sonntag</v>
      </c>
      <c r="E8">
        <f>WEEKDAY(tbl_Kalender[[#This Row],[Datum]],2)</f>
        <v>7</v>
      </c>
      <c r="F8">
        <f>MONTH(tbl_Kalender[[#This Row],[Datum]])</f>
        <v>1</v>
      </c>
      <c r="G8" t="str">
        <f>TEXT(tbl_Kalender[[#This Row],[Datum]],"MMMM")</f>
        <v>Januar</v>
      </c>
      <c r="H8">
        <f>ROUNDUP(tbl_Kalender[[#This Row],[Monat]]/3,0)</f>
        <v>1</v>
      </c>
      <c r="I8" t="str">
        <f>"Q "&amp;tbl_Kalender[[#This Row],[Quartal]]</f>
        <v>Q 1</v>
      </c>
      <c r="J8" t="str">
        <f>tbl_Kalender[[#This Row],[Quartal]]&amp;". Quartal"</f>
        <v>1. Quartal</v>
      </c>
      <c r="K8">
        <f>_xlfn.ISOWEEKNUM(tbl_Kalender[[#This Row],[Datum]])</f>
        <v>1</v>
      </c>
    </row>
    <row r="9" spans="1:11" x14ac:dyDescent="0.25">
      <c r="A9" s="1">
        <v>45299</v>
      </c>
      <c r="B9">
        <f>YEAR(tbl_Kalender[[#This Row],[Datum]])</f>
        <v>2024</v>
      </c>
      <c r="C9">
        <f>DAY(tbl_Kalender[[#This Row],[Datum]])</f>
        <v>8</v>
      </c>
      <c r="D9" t="str">
        <f>TEXT(tbl_Kalender[[#This Row],[Datum]],"TTTT")</f>
        <v>Montag</v>
      </c>
      <c r="E9">
        <f>WEEKDAY(tbl_Kalender[[#This Row],[Datum]],2)</f>
        <v>1</v>
      </c>
      <c r="F9">
        <f>MONTH(tbl_Kalender[[#This Row],[Datum]])</f>
        <v>1</v>
      </c>
      <c r="G9" t="str">
        <f>TEXT(tbl_Kalender[[#This Row],[Datum]],"MMMM")</f>
        <v>Januar</v>
      </c>
      <c r="H9">
        <f>ROUNDUP(tbl_Kalender[[#This Row],[Monat]]/3,0)</f>
        <v>1</v>
      </c>
      <c r="I9" t="str">
        <f>"Q "&amp;tbl_Kalender[[#This Row],[Quartal]]</f>
        <v>Q 1</v>
      </c>
      <c r="J9" t="str">
        <f>tbl_Kalender[[#This Row],[Quartal]]&amp;". Quartal"</f>
        <v>1. Quartal</v>
      </c>
      <c r="K9">
        <f>_xlfn.ISOWEEKNUM(tbl_Kalender[[#This Row],[Datum]])</f>
        <v>2</v>
      </c>
    </row>
    <row r="10" spans="1:11" x14ac:dyDescent="0.25">
      <c r="A10" s="1">
        <v>45300</v>
      </c>
      <c r="B10">
        <f>YEAR(tbl_Kalender[[#This Row],[Datum]])</f>
        <v>2024</v>
      </c>
      <c r="C10">
        <f>DAY(tbl_Kalender[[#This Row],[Datum]])</f>
        <v>9</v>
      </c>
      <c r="D10" t="str">
        <f>TEXT(tbl_Kalender[[#This Row],[Datum]],"TTTT")</f>
        <v>Dienstag</v>
      </c>
      <c r="E10">
        <f>WEEKDAY(tbl_Kalender[[#This Row],[Datum]],2)</f>
        <v>2</v>
      </c>
      <c r="F10">
        <f>MONTH(tbl_Kalender[[#This Row],[Datum]])</f>
        <v>1</v>
      </c>
      <c r="G10" t="str">
        <f>TEXT(tbl_Kalender[[#This Row],[Datum]],"MMMM")</f>
        <v>Januar</v>
      </c>
      <c r="H10">
        <f>ROUNDUP(tbl_Kalender[[#This Row],[Monat]]/3,0)</f>
        <v>1</v>
      </c>
      <c r="I10" t="str">
        <f>"Q "&amp;tbl_Kalender[[#This Row],[Quartal]]</f>
        <v>Q 1</v>
      </c>
      <c r="J10" t="str">
        <f>tbl_Kalender[[#This Row],[Quartal]]&amp;". Quartal"</f>
        <v>1. Quartal</v>
      </c>
      <c r="K10">
        <f>_xlfn.ISOWEEKNUM(tbl_Kalender[[#This Row],[Datum]])</f>
        <v>2</v>
      </c>
    </row>
    <row r="11" spans="1:11" x14ac:dyDescent="0.25">
      <c r="A11" s="1">
        <v>45301</v>
      </c>
      <c r="B11">
        <f>YEAR(tbl_Kalender[[#This Row],[Datum]])</f>
        <v>2024</v>
      </c>
      <c r="C11">
        <f>DAY(tbl_Kalender[[#This Row],[Datum]])</f>
        <v>10</v>
      </c>
      <c r="D11" t="str">
        <f>TEXT(tbl_Kalender[[#This Row],[Datum]],"TTTT")</f>
        <v>Mittwoch</v>
      </c>
      <c r="E11">
        <f>WEEKDAY(tbl_Kalender[[#This Row],[Datum]],2)</f>
        <v>3</v>
      </c>
      <c r="F11">
        <f>MONTH(tbl_Kalender[[#This Row],[Datum]])</f>
        <v>1</v>
      </c>
      <c r="G11" t="str">
        <f>TEXT(tbl_Kalender[[#This Row],[Datum]],"MMMM")</f>
        <v>Januar</v>
      </c>
      <c r="H11">
        <f>ROUNDUP(tbl_Kalender[[#This Row],[Monat]]/3,0)</f>
        <v>1</v>
      </c>
      <c r="I11" t="str">
        <f>"Q "&amp;tbl_Kalender[[#This Row],[Quartal]]</f>
        <v>Q 1</v>
      </c>
      <c r="J11" t="str">
        <f>tbl_Kalender[[#This Row],[Quartal]]&amp;". Quartal"</f>
        <v>1. Quartal</v>
      </c>
      <c r="K11">
        <f>_xlfn.ISOWEEKNUM(tbl_Kalender[[#This Row],[Datum]])</f>
        <v>2</v>
      </c>
    </row>
    <row r="12" spans="1:11" x14ac:dyDescent="0.25">
      <c r="A12" s="1">
        <v>45302</v>
      </c>
      <c r="B12">
        <f>YEAR(tbl_Kalender[[#This Row],[Datum]])</f>
        <v>2024</v>
      </c>
      <c r="C12">
        <f>DAY(tbl_Kalender[[#This Row],[Datum]])</f>
        <v>11</v>
      </c>
      <c r="D12" t="str">
        <f>TEXT(tbl_Kalender[[#This Row],[Datum]],"TTTT")</f>
        <v>Donnerstag</v>
      </c>
      <c r="E12">
        <f>WEEKDAY(tbl_Kalender[[#This Row],[Datum]],2)</f>
        <v>4</v>
      </c>
      <c r="F12">
        <f>MONTH(tbl_Kalender[[#This Row],[Datum]])</f>
        <v>1</v>
      </c>
      <c r="G12" t="str">
        <f>TEXT(tbl_Kalender[[#This Row],[Datum]],"MMMM")</f>
        <v>Januar</v>
      </c>
      <c r="H12">
        <f>ROUNDUP(tbl_Kalender[[#This Row],[Monat]]/3,0)</f>
        <v>1</v>
      </c>
      <c r="I12" t="str">
        <f>"Q "&amp;tbl_Kalender[[#This Row],[Quartal]]</f>
        <v>Q 1</v>
      </c>
      <c r="J12" t="str">
        <f>tbl_Kalender[[#This Row],[Quartal]]&amp;". Quartal"</f>
        <v>1. Quartal</v>
      </c>
      <c r="K12">
        <f>_xlfn.ISOWEEKNUM(tbl_Kalender[[#This Row],[Datum]])</f>
        <v>2</v>
      </c>
    </row>
    <row r="13" spans="1:11" x14ac:dyDescent="0.25">
      <c r="A13" s="1">
        <v>45303</v>
      </c>
      <c r="B13">
        <f>YEAR(tbl_Kalender[[#This Row],[Datum]])</f>
        <v>2024</v>
      </c>
      <c r="C13">
        <f>DAY(tbl_Kalender[[#This Row],[Datum]])</f>
        <v>12</v>
      </c>
      <c r="D13" t="str">
        <f>TEXT(tbl_Kalender[[#This Row],[Datum]],"TTTT")</f>
        <v>Freitag</v>
      </c>
      <c r="E13">
        <f>WEEKDAY(tbl_Kalender[[#This Row],[Datum]],2)</f>
        <v>5</v>
      </c>
      <c r="F13">
        <f>MONTH(tbl_Kalender[[#This Row],[Datum]])</f>
        <v>1</v>
      </c>
      <c r="G13" t="str">
        <f>TEXT(tbl_Kalender[[#This Row],[Datum]],"MMMM")</f>
        <v>Januar</v>
      </c>
      <c r="H13">
        <f>ROUNDUP(tbl_Kalender[[#This Row],[Monat]]/3,0)</f>
        <v>1</v>
      </c>
      <c r="I13" t="str">
        <f>"Q "&amp;tbl_Kalender[[#This Row],[Quartal]]</f>
        <v>Q 1</v>
      </c>
      <c r="J13" t="str">
        <f>tbl_Kalender[[#This Row],[Quartal]]&amp;". Quartal"</f>
        <v>1. Quartal</v>
      </c>
      <c r="K13">
        <f>_xlfn.ISOWEEKNUM(tbl_Kalender[[#This Row],[Datum]])</f>
        <v>2</v>
      </c>
    </row>
    <row r="14" spans="1:11" x14ac:dyDescent="0.25">
      <c r="A14" s="1">
        <v>45304</v>
      </c>
      <c r="B14">
        <f>YEAR(tbl_Kalender[[#This Row],[Datum]])</f>
        <v>2024</v>
      </c>
      <c r="C14">
        <f>DAY(tbl_Kalender[[#This Row],[Datum]])</f>
        <v>13</v>
      </c>
      <c r="D14" t="str">
        <f>TEXT(tbl_Kalender[[#This Row],[Datum]],"TTTT")</f>
        <v>Samstag</v>
      </c>
      <c r="E14">
        <f>WEEKDAY(tbl_Kalender[[#This Row],[Datum]],2)</f>
        <v>6</v>
      </c>
      <c r="F14">
        <f>MONTH(tbl_Kalender[[#This Row],[Datum]])</f>
        <v>1</v>
      </c>
      <c r="G14" t="str">
        <f>TEXT(tbl_Kalender[[#This Row],[Datum]],"MMMM")</f>
        <v>Januar</v>
      </c>
      <c r="H14">
        <f>ROUNDUP(tbl_Kalender[[#This Row],[Monat]]/3,0)</f>
        <v>1</v>
      </c>
      <c r="I14" t="str">
        <f>"Q "&amp;tbl_Kalender[[#This Row],[Quartal]]</f>
        <v>Q 1</v>
      </c>
      <c r="J14" t="str">
        <f>tbl_Kalender[[#This Row],[Quartal]]&amp;". Quartal"</f>
        <v>1. Quartal</v>
      </c>
      <c r="K14">
        <f>_xlfn.ISOWEEKNUM(tbl_Kalender[[#This Row],[Datum]])</f>
        <v>2</v>
      </c>
    </row>
    <row r="15" spans="1:11" x14ac:dyDescent="0.25">
      <c r="A15" s="1">
        <v>45305</v>
      </c>
      <c r="B15">
        <f>YEAR(tbl_Kalender[[#This Row],[Datum]])</f>
        <v>2024</v>
      </c>
      <c r="C15">
        <f>DAY(tbl_Kalender[[#This Row],[Datum]])</f>
        <v>14</v>
      </c>
      <c r="D15" t="str">
        <f>TEXT(tbl_Kalender[[#This Row],[Datum]],"TTTT")</f>
        <v>Sonntag</v>
      </c>
      <c r="E15">
        <f>WEEKDAY(tbl_Kalender[[#This Row],[Datum]],2)</f>
        <v>7</v>
      </c>
      <c r="F15">
        <f>MONTH(tbl_Kalender[[#This Row],[Datum]])</f>
        <v>1</v>
      </c>
      <c r="G15" t="str">
        <f>TEXT(tbl_Kalender[[#This Row],[Datum]],"MMMM")</f>
        <v>Januar</v>
      </c>
      <c r="H15">
        <f>ROUNDUP(tbl_Kalender[[#This Row],[Monat]]/3,0)</f>
        <v>1</v>
      </c>
      <c r="I15" t="str">
        <f>"Q "&amp;tbl_Kalender[[#This Row],[Quartal]]</f>
        <v>Q 1</v>
      </c>
      <c r="J15" t="str">
        <f>tbl_Kalender[[#This Row],[Quartal]]&amp;". Quartal"</f>
        <v>1. Quartal</v>
      </c>
      <c r="K15">
        <f>_xlfn.ISOWEEKNUM(tbl_Kalender[[#This Row],[Datum]])</f>
        <v>2</v>
      </c>
    </row>
    <row r="16" spans="1:11" x14ac:dyDescent="0.25">
      <c r="A16" s="1">
        <v>45306</v>
      </c>
      <c r="B16">
        <f>YEAR(tbl_Kalender[[#This Row],[Datum]])</f>
        <v>2024</v>
      </c>
      <c r="C16">
        <f>DAY(tbl_Kalender[[#This Row],[Datum]])</f>
        <v>15</v>
      </c>
      <c r="D16" t="str">
        <f>TEXT(tbl_Kalender[[#This Row],[Datum]],"TTTT")</f>
        <v>Montag</v>
      </c>
      <c r="E16">
        <f>WEEKDAY(tbl_Kalender[[#This Row],[Datum]],2)</f>
        <v>1</v>
      </c>
      <c r="F16">
        <f>MONTH(tbl_Kalender[[#This Row],[Datum]])</f>
        <v>1</v>
      </c>
      <c r="G16" t="str">
        <f>TEXT(tbl_Kalender[[#This Row],[Datum]],"MMMM")</f>
        <v>Januar</v>
      </c>
      <c r="H16">
        <f>ROUNDUP(tbl_Kalender[[#This Row],[Monat]]/3,0)</f>
        <v>1</v>
      </c>
      <c r="I16" t="str">
        <f>"Q "&amp;tbl_Kalender[[#This Row],[Quartal]]</f>
        <v>Q 1</v>
      </c>
      <c r="J16" t="str">
        <f>tbl_Kalender[[#This Row],[Quartal]]&amp;". Quartal"</f>
        <v>1. Quartal</v>
      </c>
      <c r="K16">
        <f>_xlfn.ISOWEEKNUM(tbl_Kalender[[#This Row],[Datum]])</f>
        <v>3</v>
      </c>
    </row>
    <row r="17" spans="1:11" x14ac:dyDescent="0.25">
      <c r="A17" s="1">
        <v>45307</v>
      </c>
      <c r="B17">
        <f>YEAR(tbl_Kalender[[#This Row],[Datum]])</f>
        <v>2024</v>
      </c>
      <c r="C17">
        <f>DAY(tbl_Kalender[[#This Row],[Datum]])</f>
        <v>16</v>
      </c>
      <c r="D17" t="str">
        <f>TEXT(tbl_Kalender[[#This Row],[Datum]],"TTTT")</f>
        <v>Dienstag</v>
      </c>
      <c r="E17">
        <f>WEEKDAY(tbl_Kalender[[#This Row],[Datum]],2)</f>
        <v>2</v>
      </c>
      <c r="F17">
        <f>MONTH(tbl_Kalender[[#This Row],[Datum]])</f>
        <v>1</v>
      </c>
      <c r="G17" t="str">
        <f>TEXT(tbl_Kalender[[#This Row],[Datum]],"MMMM")</f>
        <v>Januar</v>
      </c>
      <c r="H17">
        <f>ROUNDUP(tbl_Kalender[[#This Row],[Monat]]/3,0)</f>
        <v>1</v>
      </c>
      <c r="I17" t="str">
        <f>"Q "&amp;tbl_Kalender[[#This Row],[Quartal]]</f>
        <v>Q 1</v>
      </c>
      <c r="J17" t="str">
        <f>tbl_Kalender[[#This Row],[Quartal]]&amp;". Quartal"</f>
        <v>1. Quartal</v>
      </c>
      <c r="K17">
        <f>_xlfn.ISOWEEKNUM(tbl_Kalender[[#This Row],[Datum]])</f>
        <v>3</v>
      </c>
    </row>
    <row r="18" spans="1:11" x14ac:dyDescent="0.25">
      <c r="A18" s="1">
        <v>45308</v>
      </c>
      <c r="B18">
        <f>YEAR(tbl_Kalender[[#This Row],[Datum]])</f>
        <v>2024</v>
      </c>
      <c r="C18">
        <f>DAY(tbl_Kalender[[#This Row],[Datum]])</f>
        <v>17</v>
      </c>
      <c r="D18" t="str">
        <f>TEXT(tbl_Kalender[[#This Row],[Datum]],"TTTT")</f>
        <v>Mittwoch</v>
      </c>
      <c r="E18">
        <f>WEEKDAY(tbl_Kalender[[#This Row],[Datum]],2)</f>
        <v>3</v>
      </c>
      <c r="F18">
        <f>MONTH(tbl_Kalender[[#This Row],[Datum]])</f>
        <v>1</v>
      </c>
      <c r="G18" t="str">
        <f>TEXT(tbl_Kalender[[#This Row],[Datum]],"MMMM")</f>
        <v>Januar</v>
      </c>
      <c r="H18">
        <f>ROUNDUP(tbl_Kalender[[#This Row],[Monat]]/3,0)</f>
        <v>1</v>
      </c>
      <c r="I18" t="str">
        <f>"Q "&amp;tbl_Kalender[[#This Row],[Quartal]]</f>
        <v>Q 1</v>
      </c>
      <c r="J18" t="str">
        <f>tbl_Kalender[[#This Row],[Quartal]]&amp;". Quartal"</f>
        <v>1. Quartal</v>
      </c>
      <c r="K18">
        <f>_xlfn.ISOWEEKNUM(tbl_Kalender[[#This Row],[Datum]])</f>
        <v>3</v>
      </c>
    </row>
    <row r="19" spans="1:11" x14ac:dyDescent="0.25">
      <c r="A19" s="1">
        <v>45309</v>
      </c>
      <c r="B19">
        <f>YEAR(tbl_Kalender[[#This Row],[Datum]])</f>
        <v>2024</v>
      </c>
      <c r="C19">
        <f>DAY(tbl_Kalender[[#This Row],[Datum]])</f>
        <v>18</v>
      </c>
      <c r="D19" t="str">
        <f>TEXT(tbl_Kalender[[#This Row],[Datum]],"TTTT")</f>
        <v>Donnerstag</v>
      </c>
      <c r="E19">
        <f>WEEKDAY(tbl_Kalender[[#This Row],[Datum]],2)</f>
        <v>4</v>
      </c>
      <c r="F19">
        <f>MONTH(tbl_Kalender[[#This Row],[Datum]])</f>
        <v>1</v>
      </c>
      <c r="G19" t="str">
        <f>TEXT(tbl_Kalender[[#This Row],[Datum]],"MMMM")</f>
        <v>Januar</v>
      </c>
      <c r="H19">
        <f>ROUNDUP(tbl_Kalender[[#This Row],[Monat]]/3,0)</f>
        <v>1</v>
      </c>
      <c r="I19" t="str">
        <f>"Q "&amp;tbl_Kalender[[#This Row],[Quartal]]</f>
        <v>Q 1</v>
      </c>
      <c r="J19" t="str">
        <f>tbl_Kalender[[#This Row],[Quartal]]&amp;". Quartal"</f>
        <v>1. Quartal</v>
      </c>
      <c r="K19">
        <f>_xlfn.ISOWEEKNUM(tbl_Kalender[[#This Row],[Datum]])</f>
        <v>3</v>
      </c>
    </row>
    <row r="20" spans="1:11" x14ac:dyDescent="0.25">
      <c r="A20" s="1">
        <v>45310</v>
      </c>
      <c r="B20">
        <f>YEAR(tbl_Kalender[[#This Row],[Datum]])</f>
        <v>2024</v>
      </c>
      <c r="C20">
        <f>DAY(tbl_Kalender[[#This Row],[Datum]])</f>
        <v>19</v>
      </c>
      <c r="D20" t="str">
        <f>TEXT(tbl_Kalender[[#This Row],[Datum]],"TTTT")</f>
        <v>Freitag</v>
      </c>
      <c r="E20">
        <f>WEEKDAY(tbl_Kalender[[#This Row],[Datum]],2)</f>
        <v>5</v>
      </c>
      <c r="F20">
        <f>MONTH(tbl_Kalender[[#This Row],[Datum]])</f>
        <v>1</v>
      </c>
      <c r="G20" t="str">
        <f>TEXT(tbl_Kalender[[#This Row],[Datum]],"MMMM")</f>
        <v>Januar</v>
      </c>
      <c r="H20">
        <f>ROUNDUP(tbl_Kalender[[#This Row],[Monat]]/3,0)</f>
        <v>1</v>
      </c>
      <c r="I20" t="str">
        <f>"Q "&amp;tbl_Kalender[[#This Row],[Quartal]]</f>
        <v>Q 1</v>
      </c>
      <c r="J20" t="str">
        <f>tbl_Kalender[[#This Row],[Quartal]]&amp;". Quartal"</f>
        <v>1. Quartal</v>
      </c>
      <c r="K20">
        <f>_xlfn.ISOWEEKNUM(tbl_Kalender[[#This Row],[Datum]])</f>
        <v>3</v>
      </c>
    </row>
    <row r="21" spans="1:11" x14ac:dyDescent="0.25">
      <c r="A21" s="1">
        <v>45311</v>
      </c>
      <c r="B21">
        <f>YEAR(tbl_Kalender[[#This Row],[Datum]])</f>
        <v>2024</v>
      </c>
      <c r="C21">
        <f>DAY(tbl_Kalender[[#This Row],[Datum]])</f>
        <v>20</v>
      </c>
      <c r="D21" t="str">
        <f>TEXT(tbl_Kalender[[#This Row],[Datum]],"TTTT")</f>
        <v>Samstag</v>
      </c>
      <c r="E21">
        <f>WEEKDAY(tbl_Kalender[[#This Row],[Datum]],2)</f>
        <v>6</v>
      </c>
      <c r="F21">
        <f>MONTH(tbl_Kalender[[#This Row],[Datum]])</f>
        <v>1</v>
      </c>
      <c r="G21" t="str">
        <f>TEXT(tbl_Kalender[[#This Row],[Datum]],"MMMM")</f>
        <v>Januar</v>
      </c>
      <c r="H21">
        <f>ROUNDUP(tbl_Kalender[[#This Row],[Monat]]/3,0)</f>
        <v>1</v>
      </c>
      <c r="I21" t="str">
        <f>"Q "&amp;tbl_Kalender[[#This Row],[Quartal]]</f>
        <v>Q 1</v>
      </c>
      <c r="J21" t="str">
        <f>tbl_Kalender[[#This Row],[Quartal]]&amp;". Quartal"</f>
        <v>1. Quartal</v>
      </c>
      <c r="K21">
        <f>_xlfn.ISOWEEKNUM(tbl_Kalender[[#This Row],[Datum]])</f>
        <v>3</v>
      </c>
    </row>
    <row r="22" spans="1:11" x14ac:dyDescent="0.25">
      <c r="A22" s="1">
        <v>45312</v>
      </c>
      <c r="B22">
        <f>YEAR(tbl_Kalender[[#This Row],[Datum]])</f>
        <v>2024</v>
      </c>
      <c r="C22">
        <f>DAY(tbl_Kalender[[#This Row],[Datum]])</f>
        <v>21</v>
      </c>
      <c r="D22" t="str">
        <f>TEXT(tbl_Kalender[[#This Row],[Datum]],"TTTT")</f>
        <v>Sonntag</v>
      </c>
      <c r="E22">
        <f>WEEKDAY(tbl_Kalender[[#This Row],[Datum]],2)</f>
        <v>7</v>
      </c>
      <c r="F22">
        <f>MONTH(tbl_Kalender[[#This Row],[Datum]])</f>
        <v>1</v>
      </c>
      <c r="G22" t="str">
        <f>TEXT(tbl_Kalender[[#This Row],[Datum]],"MMMM")</f>
        <v>Januar</v>
      </c>
      <c r="H22">
        <f>ROUNDUP(tbl_Kalender[[#This Row],[Monat]]/3,0)</f>
        <v>1</v>
      </c>
      <c r="I22" t="str">
        <f>"Q "&amp;tbl_Kalender[[#This Row],[Quartal]]</f>
        <v>Q 1</v>
      </c>
      <c r="J22" t="str">
        <f>tbl_Kalender[[#This Row],[Quartal]]&amp;". Quartal"</f>
        <v>1. Quartal</v>
      </c>
      <c r="K22">
        <f>_xlfn.ISOWEEKNUM(tbl_Kalender[[#This Row],[Datum]])</f>
        <v>3</v>
      </c>
    </row>
    <row r="23" spans="1:11" x14ac:dyDescent="0.25">
      <c r="A23" s="1">
        <v>45313</v>
      </c>
      <c r="B23">
        <f>YEAR(tbl_Kalender[[#This Row],[Datum]])</f>
        <v>2024</v>
      </c>
      <c r="C23">
        <f>DAY(tbl_Kalender[[#This Row],[Datum]])</f>
        <v>22</v>
      </c>
      <c r="D23" t="str">
        <f>TEXT(tbl_Kalender[[#This Row],[Datum]],"TTTT")</f>
        <v>Montag</v>
      </c>
      <c r="E23">
        <f>WEEKDAY(tbl_Kalender[[#This Row],[Datum]],2)</f>
        <v>1</v>
      </c>
      <c r="F23">
        <f>MONTH(tbl_Kalender[[#This Row],[Datum]])</f>
        <v>1</v>
      </c>
      <c r="G23" t="str">
        <f>TEXT(tbl_Kalender[[#This Row],[Datum]],"MMMM")</f>
        <v>Januar</v>
      </c>
      <c r="H23">
        <f>ROUNDUP(tbl_Kalender[[#This Row],[Monat]]/3,0)</f>
        <v>1</v>
      </c>
      <c r="I23" t="str">
        <f>"Q "&amp;tbl_Kalender[[#This Row],[Quartal]]</f>
        <v>Q 1</v>
      </c>
      <c r="J23" t="str">
        <f>tbl_Kalender[[#This Row],[Quartal]]&amp;". Quartal"</f>
        <v>1. Quartal</v>
      </c>
      <c r="K23">
        <f>_xlfn.ISOWEEKNUM(tbl_Kalender[[#This Row],[Datum]])</f>
        <v>4</v>
      </c>
    </row>
    <row r="24" spans="1:11" x14ac:dyDescent="0.25">
      <c r="A24" s="1">
        <v>45314</v>
      </c>
      <c r="B24">
        <f>YEAR(tbl_Kalender[[#This Row],[Datum]])</f>
        <v>2024</v>
      </c>
      <c r="C24">
        <f>DAY(tbl_Kalender[[#This Row],[Datum]])</f>
        <v>23</v>
      </c>
      <c r="D24" t="str">
        <f>TEXT(tbl_Kalender[[#This Row],[Datum]],"TTTT")</f>
        <v>Dienstag</v>
      </c>
      <c r="E24">
        <f>WEEKDAY(tbl_Kalender[[#This Row],[Datum]],2)</f>
        <v>2</v>
      </c>
      <c r="F24">
        <f>MONTH(tbl_Kalender[[#This Row],[Datum]])</f>
        <v>1</v>
      </c>
      <c r="G24" t="str">
        <f>TEXT(tbl_Kalender[[#This Row],[Datum]],"MMMM")</f>
        <v>Januar</v>
      </c>
      <c r="H24">
        <f>ROUNDUP(tbl_Kalender[[#This Row],[Monat]]/3,0)</f>
        <v>1</v>
      </c>
      <c r="I24" t="str">
        <f>"Q "&amp;tbl_Kalender[[#This Row],[Quartal]]</f>
        <v>Q 1</v>
      </c>
      <c r="J24" t="str">
        <f>tbl_Kalender[[#This Row],[Quartal]]&amp;". Quartal"</f>
        <v>1. Quartal</v>
      </c>
      <c r="K24">
        <f>_xlfn.ISOWEEKNUM(tbl_Kalender[[#This Row],[Datum]])</f>
        <v>4</v>
      </c>
    </row>
    <row r="25" spans="1:11" x14ac:dyDescent="0.25">
      <c r="A25" s="1">
        <v>45315</v>
      </c>
      <c r="B25">
        <f>YEAR(tbl_Kalender[[#This Row],[Datum]])</f>
        <v>2024</v>
      </c>
      <c r="C25">
        <f>DAY(tbl_Kalender[[#This Row],[Datum]])</f>
        <v>24</v>
      </c>
      <c r="D25" t="str">
        <f>TEXT(tbl_Kalender[[#This Row],[Datum]],"TTTT")</f>
        <v>Mittwoch</v>
      </c>
      <c r="E25">
        <f>WEEKDAY(tbl_Kalender[[#This Row],[Datum]],2)</f>
        <v>3</v>
      </c>
      <c r="F25">
        <f>MONTH(tbl_Kalender[[#This Row],[Datum]])</f>
        <v>1</v>
      </c>
      <c r="G25" t="str">
        <f>TEXT(tbl_Kalender[[#This Row],[Datum]],"MMMM")</f>
        <v>Januar</v>
      </c>
      <c r="H25">
        <f>ROUNDUP(tbl_Kalender[[#This Row],[Monat]]/3,0)</f>
        <v>1</v>
      </c>
      <c r="I25" t="str">
        <f>"Q "&amp;tbl_Kalender[[#This Row],[Quartal]]</f>
        <v>Q 1</v>
      </c>
      <c r="J25" t="str">
        <f>tbl_Kalender[[#This Row],[Quartal]]&amp;". Quartal"</f>
        <v>1. Quartal</v>
      </c>
      <c r="K25">
        <f>_xlfn.ISOWEEKNUM(tbl_Kalender[[#This Row],[Datum]])</f>
        <v>4</v>
      </c>
    </row>
    <row r="26" spans="1:11" x14ac:dyDescent="0.25">
      <c r="A26" s="1">
        <v>45316</v>
      </c>
      <c r="B26">
        <f>YEAR(tbl_Kalender[[#This Row],[Datum]])</f>
        <v>2024</v>
      </c>
      <c r="C26">
        <f>DAY(tbl_Kalender[[#This Row],[Datum]])</f>
        <v>25</v>
      </c>
      <c r="D26" t="str">
        <f>TEXT(tbl_Kalender[[#This Row],[Datum]],"TTTT")</f>
        <v>Donnerstag</v>
      </c>
      <c r="E26">
        <f>WEEKDAY(tbl_Kalender[[#This Row],[Datum]],2)</f>
        <v>4</v>
      </c>
      <c r="F26">
        <f>MONTH(tbl_Kalender[[#This Row],[Datum]])</f>
        <v>1</v>
      </c>
      <c r="G26" t="str">
        <f>TEXT(tbl_Kalender[[#This Row],[Datum]],"MMMM")</f>
        <v>Januar</v>
      </c>
      <c r="H26">
        <f>ROUNDUP(tbl_Kalender[[#This Row],[Monat]]/3,0)</f>
        <v>1</v>
      </c>
      <c r="I26" t="str">
        <f>"Q "&amp;tbl_Kalender[[#This Row],[Quartal]]</f>
        <v>Q 1</v>
      </c>
      <c r="J26" t="str">
        <f>tbl_Kalender[[#This Row],[Quartal]]&amp;". Quartal"</f>
        <v>1. Quartal</v>
      </c>
      <c r="K26">
        <f>_xlfn.ISOWEEKNUM(tbl_Kalender[[#This Row],[Datum]])</f>
        <v>4</v>
      </c>
    </row>
    <row r="27" spans="1:11" x14ac:dyDescent="0.25">
      <c r="A27" s="1">
        <v>45317</v>
      </c>
      <c r="B27">
        <f>YEAR(tbl_Kalender[[#This Row],[Datum]])</f>
        <v>2024</v>
      </c>
      <c r="C27">
        <f>DAY(tbl_Kalender[[#This Row],[Datum]])</f>
        <v>26</v>
      </c>
      <c r="D27" t="str">
        <f>TEXT(tbl_Kalender[[#This Row],[Datum]],"TTTT")</f>
        <v>Freitag</v>
      </c>
      <c r="E27">
        <f>WEEKDAY(tbl_Kalender[[#This Row],[Datum]],2)</f>
        <v>5</v>
      </c>
      <c r="F27">
        <f>MONTH(tbl_Kalender[[#This Row],[Datum]])</f>
        <v>1</v>
      </c>
      <c r="G27" t="str">
        <f>TEXT(tbl_Kalender[[#This Row],[Datum]],"MMMM")</f>
        <v>Januar</v>
      </c>
      <c r="H27">
        <f>ROUNDUP(tbl_Kalender[[#This Row],[Monat]]/3,0)</f>
        <v>1</v>
      </c>
      <c r="I27" t="str">
        <f>"Q "&amp;tbl_Kalender[[#This Row],[Quartal]]</f>
        <v>Q 1</v>
      </c>
      <c r="J27" t="str">
        <f>tbl_Kalender[[#This Row],[Quartal]]&amp;". Quartal"</f>
        <v>1. Quartal</v>
      </c>
      <c r="K27">
        <f>_xlfn.ISOWEEKNUM(tbl_Kalender[[#This Row],[Datum]])</f>
        <v>4</v>
      </c>
    </row>
    <row r="28" spans="1:11" x14ac:dyDescent="0.25">
      <c r="A28" s="1">
        <v>45318</v>
      </c>
      <c r="B28">
        <f>YEAR(tbl_Kalender[[#This Row],[Datum]])</f>
        <v>2024</v>
      </c>
      <c r="C28">
        <f>DAY(tbl_Kalender[[#This Row],[Datum]])</f>
        <v>27</v>
      </c>
      <c r="D28" t="str">
        <f>TEXT(tbl_Kalender[[#This Row],[Datum]],"TTTT")</f>
        <v>Samstag</v>
      </c>
      <c r="E28">
        <f>WEEKDAY(tbl_Kalender[[#This Row],[Datum]],2)</f>
        <v>6</v>
      </c>
      <c r="F28">
        <f>MONTH(tbl_Kalender[[#This Row],[Datum]])</f>
        <v>1</v>
      </c>
      <c r="G28" t="str">
        <f>TEXT(tbl_Kalender[[#This Row],[Datum]],"MMMM")</f>
        <v>Januar</v>
      </c>
      <c r="H28">
        <f>ROUNDUP(tbl_Kalender[[#This Row],[Monat]]/3,0)</f>
        <v>1</v>
      </c>
      <c r="I28" t="str">
        <f>"Q "&amp;tbl_Kalender[[#This Row],[Quartal]]</f>
        <v>Q 1</v>
      </c>
      <c r="J28" t="str">
        <f>tbl_Kalender[[#This Row],[Quartal]]&amp;". Quartal"</f>
        <v>1. Quartal</v>
      </c>
      <c r="K28">
        <f>_xlfn.ISOWEEKNUM(tbl_Kalender[[#This Row],[Datum]])</f>
        <v>4</v>
      </c>
    </row>
    <row r="29" spans="1:11" x14ac:dyDescent="0.25">
      <c r="A29" s="1">
        <v>45319</v>
      </c>
      <c r="B29">
        <f>YEAR(tbl_Kalender[[#This Row],[Datum]])</f>
        <v>2024</v>
      </c>
      <c r="C29">
        <f>DAY(tbl_Kalender[[#This Row],[Datum]])</f>
        <v>28</v>
      </c>
      <c r="D29" t="str">
        <f>TEXT(tbl_Kalender[[#This Row],[Datum]],"TTTT")</f>
        <v>Sonntag</v>
      </c>
      <c r="E29">
        <f>WEEKDAY(tbl_Kalender[[#This Row],[Datum]],2)</f>
        <v>7</v>
      </c>
      <c r="F29">
        <f>MONTH(tbl_Kalender[[#This Row],[Datum]])</f>
        <v>1</v>
      </c>
      <c r="G29" t="str">
        <f>TEXT(tbl_Kalender[[#This Row],[Datum]],"MMMM")</f>
        <v>Januar</v>
      </c>
      <c r="H29">
        <f>ROUNDUP(tbl_Kalender[[#This Row],[Monat]]/3,0)</f>
        <v>1</v>
      </c>
      <c r="I29" t="str">
        <f>"Q "&amp;tbl_Kalender[[#This Row],[Quartal]]</f>
        <v>Q 1</v>
      </c>
      <c r="J29" t="str">
        <f>tbl_Kalender[[#This Row],[Quartal]]&amp;". Quartal"</f>
        <v>1. Quartal</v>
      </c>
      <c r="K29">
        <f>_xlfn.ISOWEEKNUM(tbl_Kalender[[#This Row],[Datum]])</f>
        <v>4</v>
      </c>
    </row>
    <row r="30" spans="1:11" x14ac:dyDescent="0.25">
      <c r="A30" s="1">
        <v>45320</v>
      </c>
      <c r="B30">
        <f>YEAR(tbl_Kalender[[#This Row],[Datum]])</f>
        <v>2024</v>
      </c>
      <c r="C30">
        <f>DAY(tbl_Kalender[[#This Row],[Datum]])</f>
        <v>29</v>
      </c>
      <c r="D30" t="str">
        <f>TEXT(tbl_Kalender[[#This Row],[Datum]],"TTTT")</f>
        <v>Montag</v>
      </c>
      <c r="E30">
        <f>WEEKDAY(tbl_Kalender[[#This Row],[Datum]],2)</f>
        <v>1</v>
      </c>
      <c r="F30">
        <f>MONTH(tbl_Kalender[[#This Row],[Datum]])</f>
        <v>1</v>
      </c>
      <c r="G30" t="str">
        <f>TEXT(tbl_Kalender[[#This Row],[Datum]],"MMMM")</f>
        <v>Januar</v>
      </c>
      <c r="H30">
        <f>ROUNDUP(tbl_Kalender[[#This Row],[Monat]]/3,0)</f>
        <v>1</v>
      </c>
      <c r="I30" t="str">
        <f>"Q "&amp;tbl_Kalender[[#This Row],[Quartal]]</f>
        <v>Q 1</v>
      </c>
      <c r="J30" t="str">
        <f>tbl_Kalender[[#This Row],[Quartal]]&amp;". Quartal"</f>
        <v>1. Quartal</v>
      </c>
      <c r="K30">
        <f>_xlfn.ISOWEEKNUM(tbl_Kalender[[#This Row],[Datum]])</f>
        <v>5</v>
      </c>
    </row>
    <row r="31" spans="1:11" x14ac:dyDescent="0.25">
      <c r="A31" s="1">
        <v>45321</v>
      </c>
      <c r="B31">
        <f>YEAR(tbl_Kalender[[#This Row],[Datum]])</f>
        <v>2024</v>
      </c>
      <c r="C31">
        <f>DAY(tbl_Kalender[[#This Row],[Datum]])</f>
        <v>30</v>
      </c>
      <c r="D31" t="str">
        <f>TEXT(tbl_Kalender[[#This Row],[Datum]],"TTTT")</f>
        <v>Dienstag</v>
      </c>
      <c r="E31">
        <f>WEEKDAY(tbl_Kalender[[#This Row],[Datum]],2)</f>
        <v>2</v>
      </c>
      <c r="F31">
        <f>MONTH(tbl_Kalender[[#This Row],[Datum]])</f>
        <v>1</v>
      </c>
      <c r="G31" t="str">
        <f>TEXT(tbl_Kalender[[#This Row],[Datum]],"MMMM")</f>
        <v>Januar</v>
      </c>
      <c r="H31">
        <f>ROUNDUP(tbl_Kalender[[#This Row],[Monat]]/3,0)</f>
        <v>1</v>
      </c>
      <c r="I31" t="str">
        <f>"Q "&amp;tbl_Kalender[[#This Row],[Quartal]]</f>
        <v>Q 1</v>
      </c>
      <c r="J31" t="str">
        <f>tbl_Kalender[[#This Row],[Quartal]]&amp;". Quartal"</f>
        <v>1. Quartal</v>
      </c>
      <c r="K31">
        <f>_xlfn.ISOWEEKNUM(tbl_Kalender[[#This Row],[Datum]])</f>
        <v>5</v>
      </c>
    </row>
    <row r="32" spans="1:11" x14ac:dyDescent="0.25">
      <c r="A32" s="1">
        <v>45322</v>
      </c>
      <c r="B32">
        <f>YEAR(tbl_Kalender[[#This Row],[Datum]])</f>
        <v>2024</v>
      </c>
      <c r="C32">
        <f>DAY(tbl_Kalender[[#This Row],[Datum]])</f>
        <v>31</v>
      </c>
      <c r="D32" t="str">
        <f>TEXT(tbl_Kalender[[#This Row],[Datum]],"TTTT")</f>
        <v>Mittwoch</v>
      </c>
      <c r="E32">
        <f>WEEKDAY(tbl_Kalender[[#This Row],[Datum]],2)</f>
        <v>3</v>
      </c>
      <c r="F32">
        <f>MONTH(tbl_Kalender[[#This Row],[Datum]])</f>
        <v>1</v>
      </c>
      <c r="G32" t="str">
        <f>TEXT(tbl_Kalender[[#This Row],[Datum]],"MMMM")</f>
        <v>Januar</v>
      </c>
      <c r="H32">
        <f>ROUNDUP(tbl_Kalender[[#This Row],[Monat]]/3,0)</f>
        <v>1</v>
      </c>
      <c r="I32" t="str">
        <f>"Q "&amp;tbl_Kalender[[#This Row],[Quartal]]</f>
        <v>Q 1</v>
      </c>
      <c r="J32" t="str">
        <f>tbl_Kalender[[#This Row],[Quartal]]&amp;". Quartal"</f>
        <v>1. Quartal</v>
      </c>
      <c r="K32">
        <f>_xlfn.ISOWEEKNUM(tbl_Kalender[[#This Row],[Datum]])</f>
        <v>5</v>
      </c>
    </row>
    <row r="33" spans="1:11" x14ac:dyDescent="0.25">
      <c r="A33" s="1">
        <v>45323</v>
      </c>
      <c r="B33">
        <f>YEAR(tbl_Kalender[[#This Row],[Datum]])</f>
        <v>2024</v>
      </c>
      <c r="C33">
        <f>DAY(tbl_Kalender[[#This Row],[Datum]])</f>
        <v>1</v>
      </c>
      <c r="D33" t="str">
        <f>TEXT(tbl_Kalender[[#This Row],[Datum]],"TTTT")</f>
        <v>Donnerstag</v>
      </c>
      <c r="E33">
        <f>WEEKDAY(tbl_Kalender[[#This Row],[Datum]],2)</f>
        <v>4</v>
      </c>
      <c r="F33">
        <f>MONTH(tbl_Kalender[[#This Row],[Datum]])</f>
        <v>2</v>
      </c>
      <c r="G33" t="str">
        <f>TEXT(tbl_Kalender[[#This Row],[Datum]],"MMMM")</f>
        <v>Februar</v>
      </c>
      <c r="H33">
        <f>ROUNDUP(tbl_Kalender[[#This Row],[Monat]]/3,0)</f>
        <v>1</v>
      </c>
      <c r="I33" t="str">
        <f>"Q "&amp;tbl_Kalender[[#This Row],[Quartal]]</f>
        <v>Q 1</v>
      </c>
      <c r="J33" t="str">
        <f>tbl_Kalender[[#This Row],[Quartal]]&amp;". Quartal"</f>
        <v>1. Quartal</v>
      </c>
      <c r="K33">
        <f>_xlfn.ISOWEEKNUM(tbl_Kalender[[#This Row],[Datum]])</f>
        <v>5</v>
      </c>
    </row>
    <row r="34" spans="1:11" x14ac:dyDescent="0.25">
      <c r="A34" s="1">
        <v>45324</v>
      </c>
      <c r="B34">
        <f>YEAR(tbl_Kalender[[#This Row],[Datum]])</f>
        <v>2024</v>
      </c>
      <c r="C34">
        <f>DAY(tbl_Kalender[[#This Row],[Datum]])</f>
        <v>2</v>
      </c>
      <c r="D34" t="str">
        <f>TEXT(tbl_Kalender[[#This Row],[Datum]],"TTTT")</f>
        <v>Freitag</v>
      </c>
      <c r="E34">
        <f>WEEKDAY(tbl_Kalender[[#This Row],[Datum]],2)</f>
        <v>5</v>
      </c>
      <c r="F34">
        <f>MONTH(tbl_Kalender[[#This Row],[Datum]])</f>
        <v>2</v>
      </c>
      <c r="G34" t="str">
        <f>TEXT(tbl_Kalender[[#This Row],[Datum]],"MMMM")</f>
        <v>Februar</v>
      </c>
      <c r="H34">
        <f>ROUNDUP(tbl_Kalender[[#This Row],[Monat]]/3,0)</f>
        <v>1</v>
      </c>
      <c r="I34" t="str">
        <f>"Q "&amp;tbl_Kalender[[#This Row],[Quartal]]</f>
        <v>Q 1</v>
      </c>
      <c r="J34" t="str">
        <f>tbl_Kalender[[#This Row],[Quartal]]&amp;". Quartal"</f>
        <v>1. Quartal</v>
      </c>
      <c r="K34">
        <f>_xlfn.ISOWEEKNUM(tbl_Kalender[[#This Row],[Datum]])</f>
        <v>5</v>
      </c>
    </row>
    <row r="35" spans="1:11" x14ac:dyDescent="0.25">
      <c r="A35" s="1">
        <v>45325</v>
      </c>
      <c r="B35">
        <f>YEAR(tbl_Kalender[[#This Row],[Datum]])</f>
        <v>2024</v>
      </c>
      <c r="C35">
        <f>DAY(tbl_Kalender[[#This Row],[Datum]])</f>
        <v>3</v>
      </c>
      <c r="D35" t="str">
        <f>TEXT(tbl_Kalender[[#This Row],[Datum]],"TTTT")</f>
        <v>Samstag</v>
      </c>
      <c r="E35">
        <f>WEEKDAY(tbl_Kalender[[#This Row],[Datum]],2)</f>
        <v>6</v>
      </c>
      <c r="F35">
        <f>MONTH(tbl_Kalender[[#This Row],[Datum]])</f>
        <v>2</v>
      </c>
      <c r="G35" t="str">
        <f>TEXT(tbl_Kalender[[#This Row],[Datum]],"MMMM")</f>
        <v>Februar</v>
      </c>
      <c r="H35">
        <f>ROUNDUP(tbl_Kalender[[#This Row],[Monat]]/3,0)</f>
        <v>1</v>
      </c>
      <c r="I35" t="str">
        <f>"Q "&amp;tbl_Kalender[[#This Row],[Quartal]]</f>
        <v>Q 1</v>
      </c>
      <c r="J35" t="str">
        <f>tbl_Kalender[[#This Row],[Quartal]]&amp;". Quartal"</f>
        <v>1. Quartal</v>
      </c>
      <c r="K35">
        <f>_xlfn.ISOWEEKNUM(tbl_Kalender[[#This Row],[Datum]])</f>
        <v>5</v>
      </c>
    </row>
    <row r="36" spans="1:11" x14ac:dyDescent="0.25">
      <c r="A36" s="1">
        <v>45326</v>
      </c>
      <c r="B36">
        <f>YEAR(tbl_Kalender[[#This Row],[Datum]])</f>
        <v>2024</v>
      </c>
      <c r="C36">
        <f>DAY(tbl_Kalender[[#This Row],[Datum]])</f>
        <v>4</v>
      </c>
      <c r="D36" t="str">
        <f>TEXT(tbl_Kalender[[#This Row],[Datum]],"TTTT")</f>
        <v>Sonntag</v>
      </c>
      <c r="E36">
        <f>WEEKDAY(tbl_Kalender[[#This Row],[Datum]],2)</f>
        <v>7</v>
      </c>
      <c r="F36">
        <f>MONTH(tbl_Kalender[[#This Row],[Datum]])</f>
        <v>2</v>
      </c>
      <c r="G36" t="str">
        <f>TEXT(tbl_Kalender[[#This Row],[Datum]],"MMMM")</f>
        <v>Februar</v>
      </c>
      <c r="H36">
        <f>ROUNDUP(tbl_Kalender[[#This Row],[Monat]]/3,0)</f>
        <v>1</v>
      </c>
      <c r="I36" t="str">
        <f>"Q "&amp;tbl_Kalender[[#This Row],[Quartal]]</f>
        <v>Q 1</v>
      </c>
      <c r="J36" t="str">
        <f>tbl_Kalender[[#This Row],[Quartal]]&amp;". Quartal"</f>
        <v>1. Quartal</v>
      </c>
      <c r="K36">
        <f>_xlfn.ISOWEEKNUM(tbl_Kalender[[#This Row],[Datum]])</f>
        <v>5</v>
      </c>
    </row>
    <row r="37" spans="1:11" x14ac:dyDescent="0.25">
      <c r="A37" s="1">
        <v>45327</v>
      </c>
      <c r="B37">
        <f>YEAR(tbl_Kalender[[#This Row],[Datum]])</f>
        <v>2024</v>
      </c>
      <c r="C37">
        <f>DAY(tbl_Kalender[[#This Row],[Datum]])</f>
        <v>5</v>
      </c>
      <c r="D37" t="str">
        <f>TEXT(tbl_Kalender[[#This Row],[Datum]],"TTTT")</f>
        <v>Montag</v>
      </c>
      <c r="E37">
        <f>WEEKDAY(tbl_Kalender[[#This Row],[Datum]],2)</f>
        <v>1</v>
      </c>
      <c r="F37">
        <f>MONTH(tbl_Kalender[[#This Row],[Datum]])</f>
        <v>2</v>
      </c>
      <c r="G37" t="str">
        <f>TEXT(tbl_Kalender[[#This Row],[Datum]],"MMMM")</f>
        <v>Februar</v>
      </c>
      <c r="H37">
        <f>ROUNDUP(tbl_Kalender[[#This Row],[Monat]]/3,0)</f>
        <v>1</v>
      </c>
      <c r="I37" t="str">
        <f>"Q "&amp;tbl_Kalender[[#This Row],[Quartal]]</f>
        <v>Q 1</v>
      </c>
      <c r="J37" t="str">
        <f>tbl_Kalender[[#This Row],[Quartal]]&amp;". Quartal"</f>
        <v>1. Quartal</v>
      </c>
      <c r="K37">
        <f>_xlfn.ISOWEEKNUM(tbl_Kalender[[#This Row],[Datum]])</f>
        <v>6</v>
      </c>
    </row>
    <row r="38" spans="1:11" x14ac:dyDescent="0.25">
      <c r="A38" s="1">
        <v>45328</v>
      </c>
      <c r="B38">
        <f>YEAR(tbl_Kalender[[#This Row],[Datum]])</f>
        <v>2024</v>
      </c>
      <c r="C38">
        <f>DAY(tbl_Kalender[[#This Row],[Datum]])</f>
        <v>6</v>
      </c>
      <c r="D38" t="str">
        <f>TEXT(tbl_Kalender[[#This Row],[Datum]],"TTTT")</f>
        <v>Dienstag</v>
      </c>
      <c r="E38">
        <f>WEEKDAY(tbl_Kalender[[#This Row],[Datum]],2)</f>
        <v>2</v>
      </c>
      <c r="F38">
        <f>MONTH(tbl_Kalender[[#This Row],[Datum]])</f>
        <v>2</v>
      </c>
      <c r="G38" t="str">
        <f>TEXT(tbl_Kalender[[#This Row],[Datum]],"MMMM")</f>
        <v>Februar</v>
      </c>
      <c r="H38">
        <f>ROUNDUP(tbl_Kalender[[#This Row],[Monat]]/3,0)</f>
        <v>1</v>
      </c>
      <c r="I38" t="str">
        <f>"Q "&amp;tbl_Kalender[[#This Row],[Quartal]]</f>
        <v>Q 1</v>
      </c>
      <c r="J38" t="str">
        <f>tbl_Kalender[[#This Row],[Quartal]]&amp;". Quartal"</f>
        <v>1. Quartal</v>
      </c>
      <c r="K38">
        <f>_xlfn.ISOWEEKNUM(tbl_Kalender[[#This Row],[Datum]])</f>
        <v>6</v>
      </c>
    </row>
    <row r="39" spans="1:11" x14ac:dyDescent="0.25">
      <c r="A39" s="1">
        <v>45329</v>
      </c>
      <c r="B39">
        <f>YEAR(tbl_Kalender[[#This Row],[Datum]])</f>
        <v>2024</v>
      </c>
      <c r="C39">
        <f>DAY(tbl_Kalender[[#This Row],[Datum]])</f>
        <v>7</v>
      </c>
      <c r="D39" t="str">
        <f>TEXT(tbl_Kalender[[#This Row],[Datum]],"TTTT")</f>
        <v>Mittwoch</v>
      </c>
      <c r="E39">
        <f>WEEKDAY(tbl_Kalender[[#This Row],[Datum]],2)</f>
        <v>3</v>
      </c>
      <c r="F39">
        <f>MONTH(tbl_Kalender[[#This Row],[Datum]])</f>
        <v>2</v>
      </c>
      <c r="G39" t="str">
        <f>TEXT(tbl_Kalender[[#This Row],[Datum]],"MMMM")</f>
        <v>Februar</v>
      </c>
      <c r="H39">
        <f>ROUNDUP(tbl_Kalender[[#This Row],[Monat]]/3,0)</f>
        <v>1</v>
      </c>
      <c r="I39" t="str">
        <f>"Q "&amp;tbl_Kalender[[#This Row],[Quartal]]</f>
        <v>Q 1</v>
      </c>
      <c r="J39" t="str">
        <f>tbl_Kalender[[#This Row],[Quartal]]&amp;". Quartal"</f>
        <v>1. Quartal</v>
      </c>
      <c r="K39">
        <f>_xlfn.ISOWEEKNUM(tbl_Kalender[[#This Row],[Datum]])</f>
        <v>6</v>
      </c>
    </row>
    <row r="40" spans="1:11" x14ac:dyDescent="0.25">
      <c r="A40" s="1">
        <v>45330</v>
      </c>
      <c r="B40">
        <f>YEAR(tbl_Kalender[[#This Row],[Datum]])</f>
        <v>2024</v>
      </c>
      <c r="C40">
        <f>DAY(tbl_Kalender[[#This Row],[Datum]])</f>
        <v>8</v>
      </c>
      <c r="D40" t="str">
        <f>TEXT(tbl_Kalender[[#This Row],[Datum]],"TTTT")</f>
        <v>Donnerstag</v>
      </c>
      <c r="E40">
        <f>WEEKDAY(tbl_Kalender[[#This Row],[Datum]],2)</f>
        <v>4</v>
      </c>
      <c r="F40">
        <f>MONTH(tbl_Kalender[[#This Row],[Datum]])</f>
        <v>2</v>
      </c>
      <c r="G40" t="str">
        <f>TEXT(tbl_Kalender[[#This Row],[Datum]],"MMMM")</f>
        <v>Februar</v>
      </c>
      <c r="H40">
        <f>ROUNDUP(tbl_Kalender[[#This Row],[Monat]]/3,0)</f>
        <v>1</v>
      </c>
      <c r="I40" t="str">
        <f>"Q "&amp;tbl_Kalender[[#This Row],[Quartal]]</f>
        <v>Q 1</v>
      </c>
      <c r="J40" t="str">
        <f>tbl_Kalender[[#This Row],[Quartal]]&amp;". Quartal"</f>
        <v>1. Quartal</v>
      </c>
      <c r="K40">
        <f>_xlfn.ISOWEEKNUM(tbl_Kalender[[#This Row],[Datum]])</f>
        <v>6</v>
      </c>
    </row>
    <row r="41" spans="1:11" x14ac:dyDescent="0.25">
      <c r="A41" s="1">
        <v>45331</v>
      </c>
      <c r="B41">
        <f>YEAR(tbl_Kalender[[#This Row],[Datum]])</f>
        <v>2024</v>
      </c>
      <c r="C41">
        <f>DAY(tbl_Kalender[[#This Row],[Datum]])</f>
        <v>9</v>
      </c>
      <c r="D41" t="str">
        <f>TEXT(tbl_Kalender[[#This Row],[Datum]],"TTTT")</f>
        <v>Freitag</v>
      </c>
      <c r="E41">
        <f>WEEKDAY(tbl_Kalender[[#This Row],[Datum]],2)</f>
        <v>5</v>
      </c>
      <c r="F41">
        <f>MONTH(tbl_Kalender[[#This Row],[Datum]])</f>
        <v>2</v>
      </c>
      <c r="G41" t="str">
        <f>TEXT(tbl_Kalender[[#This Row],[Datum]],"MMMM")</f>
        <v>Februar</v>
      </c>
      <c r="H41">
        <f>ROUNDUP(tbl_Kalender[[#This Row],[Monat]]/3,0)</f>
        <v>1</v>
      </c>
      <c r="I41" t="str">
        <f>"Q "&amp;tbl_Kalender[[#This Row],[Quartal]]</f>
        <v>Q 1</v>
      </c>
      <c r="J41" t="str">
        <f>tbl_Kalender[[#This Row],[Quartal]]&amp;". Quartal"</f>
        <v>1. Quartal</v>
      </c>
      <c r="K41">
        <f>_xlfn.ISOWEEKNUM(tbl_Kalender[[#This Row],[Datum]])</f>
        <v>6</v>
      </c>
    </row>
    <row r="42" spans="1:11" x14ac:dyDescent="0.25">
      <c r="A42" s="1">
        <v>45332</v>
      </c>
      <c r="B42">
        <f>YEAR(tbl_Kalender[[#This Row],[Datum]])</f>
        <v>2024</v>
      </c>
      <c r="C42">
        <f>DAY(tbl_Kalender[[#This Row],[Datum]])</f>
        <v>10</v>
      </c>
      <c r="D42" t="str">
        <f>TEXT(tbl_Kalender[[#This Row],[Datum]],"TTTT")</f>
        <v>Samstag</v>
      </c>
      <c r="E42">
        <f>WEEKDAY(tbl_Kalender[[#This Row],[Datum]],2)</f>
        <v>6</v>
      </c>
      <c r="F42">
        <f>MONTH(tbl_Kalender[[#This Row],[Datum]])</f>
        <v>2</v>
      </c>
      <c r="G42" t="str">
        <f>TEXT(tbl_Kalender[[#This Row],[Datum]],"MMMM")</f>
        <v>Februar</v>
      </c>
      <c r="H42">
        <f>ROUNDUP(tbl_Kalender[[#This Row],[Monat]]/3,0)</f>
        <v>1</v>
      </c>
      <c r="I42" t="str">
        <f>"Q "&amp;tbl_Kalender[[#This Row],[Quartal]]</f>
        <v>Q 1</v>
      </c>
      <c r="J42" t="str">
        <f>tbl_Kalender[[#This Row],[Quartal]]&amp;". Quartal"</f>
        <v>1. Quartal</v>
      </c>
      <c r="K42">
        <f>_xlfn.ISOWEEKNUM(tbl_Kalender[[#This Row],[Datum]])</f>
        <v>6</v>
      </c>
    </row>
    <row r="43" spans="1:11" x14ac:dyDescent="0.25">
      <c r="A43" s="1">
        <v>45333</v>
      </c>
      <c r="B43">
        <f>YEAR(tbl_Kalender[[#This Row],[Datum]])</f>
        <v>2024</v>
      </c>
      <c r="C43">
        <f>DAY(tbl_Kalender[[#This Row],[Datum]])</f>
        <v>11</v>
      </c>
      <c r="D43" t="str">
        <f>TEXT(tbl_Kalender[[#This Row],[Datum]],"TTTT")</f>
        <v>Sonntag</v>
      </c>
      <c r="E43">
        <f>WEEKDAY(tbl_Kalender[[#This Row],[Datum]],2)</f>
        <v>7</v>
      </c>
      <c r="F43">
        <f>MONTH(tbl_Kalender[[#This Row],[Datum]])</f>
        <v>2</v>
      </c>
      <c r="G43" t="str">
        <f>TEXT(tbl_Kalender[[#This Row],[Datum]],"MMMM")</f>
        <v>Februar</v>
      </c>
      <c r="H43">
        <f>ROUNDUP(tbl_Kalender[[#This Row],[Monat]]/3,0)</f>
        <v>1</v>
      </c>
      <c r="I43" t="str">
        <f>"Q "&amp;tbl_Kalender[[#This Row],[Quartal]]</f>
        <v>Q 1</v>
      </c>
      <c r="J43" t="str">
        <f>tbl_Kalender[[#This Row],[Quartal]]&amp;". Quartal"</f>
        <v>1. Quartal</v>
      </c>
      <c r="K43">
        <f>_xlfn.ISOWEEKNUM(tbl_Kalender[[#This Row],[Datum]])</f>
        <v>6</v>
      </c>
    </row>
    <row r="44" spans="1:11" x14ac:dyDescent="0.25">
      <c r="A44" s="1">
        <v>45334</v>
      </c>
      <c r="B44">
        <f>YEAR(tbl_Kalender[[#This Row],[Datum]])</f>
        <v>2024</v>
      </c>
      <c r="C44">
        <f>DAY(tbl_Kalender[[#This Row],[Datum]])</f>
        <v>12</v>
      </c>
      <c r="D44" t="str">
        <f>TEXT(tbl_Kalender[[#This Row],[Datum]],"TTTT")</f>
        <v>Montag</v>
      </c>
      <c r="E44">
        <f>WEEKDAY(tbl_Kalender[[#This Row],[Datum]],2)</f>
        <v>1</v>
      </c>
      <c r="F44">
        <f>MONTH(tbl_Kalender[[#This Row],[Datum]])</f>
        <v>2</v>
      </c>
      <c r="G44" t="str">
        <f>TEXT(tbl_Kalender[[#This Row],[Datum]],"MMMM")</f>
        <v>Februar</v>
      </c>
      <c r="H44">
        <f>ROUNDUP(tbl_Kalender[[#This Row],[Monat]]/3,0)</f>
        <v>1</v>
      </c>
      <c r="I44" t="str">
        <f>"Q "&amp;tbl_Kalender[[#This Row],[Quartal]]</f>
        <v>Q 1</v>
      </c>
      <c r="J44" t="str">
        <f>tbl_Kalender[[#This Row],[Quartal]]&amp;". Quartal"</f>
        <v>1. Quartal</v>
      </c>
      <c r="K44">
        <f>_xlfn.ISOWEEKNUM(tbl_Kalender[[#This Row],[Datum]])</f>
        <v>7</v>
      </c>
    </row>
    <row r="45" spans="1:11" x14ac:dyDescent="0.25">
      <c r="A45" s="1">
        <v>45335</v>
      </c>
      <c r="B45">
        <f>YEAR(tbl_Kalender[[#This Row],[Datum]])</f>
        <v>2024</v>
      </c>
      <c r="C45">
        <f>DAY(tbl_Kalender[[#This Row],[Datum]])</f>
        <v>13</v>
      </c>
      <c r="D45" t="str">
        <f>TEXT(tbl_Kalender[[#This Row],[Datum]],"TTTT")</f>
        <v>Dienstag</v>
      </c>
      <c r="E45">
        <f>WEEKDAY(tbl_Kalender[[#This Row],[Datum]],2)</f>
        <v>2</v>
      </c>
      <c r="F45">
        <f>MONTH(tbl_Kalender[[#This Row],[Datum]])</f>
        <v>2</v>
      </c>
      <c r="G45" t="str">
        <f>TEXT(tbl_Kalender[[#This Row],[Datum]],"MMMM")</f>
        <v>Februar</v>
      </c>
      <c r="H45">
        <f>ROUNDUP(tbl_Kalender[[#This Row],[Monat]]/3,0)</f>
        <v>1</v>
      </c>
      <c r="I45" t="str">
        <f>"Q "&amp;tbl_Kalender[[#This Row],[Quartal]]</f>
        <v>Q 1</v>
      </c>
      <c r="J45" t="str">
        <f>tbl_Kalender[[#This Row],[Quartal]]&amp;". Quartal"</f>
        <v>1. Quartal</v>
      </c>
      <c r="K45">
        <f>_xlfn.ISOWEEKNUM(tbl_Kalender[[#This Row],[Datum]])</f>
        <v>7</v>
      </c>
    </row>
    <row r="46" spans="1:11" x14ac:dyDescent="0.25">
      <c r="A46" s="1">
        <v>45336</v>
      </c>
      <c r="B46">
        <f>YEAR(tbl_Kalender[[#This Row],[Datum]])</f>
        <v>2024</v>
      </c>
      <c r="C46">
        <f>DAY(tbl_Kalender[[#This Row],[Datum]])</f>
        <v>14</v>
      </c>
      <c r="D46" t="str">
        <f>TEXT(tbl_Kalender[[#This Row],[Datum]],"TTTT")</f>
        <v>Mittwoch</v>
      </c>
      <c r="E46">
        <f>WEEKDAY(tbl_Kalender[[#This Row],[Datum]],2)</f>
        <v>3</v>
      </c>
      <c r="F46">
        <f>MONTH(tbl_Kalender[[#This Row],[Datum]])</f>
        <v>2</v>
      </c>
      <c r="G46" t="str">
        <f>TEXT(tbl_Kalender[[#This Row],[Datum]],"MMMM")</f>
        <v>Februar</v>
      </c>
      <c r="H46">
        <f>ROUNDUP(tbl_Kalender[[#This Row],[Monat]]/3,0)</f>
        <v>1</v>
      </c>
      <c r="I46" t="str">
        <f>"Q "&amp;tbl_Kalender[[#This Row],[Quartal]]</f>
        <v>Q 1</v>
      </c>
      <c r="J46" t="str">
        <f>tbl_Kalender[[#This Row],[Quartal]]&amp;". Quartal"</f>
        <v>1. Quartal</v>
      </c>
      <c r="K46">
        <f>_xlfn.ISOWEEKNUM(tbl_Kalender[[#This Row],[Datum]])</f>
        <v>7</v>
      </c>
    </row>
    <row r="47" spans="1:11" x14ac:dyDescent="0.25">
      <c r="A47" s="1">
        <v>45337</v>
      </c>
      <c r="B47">
        <f>YEAR(tbl_Kalender[[#This Row],[Datum]])</f>
        <v>2024</v>
      </c>
      <c r="C47">
        <f>DAY(tbl_Kalender[[#This Row],[Datum]])</f>
        <v>15</v>
      </c>
      <c r="D47" t="str">
        <f>TEXT(tbl_Kalender[[#This Row],[Datum]],"TTTT")</f>
        <v>Donnerstag</v>
      </c>
      <c r="E47">
        <f>WEEKDAY(tbl_Kalender[[#This Row],[Datum]],2)</f>
        <v>4</v>
      </c>
      <c r="F47">
        <f>MONTH(tbl_Kalender[[#This Row],[Datum]])</f>
        <v>2</v>
      </c>
      <c r="G47" t="str">
        <f>TEXT(tbl_Kalender[[#This Row],[Datum]],"MMMM")</f>
        <v>Februar</v>
      </c>
      <c r="H47">
        <f>ROUNDUP(tbl_Kalender[[#This Row],[Monat]]/3,0)</f>
        <v>1</v>
      </c>
      <c r="I47" t="str">
        <f>"Q "&amp;tbl_Kalender[[#This Row],[Quartal]]</f>
        <v>Q 1</v>
      </c>
      <c r="J47" t="str">
        <f>tbl_Kalender[[#This Row],[Quartal]]&amp;". Quartal"</f>
        <v>1. Quartal</v>
      </c>
      <c r="K47">
        <f>_xlfn.ISOWEEKNUM(tbl_Kalender[[#This Row],[Datum]])</f>
        <v>7</v>
      </c>
    </row>
    <row r="48" spans="1:11" x14ac:dyDescent="0.25">
      <c r="A48" s="1">
        <v>45338</v>
      </c>
      <c r="B48">
        <f>YEAR(tbl_Kalender[[#This Row],[Datum]])</f>
        <v>2024</v>
      </c>
      <c r="C48">
        <f>DAY(tbl_Kalender[[#This Row],[Datum]])</f>
        <v>16</v>
      </c>
      <c r="D48" t="str">
        <f>TEXT(tbl_Kalender[[#This Row],[Datum]],"TTTT")</f>
        <v>Freitag</v>
      </c>
      <c r="E48">
        <f>WEEKDAY(tbl_Kalender[[#This Row],[Datum]],2)</f>
        <v>5</v>
      </c>
      <c r="F48">
        <f>MONTH(tbl_Kalender[[#This Row],[Datum]])</f>
        <v>2</v>
      </c>
      <c r="G48" t="str">
        <f>TEXT(tbl_Kalender[[#This Row],[Datum]],"MMMM")</f>
        <v>Februar</v>
      </c>
      <c r="H48">
        <f>ROUNDUP(tbl_Kalender[[#This Row],[Monat]]/3,0)</f>
        <v>1</v>
      </c>
      <c r="I48" t="str">
        <f>"Q "&amp;tbl_Kalender[[#This Row],[Quartal]]</f>
        <v>Q 1</v>
      </c>
      <c r="J48" t="str">
        <f>tbl_Kalender[[#This Row],[Quartal]]&amp;". Quartal"</f>
        <v>1. Quartal</v>
      </c>
      <c r="K48">
        <f>_xlfn.ISOWEEKNUM(tbl_Kalender[[#This Row],[Datum]])</f>
        <v>7</v>
      </c>
    </row>
    <row r="49" spans="1:11" x14ac:dyDescent="0.25">
      <c r="A49" s="1">
        <v>45339</v>
      </c>
      <c r="B49">
        <f>YEAR(tbl_Kalender[[#This Row],[Datum]])</f>
        <v>2024</v>
      </c>
      <c r="C49">
        <f>DAY(tbl_Kalender[[#This Row],[Datum]])</f>
        <v>17</v>
      </c>
      <c r="D49" t="str">
        <f>TEXT(tbl_Kalender[[#This Row],[Datum]],"TTTT")</f>
        <v>Samstag</v>
      </c>
      <c r="E49">
        <f>WEEKDAY(tbl_Kalender[[#This Row],[Datum]],2)</f>
        <v>6</v>
      </c>
      <c r="F49">
        <f>MONTH(tbl_Kalender[[#This Row],[Datum]])</f>
        <v>2</v>
      </c>
      <c r="G49" t="str">
        <f>TEXT(tbl_Kalender[[#This Row],[Datum]],"MMMM")</f>
        <v>Februar</v>
      </c>
      <c r="H49">
        <f>ROUNDUP(tbl_Kalender[[#This Row],[Monat]]/3,0)</f>
        <v>1</v>
      </c>
      <c r="I49" t="str">
        <f>"Q "&amp;tbl_Kalender[[#This Row],[Quartal]]</f>
        <v>Q 1</v>
      </c>
      <c r="J49" t="str">
        <f>tbl_Kalender[[#This Row],[Quartal]]&amp;". Quartal"</f>
        <v>1. Quartal</v>
      </c>
      <c r="K49">
        <f>_xlfn.ISOWEEKNUM(tbl_Kalender[[#This Row],[Datum]])</f>
        <v>7</v>
      </c>
    </row>
    <row r="50" spans="1:11" x14ac:dyDescent="0.25">
      <c r="A50" s="1">
        <v>45340</v>
      </c>
      <c r="B50">
        <f>YEAR(tbl_Kalender[[#This Row],[Datum]])</f>
        <v>2024</v>
      </c>
      <c r="C50">
        <f>DAY(tbl_Kalender[[#This Row],[Datum]])</f>
        <v>18</v>
      </c>
      <c r="D50" t="str">
        <f>TEXT(tbl_Kalender[[#This Row],[Datum]],"TTTT")</f>
        <v>Sonntag</v>
      </c>
      <c r="E50">
        <f>WEEKDAY(tbl_Kalender[[#This Row],[Datum]],2)</f>
        <v>7</v>
      </c>
      <c r="F50">
        <f>MONTH(tbl_Kalender[[#This Row],[Datum]])</f>
        <v>2</v>
      </c>
      <c r="G50" t="str">
        <f>TEXT(tbl_Kalender[[#This Row],[Datum]],"MMMM")</f>
        <v>Februar</v>
      </c>
      <c r="H50">
        <f>ROUNDUP(tbl_Kalender[[#This Row],[Monat]]/3,0)</f>
        <v>1</v>
      </c>
      <c r="I50" t="str">
        <f>"Q "&amp;tbl_Kalender[[#This Row],[Quartal]]</f>
        <v>Q 1</v>
      </c>
      <c r="J50" t="str">
        <f>tbl_Kalender[[#This Row],[Quartal]]&amp;". Quartal"</f>
        <v>1. Quartal</v>
      </c>
      <c r="K50">
        <f>_xlfn.ISOWEEKNUM(tbl_Kalender[[#This Row],[Datum]])</f>
        <v>7</v>
      </c>
    </row>
    <row r="51" spans="1:11" x14ac:dyDescent="0.25">
      <c r="A51" s="1">
        <v>45341</v>
      </c>
      <c r="B51">
        <f>YEAR(tbl_Kalender[[#This Row],[Datum]])</f>
        <v>2024</v>
      </c>
      <c r="C51">
        <f>DAY(tbl_Kalender[[#This Row],[Datum]])</f>
        <v>19</v>
      </c>
      <c r="D51" t="str">
        <f>TEXT(tbl_Kalender[[#This Row],[Datum]],"TTTT")</f>
        <v>Montag</v>
      </c>
      <c r="E51">
        <f>WEEKDAY(tbl_Kalender[[#This Row],[Datum]],2)</f>
        <v>1</v>
      </c>
      <c r="F51">
        <f>MONTH(tbl_Kalender[[#This Row],[Datum]])</f>
        <v>2</v>
      </c>
      <c r="G51" t="str">
        <f>TEXT(tbl_Kalender[[#This Row],[Datum]],"MMMM")</f>
        <v>Februar</v>
      </c>
      <c r="H51">
        <f>ROUNDUP(tbl_Kalender[[#This Row],[Monat]]/3,0)</f>
        <v>1</v>
      </c>
      <c r="I51" t="str">
        <f>"Q "&amp;tbl_Kalender[[#This Row],[Quartal]]</f>
        <v>Q 1</v>
      </c>
      <c r="J51" t="str">
        <f>tbl_Kalender[[#This Row],[Quartal]]&amp;". Quartal"</f>
        <v>1. Quartal</v>
      </c>
      <c r="K51">
        <f>_xlfn.ISOWEEKNUM(tbl_Kalender[[#This Row],[Datum]])</f>
        <v>8</v>
      </c>
    </row>
    <row r="52" spans="1:11" x14ac:dyDescent="0.25">
      <c r="A52" s="1">
        <v>45342</v>
      </c>
      <c r="B52">
        <f>YEAR(tbl_Kalender[[#This Row],[Datum]])</f>
        <v>2024</v>
      </c>
      <c r="C52">
        <f>DAY(tbl_Kalender[[#This Row],[Datum]])</f>
        <v>20</v>
      </c>
      <c r="D52" t="str">
        <f>TEXT(tbl_Kalender[[#This Row],[Datum]],"TTTT")</f>
        <v>Dienstag</v>
      </c>
      <c r="E52">
        <f>WEEKDAY(tbl_Kalender[[#This Row],[Datum]],2)</f>
        <v>2</v>
      </c>
      <c r="F52">
        <f>MONTH(tbl_Kalender[[#This Row],[Datum]])</f>
        <v>2</v>
      </c>
      <c r="G52" t="str">
        <f>TEXT(tbl_Kalender[[#This Row],[Datum]],"MMMM")</f>
        <v>Februar</v>
      </c>
      <c r="H52">
        <f>ROUNDUP(tbl_Kalender[[#This Row],[Monat]]/3,0)</f>
        <v>1</v>
      </c>
      <c r="I52" t="str">
        <f>"Q "&amp;tbl_Kalender[[#This Row],[Quartal]]</f>
        <v>Q 1</v>
      </c>
      <c r="J52" t="str">
        <f>tbl_Kalender[[#This Row],[Quartal]]&amp;". Quartal"</f>
        <v>1. Quartal</v>
      </c>
      <c r="K52">
        <f>_xlfn.ISOWEEKNUM(tbl_Kalender[[#This Row],[Datum]])</f>
        <v>8</v>
      </c>
    </row>
    <row r="53" spans="1:11" x14ac:dyDescent="0.25">
      <c r="A53" s="1">
        <v>45343</v>
      </c>
      <c r="B53">
        <f>YEAR(tbl_Kalender[[#This Row],[Datum]])</f>
        <v>2024</v>
      </c>
      <c r="C53">
        <f>DAY(tbl_Kalender[[#This Row],[Datum]])</f>
        <v>21</v>
      </c>
      <c r="D53" t="str">
        <f>TEXT(tbl_Kalender[[#This Row],[Datum]],"TTTT")</f>
        <v>Mittwoch</v>
      </c>
      <c r="E53">
        <f>WEEKDAY(tbl_Kalender[[#This Row],[Datum]],2)</f>
        <v>3</v>
      </c>
      <c r="F53">
        <f>MONTH(tbl_Kalender[[#This Row],[Datum]])</f>
        <v>2</v>
      </c>
      <c r="G53" t="str">
        <f>TEXT(tbl_Kalender[[#This Row],[Datum]],"MMMM")</f>
        <v>Februar</v>
      </c>
      <c r="H53">
        <f>ROUNDUP(tbl_Kalender[[#This Row],[Monat]]/3,0)</f>
        <v>1</v>
      </c>
      <c r="I53" t="str">
        <f>"Q "&amp;tbl_Kalender[[#This Row],[Quartal]]</f>
        <v>Q 1</v>
      </c>
      <c r="J53" t="str">
        <f>tbl_Kalender[[#This Row],[Quartal]]&amp;". Quartal"</f>
        <v>1. Quartal</v>
      </c>
      <c r="K53">
        <f>_xlfn.ISOWEEKNUM(tbl_Kalender[[#This Row],[Datum]])</f>
        <v>8</v>
      </c>
    </row>
    <row r="54" spans="1:11" x14ac:dyDescent="0.25">
      <c r="A54" s="1">
        <v>45344</v>
      </c>
      <c r="B54">
        <f>YEAR(tbl_Kalender[[#This Row],[Datum]])</f>
        <v>2024</v>
      </c>
      <c r="C54">
        <f>DAY(tbl_Kalender[[#This Row],[Datum]])</f>
        <v>22</v>
      </c>
      <c r="D54" t="str">
        <f>TEXT(tbl_Kalender[[#This Row],[Datum]],"TTTT")</f>
        <v>Donnerstag</v>
      </c>
      <c r="E54">
        <f>WEEKDAY(tbl_Kalender[[#This Row],[Datum]],2)</f>
        <v>4</v>
      </c>
      <c r="F54">
        <f>MONTH(tbl_Kalender[[#This Row],[Datum]])</f>
        <v>2</v>
      </c>
      <c r="G54" t="str">
        <f>TEXT(tbl_Kalender[[#This Row],[Datum]],"MMMM")</f>
        <v>Februar</v>
      </c>
      <c r="H54">
        <f>ROUNDUP(tbl_Kalender[[#This Row],[Monat]]/3,0)</f>
        <v>1</v>
      </c>
      <c r="I54" t="str">
        <f>"Q "&amp;tbl_Kalender[[#This Row],[Quartal]]</f>
        <v>Q 1</v>
      </c>
      <c r="J54" t="str">
        <f>tbl_Kalender[[#This Row],[Quartal]]&amp;". Quartal"</f>
        <v>1. Quartal</v>
      </c>
      <c r="K54">
        <f>_xlfn.ISOWEEKNUM(tbl_Kalender[[#This Row],[Datum]])</f>
        <v>8</v>
      </c>
    </row>
    <row r="55" spans="1:11" x14ac:dyDescent="0.25">
      <c r="A55" s="1">
        <v>45345</v>
      </c>
      <c r="B55">
        <f>YEAR(tbl_Kalender[[#This Row],[Datum]])</f>
        <v>2024</v>
      </c>
      <c r="C55">
        <f>DAY(tbl_Kalender[[#This Row],[Datum]])</f>
        <v>23</v>
      </c>
      <c r="D55" t="str">
        <f>TEXT(tbl_Kalender[[#This Row],[Datum]],"TTTT")</f>
        <v>Freitag</v>
      </c>
      <c r="E55">
        <f>WEEKDAY(tbl_Kalender[[#This Row],[Datum]],2)</f>
        <v>5</v>
      </c>
      <c r="F55">
        <f>MONTH(tbl_Kalender[[#This Row],[Datum]])</f>
        <v>2</v>
      </c>
      <c r="G55" t="str">
        <f>TEXT(tbl_Kalender[[#This Row],[Datum]],"MMMM")</f>
        <v>Februar</v>
      </c>
      <c r="H55">
        <f>ROUNDUP(tbl_Kalender[[#This Row],[Monat]]/3,0)</f>
        <v>1</v>
      </c>
      <c r="I55" t="str">
        <f>"Q "&amp;tbl_Kalender[[#This Row],[Quartal]]</f>
        <v>Q 1</v>
      </c>
      <c r="J55" t="str">
        <f>tbl_Kalender[[#This Row],[Quartal]]&amp;". Quartal"</f>
        <v>1. Quartal</v>
      </c>
      <c r="K55">
        <f>_xlfn.ISOWEEKNUM(tbl_Kalender[[#This Row],[Datum]])</f>
        <v>8</v>
      </c>
    </row>
    <row r="56" spans="1:11" x14ac:dyDescent="0.25">
      <c r="A56" s="1">
        <v>45346</v>
      </c>
      <c r="B56">
        <f>YEAR(tbl_Kalender[[#This Row],[Datum]])</f>
        <v>2024</v>
      </c>
      <c r="C56">
        <f>DAY(tbl_Kalender[[#This Row],[Datum]])</f>
        <v>24</v>
      </c>
      <c r="D56" t="str">
        <f>TEXT(tbl_Kalender[[#This Row],[Datum]],"TTTT")</f>
        <v>Samstag</v>
      </c>
      <c r="E56">
        <f>WEEKDAY(tbl_Kalender[[#This Row],[Datum]],2)</f>
        <v>6</v>
      </c>
      <c r="F56">
        <f>MONTH(tbl_Kalender[[#This Row],[Datum]])</f>
        <v>2</v>
      </c>
      <c r="G56" t="str">
        <f>TEXT(tbl_Kalender[[#This Row],[Datum]],"MMMM")</f>
        <v>Februar</v>
      </c>
      <c r="H56">
        <f>ROUNDUP(tbl_Kalender[[#This Row],[Monat]]/3,0)</f>
        <v>1</v>
      </c>
      <c r="I56" t="str">
        <f>"Q "&amp;tbl_Kalender[[#This Row],[Quartal]]</f>
        <v>Q 1</v>
      </c>
      <c r="J56" t="str">
        <f>tbl_Kalender[[#This Row],[Quartal]]&amp;". Quartal"</f>
        <v>1. Quartal</v>
      </c>
      <c r="K56">
        <f>_xlfn.ISOWEEKNUM(tbl_Kalender[[#This Row],[Datum]])</f>
        <v>8</v>
      </c>
    </row>
    <row r="57" spans="1:11" x14ac:dyDescent="0.25">
      <c r="A57" s="1">
        <v>45347</v>
      </c>
      <c r="B57">
        <f>YEAR(tbl_Kalender[[#This Row],[Datum]])</f>
        <v>2024</v>
      </c>
      <c r="C57">
        <f>DAY(tbl_Kalender[[#This Row],[Datum]])</f>
        <v>25</v>
      </c>
      <c r="D57" t="str">
        <f>TEXT(tbl_Kalender[[#This Row],[Datum]],"TTTT")</f>
        <v>Sonntag</v>
      </c>
      <c r="E57">
        <f>WEEKDAY(tbl_Kalender[[#This Row],[Datum]],2)</f>
        <v>7</v>
      </c>
      <c r="F57">
        <f>MONTH(tbl_Kalender[[#This Row],[Datum]])</f>
        <v>2</v>
      </c>
      <c r="G57" t="str">
        <f>TEXT(tbl_Kalender[[#This Row],[Datum]],"MMMM")</f>
        <v>Februar</v>
      </c>
      <c r="H57">
        <f>ROUNDUP(tbl_Kalender[[#This Row],[Monat]]/3,0)</f>
        <v>1</v>
      </c>
      <c r="I57" t="str">
        <f>"Q "&amp;tbl_Kalender[[#This Row],[Quartal]]</f>
        <v>Q 1</v>
      </c>
      <c r="J57" t="str">
        <f>tbl_Kalender[[#This Row],[Quartal]]&amp;". Quartal"</f>
        <v>1. Quartal</v>
      </c>
      <c r="K57">
        <f>_xlfn.ISOWEEKNUM(tbl_Kalender[[#This Row],[Datum]])</f>
        <v>8</v>
      </c>
    </row>
    <row r="58" spans="1:11" x14ac:dyDescent="0.25">
      <c r="A58" s="1">
        <v>45348</v>
      </c>
      <c r="B58">
        <f>YEAR(tbl_Kalender[[#This Row],[Datum]])</f>
        <v>2024</v>
      </c>
      <c r="C58">
        <f>DAY(tbl_Kalender[[#This Row],[Datum]])</f>
        <v>26</v>
      </c>
      <c r="D58" t="str">
        <f>TEXT(tbl_Kalender[[#This Row],[Datum]],"TTTT")</f>
        <v>Montag</v>
      </c>
      <c r="E58">
        <f>WEEKDAY(tbl_Kalender[[#This Row],[Datum]],2)</f>
        <v>1</v>
      </c>
      <c r="F58">
        <f>MONTH(tbl_Kalender[[#This Row],[Datum]])</f>
        <v>2</v>
      </c>
      <c r="G58" t="str">
        <f>TEXT(tbl_Kalender[[#This Row],[Datum]],"MMMM")</f>
        <v>Februar</v>
      </c>
      <c r="H58">
        <f>ROUNDUP(tbl_Kalender[[#This Row],[Monat]]/3,0)</f>
        <v>1</v>
      </c>
      <c r="I58" t="str">
        <f>"Q "&amp;tbl_Kalender[[#This Row],[Quartal]]</f>
        <v>Q 1</v>
      </c>
      <c r="J58" t="str">
        <f>tbl_Kalender[[#This Row],[Quartal]]&amp;". Quartal"</f>
        <v>1. Quartal</v>
      </c>
      <c r="K58">
        <f>_xlfn.ISOWEEKNUM(tbl_Kalender[[#This Row],[Datum]])</f>
        <v>9</v>
      </c>
    </row>
    <row r="59" spans="1:11" x14ac:dyDescent="0.25">
      <c r="A59" s="1">
        <v>45349</v>
      </c>
      <c r="B59">
        <f>YEAR(tbl_Kalender[[#This Row],[Datum]])</f>
        <v>2024</v>
      </c>
      <c r="C59">
        <f>DAY(tbl_Kalender[[#This Row],[Datum]])</f>
        <v>27</v>
      </c>
      <c r="D59" t="str">
        <f>TEXT(tbl_Kalender[[#This Row],[Datum]],"TTTT")</f>
        <v>Dienstag</v>
      </c>
      <c r="E59">
        <f>WEEKDAY(tbl_Kalender[[#This Row],[Datum]],2)</f>
        <v>2</v>
      </c>
      <c r="F59">
        <f>MONTH(tbl_Kalender[[#This Row],[Datum]])</f>
        <v>2</v>
      </c>
      <c r="G59" t="str">
        <f>TEXT(tbl_Kalender[[#This Row],[Datum]],"MMMM")</f>
        <v>Februar</v>
      </c>
      <c r="H59">
        <f>ROUNDUP(tbl_Kalender[[#This Row],[Monat]]/3,0)</f>
        <v>1</v>
      </c>
      <c r="I59" t="str">
        <f>"Q "&amp;tbl_Kalender[[#This Row],[Quartal]]</f>
        <v>Q 1</v>
      </c>
      <c r="J59" t="str">
        <f>tbl_Kalender[[#This Row],[Quartal]]&amp;". Quartal"</f>
        <v>1. Quartal</v>
      </c>
      <c r="K59">
        <f>_xlfn.ISOWEEKNUM(tbl_Kalender[[#This Row],[Datum]])</f>
        <v>9</v>
      </c>
    </row>
    <row r="60" spans="1:11" x14ac:dyDescent="0.25">
      <c r="A60" s="1">
        <v>45350</v>
      </c>
      <c r="B60">
        <f>YEAR(tbl_Kalender[[#This Row],[Datum]])</f>
        <v>2024</v>
      </c>
      <c r="C60">
        <f>DAY(tbl_Kalender[[#This Row],[Datum]])</f>
        <v>28</v>
      </c>
      <c r="D60" t="str">
        <f>TEXT(tbl_Kalender[[#This Row],[Datum]],"TTTT")</f>
        <v>Mittwoch</v>
      </c>
      <c r="E60">
        <f>WEEKDAY(tbl_Kalender[[#This Row],[Datum]],2)</f>
        <v>3</v>
      </c>
      <c r="F60">
        <f>MONTH(tbl_Kalender[[#This Row],[Datum]])</f>
        <v>2</v>
      </c>
      <c r="G60" t="str">
        <f>TEXT(tbl_Kalender[[#This Row],[Datum]],"MMMM")</f>
        <v>Februar</v>
      </c>
      <c r="H60">
        <f>ROUNDUP(tbl_Kalender[[#This Row],[Monat]]/3,0)</f>
        <v>1</v>
      </c>
      <c r="I60" t="str">
        <f>"Q "&amp;tbl_Kalender[[#This Row],[Quartal]]</f>
        <v>Q 1</v>
      </c>
      <c r="J60" t="str">
        <f>tbl_Kalender[[#This Row],[Quartal]]&amp;". Quartal"</f>
        <v>1. Quartal</v>
      </c>
      <c r="K60">
        <f>_xlfn.ISOWEEKNUM(tbl_Kalender[[#This Row],[Datum]])</f>
        <v>9</v>
      </c>
    </row>
    <row r="61" spans="1:11" x14ac:dyDescent="0.25">
      <c r="A61" s="1">
        <v>45351</v>
      </c>
      <c r="B61">
        <f>YEAR(tbl_Kalender[[#This Row],[Datum]])</f>
        <v>2024</v>
      </c>
      <c r="C61">
        <f>DAY(tbl_Kalender[[#This Row],[Datum]])</f>
        <v>29</v>
      </c>
      <c r="D61" t="str">
        <f>TEXT(tbl_Kalender[[#This Row],[Datum]],"TTTT")</f>
        <v>Donnerstag</v>
      </c>
      <c r="E61">
        <f>WEEKDAY(tbl_Kalender[[#This Row],[Datum]],2)</f>
        <v>4</v>
      </c>
      <c r="F61">
        <f>MONTH(tbl_Kalender[[#This Row],[Datum]])</f>
        <v>2</v>
      </c>
      <c r="G61" t="str">
        <f>TEXT(tbl_Kalender[[#This Row],[Datum]],"MMMM")</f>
        <v>Februar</v>
      </c>
      <c r="H61">
        <f>ROUNDUP(tbl_Kalender[[#This Row],[Monat]]/3,0)</f>
        <v>1</v>
      </c>
      <c r="I61" t="str">
        <f>"Q "&amp;tbl_Kalender[[#This Row],[Quartal]]</f>
        <v>Q 1</v>
      </c>
      <c r="J61" t="str">
        <f>tbl_Kalender[[#This Row],[Quartal]]&amp;". Quartal"</f>
        <v>1. Quartal</v>
      </c>
      <c r="K61">
        <f>_xlfn.ISOWEEKNUM(tbl_Kalender[[#This Row],[Datum]])</f>
        <v>9</v>
      </c>
    </row>
    <row r="62" spans="1:11" x14ac:dyDescent="0.25">
      <c r="A62" s="1">
        <v>45352</v>
      </c>
      <c r="B62">
        <f>YEAR(tbl_Kalender[[#This Row],[Datum]])</f>
        <v>2024</v>
      </c>
      <c r="C62">
        <f>DAY(tbl_Kalender[[#This Row],[Datum]])</f>
        <v>1</v>
      </c>
      <c r="D62" t="str">
        <f>TEXT(tbl_Kalender[[#This Row],[Datum]],"TTTT")</f>
        <v>Freitag</v>
      </c>
      <c r="E62">
        <f>WEEKDAY(tbl_Kalender[[#This Row],[Datum]],2)</f>
        <v>5</v>
      </c>
      <c r="F62">
        <f>MONTH(tbl_Kalender[[#This Row],[Datum]])</f>
        <v>3</v>
      </c>
      <c r="G62" t="str">
        <f>TEXT(tbl_Kalender[[#This Row],[Datum]],"MMMM")</f>
        <v>März</v>
      </c>
      <c r="H62">
        <f>ROUNDUP(tbl_Kalender[[#This Row],[Monat]]/3,0)</f>
        <v>1</v>
      </c>
      <c r="I62" t="str">
        <f>"Q "&amp;tbl_Kalender[[#This Row],[Quartal]]</f>
        <v>Q 1</v>
      </c>
      <c r="J62" t="str">
        <f>tbl_Kalender[[#This Row],[Quartal]]&amp;". Quartal"</f>
        <v>1. Quartal</v>
      </c>
      <c r="K62">
        <f>_xlfn.ISOWEEKNUM(tbl_Kalender[[#This Row],[Datum]])</f>
        <v>9</v>
      </c>
    </row>
    <row r="63" spans="1:11" x14ac:dyDescent="0.25">
      <c r="A63" s="1">
        <v>45353</v>
      </c>
      <c r="B63">
        <f>YEAR(tbl_Kalender[[#This Row],[Datum]])</f>
        <v>2024</v>
      </c>
      <c r="C63">
        <f>DAY(tbl_Kalender[[#This Row],[Datum]])</f>
        <v>2</v>
      </c>
      <c r="D63" t="str">
        <f>TEXT(tbl_Kalender[[#This Row],[Datum]],"TTTT")</f>
        <v>Samstag</v>
      </c>
      <c r="E63">
        <f>WEEKDAY(tbl_Kalender[[#This Row],[Datum]],2)</f>
        <v>6</v>
      </c>
      <c r="F63">
        <f>MONTH(tbl_Kalender[[#This Row],[Datum]])</f>
        <v>3</v>
      </c>
      <c r="G63" t="str">
        <f>TEXT(tbl_Kalender[[#This Row],[Datum]],"MMMM")</f>
        <v>März</v>
      </c>
      <c r="H63">
        <f>ROUNDUP(tbl_Kalender[[#This Row],[Monat]]/3,0)</f>
        <v>1</v>
      </c>
      <c r="I63" t="str">
        <f>"Q "&amp;tbl_Kalender[[#This Row],[Quartal]]</f>
        <v>Q 1</v>
      </c>
      <c r="J63" t="str">
        <f>tbl_Kalender[[#This Row],[Quartal]]&amp;". Quartal"</f>
        <v>1. Quartal</v>
      </c>
      <c r="K63">
        <f>_xlfn.ISOWEEKNUM(tbl_Kalender[[#This Row],[Datum]])</f>
        <v>9</v>
      </c>
    </row>
    <row r="64" spans="1:11" x14ac:dyDescent="0.25">
      <c r="A64" s="1">
        <v>45354</v>
      </c>
      <c r="B64">
        <f>YEAR(tbl_Kalender[[#This Row],[Datum]])</f>
        <v>2024</v>
      </c>
      <c r="C64">
        <f>DAY(tbl_Kalender[[#This Row],[Datum]])</f>
        <v>3</v>
      </c>
      <c r="D64" t="str">
        <f>TEXT(tbl_Kalender[[#This Row],[Datum]],"TTTT")</f>
        <v>Sonntag</v>
      </c>
      <c r="E64">
        <f>WEEKDAY(tbl_Kalender[[#This Row],[Datum]],2)</f>
        <v>7</v>
      </c>
      <c r="F64">
        <f>MONTH(tbl_Kalender[[#This Row],[Datum]])</f>
        <v>3</v>
      </c>
      <c r="G64" t="str">
        <f>TEXT(tbl_Kalender[[#This Row],[Datum]],"MMMM")</f>
        <v>März</v>
      </c>
      <c r="H64">
        <f>ROUNDUP(tbl_Kalender[[#This Row],[Monat]]/3,0)</f>
        <v>1</v>
      </c>
      <c r="I64" t="str">
        <f>"Q "&amp;tbl_Kalender[[#This Row],[Quartal]]</f>
        <v>Q 1</v>
      </c>
      <c r="J64" t="str">
        <f>tbl_Kalender[[#This Row],[Quartal]]&amp;". Quartal"</f>
        <v>1. Quartal</v>
      </c>
      <c r="K64">
        <f>_xlfn.ISOWEEKNUM(tbl_Kalender[[#This Row],[Datum]])</f>
        <v>9</v>
      </c>
    </row>
    <row r="65" spans="1:11" x14ac:dyDescent="0.25">
      <c r="A65" s="1">
        <v>45355</v>
      </c>
      <c r="B65">
        <f>YEAR(tbl_Kalender[[#This Row],[Datum]])</f>
        <v>2024</v>
      </c>
      <c r="C65">
        <f>DAY(tbl_Kalender[[#This Row],[Datum]])</f>
        <v>4</v>
      </c>
      <c r="D65" t="str">
        <f>TEXT(tbl_Kalender[[#This Row],[Datum]],"TTTT")</f>
        <v>Montag</v>
      </c>
      <c r="E65">
        <f>WEEKDAY(tbl_Kalender[[#This Row],[Datum]],2)</f>
        <v>1</v>
      </c>
      <c r="F65">
        <f>MONTH(tbl_Kalender[[#This Row],[Datum]])</f>
        <v>3</v>
      </c>
      <c r="G65" t="str">
        <f>TEXT(tbl_Kalender[[#This Row],[Datum]],"MMMM")</f>
        <v>März</v>
      </c>
      <c r="H65">
        <f>ROUNDUP(tbl_Kalender[[#This Row],[Monat]]/3,0)</f>
        <v>1</v>
      </c>
      <c r="I65" t="str">
        <f>"Q "&amp;tbl_Kalender[[#This Row],[Quartal]]</f>
        <v>Q 1</v>
      </c>
      <c r="J65" t="str">
        <f>tbl_Kalender[[#This Row],[Quartal]]&amp;". Quartal"</f>
        <v>1. Quartal</v>
      </c>
      <c r="K65">
        <f>_xlfn.ISOWEEKNUM(tbl_Kalender[[#This Row],[Datum]])</f>
        <v>10</v>
      </c>
    </row>
    <row r="66" spans="1:11" x14ac:dyDescent="0.25">
      <c r="A66" s="1">
        <v>45356</v>
      </c>
      <c r="B66">
        <f>YEAR(tbl_Kalender[[#This Row],[Datum]])</f>
        <v>2024</v>
      </c>
      <c r="C66">
        <f>DAY(tbl_Kalender[[#This Row],[Datum]])</f>
        <v>5</v>
      </c>
      <c r="D66" t="str">
        <f>TEXT(tbl_Kalender[[#This Row],[Datum]],"TTTT")</f>
        <v>Dienstag</v>
      </c>
      <c r="E66">
        <f>WEEKDAY(tbl_Kalender[[#This Row],[Datum]],2)</f>
        <v>2</v>
      </c>
      <c r="F66">
        <f>MONTH(tbl_Kalender[[#This Row],[Datum]])</f>
        <v>3</v>
      </c>
      <c r="G66" t="str">
        <f>TEXT(tbl_Kalender[[#This Row],[Datum]],"MMMM")</f>
        <v>März</v>
      </c>
      <c r="H66">
        <f>ROUNDUP(tbl_Kalender[[#This Row],[Monat]]/3,0)</f>
        <v>1</v>
      </c>
      <c r="I66" t="str">
        <f>"Q "&amp;tbl_Kalender[[#This Row],[Quartal]]</f>
        <v>Q 1</v>
      </c>
      <c r="J66" t="str">
        <f>tbl_Kalender[[#This Row],[Quartal]]&amp;". Quartal"</f>
        <v>1. Quartal</v>
      </c>
      <c r="K66">
        <f>_xlfn.ISOWEEKNUM(tbl_Kalender[[#This Row],[Datum]])</f>
        <v>10</v>
      </c>
    </row>
    <row r="67" spans="1:11" x14ac:dyDescent="0.25">
      <c r="A67" s="1">
        <v>45357</v>
      </c>
      <c r="B67">
        <f>YEAR(tbl_Kalender[[#This Row],[Datum]])</f>
        <v>2024</v>
      </c>
      <c r="C67">
        <f>DAY(tbl_Kalender[[#This Row],[Datum]])</f>
        <v>6</v>
      </c>
      <c r="D67" t="str">
        <f>TEXT(tbl_Kalender[[#This Row],[Datum]],"TTTT")</f>
        <v>Mittwoch</v>
      </c>
      <c r="E67">
        <f>WEEKDAY(tbl_Kalender[[#This Row],[Datum]],2)</f>
        <v>3</v>
      </c>
      <c r="F67">
        <f>MONTH(tbl_Kalender[[#This Row],[Datum]])</f>
        <v>3</v>
      </c>
      <c r="G67" t="str">
        <f>TEXT(tbl_Kalender[[#This Row],[Datum]],"MMMM")</f>
        <v>März</v>
      </c>
      <c r="H67">
        <f>ROUNDUP(tbl_Kalender[[#This Row],[Monat]]/3,0)</f>
        <v>1</v>
      </c>
      <c r="I67" t="str">
        <f>"Q "&amp;tbl_Kalender[[#This Row],[Quartal]]</f>
        <v>Q 1</v>
      </c>
      <c r="J67" t="str">
        <f>tbl_Kalender[[#This Row],[Quartal]]&amp;". Quartal"</f>
        <v>1. Quartal</v>
      </c>
      <c r="K67">
        <f>_xlfn.ISOWEEKNUM(tbl_Kalender[[#This Row],[Datum]])</f>
        <v>10</v>
      </c>
    </row>
    <row r="68" spans="1:11" x14ac:dyDescent="0.25">
      <c r="A68" s="1">
        <v>45358</v>
      </c>
      <c r="B68">
        <f>YEAR(tbl_Kalender[[#This Row],[Datum]])</f>
        <v>2024</v>
      </c>
      <c r="C68">
        <f>DAY(tbl_Kalender[[#This Row],[Datum]])</f>
        <v>7</v>
      </c>
      <c r="D68" t="str">
        <f>TEXT(tbl_Kalender[[#This Row],[Datum]],"TTTT")</f>
        <v>Donnerstag</v>
      </c>
      <c r="E68">
        <f>WEEKDAY(tbl_Kalender[[#This Row],[Datum]],2)</f>
        <v>4</v>
      </c>
      <c r="F68">
        <f>MONTH(tbl_Kalender[[#This Row],[Datum]])</f>
        <v>3</v>
      </c>
      <c r="G68" t="str">
        <f>TEXT(tbl_Kalender[[#This Row],[Datum]],"MMMM")</f>
        <v>März</v>
      </c>
      <c r="H68">
        <f>ROUNDUP(tbl_Kalender[[#This Row],[Monat]]/3,0)</f>
        <v>1</v>
      </c>
      <c r="I68" t="str">
        <f>"Q "&amp;tbl_Kalender[[#This Row],[Quartal]]</f>
        <v>Q 1</v>
      </c>
      <c r="J68" t="str">
        <f>tbl_Kalender[[#This Row],[Quartal]]&amp;". Quartal"</f>
        <v>1. Quartal</v>
      </c>
      <c r="K68">
        <f>_xlfn.ISOWEEKNUM(tbl_Kalender[[#This Row],[Datum]])</f>
        <v>10</v>
      </c>
    </row>
    <row r="69" spans="1:11" x14ac:dyDescent="0.25">
      <c r="A69" s="1">
        <v>45359</v>
      </c>
      <c r="B69">
        <f>YEAR(tbl_Kalender[[#This Row],[Datum]])</f>
        <v>2024</v>
      </c>
      <c r="C69">
        <f>DAY(tbl_Kalender[[#This Row],[Datum]])</f>
        <v>8</v>
      </c>
      <c r="D69" t="str">
        <f>TEXT(tbl_Kalender[[#This Row],[Datum]],"TTTT")</f>
        <v>Freitag</v>
      </c>
      <c r="E69">
        <f>WEEKDAY(tbl_Kalender[[#This Row],[Datum]],2)</f>
        <v>5</v>
      </c>
      <c r="F69">
        <f>MONTH(tbl_Kalender[[#This Row],[Datum]])</f>
        <v>3</v>
      </c>
      <c r="G69" t="str">
        <f>TEXT(tbl_Kalender[[#This Row],[Datum]],"MMMM")</f>
        <v>März</v>
      </c>
      <c r="H69">
        <f>ROUNDUP(tbl_Kalender[[#This Row],[Monat]]/3,0)</f>
        <v>1</v>
      </c>
      <c r="I69" t="str">
        <f>"Q "&amp;tbl_Kalender[[#This Row],[Quartal]]</f>
        <v>Q 1</v>
      </c>
      <c r="J69" t="str">
        <f>tbl_Kalender[[#This Row],[Quartal]]&amp;". Quartal"</f>
        <v>1. Quartal</v>
      </c>
      <c r="K69">
        <f>_xlfn.ISOWEEKNUM(tbl_Kalender[[#This Row],[Datum]])</f>
        <v>10</v>
      </c>
    </row>
    <row r="70" spans="1:11" x14ac:dyDescent="0.25">
      <c r="A70" s="1">
        <v>45360</v>
      </c>
      <c r="B70">
        <f>YEAR(tbl_Kalender[[#This Row],[Datum]])</f>
        <v>2024</v>
      </c>
      <c r="C70">
        <f>DAY(tbl_Kalender[[#This Row],[Datum]])</f>
        <v>9</v>
      </c>
      <c r="D70" t="str">
        <f>TEXT(tbl_Kalender[[#This Row],[Datum]],"TTTT")</f>
        <v>Samstag</v>
      </c>
      <c r="E70">
        <f>WEEKDAY(tbl_Kalender[[#This Row],[Datum]],2)</f>
        <v>6</v>
      </c>
      <c r="F70">
        <f>MONTH(tbl_Kalender[[#This Row],[Datum]])</f>
        <v>3</v>
      </c>
      <c r="G70" t="str">
        <f>TEXT(tbl_Kalender[[#This Row],[Datum]],"MMMM")</f>
        <v>März</v>
      </c>
      <c r="H70">
        <f>ROUNDUP(tbl_Kalender[[#This Row],[Monat]]/3,0)</f>
        <v>1</v>
      </c>
      <c r="I70" t="str">
        <f>"Q "&amp;tbl_Kalender[[#This Row],[Quartal]]</f>
        <v>Q 1</v>
      </c>
      <c r="J70" t="str">
        <f>tbl_Kalender[[#This Row],[Quartal]]&amp;". Quartal"</f>
        <v>1. Quartal</v>
      </c>
      <c r="K70">
        <f>_xlfn.ISOWEEKNUM(tbl_Kalender[[#This Row],[Datum]])</f>
        <v>10</v>
      </c>
    </row>
    <row r="71" spans="1:11" x14ac:dyDescent="0.25">
      <c r="A71" s="1">
        <v>45361</v>
      </c>
      <c r="B71">
        <f>YEAR(tbl_Kalender[[#This Row],[Datum]])</f>
        <v>2024</v>
      </c>
      <c r="C71">
        <f>DAY(tbl_Kalender[[#This Row],[Datum]])</f>
        <v>10</v>
      </c>
      <c r="D71" t="str">
        <f>TEXT(tbl_Kalender[[#This Row],[Datum]],"TTTT")</f>
        <v>Sonntag</v>
      </c>
      <c r="E71">
        <f>WEEKDAY(tbl_Kalender[[#This Row],[Datum]],2)</f>
        <v>7</v>
      </c>
      <c r="F71">
        <f>MONTH(tbl_Kalender[[#This Row],[Datum]])</f>
        <v>3</v>
      </c>
      <c r="G71" t="str">
        <f>TEXT(tbl_Kalender[[#This Row],[Datum]],"MMMM")</f>
        <v>März</v>
      </c>
      <c r="H71">
        <f>ROUNDUP(tbl_Kalender[[#This Row],[Monat]]/3,0)</f>
        <v>1</v>
      </c>
      <c r="I71" t="str">
        <f>"Q "&amp;tbl_Kalender[[#This Row],[Quartal]]</f>
        <v>Q 1</v>
      </c>
      <c r="J71" t="str">
        <f>tbl_Kalender[[#This Row],[Quartal]]&amp;". Quartal"</f>
        <v>1. Quartal</v>
      </c>
      <c r="K71">
        <f>_xlfn.ISOWEEKNUM(tbl_Kalender[[#This Row],[Datum]])</f>
        <v>10</v>
      </c>
    </row>
    <row r="72" spans="1:11" x14ac:dyDescent="0.25">
      <c r="A72" s="1">
        <v>45362</v>
      </c>
      <c r="B72">
        <f>YEAR(tbl_Kalender[[#This Row],[Datum]])</f>
        <v>2024</v>
      </c>
      <c r="C72">
        <f>DAY(tbl_Kalender[[#This Row],[Datum]])</f>
        <v>11</v>
      </c>
      <c r="D72" t="str">
        <f>TEXT(tbl_Kalender[[#This Row],[Datum]],"TTTT")</f>
        <v>Montag</v>
      </c>
      <c r="E72">
        <f>WEEKDAY(tbl_Kalender[[#This Row],[Datum]],2)</f>
        <v>1</v>
      </c>
      <c r="F72">
        <f>MONTH(tbl_Kalender[[#This Row],[Datum]])</f>
        <v>3</v>
      </c>
      <c r="G72" t="str">
        <f>TEXT(tbl_Kalender[[#This Row],[Datum]],"MMMM")</f>
        <v>März</v>
      </c>
      <c r="H72">
        <f>ROUNDUP(tbl_Kalender[[#This Row],[Monat]]/3,0)</f>
        <v>1</v>
      </c>
      <c r="I72" t="str">
        <f>"Q "&amp;tbl_Kalender[[#This Row],[Quartal]]</f>
        <v>Q 1</v>
      </c>
      <c r="J72" t="str">
        <f>tbl_Kalender[[#This Row],[Quartal]]&amp;". Quartal"</f>
        <v>1. Quartal</v>
      </c>
      <c r="K72">
        <f>_xlfn.ISOWEEKNUM(tbl_Kalender[[#This Row],[Datum]])</f>
        <v>11</v>
      </c>
    </row>
    <row r="73" spans="1:11" x14ac:dyDescent="0.25">
      <c r="A73" s="1">
        <v>45363</v>
      </c>
      <c r="B73">
        <f>YEAR(tbl_Kalender[[#This Row],[Datum]])</f>
        <v>2024</v>
      </c>
      <c r="C73">
        <f>DAY(tbl_Kalender[[#This Row],[Datum]])</f>
        <v>12</v>
      </c>
      <c r="D73" t="str">
        <f>TEXT(tbl_Kalender[[#This Row],[Datum]],"TTTT")</f>
        <v>Dienstag</v>
      </c>
      <c r="E73">
        <f>WEEKDAY(tbl_Kalender[[#This Row],[Datum]],2)</f>
        <v>2</v>
      </c>
      <c r="F73">
        <f>MONTH(tbl_Kalender[[#This Row],[Datum]])</f>
        <v>3</v>
      </c>
      <c r="G73" t="str">
        <f>TEXT(tbl_Kalender[[#This Row],[Datum]],"MMMM")</f>
        <v>März</v>
      </c>
      <c r="H73">
        <f>ROUNDUP(tbl_Kalender[[#This Row],[Monat]]/3,0)</f>
        <v>1</v>
      </c>
      <c r="I73" t="str">
        <f>"Q "&amp;tbl_Kalender[[#This Row],[Quartal]]</f>
        <v>Q 1</v>
      </c>
      <c r="J73" t="str">
        <f>tbl_Kalender[[#This Row],[Quartal]]&amp;". Quartal"</f>
        <v>1. Quartal</v>
      </c>
      <c r="K73">
        <f>_xlfn.ISOWEEKNUM(tbl_Kalender[[#This Row],[Datum]])</f>
        <v>11</v>
      </c>
    </row>
    <row r="74" spans="1:11" x14ac:dyDescent="0.25">
      <c r="A74" s="1">
        <v>45364</v>
      </c>
      <c r="B74">
        <f>YEAR(tbl_Kalender[[#This Row],[Datum]])</f>
        <v>2024</v>
      </c>
      <c r="C74">
        <f>DAY(tbl_Kalender[[#This Row],[Datum]])</f>
        <v>13</v>
      </c>
      <c r="D74" t="str">
        <f>TEXT(tbl_Kalender[[#This Row],[Datum]],"TTTT")</f>
        <v>Mittwoch</v>
      </c>
      <c r="E74">
        <f>WEEKDAY(tbl_Kalender[[#This Row],[Datum]],2)</f>
        <v>3</v>
      </c>
      <c r="F74">
        <f>MONTH(tbl_Kalender[[#This Row],[Datum]])</f>
        <v>3</v>
      </c>
      <c r="G74" t="str">
        <f>TEXT(tbl_Kalender[[#This Row],[Datum]],"MMMM")</f>
        <v>März</v>
      </c>
      <c r="H74">
        <f>ROUNDUP(tbl_Kalender[[#This Row],[Monat]]/3,0)</f>
        <v>1</v>
      </c>
      <c r="I74" t="str">
        <f>"Q "&amp;tbl_Kalender[[#This Row],[Quartal]]</f>
        <v>Q 1</v>
      </c>
      <c r="J74" t="str">
        <f>tbl_Kalender[[#This Row],[Quartal]]&amp;". Quartal"</f>
        <v>1. Quartal</v>
      </c>
      <c r="K74">
        <f>_xlfn.ISOWEEKNUM(tbl_Kalender[[#This Row],[Datum]])</f>
        <v>11</v>
      </c>
    </row>
    <row r="75" spans="1:11" x14ac:dyDescent="0.25">
      <c r="A75" s="1">
        <v>45365</v>
      </c>
      <c r="B75">
        <f>YEAR(tbl_Kalender[[#This Row],[Datum]])</f>
        <v>2024</v>
      </c>
      <c r="C75">
        <f>DAY(tbl_Kalender[[#This Row],[Datum]])</f>
        <v>14</v>
      </c>
      <c r="D75" t="str">
        <f>TEXT(tbl_Kalender[[#This Row],[Datum]],"TTTT")</f>
        <v>Donnerstag</v>
      </c>
      <c r="E75">
        <f>WEEKDAY(tbl_Kalender[[#This Row],[Datum]],2)</f>
        <v>4</v>
      </c>
      <c r="F75">
        <f>MONTH(tbl_Kalender[[#This Row],[Datum]])</f>
        <v>3</v>
      </c>
      <c r="G75" t="str">
        <f>TEXT(tbl_Kalender[[#This Row],[Datum]],"MMMM")</f>
        <v>März</v>
      </c>
      <c r="H75">
        <f>ROUNDUP(tbl_Kalender[[#This Row],[Monat]]/3,0)</f>
        <v>1</v>
      </c>
      <c r="I75" t="str">
        <f>"Q "&amp;tbl_Kalender[[#This Row],[Quartal]]</f>
        <v>Q 1</v>
      </c>
      <c r="J75" t="str">
        <f>tbl_Kalender[[#This Row],[Quartal]]&amp;". Quartal"</f>
        <v>1. Quartal</v>
      </c>
      <c r="K75">
        <f>_xlfn.ISOWEEKNUM(tbl_Kalender[[#This Row],[Datum]])</f>
        <v>11</v>
      </c>
    </row>
    <row r="76" spans="1:11" x14ac:dyDescent="0.25">
      <c r="A76" s="1">
        <v>45366</v>
      </c>
      <c r="B76">
        <f>YEAR(tbl_Kalender[[#This Row],[Datum]])</f>
        <v>2024</v>
      </c>
      <c r="C76">
        <f>DAY(tbl_Kalender[[#This Row],[Datum]])</f>
        <v>15</v>
      </c>
      <c r="D76" t="str">
        <f>TEXT(tbl_Kalender[[#This Row],[Datum]],"TTTT")</f>
        <v>Freitag</v>
      </c>
      <c r="E76">
        <f>WEEKDAY(tbl_Kalender[[#This Row],[Datum]],2)</f>
        <v>5</v>
      </c>
      <c r="F76">
        <f>MONTH(tbl_Kalender[[#This Row],[Datum]])</f>
        <v>3</v>
      </c>
      <c r="G76" t="str">
        <f>TEXT(tbl_Kalender[[#This Row],[Datum]],"MMMM")</f>
        <v>März</v>
      </c>
      <c r="H76">
        <f>ROUNDUP(tbl_Kalender[[#This Row],[Monat]]/3,0)</f>
        <v>1</v>
      </c>
      <c r="I76" t="str">
        <f>"Q "&amp;tbl_Kalender[[#This Row],[Quartal]]</f>
        <v>Q 1</v>
      </c>
      <c r="J76" t="str">
        <f>tbl_Kalender[[#This Row],[Quartal]]&amp;". Quartal"</f>
        <v>1. Quartal</v>
      </c>
      <c r="K76">
        <f>_xlfn.ISOWEEKNUM(tbl_Kalender[[#This Row],[Datum]])</f>
        <v>11</v>
      </c>
    </row>
    <row r="77" spans="1:11" x14ac:dyDescent="0.25">
      <c r="A77" s="1">
        <v>45367</v>
      </c>
      <c r="B77">
        <f>YEAR(tbl_Kalender[[#This Row],[Datum]])</f>
        <v>2024</v>
      </c>
      <c r="C77">
        <f>DAY(tbl_Kalender[[#This Row],[Datum]])</f>
        <v>16</v>
      </c>
      <c r="D77" t="str">
        <f>TEXT(tbl_Kalender[[#This Row],[Datum]],"TTTT")</f>
        <v>Samstag</v>
      </c>
      <c r="E77">
        <f>WEEKDAY(tbl_Kalender[[#This Row],[Datum]],2)</f>
        <v>6</v>
      </c>
      <c r="F77">
        <f>MONTH(tbl_Kalender[[#This Row],[Datum]])</f>
        <v>3</v>
      </c>
      <c r="G77" t="str">
        <f>TEXT(tbl_Kalender[[#This Row],[Datum]],"MMMM")</f>
        <v>März</v>
      </c>
      <c r="H77">
        <f>ROUNDUP(tbl_Kalender[[#This Row],[Monat]]/3,0)</f>
        <v>1</v>
      </c>
      <c r="I77" t="str">
        <f>"Q "&amp;tbl_Kalender[[#This Row],[Quartal]]</f>
        <v>Q 1</v>
      </c>
      <c r="J77" t="str">
        <f>tbl_Kalender[[#This Row],[Quartal]]&amp;". Quartal"</f>
        <v>1. Quartal</v>
      </c>
      <c r="K77">
        <f>_xlfn.ISOWEEKNUM(tbl_Kalender[[#This Row],[Datum]])</f>
        <v>11</v>
      </c>
    </row>
    <row r="78" spans="1:11" x14ac:dyDescent="0.25">
      <c r="A78" s="1">
        <v>45368</v>
      </c>
      <c r="B78">
        <f>YEAR(tbl_Kalender[[#This Row],[Datum]])</f>
        <v>2024</v>
      </c>
      <c r="C78">
        <f>DAY(tbl_Kalender[[#This Row],[Datum]])</f>
        <v>17</v>
      </c>
      <c r="D78" t="str">
        <f>TEXT(tbl_Kalender[[#This Row],[Datum]],"TTTT")</f>
        <v>Sonntag</v>
      </c>
      <c r="E78">
        <f>WEEKDAY(tbl_Kalender[[#This Row],[Datum]],2)</f>
        <v>7</v>
      </c>
      <c r="F78">
        <f>MONTH(tbl_Kalender[[#This Row],[Datum]])</f>
        <v>3</v>
      </c>
      <c r="G78" t="str">
        <f>TEXT(tbl_Kalender[[#This Row],[Datum]],"MMMM")</f>
        <v>März</v>
      </c>
      <c r="H78">
        <f>ROUNDUP(tbl_Kalender[[#This Row],[Monat]]/3,0)</f>
        <v>1</v>
      </c>
      <c r="I78" t="str">
        <f>"Q "&amp;tbl_Kalender[[#This Row],[Quartal]]</f>
        <v>Q 1</v>
      </c>
      <c r="J78" t="str">
        <f>tbl_Kalender[[#This Row],[Quartal]]&amp;". Quartal"</f>
        <v>1. Quartal</v>
      </c>
      <c r="K78">
        <f>_xlfn.ISOWEEKNUM(tbl_Kalender[[#This Row],[Datum]])</f>
        <v>11</v>
      </c>
    </row>
    <row r="79" spans="1:11" x14ac:dyDescent="0.25">
      <c r="A79" s="1">
        <v>45369</v>
      </c>
      <c r="B79">
        <f>YEAR(tbl_Kalender[[#This Row],[Datum]])</f>
        <v>2024</v>
      </c>
      <c r="C79">
        <f>DAY(tbl_Kalender[[#This Row],[Datum]])</f>
        <v>18</v>
      </c>
      <c r="D79" t="str">
        <f>TEXT(tbl_Kalender[[#This Row],[Datum]],"TTTT")</f>
        <v>Montag</v>
      </c>
      <c r="E79">
        <f>WEEKDAY(tbl_Kalender[[#This Row],[Datum]],2)</f>
        <v>1</v>
      </c>
      <c r="F79">
        <f>MONTH(tbl_Kalender[[#This Row],[Datum]])</f>
        <v>3</v>
      </c>
      <c r="G79" t="str">
        <f>TEXT(tbl_Kalender[[#This Row],[Datum]],"MMMM")</f>
        <v>März</v>
      </c>
      <c r="H79">
        <f>ROUNDUP(tbl_Kalender[[#This Row],[Monat]]/3,0)</f>
        <v>1</v>
      </c>
      <c r="I79" t="str">
        <f>"Q "&amp;tbl_Kalender[[#This Row],[Quartal]]</f>
        <v>Q 1</v>
      </c>
      <c r="J79" t="str">
        <f>tbl_Kalender[[#This Row],[Quartal]]&amp;". Quartal"</f>
        <v>1. Quartal</v>
      </c>
      <c r="K79">
        <f>_xlfn.ISOWEEKNUM(tbl_Kalender[[#This Row],[Datum]])</f>
        <v>12</v>
      </c>
    </row>
    <row r="80" spans="1:11" x14ac:dyDescent="0.25">
      <c r="A80" s="1">
        <v>45370</v>
      </c>
      <c r="B80">
        <f>YEAR(tbl_Kalender[[#This Row],[Datum]])</f>
        <v>2024</v>
      </c>
      <c r="C80">
        <f>DAY(tbl_Kalender[[#This Row],[Datum]])</f>
        <v>19</v>
      </c>
      <c r="D80" t="str">
        <f>TEXT(tbl_Kalender[[#This Row],[Datum]],"TTTT")</f>
        <v>Dienstag</v>
      </c>
      <c r="E80">
        <f>WEEKDAY(tbl_Kalender[[#This Row],[Datum]],2)</f>
        <v>2</v>
      </c>
      <c r="F80">
        <f>MONTH(tbl_Kalender[[#This Row],[Datum]])</f>
        <v>3</v>
      </c>
      <c r="G80" t="str">
        <f>TEXT(tbl_Kalender[[#This Row],[Datum]],"MMMM")</f>
        <v>März</v>
      </c>
      <c r="H80">
        <f>ROUNDUP(tbl_Kalender[[#This Row],[Monat]]/3,0)</f>
        <v>1</v>
      </c>
      <c r="I80" t="str">
        <f>"Q "&amp;tbl_Kalender[[#This Row],[Quartal]]</f>
        <v>Q 1</v>
      </c>
      <c r="J80" t="str">
        <f>tbl_Kalender[[#This Row],[Quartal]]&amp;". Quartal"</f>
        <v>1. Quartal</v>
      </c>
      <c r="K80">
        <f>_xlfn.ISOWEEKNUM(tbl_Kalender[[#This Row],[Datum]])</f>
        <v>12</v>
      </c>
    </row>
    <row r="81" spans="1:11" x14ac:dyDescent="0.25">
      <c r="A81" s="1">
        <v>45371</v>
      </c>
      <c r="B81">
        <f>YEAR(tbl_Kalender[[#This Row],[Datum]])</f>
        <v>2024</v>
      </c>
      <c r="C81">
        <f>DAY(tbl_Kalender[[#This Row],[Datum]])</f>
        <v>20</v>
      </c>
      <c r="D81" t="str">
        <f>TEXT(tbl_Kalender[[#This Row],[Datum]],"TTTT")</f>
        <v>Mittwoch</v>
      </c>
      <c r="E81">
        <f>WEEKDAY(tbl_Kalender[[#This Row],[Datum]],2)</f>
        <v>3</v>
      </c>
      <c r="F81">
        <f>MONTH(tbl_Kalender[[#This Row],[Datum]])</f>
        <v>3</v>
      </c>
      <c r="G81" t="str">
        <f>TEXT(tbl_Kalender[[#This Row],[Datum]],"MMMM")</f>
        <v>März</v>
      </c>
      <c r="H81">
        <f>ROUNDUP(tbl_Kalender[[#This Row],[Monat]]/3,0)</f>
        <v>1</v>
      </c>
      <c r="I81" t="str">
        <f>"Q "&amp;tbl_Kalender[[#This Row],[Quartal]]</f>
        <v>Q 1</v>
      </c>
      <c r="J81" t="str">
        <f>tbl_Kalender[[#This Row],[Quartal]]&amp;". Quartal"</f>
        <v>1. Quartal</v>
      </c>
      <c r="K81">
        <f>_xlfn.ISOWEEKNUM(tbl_Kalender[[#This Row],[Datum]])</f>
        <v>12</v>
      </c>
    </row>
    <row r="82" spans="1:11" x14ac:dyDescent="0.25">
      <c r="A82" s="1">
        <v>45372</v>
      </c>
      <c r="B82">
        <f>YEAR(tbl_Kalender[[#This Row],[Datum]])</f>
        <v>2024</v>
      </c>
      <c r="C82">
        <f>DAY(tbl_Kalender[[#This Row],[Datum]])</f>
        <v>21</v>
      </c>
      <c r="D82" t="str">
        <f>TEXT(tbl_Kalender[[#This Row],[Datum]],"TTTT")</f>
        <v>Donnerstag</v>
      </c>
      <c r="E82">
        <f>WEEKDAY(tbl_Kalender[[#This Row],[Datum]],2)</f>
        <v>4</v>
      </c>
      <c r="F82">
        <f>MONTH(tbl_Kalender[[#This Row],[Datum]])</f>
        <v>3</v>
      </c>
      <c r="G82" t="str">
        <f>TEXT(tbl_Kalender[[#This Row],[Datum]],"MMMM")</f>
        <v>März</v>
      </c>
      <c r="H82">
        <f>ROUNDUP(tbl_Kalender[[#This Row],[Monat]]/3,0)</f>
        <v>1</v>
      </c>
      <c r="I82" t="str">
        <f>"Q "&amp;tbl_Kalender[[#This Row],[Quartal]]</f>
        <v>Q 1</v>
      </c>
      <c r="J82" t="str">
        <f>tbl_Kalender[[#This Row],[Quartal]]&amp;". Quartal"</f>
        <v>1. Quartal</v>
      </c>
      <c r="K82">
        <f>_xlfn.ISOWEEKNUM(tbl_Kalender[[#This Row],[Datum]])</f>
        <v>12</v>
      </c>
    </row>
    <row r="83" spans="1:11" x14ac:dyDescent="0.25">
      <c r="A83" s="1">
        <v>45373</v>
      </c>
      <c r="B83">
        <f>YEAR(tbl_Kalender[[#This Row],[Datum]])</f>
        <v>2024</v>
      </c>
      <c r="C83">
        <f>DAY(tbl_Kalender[[#This Row],[Datum]])</f>
        <v>22</v>
      </c>
      <c r="D83" t="str">
        <f>TEXT(tbl_Kalender[[#This Row],[Datum]],"TTTT")</f>
        <v>Freitag</v>
      </c>
      <c r="E83">
        <f>WEEKDAY(tbl_Kalender[[#This Row],[Datum]],2)</f>
        <v>5</v>
      </c>
      <c r="F83">
        <f>MONTH(tbl_Kalender[[#This Row],[Datum]])</f>
        <v>3</v>
      </c>
      <c r="G83" t="str">
        <f>TEXT(tbl_Kalender[[#This Row],[Datum]],"MMMM")</f>
        <v>März</v>
      </c>
      <c r="H83">
        <f>ROUNDUP(tbl_Kalender[[#This Row],[Monat]]/3,0)</f>
        <v>1</v>
      </c>
      <c r="I83" t="str">
        <f>"Q "&amp;tbl_Kalender[[#This Row],[Quartal]]</f>
        <v>Q 1</v>
      </c>
      <c r="J83" t="str">
        <f>tbl_Kalender[[#This Row],[Quartal]]&amp;". Quartal"</f>
        <v>1. Quartal</v>
      </c>
      <c r="K83">
        <f>_xlfn.ISOWEEKNUM(tbl_Kalender[[#This Row],[Datum]])</f>
        <v>12</v>
      </c>
    </row>
    <row r="84" spans="1:11" x14ac:dyDescent="0.25">
      <c r="A84" s="1">
        <v>45374</v>
      </c>
      <c r="B84">
        <f>YEAR(tbl_Kalender[[#This Row],[Datum]])</f>
        <v>2024</v>
      </c>
      <c r="C84">
        <f>DAY(tbl_Kalender[[#This Row],[Datum]])</f>
        <v>23</v>
      </c>
      <c r="D84" t="str">
        <f>TEXT(tbl_Kalender[[#This Row],[Datum]],"TTTT")</f>
        <v>Samstag</v>
      </c>
      <c r="E84">
        <f>WEEKDAY(tbl_Kalender[[#This Row],[Datum]],2)</f>
        <v>6</v>
      </c>
      <c r="F84">
        <f>MONTH(tbl_Kalender[[#This Row],[Datum]])</f>
        <v>3</v>
      </c>
      <c r="G84" t="str">
        <f>TEXT(tbl_Kalender[[#This Row],[Datum]],"MMMM")</f>
        <v>März</v>
      </c>
      <c r="H84">
        <f>ROUNDUP(tbl_Kalender[[#This Row],[Monat]]/3,0)</f>
        <v>1</v>
      </c>
      <c r="I84" t="str">
        <f>"Q "&amp;tbl_Kalender[[#This Row],[Quartal]]</f>
        <v>Q 1</v>
      </c>
      <c r="J84" t="str">
        <f>tbl_Kalender[[#This Row],[Quartal]]&amp;". Quartal"</f>
        <v>1. Quartal</v>
      </c>
      <c r="K84">
        <f>_xlfn.ISOWEEKNUM(tbl_Kalender[[#This Row],[Datum]])</f>
        <v>12</v>
      </c>
    </row>
    <row r="85" spans="1:11" x14ac:dyDescent="0.25">
      <c r="A85" s="1">
        <v>45375</v>
      </c>
      <c r="B85">
        <f>YEAR(tbl_Kalender[[#This Row],[Datum]])</f>
        <v>2024</v>
      </c>
      <c r="C85">
        <f>DAY(tbl_Kalender[[#This Row],[Datum]])</f>
        <v>24</v>
      </c>
      <c r="D85" t="str">
        <f>TEXT(tbl_Kalender[[#This Row],[Datum]],"TTTT")</f>
        <v>Sonntag</v>
      </c>
      <c r="E85">
        <f>WEEKDAY(tbl_Kalender[[#This Row],[Datum]],2)</f>
        <v>7</v>
      </c>
      <c r="F85">
        <f>MONTH(tbl_Kalender[[#This Row],[Datum]])</f>
        <v>3</v>
      </c>
      <c r="G85" t="str">
        <f>TEXT(tbl_Kalender[[#This Row],[Datum]],"MMMM")</f>
        <v>März</v>
      </c>
      <c r="H85">
        <f>ROUNDUP(tbl_Kalender[[#This Row],[Monat]]/3,0)</f>
        <v>1</v>
      </c>
      <c r="I85" t="str">
        <f>"Q "&amp;tbl_Kalender[[#This Row],[Quartal]]</f>
        <v>Q 1</v>
      </c>
      <c r="J85" t="str">
        <f>tbl_Kalender[[#This Row],[Quartal]]&amp;". Quartal"</f>
        <v>1. Quartal</v>
      </c>
      <c r="K85">
        <f>_xlfn.ISOWEEKNUM(tbl_Kalender[[#This Row],[Datum]])</f>
        <v>12</v>
      </c>
    </row>
    <row r="86" spans="1:11" x14ac:dyDescent="0.25">
      <c r="A86" s="1">
        <v>45376</v>
      </c>
      <c r="B86">
        <f>YEAR(tbl_Kalender[[#This Row],[Datum]])</f>
        <v>2024</v>
      </c>
      <c r="C86">
        <f>DAY(tbl_Kalender[[#This Row],[Datum]])</f>
        <v>25</v>
      </c>
      <c r="D86" t="str">
        <f>TEXT(tbl_Kalender[[#This Row],[Datum]],"TTTT")</f>
        <v>Montag</v>
      </c>
      <c r="E86">
        <f>WEEKDAY(tbl_Kalender[[#This Row],[Datum]],2)</f>
        <v>1</v>
      </c>
      <c r="F86">
        <f>MONTH(tbl_Kalender[[#This Row],[Datum]])</f>
        <v>3</v>
      </c>
      <c r="G86" t="str">
        <f>TEXT(tbl_Kalender[[#This Row],[Datum]],"MMMM")</f>
        <v>März</v>
      </c>
      <c r="H86">
        <f>ROUNDUP(tbl_Kalender[[#This Row],[Monat]]/3,0)</f>
        <v>1</v>
      </c>
      <c r="I86" t="str">
        <f>"Q "&amp;tbl_Kalender[[#This Row],[Quartal]]</f>
        <v>Q 1</v>
      </c>
      <c r="J86" t="str">
        <f>tbl_Kalender[[#This Row],[Quartal]]&amp;". Quartal"</f>
        <v>1. Quartal</v>
      </c>
      <c r="K86">
        <f>_xlfn.ISOWEEKNUM(tbl_Kalender[[#This Row],[Datum]])</f>
        <v>13</v>
      </c>
    </row>
    <row r="87" spans="1:11" x14ac:dyDescent="0.25">
      <c r="A87" s="1">
        <v>45377</v>
      </c>
      <c r="B87">
        <f>YEAR(tbl_Kalender[[#This Row],[Datum]])</f>
        <v>2024</v>
      </c>
      <c r="C87">
        <f>DAY(tbl_Kalender[[#This Row],[Datum]])</f>
        <v>26</v>
      </c>
      <c r="D87" t="str">
        <f>TEXT(tbl_Kalender[[#This Row],[Datum]],"TTTT")</f>
        <v>Dienstag</v>
      </c>
      <c r="E87">
        <f>WEEKDAY(tbl_Kalender[[#This Row],[Datum]],2)</f>
        <v>2</v>
      </c>
      <c r="F87">
        <f>MONTH(tbl_Kalender[[#This Row],[Datum]])</f>
        <v>3</v>
      </c>
      <c r="G87" t="str">
        <f>TEXT(tbl_Kalender[[#This Row],[Datum]],"MMMM")</f>
        <v>März</v>
      </c>
      <c r="H87">
        <f>ROUNDUP(tbl_Kalender[[#This Row],[Monat]]/3,0)</f>
        <v>1</v>
      </c>
      <c r="I87" t="str">
        <f>"Q "&amp;tbl_Kalender[[#This Row],[Quartal]]</f>
        <v>Q 1</v>
      </c>
      <c r="J87" t="str">
        <f>tbl_Kalender[[#This Row],[Quartal]]&amp;". Quartal"</f>
        <v>1. Quartal</v>
      </c>
      <c r="K87">
        <f>_xlfn.ISOWEEKNUM(tbl_Kalender[[#This Row],[Datum]])</f>
        <v>13</v>
      </c>
    </row>
    <row r="88" spans="1:11" x14ac:dyDescent="0.25">
      <c r="A88" s="1">
        <v>45378</v>
      </c>
      <c r="B88">
        <f>YEAR(tbl_Kalender[[#This Row],[Datum]])</f>
        <v>2024</v>
      </c>
      <c r="C88">
        <f>DAY(tbl_Kalender[[#This Row],[Datum]])</f>
        <v>27</v>
      </c>
      <c r="D88" t="str">
        <f>TEXT(tbl_Kalender[[#This Row],[Datum]],"TTTT")</f>
        <v>Mittwoch</v>
      </c>
      <c r="E88">
        <f>WEEKDAY(tbl_Kalender[[#This Row],[Datum]],2)</f>
        <v>3</v>
      </c>
      <c r="F88">
        <f>MONTH(tbl_Kalender[[#This Row],[Datum]])</f>
        <v>3</v>
      </c>
      <c r="G88" t="str">
        <f>TEXT(tbl_Kalender[[#This Row],[Datum]],"MMMM")</f>
        <v>März</v>
      </c>
      <c r="H88">
        <f>ROUNDUP(tbl_Kalender[[#This Row],[Monat]]/3,0)</f>
        <v>1</v>
      </c>
      <c r="I88" t="str">
        <f>"Q "&amp;tbl_Kalender[[#This Row],[Quartal]]</f>
        <v>Q 1</v>
      </c>
      <c r="J88" t="str">
        <f>tbl_Kalender[[#This Row],[Quartal]]&amp;". Quartal"</f>
        <v>1. Quartal</v>
      </c>
      <c r="K88">
        <f>_xlfn.ISOWEEKNUM(tbl_Kalender[[#This Row],[Datum]])</f>
        <v>13</v>
      </c>
    </row>
    <row r="89" spans="1:11" x14ac:dyDescent="0.25">
      <c r="A89" s="1">
        <v>45379</v>
      </c>
      <c r="B89">
        <f>YEAR(tbl_Kalender[[#This Row],[Datum]])</f>
        <v>2024</v>
      </c>
      <c r="C89">
        <f>DAY(tbl_Kalender[[#This Row],[Datum]])</f>
        <v>28</v>
      </c>
      <c r="D89" t="str">
        <f>TEXT(tbl_Kalender[[#This Row],[Datum]],"TTTT")</f>
        <v>Donnerstag</v>
      </c>
      <c r="E89">
        <f>WEEKDAY(tbl_Kalender[[#This Row],[Datum]],2)</f>
        <v>4</v>
      </c>
      <c r="F89">
        <f>MONTH(tbl_Kalender[[#This Row],[Datum]])</f>
        <v>3</v>
      </c>
      <c r="G89" t="str">
        <f>TEXT(tbl_Kalender[[#This Row],[Datum]],"MMMM")</f>
        <v>März</v>
      </c>
      <c r="H89">
        <f>ROUNDUP(tbl_Kalender[[#This Row],[Monat]]/3,0)</f>
        <v>1</v>
      </c>
      <c r="I89" t="str">
        <f>"Q "&amp;tbl_Kalender[[#This Row],[Quartal]]</f>
        <v>Q 1</v>
      </c>
      <c r="J89" t="str">
        <f>tbl_Kalender[[#This Row],[Quartal]]&amp;". Quartal"</f>
        <v>1. Quartal</v>
      </c>
      <c r="K89">
        <f>_xlfn.ISOWEEKNUM(tbl_Kalender[[#This Row],[Datum]])</f>
        <v>13</v>
      </c>
    </row>
    <row r="90" spans="1:11" x14ac:dyDescent="0.25">
      <c r="A90" s="1">
        <v>45380</v>
      </c>
      <c r="B90">
        <f>YEAR(tbl_Kalender[[#This Row],[Datum]])</f>
        <v>2024</v>
      </c>
      <c r="C90">
        <f>DAY(tbl_Kalender[[#This Row],[Datum]])</f>
        <v>29</v>
      </c>
      <c r="D90" t="str">
        <f>TEXT(tbl_Kalender[[#This Row],[Datum]],"TTTT")</f>
        <v>Freitag</v>
      </c>
      <c r="E90">
        <f>WEEKDAY(tbl_Kalender[[#This Row],[Datum]],2)</f>
        <v>5</v>
      </c>
      <c r="F90">
        <f>MONTH(tbl_Kalender[[#This Row],[Datum]])</f>
        <v>3</v>
      </c>
      <c r="G90" t="str">
        <f>TEXT(tbl_Kalender[[#This Row],[Datum]],"MMMM")</f>
        <v>März</v>
      </c>
      <c r="H90">
        <f>ROUNDUP(tbl_Kalender[[#This Row],[Monat]]/3,0)</f>
        <v>1</v>
      </c>
      <c r="I90" t="str">
        <f>"Q "&amp;tbl_Kalender[[#This Row],[Quartal]]</f>
        <v>Q 1</v>
      </c>
      <c r="J90" t="str">
        <f>tbl_Kalender[[#This Row],[Quartal]]&amp;". Quartal"</f>
        <v>1. Quartal</v>
      </c>
      <c r="K90">
        <f>_xlfn.ISOWEEKNUM(tbl_Kalender[[#This Row],[Datum]])</f>
        <v>13</v>
      </c>
    </row>
    <row r="91" spans="1:11" x14ac:dyDescent="0.25">
      <c r="A91" s="1">
        <v>45381</v>
      </c>
      <c r="B91">
        <f>YEAR(tbl_Kalender[[#This Row],[Datum]])</f>
        <v>2024</v>
      </c>
      <c r="C91">
        <f>DAY(tbl_Kalender[[#This Row],[Datum]])</f>
        <v>30</v>
      </c>
      <c r="D91" t="str">
        <f>TEXT(tbl_Kalender[[#This Row],[Datum]],"TTTT")</f>
        <v>Samstag</v>
      </c>
      <c r="E91">
        <f>WEEKDAY(tbl_Kalender[[#This Row],[Datum]],2)</f>
        <v>6</v>
      </c>
      <c r="F91">
        <f>MONTH(tbl_Kalender[[#This Row],[Datum]])</f>
        <v>3</v>
      </c>
      <c r="G91" t="str">
        <f>TEXT(tbl_Kalender[[#This Row],[Datum]],"MMMM")</f>
        <v>März</v>
      </c>
      <c r="H91">
        <f>ROUNDUP(tbl_Kalender[[#This Row],[Monat]]/3,0)</f>
        <v>1</v>
      </c>
      <c r="I91" t="str">
        <f>"Q "&amp;tbl_Kalender[[#This Row],[Quartal]]</f>
        <v>Q 1</v>
      </c>
      <c r="J91" t="str">
        <f>tbl_Kalender[[#This Row],[Quartal]]&amp;". Quartal"</f>
        <v>1. Quartal</v>
      </c>
      <c r="K91">
        <f>_xlfn.ISOWEEKNUM(tbl_Kalender[[#This Row],[Datum]])</f>
        <v>13</v>
      </c>
    </row>
    <row r="92" spans="1:11" x14ac:dyDescent="0.25">
      <c r="A92" s="1">
        <v>45382</v>
      </c>
      <c r="B92">
        <f>YEAR(tbl_Kalender[[#This Row],[Datum]])</f>
        <v>2024</v>
      </c>
      <c r="C92">
        <f>DAY(tbl_Kalender[[#This Row],[Datum]])</f>
        <v>31</v>
      </c>
      <c r="D92" t="str">
        <f>TEXT(tbl_Kalender[[#This Row],[Datum]],"TTTT")</f>
        <v>Sonntag</v>
      </c>
      <c r="E92">
        <f>WEEKDAY(tbl_Kalender[[#This Row],[Datum]],2)</f>
        <v>7</v>
      </c>
      <c r="F92">
        <f>MONTH(tbl_Kalender[[#This Row],[Datum]])</f>
        <v>3</v>
      </c>
      <c r="G92" t="str">
        <f>TEXT(tbl_Kalender[[#This Row],[Datum]],"MMMM")</f>
        <v>März</v>
      </c>
      <c r="H92">
        <f>ROUNDUP(tbl_Kalender[[#This Row],[Monat]]/3,0)</f>
        <v>1</v>
      </c>
      <c r="I92" t="str">
        <f>"Q "&amp;tbl_Kalender[[#This Row],[Quartal]]</f>
        <v>Q 1</v>
      </c>
      <c r="J92" t="str">
        <f>tbl_Kalender[[#This Row],[Quartal]]&amp;". Quartal"</f>
        <v>1. Quartal</v>
      </c>
      <c r="K92">
        <f>_xlfn.ISOWEEKNUM(tbl_Kalender[[#This Row],[Datum]])</f>
        <v>13</v>
      </c>
    </row>
    <row r="93" spans="1:11" x14ac:dyDescent="0.25">
      <c r="A93" s="1">
        <v>45383</v>
      </c>
      <c r="B93">
        <f>YEAR(tbl_Kalender[[#This Row],[Datum]])</f>
        <v>2024</v>
      </c>
      <c r="C93">
        <f>DAY(tbl_Kalender[[#This Row],[Datum]])</f>
        <v>1</v>
      </c>
      <c r="D93" t="str">
        <f>TEXT(tbl_Kalender[[#This Row],[Datum]],"TTTT")</f>
        <v>Montag</v>
      </c>
      <c r="E93">
        <f>WEEKDAY(tbl_Kalender[[#This Row],[Datum]],2)</f>
        <v>1</v>
      </c>
      <c r="F93">
        <f>MONTH(tbl_Kalender[[#This Row],[Datum]])</f>
        <v>4</v>
      </c>
      <c r="G93" t="str">
        <f>TEXT(tbl_Kalender[[#This Row],[Datum]],"MMMM")</f>
        <v>April</v>
      </c>
      <c r="H93">
        <f>ROUNDUP(tbl_Kalender[[#This Row],[Monat]]/3,0)</f>
        <v>2</v>
      </c>
      <c r="I93" t="str">
        <f>"Q "&amp;tbl_Kalender[[#This Row],[Quartal]]</f>
        <v>Q 2</v>
      </c>
      <c r="J93" t="str">
        <f>tbl_Kalender[[#This Row],[Quartal]]&amp;". Quartal"</f>
        <v>2. Quartal</v>
      </c>
      <c r="K93">
        <f>_xlfn.ISOWEEKNUM(tbl_Kalender[[#This Row],[Datum]])</f>
        <v>14</v>
      </c>
    </row>
    <row r="94" spans="1:11" x14ac:dyDescent="0.25">
      <c r="A94" s="1">
        <v>45384</v>
      </c>
      <c r="B94">
        <f>YEAR(tbl_Kalender[[#This Row],[Datum]])</f>
        <v>2024</v>
      </c>
      <c r="C94">
        <f>DAY(tbl_Kalender[[#This Row],[Datum]])</f>
        <v>2</v>
      </c>
      <c r="D94" t="str">
        <f>TEXT(tbl_Kalender[[#This Row],[Datum]],"TTTT")</f>
        <v>Dienstag</v>
      </c>
      <c r="E94">
        <f>WEEKDAY(tbl_Kalender[[#This Row],[Datum]],2)</f>
        <v>2</v>
      </c>
      <c r="F94">
        <f>MONTH(tbl_Kalender[[#This Row],[Datum]])</f>
        <v>4</v>
      </c>
      <c r="G94" t="str">
        <f>TEXT(tbl_Kalender[[#This Row],[Datum]],"MMMM")</f>
        <v>April</v>
      </c>
      <c r="H94">
        <f>ROUNDUP(tbl_Kalender[[#This Row],[Monat]]/3,0)</f>
        <v>2</v>
      </c>
      <c r="I94" t="str">
        <f>"Q "&amp;tbl_Kalender[[#This Row],[Quartal]]</f>
        <v>Q 2</v>
      </c>
      <c r="J94" t="str">
        <f>tbl_Kalender[[#This Row],[Quartal]]&amp;". Quartal"</f>
        <v>2. Quartal</v>
      </c>
      <c r="K94">
        <f>_xlfn.ISOWEEKNUM(tbl_Kalender[[#This Row],[Datum]])</f>
        <v>14</v>
      </c>
    </row>
    <row r="95" spans="1:11" x14ac:dyDescent="0.25">
      <c r="A95" s="1">
        <v>45385</v>
      </c>
      <c r="B95">
        <f>YEAR(tbl_Kalender[[#This Row],[Datum]])</f>
        <v>2024</v>
      </c>
      <c r="C95">
        <f>DAY(tbl_Kalender[[#This Row],[Datum]])</f>
        <v>3</v>
      </c>
      <c r="D95" t="str">
        <f>TEXT(tbl_Kalender[[#This Row],[Datum]],"TTTT")</f>
        <v>Mittwoch</v>
      </c>
      <c r="E95">
        <f>WEEKDAY(tbl_Kalender[[#This Row],[Datum]],2)</f>
        <v>3</v>
      </c>
      <c r="F95">
        <f>MONTH(tbl_Kalender[[#This Row],[Datum]])</f>
        <v>4</v>
      </c>
      <c r="G95" t="str">
        <f>TEXT(tbl_Kalender[[#This Row],[Datum]],"MMMM")</f>
        <v>April</v>
      </c>
      <c r="H95">
        <f>ROUNDUP(tbl_Kalender[[#This Row],[Monat]]/3,0)</f>
        <v>2</v>
      </c>
      <c r="I95" t="str">
        <f>"Q "&amp;tbl_Kalender[[#This Row],[Quartal]]</f>
        <v>Q 2</v>
      </c>
      <c r="J95" t="str">
        <f>tbl_Kalender[[#This Row],[Quartal]]&amp;". Quartal"</f>
        <v>2. Quartal</v>
      </c>
      <c r="K95">
        <f>_xlfn.ISOWEEKNUM(tbl_Kalender[[#This Row],[Datum]])</f>
        <v>14</v>
      </c>
    </row>
    <row r="96" spans="1:11" x14ac:dyDescent="0.25">
      <c r="A96" s="1">
        <v>45386</v>
      </c>
      <c r="B96">
        <f>YEAR(tbl_Kalender[[#This Row],[Datum]])</f>
        <v>2024</v>
      </c>
      <c r="C96">
        <f>DAY(tbl_Kalender[[#This Row],[Datum]])</f>
        <v>4</v>
      </c>
      <c r="D96" t="str">
        <f>TEXT(tbl_Kalender[[#This Row],[Datum]],"TTTT")</f>
        <v>Donnerstag</v>
      </c>
      <c r="E96">
        <f>WEEKDAY(tbl_Kalender[[#This Row],[Datum]],2)</f>
        <v>4</v>
      </c>
      <c r="F96">
        <f>MONTH(tbl_Kalender[[#This Row],[Datum]])</f>
        <v>4</v>
      </c>
      <c r="G96" t="str">
        <f>TEXT(tbl_Kalender[[#This Row],[Datum]],"MMMM")</f>
        <v>April</v>
      </c>
      <c r="H96">
        <f>ROUNDUP(tbl_Kalender[[#This Row],[Monat]]/3,0)</f>
        <v>2</v>
      </c>
      <c r="I96" t="str">
        <f>"Q "&amp;tbl_Kalender[[#This Row],[Quartal]]</f>
        <v>Q 2</v>
      </c>
      <c r="J96" t="str">
        <f>tbl_Kalender[[#This Row],[Quartal]]&amp;". Quartal"</f>
        <v>2. Quartal</v>
      </c>
      <c r="K96">
        <f>_xlfn.ISOWEEKNUM(tbl_Kalender[[#This Row],[Datum]])</f>
        <v>14</v>
      </c>
    </row>
    <row r="97" spans="1:11" x14ac:dyDescent="0.25">
      <c r="A97" s="1">
        <v>45387</v>
      </c>
      <c r="B97">
        <f>YEAR(tbl_Kalender[[#This Row],[Datum]])</f>
        <v>2024</v>
      </c>
      <c r="C97">
        <f>DAY(tbl_Kalender[[#This Row],[Datum]])</f>
        <v>5</v>
      </c>
      <c r="D97" t="str">
        <f>TEXT(tbl_Kalender[[#This Row],[Datum]],"TTTT")</f>
        <v>Freitag</v>
      </c>
      <c r="E97">
        <f>WEEKDAY(tbl_Kalender[[#This Row],[Datum]],2)</f>
        <v>5</v>
      </c>
      <c r="F97">
        <f>MONTH(tbl_Kalender[[#This Row],[Datum]])</f>
        <v>4</v>
      </c>
      <c r="G97" t="str">
        <f>TEXT(tbl_Kalender[[#This Row],[Datum]],"MMMM")</f>
        <v>April</v>
      </c>
      <c r="H97">
        <f>ROUNDUP(tbl_Kalender[[#This Row],[Monat]]/3,0)</f>
        <v>2</v>
      </c>
      <c r="I97" t="str">
        <f>"Q "&amp;tbl_Kalender[[#This Row],[Quartal]]</f>
        <v>Q 2</v>
      </c>
      <c r="J97" t="str">
        <f>tbl_Kalender[[#This Row],[Quartal]]&amp;". Quartal"</f>
        <v>2. Quartal</v>
      </c>
      <c r="K97">
        <f>_xlfn.ISOWEEKNUM(tbl_Kalender[[#This Row],[Datum]])</f>
        <v>14</v>
      </c>
    </row>
    <row r="98" spans="1:11" x14ac:dyDescent="0.25">
      <c r="A98" s="1">
        <v>45388</v>
      </c>
      <c r="B98">
        <f>YEAR(tbl_Kalender[[#This Row],[Datum]])</f>
        <v>2024</v>
      </c>
      <c r="C98">
        <f>DAY(tbl_Kalender[[#This Row],[Datum]])</f>
        <v>6</v>
      </c>
      <c r="D98" t="str">
        <f>TEXT(tbl_Kalender[[#This Row],[Datum]],"TTTT")</f>
        <v>Samstag</v>
      </c>
      <c r="E98">
        <f>WEEKDAY(tbl_Kalender[[#This Row],[Datum]],2)</f>
        <v>6</v>
      </c>
      <c r="F98">
        <f>MONTH(tbl_Kalender[[#This Row],[Datum]])</f>
        <v>4</v>
      </c>
      <c r="G98" t="str">
        <f>TEXT(tbl_Kalender[[#This Row],[Datum]],"MMMM")</f>
        <v>April</v>
      </c>
      <c r="H98">
        <f>ROUNDUP(tbl_Kalender[[#This Row],[Monat]]/3,0)</f>
        <v>2</v>
      </c>
      <c r="I98" t="str">
        <f>"Q "&amp;tbl_Kalender[[#This Row],[Quartal]]</f>
        <v>Q 2</v>
      </c>
      <c r="J98" t="str">
        <f>tbl_Kalender[[#This Row],[Quartal]]&amp;". Quartal"</f>
        <v>2. Quartal</v>
      </c>
      <c r="K98">
        <f>_xlfn.ISOWEEKNUM(tbl_Kalender[[#This Row],[Datum]])</f>
        <v>14</v>
      </c>
    </row>
    <row r="99" spans="1:11" x14ac:dyDescent="0.25">
      <c r="A99" s="1">
        <v>45389</v>
      </c>
      <c r="B99">
        <f>YEAR(tbl_Kalender[[#This Row],[Datum]])</f>
        <v>2024</v>
      </c>
      <c r="C99">
        <f>DAY(tbl_Kalender[[#This Row],[Datum]])</f>
        <v>7</v>
      </c>
      <c r="D99" t="str">
        <f>TEXT(tbl_Kalender[[#This Row],[Datum]],"TTTT")</f>
        <v>Sonntag</v>
      </c>
      <c r="E99">
        <f>WEEKDAY(tbl_Kalender[[#This Row],[Datum]],2)</f>
        <v>7</v>
      </c>
      <c r="F99">
        <f>MONTH(tbl_Kalender[[#This Row],[Datum]])</f>
        <v>4</v>
      </c>
      <c r="G99" t="str">
        <f>TEXT(tbl_Kalender[[#This Row],[Datum]],"MMMM")</f>
        <v>April</v>
      </c>
      <c r="H99">
        <f>ROUNDUP(tbl_Kalender[[#This Row],[Monat]]/3,0)</f>
        <v>2</v>
      </c>
      <c r="I99" t="str">
        <f>"Q "&amp;tbl_Kalender[[#This Row],[Quartal]]</f>
        <v>Q 2</v>
      </c>
      <c r="J99" t="str">
        <f>tbl_Kalender[[#This Row],[Quartal]]&amp;". Quartal"</f>
        <v>2. Quartal</v>
      </c>
      <c r="K99">
        <f>_xlfn.ISOWEEKNUM(tbl_Kalender[[#This Row],[Datum]])</f>
        <v>14</v>
      </c>
    </row>
    <row r="100" spans="1:11" x14ac:dyDescent="0.25">
      <c r="A100" s="1">
        <v>45390</v>
      </c>
      <c r="B100">
        <f>YEAR(tbl_Kalender[[#This Row],[Datum]])</f>
        <v>2024</v>
      </c>
      <c r="C100">
        <f>DAY(tbl_Kalender[[#This Row],[Datum]])</f>
        <v>8</v>
      </c>
      <c r="D100" t="str">
        <f>TEXT(tbl_Kalender[[#This Row],[Datum]],"TTTT")</f>
        <v>Montag</v>
      </c>
      <c r="E100">
        <f>WEEKDAY(tbl_Kalender[[#This Row],[Datum]],2)</f>
        <v>1</v>
      </c>
      <c r="F100">
        <f>MONTH(tbl_Kalender[[#This Row],[Datum]])</f>
        <v>4</v>
      </c>
      <c r="G100" t="str">
        <f>TEXT(tbl_Kalender[[#This Row],[Datum]],"MMMM")</f>
        <v>April</v>
      </c>
      <c r="H100">
        <f>ROUNDUP(tbl_Kalender[[#This Row],[Monat]]/3,0)</f>
        <v>2</v>
      </c>
      <c r="I100" t="str">
        <f>"Q "&amp;tbl_Kalender[[#This Row],[Quartal]]</f>
        <v>Q 2</v>
      </c>
      <c r="J100" t="str">
        <f>tbl_Kalender[[#This Row],[Quartal]]&amp;". Quartal"</f>
        <v>2. Quartal</v>
      </c>
      <c r="K100">
        <f>_xlfn.ISOWEEKNUM(tbl_Kalender[[#This Row],[Datum]])</f>
        <v>15</v>
      </c>
    </row>
    <row r="101" spans="1:11" x14ac:dyDescent="0.25">
      <c r="A101" s="1">
        <v>45391</v>
      </c>
      <c r="B101">
        <f>YEAR(tbl_Kalender[[#This Row],[Datum]])</f>
        <v>2024</v>
      </c>
      <c r="C101">
        <f>DAY(tbl_Kalender[[#This Row],[Datum]])</f>
        <v>9</v>
      </c>
      <c r="D101" t="str">
        <f>TEXT(tbl_Kalender[[#This Row],[Datum]],"TTTT")</f>
        <v>Dienstag</v>
      </c>
      <c r="E101">
        <f>WEEKDAY(tbl_Kalender[[#This Row],[Datum]],2)</f>
        <v>2</v>
      </c>
      <c r="F101">
        <f>MONTH(tbl_Kalender[[#This Row],[Datum]])</f>
        <v>4</v>
      </c>
      <c r="G101" t="str">
        <f>TEXT(tbl_Kalender[[#This Row],[Datum]],"MMMM")</f>
        <v>April</v>
      </c>
      <c r="H101">
        <f>ROUNDUP(tbl_Kalender[[#This Row],[Monat]]/3,0)</f>
        <v>2</v>
      </c>
      <c r="I101" t="str">
        <f>"Q "&amp;tbl_Kalender[[#This Row],[Quartal]]</f>
        <v>Q 2</v>
      </c>
      <c r="J101" t="str">
        <f>tbl_Kalender[[#This Row],[Quartal]]&amp;". Quartal"</f>
        <v>2. Quartal</v>
      </c>
      <c r="K101">
        <f>_xlfn.ISOWEEKNUM(tbl_Kalender[[#This Row],[Datum]])</f>
        <v>15</v>
      </c>
    </row>
    <row r="102" spans="1:11" x14ac:dyDescent="0.25">
      <c r="A102" s="1">
        <v>45392</v>
      </c>
      <c r="B102">
        <f>YEAR(tbl_Kalender[[#This Row],[Datum]])</f>
        <v>2024</v>
      </c>
      <c r="C102">
        <f>DAY(tbl_Kalender[[#This Row],[Datum]])</f>
        <v>10</v>
      </c>
      <c r="D102" t="str">
        <f>TEXT(tbl_Kalender[[#This Row],[Datum]],"TTTT")</f>
        <v>Mittwoch</v>
      </c>
      <c r="E102">
        <f>WEEKDAY(tbl_Kalender[[#This Row],[Datum]],2)</f>
        <v>3</v>
      </c>
      <c r="F102">
        <f>MONTH(tbl_Kalender[[#This Row],[Datum]])</f>
        <v>4</v>
      </c>
      <c r="G102" t="str">
        <f>TEXT(tbl_Kalender[[#This Row],[Datum]],"MMMM")</f>
        <v>April</v>
      </c>
      <c r="H102">
        <f>ROUNDUP(tbl_Kalender[[#This Row],[Monat]]/3,0)</f>
        <v>2</v>
      </c>
      <c r="I102" t="str">
        <f>"Q "&amp;tbl_Kalender[[#This Row],[Quartal]]</f>
        <v>Q 2</v>
      </c>
      <c r="J102" t="str">
        <f>tbl_Kalender[[#This Row],[Quartal]]&amp;". Quartal"</f>
        <v>2. Quartal</v>
      </c>
      <c r="K102">
        <f>_xlfn.ISOWEEKNUM(tbl_Kalender[[#This Row],[Datum]])</f>
        <v>15</v>
      </c>
    </row>
    <row r="103" spans="1:11" x14ac:dyDescent="0.25">
      <c r="A103" s="1">
        <v>45393</v>
      </c>
      <c r="B103">
        <f>YEAR(tbl_Kalender[[#This Row],[Datum]])</f>
        <v>2024</v>
      </c>
      <c r="C103">
        <f>DAY(tbl_Kalender[[#This Row],[Datum]])</f>
        <v>11</v>
      </c>
      <c r="D103" t="str">
        <f>TEXT(tbl_Kalender[[#This Row],[Datum]],"TTTT")</f>
        <v>Donnerstag</v>
      </c>
      <c r="E103">
        <f>WEEKDAY(tbl_Kalender[[#This Row],[Datum]],2)</f>
        <v>4</v>
      </c>
      <c r="F103">
        <f>MONTH(tbl_Kalender[[#This Row],[Datum]])</f>
        <v>4</v>
      </c>
      <c r="G103" t="str">
        <f>TEXT(tbl_Kalender[[#This Row],[Datum]],"MMMM")</f>
        <v>April</v>
      </c>
      <c r="H103">
        <f>ROUNDUP(tbl_Kalender[[#This Row],[Monat]]/3,0)</f>
        <v>2</v>
      </c>
      <c r="I103" t="str">
        <f>"Q "&amp;tbl_Kalender[[#This Row],[Quartal]]</f>
        <v>Q 2</v>
      </c>
      <c r="J103" t="str">
        <f>tbl_Kalender[[#This Row],[Quartal]]&amp;". Quartal"</f>
        <v>2. Quartal</v>
      </c>
      <c r="K103">
        <f>_xlfn.ISOWEEKNUM(tbl_Kalender[[#This Row],[Datum]])</f>
        <v>15</v>
      </c>
    </row>
    <row r="104" spans="1:11" x14ac:dyDescent="0.25">
      <c r="A104" s="1">
        <v>45394</v>
      </c>
      <c r="B104">
        <f>YEAR(tbl_Kalender[[#This Row],[Datum]])</f>
        <v>2024</v>
      </c>
      <c r="C104">
        <f>DAY(tbl_Kalender[[#This Row],[Datum]])</f>
        <v>12</v>
      </c>
      <c r="D104" t="str">
        <f>TEXT(tbl_Kalender[[#This Row],[Datum]],"TTTT")</f>
        <v>Freitag</v>
      </c>
      <c r="E104">
        <f>WEEKDAY(tbl_Kalender[[#This Row],[Datum]],2)</f>
        <v>5</v>
      </c>
      <c r="F104">
        <f>MONTH(tbl_Kalender[[#This Row],[Datum]])</f>
        <v>4</v>
      </c>
      <c r="G104" t="str">
        <f>TEXT(tbl_Kalender[[#This Row],[Datum]],"MMMM")</f>
        <v>April</v>
      </c>
      <c r="H104">
        <f>ROUNDUP(tbl_Kalender[[#This Row],[Monat]]/3,0)</f>
        <v>2</v>
      </c>
      <c r="I104" t="str">
        <f>"Q "&amp;tbl_Kalender[[#This Row],[Quartal]]</f>
        <v>Q 2</v>
      </c>
      <c r="J104" t="str">
        <f>tbl_Kalender[[#This Row],[Quartal]]&amp;". Quartal"</f>
        <v>2. Quartal</v>
      </c>
      <c r="K104">
        <f>_xlfn.ISOWEEKNUM(tbl_Kalender[[#This Row],[Datum]])</f>
        <v>15</v>
      </c>
    </row>
    <row r="105" spans="1:11" x14ac:dyDescent="0.25">
      <c r="A105" s="1">
        <v>45395</v>
      </c>
      <c r="B105">
        <f>YEAR(tbl_Kalender[[#This Row],[Datum]])</f>
        <v>2024</v>
      </c>
      <c r="C105">
        <f>DAY(tbl_Kalender[[#This Row],[Datum]])</f>
        <v>13</v>
      </c>
      <c r="D105" t="str">
        <f>TEXT(tbl_Kalender[[#This Row],[Datum]],"TTTT")</f>
        <v>Samstag</v>
      </c>
      <c r="E105">
        <f>WEEKDAY(tbl_Kalender[[#This Row],[Datum]],2)</f>
        <v>6</v>
      </c>
      <c r="F105">
        <f>MONTH(tbl_Kalender[[#This Row],[Datum]])</f>
        <v>4</v>
      </c>
      <c r="G105" t="str">
        <f>TEXT(tbl_Kalender[[#This Row],[Datum]],"MMMM")</f>
        <v>April</v>
      </c>
      <c r="H105">
        <f>ROUNDUP(tbl_Kalender[[#This Row],[Monat]]/3,0)</f>
        <v>2</v>
      </c>
      <c r="I105" t="str">
        <f>"Q "&amp;tbl_Kalender[[#This Row],[Quartal]]</f>
        <v>Q 2</v>
      </c>
      <c r="J105" t="str">
        <f>tbl_Kalender[[#This Row],[Quartal]]&amp;". Quartal"</f>
        <v>2. Quartal</v>
      </c>
      <c r="K105">
        <f>_xlfn.ISOWEEKNUM(tbl_Kalender[[#This Row],[Datum]])</f>
        <v>15</v>
      </c>
    </row>
    <row r="106" spans="1:11" x14ac:dyDescent="0.25">
      <c r="A106" s="1">
        <v>45396</v>
      </c>
      <c r="B106">
        <f>YEAR(tbl_Kalender[[#This Row],[Datum]])</f>
        <v>2024</v>
      </c>
      <c r="C106">
        <f>DAY(tbl_Kalender[[#This Row],[Datum]])</f>
        <v>14</v>
      </c>
      <c r="D106" t="str">
        <f>TEXT(tbl_Kalender[[#This Row],[Datum]],"TTTT")</f>
        <v>Sonntag</v>
      </c>
      <c r="E106">
        <f>WEEKDAY(tbl_Kalender[[#This Row],[Datum]],2)</f>
        <v>7</v>
      </c>
      <c r="F106">
        <f>MONTH(tbl_Kalender[[#This Row],[Datum]])</f>
        <v>4</v>
      </c>
      <c r="G106" t="str">
        <f>TEXT(tbl_Kalender[[#This Row],[Datum]],"MMMM")</f>
        <v>April</v>
      </c>
      <c r="H106">
        <f>ROUNDUP(tbl_Kalender[[#This Row],[Monat]]/3,0)</f>
        <v>2</v>
      </c>
      <c r="I106" t="str">
        <f>"Q "&amp;tbl_Kalender[[#This Row],[Quartal]]</f>
        <v>Q 2</v>
      </c>
      <c r="J106" t="str">
        <f>tbl_Kalender[[#This Row],[Quartal]]&amp;". Quartal"</f>
        <v>2. Quartal</v>
      </c>
      <c r="K106">
        <f>_xlfn.ISOWEEKNUM(tbl_Kalender[[#This Row],[Datum]])</f>
        <v>15</v>
      </c>
    </row>
    <row r="107" spans="1:11" x14ac:dyDescent="0.25">
      <c r="A107" s="1">
        <v>45397</v>
      </c>
      <c r="B107">
        <f>YEAR(tbl_Kalender[[#This Row],[Datum]])</f>
        <v>2024</v>
      </c>
      <c r="C107">
        <f>DAY(tbl_Kalender[[#This Row],[Datum]])</f>
        <v>15</v>
      </c>
      <c r="D107" t="str">
        <f>TEXT(tbl_Kalender[[#This Row],[Datum]],"TTTT")</f>
        <v>Montag</v>
      </c>
      <c r="E107">
        <f>WEEKDAY(tbl_Kalender[[#This Row],[Datum]],2)</f>
        <v>1</v>
      </c>
      <c r="F107">
        <f>MONTH(tbl_Kalender[[#This Row],[Datum]])</f>
        <v>4</v>
      </c>
      <c r="G107" t="str">
        <f>TEXT(tbl_Kalender[[#This Row],[Datum]],"MMMM")</f>
        <v>April</v>
      </c>
      <c r="H107">
        <f>ROUNDUP(tbl_Kalender[[#This Row],[Monat]]/3,0)</f>
        <v>2</v>
      </c>
      <c r="I107" t="str">
        <f>"Q "&amp;tbl_Kalender[[#This Row],[Quartal]]</f>
        <v>Q 2</v>
      </c>
      <c r="J107" t="str">
        <f>tbl_Kalender[[#This Row],[Quartal]]&amp;". Quartal"</f>
        <v>2. Quartal</v>
      </c>
      <c r="K107">
        <f>_xlfn.ISOWEEKNUM(tbl_Kalender[[#This Row],[Datum]])</f>
        <v>16</v>
      </c>
    </row>
    <row r="108" spans="1:11" x14ac:dyDescent="0.25">
      <c r="A108" s="1">
        <v>45398</v>
      </c>
      <c r="B108">
        <f>YEAR(tbl_Kalender[[#This Row],[Datum]])</f>
        <v>2024</v>
      </c>
      <c r="C108">
        <f>DAY(tbl_Kalender[[#This Row],[Datum]])</f>
        <v>16</v>
      </c>
      <c r="D108" t="str">
        <f>TEXT(tbl_Kalender[[#This Row],[Datum]],"TTTT")</f>
        <v>Dienstag</v>
      </c>
      <c r="E108">
        <f>WEEKDAY(tbl_Kalender[[#This Row],[Datum]],2)</f>
        <v>2</v>
      </c>
      <c r="F108">
        <f>MONTH(tbl_Kalender[[#This Row],[Datum]])</f>
        <v>4</v>
      </c>
      <c r="G108" t="str">
        <f>TEXT(tbl_Kalender[[#This Row],[Datum]],"MMMM")</f>
        <v>April</v>
      </c>
      <c r="H108">
        <f>ROUNDUP(tbl_Kalender[[#This Row],[Monat]]/3,0)</f>
        <v>2</v>
      </c>
      <c r="I108" t="str">
        <f>"Q "&amp;tbl_Kalender[[#This Row],[Quartal]]</f>
        <v>Q 2</v>
      </c>
      <c r="J108" t="str">
        <f>tbl_Kalender[[#This Row],[Quartal]]&amp;". Quartal"</f>
        <v>2. Quartal</v>
      </c>
      <c r="K108">
        <f>_xlfn.ISOWEEKNUM(tbl_Kalender[[#This Row],[Datum]])</f>
        <v>16</v>
      </c>
    </row>
    <row r="109" spans="1:11" x14ac:dyDescent="0.25">
      <c r="A109" s="1">
        <v>45399</v>
      </c>
      <c r="B109">
        <f>YEAR(tbl_Kalender[[#This Row],[Datum]])</f>
        <v>2024</v>
      </c>
      <c r="C109">
        <f>DAY(tbl_Kalender[[#This Row],[Datum]])</f>
        <v>17</v>
      </c>
      <c r="D109" t="str">
        <f>TEXT(tbl_Kalender[[#This Row],[Datum]],"TTTT")</f>
        <v>Mittwoch</v>
      </c>
      <c r="E109">
        <f>WEEKDAY(tbl_Kalender[[#This Row],[Datum]],2)</f>
        <v>3</v>
      </c>
      <c r="F109">
        <f>MONTH(tbl_Kalender[[#This Row],[Datum]])</f>
        <v>4</v>
      </c>
      <c r="G109" t="str">
        <f>TEXT(tbl_Kalender[[#This Row],[Datum]],"MMMM")</f>
        <v>April</v>
      </c>
      <c r="H109">
        <f>ROUNDUP(tbl_Kalender[[#This Row],[Monat]]/3,0)</f>
        <v>2</v>
      </c>
      <c r="I109" t="str">
        <f>"Q "&amp;tbl_Kalender[[#This Row],[Quartal]]</f>
        <v>Q 2</v>
      </c>
      <c r="J109" t="str">
        <f>tbl_Kalender[[#This Row],[Quartal]]&amp;". Quartal"</f>
        <v>2. Quartal</v>
      </c>
      <c r="K109">
        <f>_xlfn.ISOWEEKNUM(tbl_Kalender[[#This Row],[Datum]])</f>
        <v>16</v>
      </c>
    </row>
    <row r="110" spans="1:11" x14ac:dyDescent="0.25">
      <c r="A110" s="1">
        <v>45400</v>
      </c>
      <c r="B110">
        <f>YEAR(tbl_Kalender[[#This Row],[Datum]])</f>
        <v>2024</v>
      </c>
      <c r="C110">
        <f>DAY(tbl_Kalender[[#This Row],[Datum]])</f>
        <v>18</v>
      </c>
      <c r="D110" t="str">
        <f>TEXT(tbl_Kalender[[#This Row],[Datum]],"TTTT")</f>
        <v>Donnerstag</v>
      </c>
      <c r="E110">
        <f>WEEKDAY(tbl_Kalender[[#This Row],[Datum]],2)</f>
        <v>4</v>
      </c>
      <c r="F110">
        <f>MONTH(tbl_Kalender[[#This Row],[Datum]])</f>
        <v>4</v>
      </c>
      <c r="G110" t="str">
        <f>TEXT(tbl_Kalender[[#This Row],[Datum]],"MMMM")</f>
        <v>April</v>
      </c>
      <c r="H110">
        <f>ROUNDUP(tbl_Kalender[[#This Row],[Monat]]/3,0)</f>
        <v>2</v>
      </c>
      <c r="I110" t="str">
        <f>"Q "&amp;tbl_Kalender[[#This Row],[Quartal]]</f>
        <v>Q 2</v>
      </c>
      <c r="J110" t="str">
        <f>tbl_Kalender[[#This Row],[Quartal]]&amp;". Quartal"</f>
        <v>2. Quartal</v>
      </c>
      <c r="K110">
        <f>_xlfn.ISOWEEKNUM(tbl_Kalender[[#This Row],[Datum]])</f>
        <v>16</v>
      </c>
    </row>
    <row r="111" spans="1:11" x14ac:dyDescent="0.25">
      <c r="A111" s="1">
        <v>45401</v>
      </c>
      <c r="B111">
        <f>YEAR(tbl_Kalender[[#This Row],[Datum]])</f>
        <v>2024</v>
      </c>
      <c r="C111">
        <f>DAY(tbl_Kalender[[#This Row],[Datum]])</f>
        <v>19</v>
      </c>
      <c r="D111" t="str">
        <f>TEXT(tbl_Kalender[[#This Row],[Datum]],"TTTT")</f>
        <v>Freitag</v>
      </c>
      <c r="E111">
        <f>WEEKDAY(tbl_Kalender[[#This Row],[Datum]],2)</f>
        <v>5</v>
      </c>
      <c r="F111">
        <f>MONTH(tbl_Kalender[[#This Row],[Datum]])</f>
        <v>4</v>
      </c>
      <c r="G111" t="str">
        <f>TEXT(tbl_Kalender[[#This Row],[Datum]],"MMMM")</f>
        <v>April</v>
      </c>
      <c r="H111">
        <f>ROUNDUP(tbl_Kalender[[#This Row],[Monat]]/3,0)</f>
        <v>2</v>
      </c>
      <c r="I111" t="str">
        <f>"Q "&amp;tbl_Kalender[[#This Row],[Quartal]]</f>
        <v>Q 2</v>
      </c>
      <c r="J111" t="str">
        <f>tbl_Kalender[[#This Row],[Quartal]]&amp;". Quartal"</f>
        <v>2. Quartal</v>
      </c>
      <c r="K111">
        <f>_xlfn.ISOWEEKNUM(tbl_Kalender[[#This Row],[Datum]])</f>
        <v>16</v>
      </c>
    </row>
    <row r="112" spans="1:11" x14ac:dyDescent="0.25">
      <c r="A112" s="1">
        <v>45402</v>
      </c>
      <c r="B112">
        <f>YEAR(tbl_Kalender[[#This Row],[Datum]])</f>
        <v>2024</v>
      </c>
      <c r="C112">
        <f>DAY(tbl_Kalender[[#This Row],[Datum]])</f>
        <v>20</v>
      </c>
      <c r="D112" t="str">
        <f>TEXT(tbl_Kalender[[#This Row],[Datum]],"TTTT")</f>
        <v>Samstag</v>
      </c>
      <c r="E112">
        <f>WEEKDAY(tbl_Kalender[[#This Row],[Datum]],2)</f>
        <v>6</v>
      </c>
      <c r="F112">
        <f>MONTH(tbl_Kalender[[#This Row],[Datum]])</f>
        <v>4</v>
      </c>
      <c r="G112" t="str">
        <f>TEXT(tbl_Kalender[[#This Row],[Datum]],"MMMM")</f>
        <v>April</v>
      </c>
      <c r="H112">
        <f>ROUNDUP(tbl_Kalender[[#This Row],[Monat]]/3,0)</f>
        <v>2</v>
      </c>
      <c r="I112" t="str">
        <f>"Q "&amp;tbl_Kalender[[#This Row],[Quartal]]</f>
        <v>Q 2</v>
      </c>
      <c r="J112" t="str">
        <f>tbl_Kalender[[#This Row],[Quartal]]&amp;". Quartal"</f>
        <v>2. Quartal</v>
      </c>
      <c r="K112">
        <f>_xlfn.ISOWEEKNUM(tbl_Kalender[[#This Row],[Datum]])</f>
        <v>16</v>
      </c>
    </row>
    <row r="113" spans="1:11" x14ac:dyDescent="0.25">
      <c r="A113" s="1">
        <v>45403</v>
      </c>
      <c r="B113">
        <f>YEAR(tbl_Kalender[[#This Row],[Datum]])</f>
        <v>2024</v>
      </c>
      <c r="C113">
        <f>DAY(tbl_Kalender[[#This Row],[Datum]])</f>
        <v>21</v>
      </c>
      <c r="D113" t="str">
        <f>TEXT(tbl_Kalender[[#This Row],[Datum]],"TTTT")</f>
        <v>Sonntag</v>
      </c>
      <c r="E113">
        <f>WEEKDAY(tbl_Kalender[[#This Row],[Datum]],2)</f>
        <v>7</v>
      </c>
      <c r="F113">
        <f>MONTH(tbl_Kalender[[#This Row],[Datum]])</f>
        <v>4</v>
      </c>
      <c r="G113" t="str">
        <f>TEXT(tbl_Kalender[[#This Row],[Datum]],"MMMM")</f>
        <v>April</v>
      </c>
      <c r="H113">
        <f>ROUNDUP(tbl_Kalender[[#This Row],[Monat]]/3,0)</f>
        <v>2</v>
      </c>
      <c r="I113" t="str">
        <f>"Q "&amp;tbl_Kalender[[#This Row],[Quartal]]</f>
        <v>Q 2</v>
      </c>
      <c r="J113" t="str">
        <f>tbl_Kalender[[#This Row],[Quartal]]&amp;". Quartal"</f>
        <v>2. Quartal</v>
      </c>
      <c r="K113">
        <f>_xlfn.ISOWEEKNUM(tbl_Kalender[[#This Row],[Datum]])</f>
        <v>16</v>
      </c>
    </row>
    <row r="114" spans="1:11" x14ac:dyDescent="0.25">
      <c r="A114" s="1">
        <v>45404</v>
      </c>
      <c r="B114">
        <f>YEAR(tbl_Kalender[[#This Row],[Datum]])</f>
        <v>2024</v>
      </c>
      <c r="C114">
        <f>DAY(tbl_Kalender[[#This Row],[Datum]])</f>
        <v>22</v>
      </c>
      <c r="D114" t="str">
        <f>TEXT(tbl_Kalender[[#This Row],[Datum]],"TTTT")</f>
        <v>Montag</v>
      </c>
      <c r="E114">
        <f>WEEKDAY(tbl_Kalender[[#This Row],[Datum]],2)</f>
        <v>1</v>
      </c>
      <c r="F114">
        <f>MONTH(tbl_Kalender[[#This Row],[Datum]])</f>
        <v>4</v>
      </c>
      <c r="G114" t="str">
        <f>TEXT(tbl_Kalender[[#This Row],[Datum]],"MMMM")</f>
        <v>April</v>
      </c>
      <c r="H114">
        <f>ROUNDUP(tbl_Kalender[[#This Row],[Monat]]/3,0)</f>
        <v>2</v>
      </c>
      <c r="I114" t="str">
        <f>"Q "&amp;tbl_Kalender[[#This Row],[Quartal]]</f>
        <v>Q 2</v>
      </c>
      <c r="J114" t="str">
        <f>tbl_Kalender[[#This Row],[Quartal]]&amp;". Quartal"</f>
        <v>2. Quartal</v>
      </c>
      <c r="K114">
        <f>_xlfn.ISOWEEKNUM(tbl_Kalender[[#This Row],[Datum]])</f>
        <v>17</v>
      </c>
    </row>
    <row r="115" spans="1:11" x14ac:dyDescent="0.25">
      <c r="A115" s="1">
        <v>45405</v>
      </c>
      <c r="B115">
        <f>YEAR(tbl_Kalender[[#This Row],[Datum]])</f>
        <v>2024</v>
      </c>
      <c r="C115">
        <f>DAY(tbl_Kalender[[#This Row],[Datum]])</f>
        <v>23</v>
      </c>
      <c r="D115" t="str">
        <f>TEXT(tbl_Kalender[[#This Row],[Datum]],"TTTT")</f>
        <v>Dienstag</v>
      </c>
      <c r="E115">
        <f>WEEKDAY(tbl_Kalender[[#This Row],[Datum]],2)</f>
        <v>2</v>
      </c>
      <c r="F115">
        <f>MONTH(tbl_Kalender[[#This Row],[Datum]])</f>
        <v>4</v>
      </c>
      <c r="G115" t="str">
        <f>TEXT(tbl_Kalender[[#This Row],[Datum]],"MMMM")</f>
        <v>April</v>
      </c>
      <c r="H115">
        <f>ROUNDUP(tbl_Kalender[[#This Row],[Monat]]/3,0)</f>
        <v>2</v>
      </c>
      <c r="I115" t="str">
        <f>"Q "&amp;tbl_Kalender[[#This Row],[Quartal]]</f>
        <v>Q 2</v>
      </c>
      <c r="J115" t="str">
        <f>tbl_Kalender[[#This Row],[Quartal]]&amp;". Quartal"</f>
        <v>2. Quartal</v>
      </c>
      <c r="K115">
        <f>_xlfn.ISOWEEKNUM(tbl_Kalender[[#This Row],[Datum]])</f>
        <v>17</v>
      </c>
    </row>
    <row r="116" spans="1:11" x14ac:dyDescent="0.25">
      <c r="A116" s="1">
        <v>45406</v>
      </c>
      <c r="B116">
        <f>YEAR(tbl_Kalender[[#This Row],[Datum]])</f>
        <v>2024</v>
      </c>
      <c r="C116">
        <f>DAY(tbl_Kalender[[#This Row],[Datum]])</f>
        <v>24</v>
      </c>
      <c r="D116" t="str">
        <f>TEXT(tbl_Kalender[[#This Row],[Datum]],"TTTT")</f>
        <v>Mittwoch</v>
      </c>
      <c r="E116">
        <f>WEEKDAY(tbl_Kalender[[#This Row],[Datum]],2)</f>
        <v>3</v>
      </c>
      <c r="F116">
        <f>MONTH(tbl_Kalender[[#This Row],[Datum]])</f>
        <v>4</v>
      </c>
      <c r="G116" t="str">
        <f>TEXT(tbl_Kalender[[#This Row],[Datum]],"MMMM")</f>
        <v>April</v>
      </c>
      <c r="H116">
        <f>ROUNDUP(tbl_Kalender[[#This Row],[Monat]]/3,0)</f>
        <v>2</v>
      </c>
      <c r="I116" t="str">
        <f>"Q "&amp;tbl_Kalender[[#This Row],[Quartal]]</f>
        <v>Q 2</v>
      </c>
      <c r="J116" t="str">
        <f>tbl_Kalender[[#This Row],[Quartal]]&amp;". Quartal"</f>
        <v>2. Quartal</v>
      </c>
      <c r="K116">
        <f>_xlfn.ISOWEEKNUM(tbl_Kalender[[#This Row],[Datum]])</f>
        <v>17</v>
      </c>
    </row>
    <row r="117" spans="1:11" x14ac:dyDescent="0.25">
      <c r="A117" s="1">
        <v>45407</v>
      </c>
      <c r="B117">
        <f>YEAR(tbl_Kalender[[#This Row],[Datum]])</f>
        <v>2024</v>
      </c>
      <c r="C117">
        <f>DAY(tbl_Kalender[[#This Row],[Datum]])</f>
        <v>25</v>
      </c>
      <c r="D117" t="str">
        <f>TEXT(tbl_Kalender[[#This Row],[Datum]],"TTTT")</f>
        <v>Donnerstag</v>
      </c>
      <c r="E117">
        <f>WEEKDAY(tbl_Kalender[[#This Row],[Datum]],2)</f>
        <v>4</v>
      </c>
      <c r="F117">
        <f>MONTH(tbl_Kalender[[#This Row],[Datum]])</f>
        <v>4</v>
      </c>
      <c r="G117" t="str">
        <f>TEXT(tbl_Kalender[[#This Row],[Datum]],"MMMM")</f>
        <v>April</v>
      </c>
      <c r="H117">
        <f>ROUNDUP(tbl_Kalender[[#This Row],[Monat]]/3,0)</f>
        <v>2</v>
      </c>
      <c r="I117" t="str">
        <f>"Q "&amp;tbl_Kalender[[#This Row],[Quartal]]</f>
        <v>Q 2</v>
      </c>
      <c r="J117" t="str">
        <f>tbl_Kalender[[#This Row],[Quartal]]&amp;". Quartal"</f>
        <v>2. Quartal</v>
      </c>
      <c r="K117">
        <f>_xlfn.ISOWEEKNUM(tbl_Kalender[[#This Row],[Datum]])</f>
        <v>17</v>
      </c>
    </row>
    <row r="118" spans="1:11" x14ac:dyDescent="0.25">
      <c r="A118" s="1">
        <v>45408</v>
      </c>
      <c r="B118">
        <f>YEAR(tbl_Kalender[[#This Row],[Datum]])</f>
        <v>2024</v>
      </c>
      <c r="C118">
        <f>DAY(tbl_Kalender[[#This Row],[Datum]])</f>
        <v>26</v>
      </c>
      <c r="D118" t="str">
        <f>TEXT(tbl_Kalender[[#This Row],[Datum]],"TTTT")</f>
        <v>Freitag</v>
      </c>
      <c r="E118">
        <f>WEEKDAY(tbl_Kalender[[#This Row],[Datum]],2)</f>
        <v>5</v>
      </c>
      <c r="F118">
        <f>MONTH(tbl_Kalender[[#This Row],[Datum]])</f>
        <v>4</v>
      </c>
      <c r="G118" t="str">
        <f>TEXT(tbl_Kalender[[#This Row],[Datum]],"MMMM")</f>
        <v>April</v>
      </c>
      <c r="H118">
        <f>ROUNDUP(tbl_Kalender[[#This Row],[Monat]]/3,0)</f>
        <v>2</v>
      </c>
      <c r="I118" t="str">
        <f>"Q "&amp;tbl_Kalender[[#This Row],[Quartal]]</f>
        <v>Q 2</v>
      </c>
      <c r="J118" t="str">
        <f>tbl_Kalender[[#This Row],[Quartal]]&amp;". Quartal"</f>
        <v>2. Quartal</v>
      </c>
      <c r="K118">
        <f>_xlfn.ISOWEEKNUM(tbl_Kalender[[#This Row],[Datum]])</f>
        <v>17</v>
      </c>
    </row>
    <row r="119" spans="1:11" x14ac:dyDescent="0.25">
      <c r="A119" s="1">
        <v>45409</v>
      </c>
      <c r="B119">
        <f>YEAR(tbl_Kalender[[#This Row],[Datum]])</f>
        <v>2024</v>
      </c>
      <c r="C119">
        <f>DAY(tbl_Kalender[[#This Row],[Datum]])</f>
        <v>27</v>
      </c>
      <c r="D119" t="str">
        <f>TEXT(tbl_Kalender[[#This Row],[Datum]],"TTTT")</f>
        <v>Samstag</v>
      </c>
      <c r="E119">
        <f>WEEKDAY(tbl_Kalender[[#This Row],[Datum]],2)</f>
        <v>6</v>
      </c>
      <c r="F119">
        <f>MONTH(tbl_Kalender[[#This Row],[Datum]])</f>
        <v>4</v>
      </c>
      <c r="G119" t="str">
        <f>TEXT(tbl_Kalender[[#This Row],[Datum]],"MMMM")</f>
        <v>April</v>
      </c>
      <c r="H119">
        <f>ROUNDUP(tbl_Kalender[[#This Row],[Monat]]/3,0)</f>
        <v>2</v>
      </c>
      <c r="I119" t="str">
        <f>"Q "&amp;tbl_Kalender[[#This Row],[Quartal]]</f>
        <v>Q 2</v>
      </c>
      <c r="J119" t="str">
        <f>tbl_Kalender[[#This Row],[Quartal]]&amp;". Quartal"</f>
        <v>2. Quartal</v>
      </c>
      <c r="K119">
        <f>_xlfn.ISOWEEKNUM(tbl_Kalender[[#This Row],[Datum]])</f>
        <v>17</v>
      </c>
    </row>
    <row r="120" spans="1:11" x14ac:dyDescent="0.25">
      <c r="A120" s="1">
        <v>45410</v>
      </c>
      <c r="B120">
        <f>YEAR(tbl_Kalender[[#This Row],[Datum]])</f>
        <v>2024</v>
      </c>
      <c r="C120">
        <f>DAY(tbl_Kalender[[#This Row],[Datum]])</f>
        <v>28</v>
      </c>
      <c r="D120" t="str">
        <f>TEXT(tbl_Kalender[[#This Row],[Datum]],"TTTT")</f>
        <v>Sonntag</v>
      </c>
      <c r="E120">
        <f>WEEKDAY(tbl_Kalender[[#This Row],[Datum]],2)</f>
        <v>7</v>
      </c>
      <c r="F120">
        <f>MONTH(tbl_Kalender[[#This Row],[Datum]])</f>
        <v>4</v>
      </c>
      <c r="G120" t="str">
        <f>TEXT(tbl_Kalender[[#This Row],[Datum]],"MMMM")</f>
        <v>April</v>
      </c>
      <c r="H120">
        <f>ROUNDUP(tbl_Kalender[[#This Row],[Monat]]/3,0)</f>
        <v>2</v>
      </c>
      <c r="I120" t="str">
        <f>"Q "&amp;tbl_Kalender[[#This Row],[Quartal]]</f>
        <v>Q 2</v>
      </c>
      <c r="J120" t="str">
        <f>tbl_Kalender[[#This Row],[Quartal]]&amp;". Quartal"</f>
        <v>2. Quartal</v>
      </c>
      <c r="K120">
        <f>_xlfn.ISOWEEKNUM(tbl_Kalender[[#This Row],[Datum]])</f>
        <v>17</v>
      </c>
    </row>
    <row r="121" spans="1:11" x14ac:dyDescent="0.25">
      <c r="A121" s="1">
        <v>45411</v>
      </c>
      <c r="B121">
        <f>YEAR(tbl_Kalender[[#This Row],[Datum]])</f>
        <v>2024</v>
      </c>
      <c r="C121">
        <f>DAY(tbl_Kalender[[#This Row],[Datum]])</f>
        <v>29</v>
      </c>
      <c r="D121" t="str">
        <f>TEXT(tbl_Kalender[[#This Row],[Datum]],"TTTT")</f>
        <v>Montag</v>
      </c>
      <c r="E121">
        <f>WEEKDAY(tbl_Kalender[[#This Row],[Datum]],2)</f>
        <v>1</v>
      </c>
      <c r="F121">
        <f>MONTH(tbl_Kalender[[#This Row],[Datum]])</f>
        <v>4</v>
      </c>
      <c r="G121" t="str">
        <f>TEXT(tbl_Kalender[[#This Row],[Datum]],"MMMM")</f>
        <v>April</v>
      </c>
      <c r="H121">
        <f>ROUNDUP(tbl_Kalender[[#This Row],[Monat]]/3,0)</f>
        <v>2</v>
      </c>
      <c r="I121" t="str">
        <f>"Q "&amp;tbl_Kalender[[#This Row],[Quartal]]</f>
        <v>Q 2</v>
      </c>
      <c r="J121" t="str">
        <f>tbl_Kalender[[#This Row],[Quartal]]&amp;". Quartal"</f>
        <v>2. Quartal</v>
      </c>
      <c r="K121">
        <f>_xlfn.ISOWEEKNUM(tbl_Kalender[[#This Row],[Datum]])</f>
        <v>18</v>
      </c>
    </row>
    <row r="122" spans="1:11" x14ac:dyDescent="0.25">
      <c r="A122" s="1">
        <v>45412</v>
      </c>
      <c r="B122">
        <f>YEAR(tbl_Kalender[[#This Row],[Datum]])</f>
        <v>2024</v>
      </c>
      <c r="C122">
        <f>DAY(tbl_Kalender[[#This Row],[Datum]])</f>
        <v>30</v>
      </c>
      <c r="D122" t="str">
        <f>TEXT(tbl_Kalender[[#This Row],[Datum]],"TTTT")</f>
        <v>Dienstag</v>
      </c>
      <c r="E122">
        <f>WEEKDAY(tbl_Kalender[[#This Row],[Datum]],2)</f>
        <v>2</v>
      </c>
      <c r="F122">
        <f>MONTH(tbl_Kalender[[#This Row],[Datum]])</f>
        <v>4</v>
      </c>
      <c r="G122" t="str">
        <f>TEXT(tbl_Kalender[[#This Row],[Datum]],"MMMM")</f>
        <v>April</v>
      </c>
      <c r="H122">
        <f>ROUNDUP(tbl_Kalender[[#This Row],[Monat]]/3,0)</f>
        <v>2</v>
      </c>
      <c r="I122" t="str">
        <f>"Q "&amp;tbl_Kalender[[#This Row],[Quartal]]</f>
        <v>Q 2</v>
      </c>
      <c r="J122" t="str">
        <f>tbl_Kalender[[#This Row],[Quartal]]&amp;". Quartal"</f>
        <v>2. Quartal</v>
      </c>
      <c r="K122">
        <f>_xlfn.ISOWEEKNUM(tbl_Kalender[[#This Row],[Datum]])</f>
        <v>18</v>
      </c>
    </row>
    <row r="123" spans="1:11" x14ac:dyDescent="0.25">
      <c r="A123" s="1">
        <v>45413</v>
      </c>
      <c r="B123">
        <f>YEAR(tbl_Kalender[[#This Row],[Datum]])</f>
        <v>2024</v>
      </c>
      <c r="C123">
        <f>DAY(tbl_Kalender[[#This Row],[Datum]])</f>
        <v>1</v>
      </c>
      <c r="D123" t="str">
        <f>TEXT(tbl_Kalender[[#This Row],[Datum]],"TTTT")</f>
        <v>Mittwoch</v>
      </c>
      <c r="E123">
        <f>WEEKDAY(tbl_Kalender[[#This Row],[Datum]],2)</f>
        <v>3</v>
      </c>
      <c r="F123">
        <f>MONTH(tbl_Kalender[[#This Row],[Datum]])</f>
        <v>5</v>
      </c>
      <c r="G123" t="str">
        <f>TEXT(tbl_Kalender[[#This Row],[Datum]],"MMMM")</f>
        <v>Mai</v>
      </c>
      <c r="H123">
        <f>ROUNDUP(tbl_Kalender[[#This Row],[Monat]]/3,0)</f>
        <v>2</v>
      </c>
      <c r="I123" t="str">
        <f>"Q "&amp;tbl_Kalender[[#This Row],[Quartal]]</f>
        <v>Q 2</v>
      </c>
      <c r="J123" t="str">
        <f>tbl_Kalender[[#This Row],[Quartal]]&amp;". Quartal"</f>
        <v>2. Quartal</v>
      </c>
      <c r="K123">
        <f>_xlfn.ISOWEEKNUM(tbl_Kalender[[#This Row],[Datum]])</f>
        <v>18</v>
      </c>
    </row>
    <row r="124" spans="1:11" x14ac:dyDescent="0.25">
      <c r="A124" s="1">
        <v>45414</v>
      </c>
      <c r="B124">
        <f>YEAR(tbl_Kalender[[#This Row],[Datum]])</f>
        <v>2024</v>
      </c>
      <c r="C124">
        <f>DAY(tbl_Kalender[[#This Row],[Datum]])</f>
        <v>2</v>
      </c>
      <c r="D124" t="str">
        <f>TEXT(tbl_Kalender[[#This Row],[Datum]],"TTTT")</f>
        <v>Donnerstag</v>
      </c>
      <c r="E124">
        <f>WEEKDAY(tbl_Kalender[[#This Row],[Datum]],2)</f>
        <v>4</v>
      </c>
      <c r="F124">
        <f>MONTH(tbl_Kalender[[#This Row],[Datum]])</f>
        <v>5</v>
      </c>
      <c r="G124" t="str">
        <f>TEXT(tbl_Kalender[[#This Row],[Datum]],"MMMM")</f>
        <v>Mai</v>
      </c>
      <c r="H124">
        <f>ROUNDUP(tbl_Kalender[[#This Row],[Monat]]/3,0)</f>
        <v>2</v>
      </c>
      <c r="I124" t="str">
        <f>"Q "&amp;tbl_Kalender[[#This Row],[Quartal]]</f>
        <v>Q 2</v>
      </c>
      <c r="J124" t="str">
        <f>tbl_Kalender[[#This Row],[Quartal]]&amp;". Quartal"</f>
        <v>2. Quartal</v>
      </c>
      <c r="K124">
        <f>_xlfn.ISOWEEKNUM(tbl_Kalender[[#This Row],[Datum]])</f>
        <v>18</v>
      </c>
    </row>
    <row r="125" spans="1:11" x14ac:dyDescent="0.25">
      <c r="A125" s="1">
        <v>45415</v>
      </c>
      <c r="B125">
        <f>YEAR(tbl_Kalender[[#This Row],[Datum]])</f>
        <v>2024</v>
      </c>
      <c r="C125">
        <f>DAY(tbl_Kalender[[#This Row],[Datum]])</f>
        <v>3</v>
      </c>
      <c r="D125" t="str">
        <f>TEXT(tbl_Kalender[[#This Row],[Datum]],"TTTT")</f>
        <v>Freitag</v>
      </c>
      <c r="E125">
        <f>WEEKDAY(tbl_Kalender[[#This Row],[Datum]],2)</f>
        <v>5</v>
      </c>
      <c r="F125">
        <f>MONTH(tbl_Kalender[[#This Row],[Datum]])</f>
        <v>5</v>
      </c>
      <c r="G125" t="str">
        <f>TEXT(tbl_Kalender[[#This Row],[Datum]],"MMMM")</f>
        <v>Mai</v>
      </c>
      <c r="H125">
        <f>ROUNDUP(tbl_Kalender[[#This Row],[Monat]]/3,0)</f>
        <v>2</v>
      </c>
      <c r="I125" t="str">
        <f>"Q "&amp;tbl_Kalender[[#This Row],[Quartal]]</f>
        <v>Q 2</v>
      </c>
      <c r="J125" t="str">
        <f>tbl_Kalender[[#This Row],[Quartal]]&amp;". Quartal"</f>
        <v>2. Quartal</v>
      </c>
      <c r="K125">
        <f>_xlfn.ISOWEEKNUM(tbl_Kalender[[#This Row],[Datum]])</f>
        <v>18</v>
      </c>
    </row>
    <row r="126" spans="1:11" x14ac:dyDescent="0.25">
      <c r="A126" s="1">
        <v>45416</v>
      </c>
      <c r="B126">
        <f>YEAR(tbl_Kalender[[#This Row],[Datum]])</f>
        <v>2024</v>
      </c>
      <c r="C126">
        <f>DAY(tbl_Kalender[[#This Row],[Datum]])</f>
        <v>4</v>
      </c>
      <c r="D126" t="str">
        <f>TEXT(tbl_Kalender[[#This Row],[Datum]],"TTTT")</f>
        <v>Samstag</v>
      </c>
      <c r="E126">
        <f>WEEKDAY(tbl_Kalender[[#This Row],[Datum]],2)</f>
        <v>6</v>
      </c>
      <c r="F126">
        <f>MONTH(tbl_Kalender[[#This Row],[Datum]])</f>
        <v>5</v>
      </c>
      <c r="G126" t="str">
        <f>TEXT(tbl_Kalender[[#This Row],[Datum]],"MMMM")</f>
        <v>Mai</v>
      </c>
      <c r="H126">
        <f>ROUNDUP(tbl_Kalender[[#This Row],[Monat]]/3,0)</f>
        <v>2</v>
      </c>
      <c r="I126" t="str">
        <f>"Q "&amp;tbl_Kalender[[#This Row],[Quartal]]</f>
        <v>Q 2</v>
      </c>
      <c r="J126" t="str">
        <f>tbl_Kalender[[#This Row],[Quartal]]&amp;". Quartal"</f>
        <v>2. Quartal</v>
      </c>
      <c r="K126">
        <f>_xlfn.ISOWEEKNUM(tbl_Kalender[[#This Row],[Datum]])</f>
        <v>18</v>
      </c>
    </row>
    <row r="127" spans="1:11" x14ac:dyDescent="0.25">
      <c r="A127" s="1">
        <v>45417</v>
      </c>
      <c r="B127">
        <f>YEAR(tbl_Kalender[[#This Row],[Datum]])</f>
        <v>2024</v>
      </c>
      <c r="C127">
        <f>DAY(tbl_Kalender[[#This Row],[Datum]])</f>
        <v>5</v>
      </c>
      <c r="D127" t="str">
        <f>TEXT(tbl_Kalender[[#This Row],[Datum]],"TTTT")</f>
        <v>Sonntag</v>
      </c>
      <c r="E127">
        <f>WEEKDAY(tbl_Kalender[[#This Row],[Datum]],2)</f>
        <v>7</v>
      </c>
      <c r="F127">
        <f>MONTH(tbl_Kalender[[#This Row],[Datum]])</f>
        <v>5</v>
      </c>
      <c r="G127" t="str">
        <f>TEXT(tbl_Kalender[[#This Row],[Datum]],"MMMM")</f>
        <v>Mai</v>
      </c>
      <c r="H127">
        <f>ROUNDUP(tbl_Kalender[[#This Row],[Monat]]/3,0)</f>
        <v>2</v>
      </c>
      <c r="I127" t="str">
        <f>"Q "&amp;tbl_Kalender[[#This Row],[Quartal]]</f>
        <v>Q 2</v>
      </c>
      <c r="J127" t="str">
        <f>tbl_Kalender[[#This Row],[Quartal]]&amp;". Quartal"</f>
        <v>2. Quartal</v>
      </c>
      <c r="K127">
        <f>_xlfn.ISOWEEKNUM(tbl_Kalender[[#This Row],[Datum]])</f>
        <v>18</v>
      </c>
    </row>
    <row r="128" spans="1:11" x14ac:dyDescent="0.25">
      <c r="A128" s="1">
        <v>45418</v>
      </c>
      <c r="B128">
        <f>YEAR(tbl_Kalender[[#This Row],[Datum]])</f>
        <v>2024</v>
      </c>
      <c r="C128">
        <f>DAY(tbl_Kalender[[#This Row],[Datum]])</f>
        <v>6</v>
      </c>
      <c r="D128" t="str">
        <f>TEXT(tbl_Kalender[[#This Row],[Datum]],"TTTT")</f>
        <v>Montag</v>
      </c>
      <c r="E128">
        <f>WEEKDAY(tbl_Kalender[[#This Row],[Datum]],2)</f>
        <v>1</v>
      </c>
      <c r="F128">
        <f>MONTH(tbl_Kalender[[#This Row],[Datum]])</f>
        <v>5</v>
      </c>
      <c r="G128" t="str">
        <f>TEXT(tbl_Kalender[[#This Row],[Datum]],"MMMM")</f>
        <v>Mai</v>
      </c>
      <c r="H128">
        <f>ROUNDUP(tbl_Kalender[[#This Row],[Monat]]/3,0)</f>
        <v>2</v>
      </c>
      <c r="I128" t="str">
        <f>"Q "&amp;tbl_Kalender[[#This Row],[Quartal]]</f>
        <v>Q 2</v>
      </c>
      <c r="J128" t="str">
        <f>tbl_Kalender[[#This Row],[Quartal]]&amp;". Quartal"</f>
        <v>2. Quartal</v>
      </c>
      <c r="K128">
        <f>_xlfn.ISOWEEKNUM(tbl_Kalender[[#This Row],[Datum]])</f>
        <v>19</v>
      </c>
    </row>
    <row r="129" spans="1:11" x14ac:dyDescent="0.25">
      <c r="A129" s="1">
        <v>45419</v>
      </c>
      <c r="B129">
        <f>YEAR(tbl_Kalender[[#This Row],[Datum]])</f>
        <v>2024</v>
      </c>
      <c r="C129">
        <f>DAY(tbl_Kalender[[#This Row],[Datum]])</f>
        <v>7</v>
      </c>
      <c r="D129" t="str">
        <f>TEXT(tbl_Kalender[[#This Row],[Datum]],"TTTT")</f>
        <v>Dienstag</v>
      </c>
      <c r="E129">
        <f>WEEKDAY(tbl_Kalender[[#This Row],[Datum]],2)</f>
        <v>2</v>
      </c>
      <c r="F129">
        <f>MONTH(tbl_Kalender[[#This Row],[Datum]])</f>
        <v>5</v>
      </c>
      <c r="G129" t="str">
        <f>TEXT(tbl_Kalender[[#This Row],[Datum]],"MMMM")</f>
        <v>Mai</v>
      </c>
      <c r="H129">
        <f>ROUNDUP(tbl_Kalender[[#This Row],[Monat]]/3,0)</f>
        <v>2</v>
      </c>
      <c r="I129" t="str">
        <f>"Q "&amp;tbl_Kalender[[#This Row],[Quartal]]</f>
        <v>Q 2</v>
      </c>
      <c r="J129" t="str">
        <f>tbl_Kalender[[#This Row],[Quartal]]&amp;". Quartal"</f>
        <v>2. Quartal</v>
      </c>
      <c r="K129">
        <f>_xlfn.ISOWEEKNUM(tbl_Kalender[[#This Row],[Datum]])</f>
        <v>19</v>
      </c>
    </row>
    <row r="130" spans="1:11" x14ac:dyDescent="0.25">
      <c r="A130" s="1">
        <v>45420</v>
      </c>
      <c r="B130">
        <f>YEAR(tbl_Kalender[[#This Row],[Datum]])</f>
        <v>2024</v>
      </c>
      <c r="C130">
        <f>DAY(tbl_Kalender[[#This Row],[Datum]])</f>
        <v>8</v>
      </c>
      <c r="D130" t="str">
        <f>TEXT(tbl_Kalender[[#This Row],[Datum]],"TTTT")</f>
        <v>Mittwoch</v>
      </c>
      <c r="E130">
        <f>WEEKDAY(tbl_Kalender[[#This Row],[Datum]],2)</f>
        <v>3</v>
      </c>
      <c r="F130">
        <f>MONTH(tbl_Kalender[[#This Row],[Datum]])</f>
        <v>5</v>
      </c>
      <c r="G130" t="str">
        <f>TEXT(tbl_Kalender[[#This Row],[Datum]],"MMMM")</f>
        <v>Mai</v>
      </c>
      <c r="H130">
        <f>ROUNDUP(tbl_Kalender[[#This Row],[Monat]]/3,0)</f>
        <v>2</v>
      </c>
      <c r="I130" t="str">
        <f>"Q "&amp;tbl_Kalender[[#This Row],[Quartal]]</f>
        <v>Q 2</v>
      </c>
      <c r="J130" t="str">
        <f>tbl_Kalender[[#This Row],[Quartal]]&amp;". Quartal"</f>
        <v>2. Quartal</v>
      </c>
      <c r="K130">
        <f>_xlfn.ISOWEEKNUM(tbl_Kalender[[#This Row],[Datum]])</f>
        <v>19</v>
      </c>
    </row>
    <row r="131" spans="1:11" x14ac:dyDescent="0.25">
      <c r="A131" s="1">
        <v>45421</v>
      </c>
      <c r="B131">
        <f>YEAR(tbl_Kalender[[#This Row],[Datum]])</f>
        <v>2024</v>
      </c>
      <c r="C131">
        <f>DAY(tbl_Kalender[[#This Row],[Datum]])</f>
        <v>9</v>
      </c>
      <c r="D131" t="str">
        <f>TEXT(tbl_Kalender[[#This Row],[Datum]],"TTTT")</f>
        <v>Donnerstag</v>
      </c>
      <c r="E131">
        <f>WEEKDAY(tbl_Kalender[[#This Row],[Datum]],2)</f>
        <v>4</v>
      </c>
      <c r="F131">
        <f>MONTH(tbl_Kalender[[#This Row],[Datum]])</f>
        <v>5</v>
      </c>
      <c r="G131" t="str">
        <f>TEXT(tbl_Kalender[[#This Row],[Datum]],"MMMM")</f>
        <v>Mai</v>
      </c>
      <c r="H131">
        <f>ROUNDUP(tbl_Kalender[[#This Row],[Monat]]/3,0)</f>
        <v>2</v>
      </c>
      <c r="I131" t="str">
        <f>"Q "&amp;tbl_Kalender[[#This Row],[Quartal]]</f>
        <v>Q 2</v>
      </c>
      <c r="J131" t="str">
        <f>tbl_Kalender[[#This Row],[Quartal]]&amp;". Quartal"</f>
        <v>2. Quartal</v>
      </c>
      <c r="K131">
        <f>_xlfn.ISOWEEKNUM(tbl_Kalender[[#This Row],[Datum]])</f>
        <v>19</v>
      </c>
    </row>
    <row r="132" spans="1:11" x14ac:dyDescent="0.25">
      <c r="A132" s="1">
        <v>45422</v>
      </c>
      <c r="B132">
        <f>YEAR(tbl_Kalender[[#This Row],[Datum]])</f>
        <v>2024</v>
      </c>
      <c r="C132">
        <f>DAY(tbl_Kalender[[#This Row],[Datum]])</f>
        <v>10</v>
      </c>
      <c r="D132" t="str">
        <f>TEXT(tbl_Kalender[[#This Row],[Datum]],"TTTT")</f>
        <v>Freitag</v>
      </c>
      <c r="E132">
        <f>WEEKDAY(tbl_Kalender[[#This Row],[Datum]],2)</f>
        <v>5</v>
      </c>
      <c r="F132">
        <f>MONTH(tbl_Kalender[[#This Row],[Datum]])</f>
        <v>5</v>
      </c>
      <c r="G132" t="str">
        <f>TEXT(tbl_Kalender[[#This Row],[Datum]],"MMMM")</f>
        <v>Mai</v>
      </c>
      <c r="H132">
        <f>ROUNDUP(tbl_Kalender[[#This Row],[Monat]]/3,0)</f>
        <v>2</v>
      </c>
      <c r="I132" t="str">
        <f>"Q "&amp;tbl_Kalender[[#This Row],[Quartal]]</f>
        <v>Q 2</v>
      </c>
      <c r="J132" t="str">
        <f>tbl_Kalender[[#This Row],[Quartal]]&amp;". Quartal"</f>
        <v>2. Quartal</v>
      </c>
      <c r="K132">
        <f>_xlfn.ISOWEEKNUM(tbl_Kalender[[#This Row],[Datum]])</f>
        <v>19</v>
      </c>
    </row>
    <row r="133" spans="1:11" x14ac:dyDescent="0.25">
      <c r="A133" s="1">
        <v>45423</v>
      </c>
      <c r="B133">
        <f>YEAR(tbl_Kalender[[#This Row],[Datum]])</f>
        <v>2024</v>
      </c>
      <c r="C133">
        <f>DAY(tbl_Kalender[[#This Row],[Datum]])</f>
        <v>11</v>
      </c>
      <c r="D133" t="str">
        <f>TEXT(tbl_Kalender[[#This Row],[Datum]],"TTTT")</f>
        <v>Samstag</v>
      </c>
      <c r="E133">
        <f>WEEKDAY(tbl_Kalender[[#This Row],[Datum]],2)</f>
        <v>6</v>
      </c>
      <c r="F133">
        <f>MONTH(tbl_Kalender[[#This Row],[Datum]])</f>
        <v>5</v>
      </c>
      <c r="G133" t="str">
        <f>TEXT(tbl_Kalender[[#This Row],[Datum]],"MMMM")</f>
        <v>Mai</v>
      </c>
      <c r="H133">
        <f>ROUNDUP(tbl_Kalender[[#This Row],[Monat]]/3,0)</f>
        <v>2</v>
      </c>
      <c r="I133" t="str">
        <f>"Q "&amp;tbl_Kalender[[#This Row],[Quartal]]</f>
        <v>Q 2</v>
      </c>
      <c r="J133" t="str">
        <f>tbl_Kalender[[#This Row],[Quartal]]&amp;". Quartal"</f>
        <v>2. Quartal</v>
      </c>
      <c r="K133">
        <f>_xlfn.ISOWEEKNUM(tbl_Kalender[[#This Row],[Datum]])</f>
        <v>19</v>
      </c>
    </row>
    <row r="134" spans="1:11" x14ac:dyDescent="0.25">
      <c r="A134" s="1">
        <v>45424</v>
      </c>
      <c r="B134">
        <f>YEAR(tbl_Kalender[[#This Row],[Datum]])</f>
        <v>2024</v>
      </c>
      <c r="C134">
        <f>DAY(tbl_Kalender[[#This Row],[Datum]])</f>
        <v>12</v>
      </c>
      <c r="D134" t="str">
        <f>TEXT(tbl_Kalender[[#This Row],[Datum]],"TTTT")</f>
        <v>Sonntag</v>
      </c>
      <c r="E134">
        <f>WEEKDAY(tbl_Kalender[[#This Row],[Datum]],2)</f>
        <v>7</v>
      </c>
      <c r="F134">
        <f>MONTH(tbl_Kalender[[#This Row],[Datum]])</f>
        <v>5</v>
      </c>
      <c r="G134" t="str">
        <f>TEXT(tbl_Kalender[[#This Row],[Datum]],"MMMM")</f>
        <v>Mai</v>
      </c>
      <c r="H134">
        <f>ROUNDUP(tbl_Kalender[[#This Row],[Monat]]/3,0)</f>
        <v>2</v>
      </c>
      <c r="I134" t="str">
        <f>"Q "&amp;tbl_Kalender[[#This Row],[Quartal]]</f>
        <v>Q 2</v>
      </c>
      <c r="J134" t="str">
        <f>tbl_Kalender[[#This Row],[Quartal]]&amp;". Quartal"</f>
        <v>2. Quartal</v>
      </c>
      <c r="K134">
        <f>_xlfn.ISOWEEKNUM(tbl_Kalender[[#This Row],[Datum]])</f>
        <v>19</v>
      </c>
    </row>
    <row r="135" spans="1:11" x14ac:dyDescent="0.25">
      <c r="A135" s="1">
        <v>45425</v>
      </c>
      <c r="B135">
        <f>YEAR(tbl_Kalender[[#This Row],[Datum]])</f>
        <v>2024</v>
      </c>
      <c r="C135">
        <f>DAY(tbl_Kalender[[#This Row],[Datum]])</f>
        <v>13</v>
      </c>
      <c r="D135" t="str">
        <f>TEXT(tbl_Kalender[[#This Row],[Datum]],"TTTT")</f>
        <v>Montag</v>
      </c>
      <c r="E135">
        <f>WEEKDAY(tbl_Kalender[[#This Row],[Datum]],2)</f>
        <v>1</v>
      </c>
      <c r="F135">
        <f>MONTH(tbl_Kalender[[#This Row],[Datum]])</f>
        <v>5</v>
      </c>
      <c r="G135" t="str">
        <f>TEXT(tbl_Kalender[[#This Row],[Datum]],"MMMM")</f>
        <v>Mai</v>
      </c>
      <c r="H135">
        <f>ROUNDUP(tbl_Kalender[[#This Row],[Monat]]/3,0)</f>
        <v>2</v>
      </c>
      <c r="I135" t="str">
        <f>"Q "&amp;tbl_Kalender[[#This Row],[Quartal]]</f>
        <v>Q 2</v>
      </c>
      <c r="J135" t="str">
        <f>tbl_Kalender[[#This Row],[Quartal]]&amp;". Quartal"</f>
        <v>2. Quartal</v>
      </c>
      <c r="K135">
        <f>_xlfn.ISOWEEKNUM(tbl_Kalender[[#This Row],[Datum]])</f>
        <v>20</v>
      </c>
    </row>
    <row r="136" spans="1:11" x14ac:dyDescent="0.25">
      <c r="A136" s="1">
        <v>45426</v>
      </c>
      <c r="B136">
        <f>YEAR(tbl_Kalender[[#This Row],[Datum]])</f>
        <v>2024</v>
      </c>
      <c r="C136">
        <f>DAY(tbl_Kalender[[#This Row],[Datum]])</f>
        <v>14</v>
      </c>
      <c r="D136" t="str">
        <f>TEXT(tbl_Kalender[[#This Row],[Datum]],"TTTT")</f>
        <v>Dienstag</v>
      </c>
      <c r="E136">
        <f>WEEKDAY(tbl_Kalender[[#This Row],[Datum]],2)</f>
        <v>2</v>
      </c>
      <c r="F136">
        <f>MONTH(tbl_Kalender[[#This Row],[Datum]])</f>
        <v>5</v>
      </c>
      <c r="G136" t="str">
        <f>TEXT(tbl_Kalender[[#This Row],[Datum]],"MMMM")</f>
        <v>Mai</v>
      </c>
      <c r="H136">
        <f>ROUNDUP(tbl_Kalender[[#This Row],[Monat]]/3,0)</f>
        <v>2</v>
      </c>
      <c r="I136" t="str">
        <f>"Q "&amp;tbl_Kalender[[#This Row],[Quartal]]</f>
        <v>Q 2</v>
      </c>
      <c r="J136" t="str">
        <f>tbl_Kalender[[#This Row],[Quartal]]&amp;". Quartal"</f>
        <v>2. Quartal</v>
      </c>
      <c r="K136">
        <f>_xlfn.ISOWEEKNUM(tbl_Kalender[[#This Row],[Datum]])</f>
        <v>20</v>
      </c>
    </row>
    <row r="137" spans="1:11" x14ac:dyDescent="0.25">
      <c r="A137" s="1">
        <v>45427</v>
      </c>
      <c r="B137">
        <f>YEAR(tbl_Kalender[[#This Row],[Datum]])</f>
        <v>2024</v>
      </c>
      <c r="C137">
        <f>DAY(tbl_Kalender[[#This Row],[Datum]])</f>
        <v>15</v>
      </c>
      <c r="D137" t="str">
        <f>TEXT(tbl_Kalender[[#This Row],[Datum]],"TTTT")</f>
        <v>Mittwoch</v>
      </c>
      <c r="E137">
        <f>WEEKDAY(tbl_Kalender[[#This Row],[Datum]],2)</f>
        <v>3</v>
      </c>
      <c r="F137">
        <f>MONTH(tbl_Kalender[[#This Row],[Datum]])</f>
        <v>5</v>
      </c>
      <c r="G137" t="str">
        <f>TEXT(tbl_Kalender[[#This Row],[Datum]],"MMMM")</f>
        <v>Mai</v>
      </c>
      <c r="H137">
        <f>ROUNDUP(tbl_Kalender[[#This Row],[Monat]]/3,0)</f>
        <v>2</v>
      </c>
      <c r="I137" t="str">
        <f>"Q "&amp;tbl_Kalender[[#This Row],[Quartal]]</f>
        <v>Q 2</v>
      </c>
      <c r="J137" t="str">
        <f>tbl_Kalender[[#This Row],[Quartal]]&amp;". Quartal"</f>
        <v>2. Quartal</v>
      </c>
      <c r="K137">
        <f>_xlfn.ISOWEEKNUM(tbl_Kalender[[#This Row],[Datum]])</f>
        <v>20</v>
      </c>
    </row>
    <row r="138" spans="1:11" x14ac:dyDescent="0.25">
      <c r="A138" s="1">
        <v>45428</v>
      </c>
      <c r="B138">
        <f>YEAR(tbl_Kalender[[#This Row],[Datum]])</f>
        <v>2024</v>
      </c>
      <c r="C138">
        <f>DAY(tbl_Kalender[[#This Row],[Datum]])</f>
        <v>16</v>
      </c>
      <c r="D138" t="str">
        <f>TEXT(tbl_Kalender[[#This Row],[Datum]],"TTTT")</f>
        <v>Donnerstag</v>
      </c>
      <c r="E138">
        <f>WEEKDAY(tbl_Kalender[[#This Row],[Datum]],2)</f>
        <v>4</v>
      </c>
      <c r="F138">
        <f>MONTH(tbl_Kalender[[#This Row],[Datum]])</f>
        <v>5</v>
      </c>
      <c r="G138" t="str">
        <f>TEXT(tbl_Kalender[[#This Row],[Datum]],"MMMM")</f>
        <v>Mai</v>
      </c>
      <c r="H138">
        <f>ROUNDUP(tbl_Kalender[[#This Row],[Monat]]/3,0)</f>
        <v>2</v>
      </c>
      <c r="I138" t="str">
        <f>"Q "&amp;tbl_Kalender[[#This Row],[Quartal]]</f>
        <v>Q 2</v>
      </c>
      <c r="J138" t="str">
        <f>tbl_Kalender[[#This Row],[Quartal]]&amp;". Quartal"</f>
        <v>2. Quartal</v>
      </c>
      <c r="K138">
        <f>_xlfn.ISOWEEKNUM(tbl_Kalender[[#This Row],[Datum]])</f>
        <v>20</v>
      </c>
    </row>
    <row r="139" spans="1:11" x14ac:dyDescent="0.25">
      <c r="A139" s="1">
        <v>45429</v>
      </c>
      <c r="B139">
        <f>YEAR(tbl_Kalender[[#This Row],[Datum]])</f>
        <v>2024</v>
      </c>
      <c r="C139">
        <f>DAY(tbl_Kalender[[#This Row],[Datum]])</f>
        <v>17</v>
      </c>
      <c r="D139" t="str">
        <f>TEXT(tbl_Kalender[[#This Row],[Datum]],"TTTT")</f>
        <v>Freitag</v>
      </c>
      <c r="E139">
        <f>WEEKDAY(tbl_Kalender[[#This Row],[Datum]],2)</f>
        <v>5</v>
      </c>
      <c r="F139">
        <f>MONTH(tbl_Kalender[[#This Row],[Datum]])</f>
        <v>5</v>
      </c>
      <c r="G139" t="str">
        <f>TEXT(tbl_Kalender[[#This Row],[Datum]],"MMMM")</f>
        <v>Mai</v>
      </c>
      <c r="H139">
        <f>ROUNDUP(tbl_Kalender[[#This Row],[Monat]]/3,0)</f>
        <v>2</v>
      </c>
      <c r="I139" t="str">
        <f>"Q "&amp;tbl_Kalender[[#This Row],[Quartal]]</f>
        <v>Q 2</v>
      </c>
      <c r="J139" t="str">
        <f>tbl_Kalender[[#This Row],[Quartal]]&amp;". Quartal"</f>
        <v>2. Quartal</v>
      </c>
      <c r="K139">
        <f>_xlfn.ISOWEEKNUM(tbl_Kalender[[#This Row],[Datum]])</f>
        <v>20</v>
      </c>
    </row>
    <row r="140" spans="1:11" x14ac:dyDescent="0.25">
      <c r="A140" s="1">
        <v>45430</v>
      </c>
      <c r="B140">
        <f>YEAR(tbl_Kalender[[#This Row],[Datum]])</f>
        <v>2024</v>
      </c>
      <c r="C140">
        <f>DAY(tbl_Kalender[[#This Row],[Datum]])</f>
        <v>18</v>
      </c>
      <c r="D140" t="str">
        <f>TEXT(tbl_Kalender[[#This Row],[Datum]],"TTTT")</f>
        <v>Samstag</v>
      </c>
      <c r="E140">
        <f>WEEKDAY(tbl_Kalender[[#This Row],[Datum]],2)</f>
        <v>6</v>
      </c>
      <c r="F140">
        <f>MONTH(tbl_Kalender[[#This Row],[Datum]])</f>
        <v>5</v>
      </c>
      <c r="G140" t="str">
        <f>TEXT(tbl_Kalender[[#This Row],[Datum]],"MMMM")</f>
        <v>Mai</v>
      </c>
      <c r="H140">
        <f>ROUNDUP(tbl_Kalender[[#This Row],[Monat]]/3,0)</f>
        <v>2</v>
      </c>
      <c r="I140" t="str">
        <f>"Q "&amp;tbl_Kalender[[#This Row],[Quartal]]</f>
        <v>Q 2</v>
      </c>
      <c r="J140" t="str">
        <f>tbl_Kalender[[#This Row],[Quartal]]&amp;". Quartal"</f>
        <v>2. Quartal</v>
      </c>
      <c r="K140">
        <f>_xlfn.ISOWEEKNUM(tbl_Kalender[[#This Row],[Datum]])</f>
        <v>20</v>
      </c>
    </row>
    <row r="141" spans="1:11" x14ac:dyDescent="0.25">
      <c r="A141" s="1">
        <v>45431</v>
      </c>
      <c r="B141">
        <f>YEAR(tbl_Kalender[[#This Row],[Datum]])</f>
        <v>2024</v>
      </c>
      <c r="C141">
        <f>DAY(tbl_Kalender[[#This Row],[Datum]])</f>
        <v>19</v>
      </c>
      <c r="D141" t="str">
        <f>TEXT(tbl_Kalender[[#This Row],[Datum]],"TTTT")</f>
        <v>Sonntag</v>
      </c>
      <c r="E141">
        <f>WEEKDAY(tbl_Kalender[[#This Row],[Datum]],2)</f>
        <v>7</v>
      </c>
      <c r="F141">
        <f>MONTH(tbl_Kalender[[#This Row],[Datum]])</f>
        <v>5</v>
      </c>
      <c r="G141" t="str">
        <f>TEXT(tbl_Kalender[[#This Row],[Datum]],"MMMM")</f>
        <v>Mai</v>
      </c>
      <c r="H141">
        <f>ROUNDUP(tbl_Kalender[[#This Row],[Monat]]/3,0)</f>
        <v>2</v>
      </c>
      <c r="I141" t="str">
        <f>"Q "&amp;tbl_Kalender[[#This Row],[Quartal]]</f>
        <v>Q 2</v>
      </c>
      <c r="J141" t="str">
        <f>tbl_Kalender[[#This Row],[Quartal]]&amp;". Quartal"</f>
        <v>2. Quartal</v>
      </c>
      <c r="K141">
        <f>_xlfn.ISOWEEKNUM(tbl_Kalender[[#This Row],[Datum]])</f>
        <v>20</v>
      </c>
    </row>
    <row r="142" spans="1:11" x14ac:dyDescent="0.25">
      <c r="A142" s="1">
        <v>45432</v>
      </c>
      <c r="B142">
        <f>YEAR(tbl_Kalender[[#This Row],[Datum]])</f>
        <v>2024</v>
      </c>
      <c r="C142">
        <f>DAY(tbl_Kalender[[#This Row],[Datum]])</f>
        <v>20</v>
      </c>
      <c r="D142" t="str">
        <f>TEXT(tbl_Kalender[[#This Row],[Datum]],"TTTT")</f>
        <v>Montag</v>
      </c>
      <c r="E142">
        <f>WEEKDAY(tbl_Kalender[[#This Row],[Datum]],2)</f>
        <v>1</v>
      </c>
      <c r="F142">
        <f>MONTH(tbl_Kalender[[#This Row],[Datum]])</f>
        <v>5</v>
      </c>
      <c r="G142" t="str">
        <f>TEXT(tbl_Kalender[[#This Row],[Datum]],"MMMM")</f>
        <v>Mai</v>
      </c>
      <c r="H142">
        <f>ROUNDUP(tbl_Kalender[[#This Row],[Monat]]/3,0)</f>
        <v>2</v>
      </c>
      <c r="I142" t="str">
        <f>"Q "&amp;tbl_Kalender[[#This Row],[Quartal]]</f>
        <v>Q 2</v>
      </c>
      <c r="J142" t="str">
        <f>tbl_Kalender[[#This Row],[Quartal]]&amp;". Quartal"</f>
        <v>2. Quartal</v>
      </c>
      <c r="K142">
        <f>_xlfn.ISOWEEKNUM(tbl_Kalender[[#This Row],[Datum]])</f>
        <v>21</v>
      </c>
    </row>
    <row r="143" spans="1:11" x14ac:dyDescent="0.25">
      <c r="A143" s="1">
        <v>45433</v>
      </c>
      <c r="B143">
        <f>YEAR(tbl_Kalender[[#This Row],[Datum]])</f>
        <v>2024</v>
      </c>
      <c r="C143">
        <f>DAY(tbl_Kalender[[#This Row],[Datum]])</f>
        <v>21</v>
      </c>
      <c r="D143" t="str">
        <f>TEXT(tbl_Kalender[[#This Row],[Datum]],"TTTT")</f>
        <v>Dienstag</v>
      </c>
      <c r="E143">
        <f>WEEKDAY(tbl_Kalender[[#This Row],[Datum]],2)</f>
        <v>2</v>
      </c>
      <c r="F143">
        <f>MONTH(tbl_Kalender[[#This Row],[Datum]])</f>
        <v>5</v>
      </c>
      <c r="G143" t="str">
        <f>TEXT(tbl_Kalender[[#This Row],[Datum]],"MMMM")</f>
        <v>Mai</v>
      </c>
      <c r="H143">
        <f>ROUNDUP(tbl_Kalender[[#This Row],[Monat]]/3,0)</f>
        <v>2</v>
      </c>
      <c r="I143" t="str">
        <f>"Q "&amp;tbl_Kalender[[#This Row],[Quartal]]</f>
        <v>Q 2</v>
      </c>
      <c r="J143" t="str">
        <f>tbl_Kalender[[#This Row],[Quartal]]&amp;". Quartal"</f>
        <v>2. Quartal</v>
      </c>
      <c r="K143">
        <f>_xlfn.ISOWEEKNUM(tbl_Kalender[[#This Row],[Datum]])</f>
        <v>21</v>
      </c>
    </row>
    <row r="144" spans="1:11" x14ac:dyDescent="0.25">
      <c r="A144" s="1">
        <v>45434</v>
      </c>
      <c r="B144">
        <f>YEAR(tbl_Kalender[[#This Row],[Datum]])</f>
        <v>2024</v>
      </c>
      <c r="C144">
        <f>DAY(tbl_Kalender[[#This Row],[Datum]])</f>
        <v>22</v>
      </c>
      <c r="D144" t="str">
        <f>TEXT(tbl_Kalender[[#This Row],[Datum]],"TTTT")</f>
        <v>Mittwoch</v>
      </c>
      <c r="E144">
        <f>WEEKDAY(tbl_Kalender[[#This Row],[Datum]],2)</f>
        <v>3</v>
      </c>
      <c r="F144">
        <f>MONTH(tbl_Kalender[[#This Row],[Datum]])</f>
        <v>5</v>
      </c>
      <c r="G144" t="str">
        <f>TEXT(tbl_Kalender[[#This Row],[Datum]],"MMMM")</f>
        <v>Mai</v>
      </c>
      <c r="H144">
        <f>ROUNDUP(tbl_Kalender[[#This Row],[Monat]]/3,0)</f>
        <v>2</v>
      </c>
      <c r="I144" t="str">
        <f>"Q "&amp;tbl_Kalender[[#This Row],[Quartal]]</f>
        <v>Q 2</v>
      </c>
      <c r="J144" t="str">
        <f>tbl_Kalender[[#This Row],[Quartal]]&amp;". Quartal"</f>
        <v>2. Quartal</v>
      </c>
      <c r="K144">
        <f>_xlfn.ISOWEEKNUM(tbl_Kalender[[#This Row],[Datum]])</f>
        <v>21</v>
      </c>
    </row>
    <row r="145" spans="1:11" x14ac:dyDescent="0.25">
      <c r="A145" s="1">
        <v>45435</v>
      </c>
      <c r="B145">
        <f>YEAR(tbl_Kalender[[#This Row],[Datum]])</f>
        <v>2024</v>
      </c>
      <c r="C145">
        <f>DAY(tbl_Kalender[[#This Row],[Datum]])</f>
        <v>23</v>
      </c>
      <c r="D145" t="str">
        <f>TEXT(tbl_Kalender[[#This Row],[Datum]],"TTTT")</f>
        <v>Donnerstag</v>
      </c>
      <c r="E145">
        <f>WEEKDAY(tbl_Kalender[[#This Row],[Datum]],2)</f>
        <v>4</v>
      </c>
      <c r="F145">
        <f>MONTH(tbl_Kalender[[#This Row],[Datum]])</f>
        <v>5</v>
      </c>
      <c r="G145" t="str">
        <f>TEXT(tbl_Kalender[[#This Row],[Datum]],"MMMM")</f>
        <v>Mai</v>
      </c>
      <c r="H145">
        <f>ROUNDUP(tbl_Kalender[[#This Row],[Monat]]/3,0)</f>
        <v>2</v>
      </c>
      <c r="I145" t="str">
        <f>"Q "&amp;tbl_Kalender[[#This Row],[Quartal]]</f>
        <v>Q 2</v>
      </c>
      <c r="J145" t="str">
        <f>tbl_Kalender[[#This Row],[Quartal]]&amp;". Quartal"</f>
        <v>2. Quartal</v>
      </c>
      <c r="K145">
        <f>_xlfn.ISOWEEKNUM(tbl_Kalender[[#This Row],[Datum]])</f>
        <v>21</v>
      </c>
    </row>
    <row r="146" spans="1:11" x14ac:dyDescent="0.25">
      <c r="A146" s="1">
        <v>45436</v>
      </c>
      <c r="B146">
        <f>YEAR(tbl_Kalender[[#This Row],[Datum]])</f>
        <v>2024</v>
      </c>
      <c r="C146">
        <f>DAY(tbl_Kalender[[#This Row],[Datum]])</f>
        <v>24</v>
      </c>
      <c r="D146" t="str">
        <f>TEXT(tbl_Kalender[[#This Row],[Datum]],"TTTT")</f>
        <v>Freitag</v>
      </c>
      <c r="E146">
        <f>WEEKDAY(tbl_Kalender[[#This Row],[Datum]],2)</f>
        <v>5</v>
      </c>
      <c r="F146">
        <f>MONTH(tbl_Kalender[[#This Row],[Datum]])</f>
        <v>5</v>
      </c>
      <c r="G146" t="str">
        <f>TEXT(tbl_Kalender[[#This Row],[Datum]],"MMMM")</f>
        <v>Mai</v>
      </c>
      <c r="H146">
        <f>ROUNDUP(tbl_Kalender[[#This Row],[Monat]]/3,0)</f>
        <v>2</v>
      </c>
      <c r="I146" t="str">
        <f>"Q "&amp;tbl_Kalender[[#This Row],[Quartal]]</f>
        <v>Q 2</v>
      </c>
      <c r="J146" t="str">
        <f>tbl_Kalender[[#This Row],[Quartal]]&amp;". Quartal"</f>
        <v>2. Quartal</v>
      </c>
      <c r="K146">
        <f>_xlfn.ISOWEEKNUM(tbl_Kalender[[#This Row],[Datum]])</f>
        <v>21</v>
      </c>
    </row>
    <row r="147" spans="1:11" x14ac:dyDescent="0.25">
      <c r="A147" s="1">
        <v>45437</v>
      </c>
      <c r="B147">
        <f>YEAR(tbl_Kalender[[#This Row],[Datum]])</f>
        <v>2024</v>
      </c>
      <c r="C147">
        <f>DAY(tbl_Kalender[[#This Row],[Datum]])</f>
        <v>25</v>
      </c>
      <c r="D147" t="str">
        <f>TEXT(tbl_Kalender[[#This Row],[Datum]],"TTTT")</f>
        <v>Samstag</v>
      </c>
      <c r="E147">
        <f>WEEKDAY(tbl_Kalender[[#This Row],[Datum]],2)</f>
        <v>6</v>
      </c>
      <c r="F147">
        <f>MONTH(tbl_Kalender[[#This Row],[Datum]])</f>
        <v>5</v>
      </c>
      <c r="G147" t="str">
        <f>TEXT(tbl_Kalender[[#This Row],[Datum]],"MMMM")</f>
        <v>Mai</v>
      </c>
      <c r="H147">
        <f>ROUNDUP(tbl_Kalender[[#This Row],[Monat]]/3,0)</f>
        <v>2</v>
      </c>
      <c r="I147" t="str">
        <f>"Q "&amp;tbl_Kalender[[#This Row],[Quartal]]</f>
        <v>Q 2</v>
      </c>
      <c r="J147" t="str">
        <f>tbl_Kalender[[#This Row],[Quartal]]&amp;". Quartal"</f>
        <v>2. Quartal</v>
      </c>
      <c r="K147">
        <f>_xlfn.ISOWEEKNUM(tbl_Kalender[[#This Row],[Datum]])</f>
        <v>21</v>
      </c>
    </row>
    <row r="148" spans="1:11" x14ac:dyDescent="0.25">
      <c r="A148" s="1">
        <v>45438</v>
      </c>
      <c r="B148">
        <f>YEAR(tbl_Kalender[[#This Row],[Datum]])</f>
        <v>2024</v>
      </c>
      <c r="C148">
        <f>DAY(tbl_Kalender[[#This Row],[Datum]])</f>
        <v>26</v>
      </c>
      <c r="D148" t="str">
        <f>TEXT(tbl_Kalender[[#This Row],[Datum]],"TTTT")</f>
        <v>Sonntag</v>
      </c>
      <c r="E148">
        <f>WEEKDAY(tbl_Kalender[[#This Row],[Datum]],2)</f>
        <v>7</v>
      </c>
      <c r="F148">
        <f>MONTH(tbl_Kalender[[#This Row],[Datum]])</f>
        <v>5</v>
      </c>
      <c r="G148" t="str">
        <f>TEXT(tbl_Kalender[[#This Row],[Datum]],"MMMM")</f>
        <v>Mai</v>
      </c>
      <c r="H148">
        <f>ROUNDUP(tbl_Kalender[[#This Row],[Monat]]/3,0)</f>
        <v>2</v>
      </c>
      <c r="I148" t="str">
        <f>"Q "&amp;tbl_Kalender[[#This Row],[Quartal]]</f>
        <v>Q 2</v>
      </c>
      <c r="J148" t="str">
        <f>tbl_Kalender[[#This Row],[Quartal]]&amp;". Quartal"</f>
        <v>2. Quartal</v>
      </c>
      <c r="K148">
        <f>_xlfn.ISOWEEKNUM(tbl_Kalender[[#This Row],[Datum]])</f>
        <v>21</v>
      </c>
    </row>
    <row r="149" spans="1:11" x14ac:dyDescent="0.25">
      <c r="A149" s="1">
        <v>45439</v>
      </c>
      <c r="B149">
        <f>YEAR(tbl_Kalender[[#This Row],[Datum]])</f>
        <v>2024</v>
      </c>
      <c r="C149">
        <f>DAY(tbl_Kalender[[#This Row],[Datum]])</f>
        <v>27</v>
      </c>
      <c r="D149" t="str">
        <f>TEXT(tbl_Kalender[[#This Row],[Datum]],"TTTT")</f>
        <v>Montag</v>
      </c>
      <c r="E149">
        <f>WEEKDAY(tbl_Kalender[[#This Row],[Datum]],2)</f>
        <v>1</v>
      </c>
      <c r="F149">
        <f>MONTH(tbl_Kalender[[#This Row],[Datum]])</f>
        <v>5</v>
      </c>
      <c r="G149" t="str">
        <f>TEXT(tbl_Kalender[[#This Row],[Datum]],"MMMM")</f>
        <v>Mai</v>
      </c>
      <c r="H149">
        <f>ROUNDUP(tbl_Kalender[[#This Row],[Monat]]/3,0)</f>
        <v>2</v>
      </c>
      <c r="I149" t="str">
        <f>"Q "&amp;tbl_Kalender[[#This Row],[Quartal]]</f>
        <v>Q 2</v>
      </c>
      <c r="J149" t="str">
        <f>tbl_Kalender[[#This Row],[Quartal]]&amp;". Quartal"</f>
        <v>2. Quartal</v>
      </c>
      <c r="K149">
        <f>_xlfn.ISOWEEKNUM(tbl_Kalender[[#This Row],[Datum]])</f>
        <v>22</v>
      </c>
    </row>
    <row r="150" spans="1:11" x14ac:dyDescent="0.25">
      <c r="A150" s="1">
        <v>45440</v>
      </c>
      <c r="B150">
        <f>YEAR(tbl_Kalender[[#This Row],[Datum]])</f>
        <v>2024</v>
      </c>
      <c r="C150">
        <f>DAY(tbl_Kalender[[#This Row],[Datum]])</f>
        <v>28</v>
      </c>
      <c r="D150" t="str">
        <f>TEXT(tbl_Kalender[[#This Row],[Datum]],"TTTT")</f>
        <v>Dienstag</v>
      </c>
      <c r="E150">
        <f>WEEKDAY(tbl_Kalender[[#This Row],[Datum]],2)</f>
        <v>2</v>
      </c>
      <c r="F150">
        <f>MONTH(tbl_Kalender[[#This Row],[Datum]])</f>
        <v>5</v>
      </c>
      <c r="G150" t="str">
        <f>TEXT(tbl_Kalender[[#This Row],[Datum]],"MMMM")</f>
        <v>Mai</v>
      </c>
      <c r="H150">
        <f>ROUNDUP(tbl_Kalender[[#This Row],[Monat]]/3,0)</f>
        <v>2</v>
      </c>
      <c r="I150" t="str">
        <f>"Q "&amp;tbl_Kalender[[#This Row],[Quartal]]</f>
        <v>Q 2</v>
      </c>
      <c r="J150" t="str">
        <f>tbl_Kalender[[#This Row],[Quartal]]&amp;". Quartal"</f>
        <v>2. Quartal</v>
      </c>
      <c r="K150">
        <f>_xlfn.ISOWEEKNUM(tbl_Kalender[[#This Row],[Datum]])</f>
        <v>22</v>
      </c>
    </row>
    <row r="151" spans="1:11" x14ac:dyDescent="0.25">
      <c r="A151" s="1">
        <v>45441</v>
      </c>
      <c r="B151">
        <f>YEAR(tbl_Kalender[[#This Row],[Datum]])</f>
        <v>2024</v>
      </c>
      <c r="C151">
        <f>DAY(tbl_Kalender[[#This Row],[Datum]])</f>
        <v>29</v>
      </c>
      <c r="D151" t="str">
        <f>TEXT(tbl_Kalender[[#This Row],[Datum]],"TTTT")</f>
        <v>Mittwoch</v>
      </c>
      <c r="E151">
        <f>WEEKDAY(tbl_Kalender[[#This Row],[Datum]],2)</f>
        <v>3</v>
      </c>
      <c r="F151">
        <f>MONTH(tbl_Kalender[[#This Row],[Datum]])</f>
        <v>5</v>
      </c>
      <c r="G151" t="str">
        <f>TEXT(tbl_Kalender[[#This Row],[Datum]],"MMMM")</f>
        <v>Mai</v>
      </c>
      <c r="H151">
        <f>ROUNDUP(tbl_Kalender[[#This Row],[Monat]]/3,0)</f>
        <v>2</v>
      </c>
      <c r="I151" t="str">
        <f>"Q "&amp;tbl_Kalender[[#This Row],[Quartal]]</f>
        <v>Q 2</v>
      </c>
      <c r="J151" t="str">
        <f>tbl_Kalender[[#This Row],[Quartal]]&amp;". Quartal"</f>
        <v>2. Quartal</v>
      </c>
      <c r="K151">
        <f>_xlfn.ISOWEEKNUM(tbl_Kalender[[#This Row],[Datum]])</f>
        <v>22</v>
      </c>
    </row>
    <row r="152" spans="1:11" x14ac:dyDescent="0.25">
      <c r="A152" s="1">
        <v>45442</v>
      </c>
      <c r="B152">
        <f>YEAR(tbl_Kalender[[#This Row],[Datum]])</f>
        <v>2024</v>
      </c>
      <c r="C152">
        <f>DAY(tbl_Kalender[[#This Row],[Datum]])</f>
        <v>30</v>
      </c>
      <c r="D152" t="str">
        <f>TEXT(tbl_Kalender[[#This Row],[Datum]],"TTTT")</f>
        <v>Donnerstag</v>
      </c>
      <c r="E152">
        <f>WEEKDAY(tbl_Kalender[[#This Row],[Datum]],2)</f>
        <v>4</v>
      </c>
      <c r="F152">
        <f>MONTH(tbl_Kalender[[#This Row],[Datum]])</f>
        <v>5</v>
      </c>
      <c r="G152" t="str">
        <f>TEXT(tbl_Kalender[[#This Row],[Datum]],"MMMM")</f>
        <v>Mai</v>
      </c>
      <c r="H152">
        <f>ROUNDUP(tbl_Kalender[[#This Row],[Monat]]/3,0)</f>
        <v>2</v>
      </c>
      <c r="I152" t="str">
        <f>"Q "&amp;tbl_Kalender[[#This Row],[Quartal]]</f>
        <v>Q 2</v>
      </c>
      <c r="J152" t="str">
        <f>tbl_Kalender[[#This Row],[Quartal]]&amp;". Quartal"</f>
        <v>2. Quartal</v>
      </c>
      <c r="K152">
        <f>_xlfn.ISOWEEKNUM(tbl_Kalender[[#This Row],[Datum]])</f>
        <v>22</v>
      </c>
    </row>
    <row r="153" spans="1:11" x14ac:dyDescent="0.25">
      <c r="A153" s="1">
        <v>45443</v>
      </c>
      <c r="B153">
        <f>YEAR(tbl_Kalender[[#This Row],[Datum]])</f>
        <v>2024</v>
      </c>
      <c r="C153">
        <f>DAY(tbl_Kalender[[#This Row],[Datum]])</f>
        <v>31</v>
      </c>
      <c r="D153" t="str">
        <f>TEXT(tbl_Kalender[[#This Row],[Datum]],"TTTT")</f>
        <v>Freitag</v>
      </c>
      <c r="E153">
        <f>WEEKDAY(tbl_Kalender[[#This Row],[Datum]],2)</f>
        <v>5</v>
      </c>
      <c r="F153">
        <f>MONTH(tbl_Kalender[[#This Row],[Datum]])</f>
        <v>5</v>
      </c>
      <c r="G153" t="str">
        <f>TEXT(tbl_Kalender[[#This Row],[Datum]],"MMMM")</f>
        <v>Mai</v>
      </c>
      <c r="H153">
        <f>ROUNDUP(tbl_Kalender[[#This Row],[Monat]]/3,0)</f>
        <v>2</v>
      </c>
      <c r="I153" t="str">
        <f>"Q "&amp;tbl_Kalender[[#This Row],[Quartal]]</f>
        <v>Q 2</v>
      </c>
      <c r="J153" t="str">
        <f>tbl_Kalender[[#This Row],[Quartal]]&amp;". Quartal"</f>
        <v>2. Quartal</v>
      </c>
      <c r="K153">
        <f>_xlfn.ISOWEEKNUM(tbl_Kalender[[#This Row],[Datum]])</f>
        <v>22</v>
      </c>
    </row>
    <row r="154" spans="1:11" x14ac:dyDescent="0.25">
      <c r="A154" s="1">
        <v>45444</v>
      </c>
      <c r="B154">
        <f>YEAR(tbl_Kalender[[#This Row],[Datum]])</f>
        <v>2024</v>
      </c>
      <c r="C154">
        <f>DAY(tbl_Kalender[[#This Row],[Datum]])</f>
        <v>1</v>
      </c>
      <c r="D154" t="str">
        <f>TEXT(tbl_Kalender[[#This Row],[Datum]],"TTTT")</f>
        <v>Samstag</v>
      </c>
      <c r="E154">
        <f>WEEKDAY(tbl_Kalender[[#This Row],[Datum]],2)</f>
        <v>6</v>
      </c>
      <c r="F154">
        <f>MONTH(tbl_Kalender[[#This Row],[Datum]])</f>
        <v>6</v>
      </c>
      <c r="G154" t="str">
        <f>TEXT(tbl_Kalender[[#This Row],[Datum]],"MMMM")</f>
        <v>Juni</v>
      </c>
      <c r="H154">
        <f>ROUNDUP(tbl_Kalender[[#This Row],[Monat]]/3,0)</f>
        <v>2</v>
      </c>
      <c r="I154" t="str">
        <f>"Q "&amp;tbl_Kalender[[#This Row],[Quartal]]</f>
        <v>Q 2</v>
      </c>
      <c r="J154" t="str">
        <f>tbl_Kalender[[#This Row],[Quartal]]&amp;". Quartal"</f>
        <v>2. Quartal</v>
      </c>
      <c r="K154">
        <f>_xlfn.ISOWEEKNUM(tbl_Kalender[[#This Row],[Datum]])</f>
        <v>22</v>
      </c>
    </row>
    <row r="155" spans="1:11" x14ac:dyDescent="0.25">
      <c r="A155" s="1">
        <v>45445</v>
      </c>
      <c r="B155">
        <f>YEAR(tbl_Kalender[[#This Row],[Datum]])</f>
        <v>2024</v>
      </c>
      <c r="C155">
        <f>DAY(tbl_Kalender[[#This Row],[Datum]])</f>
        <v>2</v>
      </c>
      <c r="D155" t="str">
        <f>TEXT(tbl_Kalender[[#This Row],[Datum]],"TTTT")</f>
        <v>Sonntag</v>
      </c>
      <c r="E155">
        <f>WEEKDAY(tbl_Kalender[[#This Row],[Datum]],2)</f>
        <v>7</v>
      </c>
      <c r="F155">
        <f>MONTH(tbl_Kalender[[#This Row],[Datum]])</f>
        <v>6</v>
      </c>
      <c r="G155" t="str">
        <f>TEXT(tbl_Kalender[[#This Row],[Datum]],"MMMM")</f>
        <v>Juni</v>
      </c>
      <c r="H155">
        <f>ROUNDUP(tbl_Kalender[[#This Row],[Monat]]/3,0)</f>
        <v>2</v>
      </c>
      <c r="I155" t="str">
        <f>"Q "&amp;tbl_Kalender[[#This Row],[Quartal]]</f>
        <v>Q 2</v>
      </c>
      <c r="J155" t="str">
        <f>tbl_Kalender[[#This Row],[Quartal]]&amp;". Quartal"</f>
        <v>2. Quartal</v>
      </c>
      <c r="K155">
        <f>_xlfn.ISOWEEKNUM(tbl_Kalender[[#This Row],[Datum]])</f>
        <v>22</v>
      </c>
    </row>
    <row r="156" spans="1:11" x14ac:dyDescent="0.25">
      <c r="A156" s="1">
        <v>45446</v>
      </c>
      <c r="B156">
        <f>YEAR(tbl_Kalender[[#This Row],[Datum]])</f>
        <v>2024</v>
      </c>
      <c r="C156">
        <f>DAY(tbl_Kalender[[#This Row],[Datum]])</f>
        <v>3</v>
      </c>
      <c r="D156" t="str">
        <f>TEXT(tbl_Kalender[[#This Row],[Datum]],"TTTT")</f>
        <v>Montag</v>
      </c>
      <c r="E156">
        <f>WEEKDAY(tbl_Kalender[[#This Row],[Datum]],2)</f>
        <v>1</v>
      </c>
      <c r="F156">
        <f>MONTH(tbl_Kalender[[#This Row],[Datum]])</f>
        <v>6</v>
      </c>
      <c r="G156" t="str">
        <f>TEXT(tbl_Kalender[[#This Row],[Datum]],"MMMM")</f>
        <v>Juni</v>
      </c>
      <c r="H156">
        <f>ROUNDUP(tbl_Kalender[[#This Row],[Monat]]/3,0)</f>
        <v>2</v>
      </c>
      <c r="I156" t="str">
        <f>"Q "&amp;tbl_Kalender[[#This Row],[Quartal]]</f>
        <v>Q 2</v>
      </c>
      <c r="J156" t="str">
        <f>tbl_Kalender[[#This Row],[Quartal]]&amp;". Quartal"</f>
        <v>2. Quartal</v>
      </c>
      <c r="K156">
        <f>_xlfn.ISOWEEKNUM(tbl_Kalender[[#This Row],[Datum]])</f>
        <v>23</v>
      </c>
    </row>
    <row r="157" spans="1:11" x14ac:dyDescent="0.25">
      <c r="A157" s="1">
        <v>45447</v>
      </c>
      <c r="B157">
        <f>YEAR(tbl_Kalender[[#This Row],[Datum]])</f>
        <v>2024</v>
      </c>
      <c r="C157">
        <f>DAY(tbl_Kalender[[#This Row],[Datum]])</f>
        <v>4</v>
      </c>
      <c r="D157" t="str">
        <f>TEXT(tbl_Kalender[[#This Row],[Datum]],"TTTT")</f>
        <v>Dienstag</v>
      </c>
      <c r="E157">
        <f>WEEKDAY(tbl_Kalender[[#This Row],[Datum]],2)</f>
        <v>2</v>
      </c>
      <c r="F157">
        <f>MONTH(tbl_Kalender[[#This Row],[Datum]])</f>
        <v>6</v>
      </c>
      <c r="G157" t="str">
        <f>TEXT(tbl_Kalender[[#This Row],[Datum]],"MMMM")</f>
        <v>Juni</v>
      </c>
      <c r="H157">
        <f>ROUNDUP(tbl_Kalender[[#This Row],[Monat]]/3,0)</f>
        <v>2</v>
      </c>
      <c r="I157" t="str">
        <f>"Q "&amp;tbl_Kalender[[#This Row],[Quartal]]</f>
        <v>Q 2</v>
      </c>
      <c r="J157" t="str">
        <f>tbl_Kalender[[#This Row],[Quartal]]&amp;". Quartal"</f>
        <v>2. Quartal</v>
      </c>
      <c r="K157">
        <f>_xlfn.ISOWEEKNUM(tbl_Kalender[[#This Row],[Datum]])</f>
        <v>23</v>
      </c>
    </row>
    <row r="158" spans="1:11" x14ac:dyDescent="0.25">
      <c r="A158" s="1">
        <v>45448</v>
      </c>
      <c r="B158">
        <f>YEAR(tbl_Kalender[[#This Row],[Datum]])</f>
        <v>2024</v>
      </c>
      <c r="C158">
        <f>DAY(tbl_Kalender[[#This Row],[Datum]])</f>
        <v>5</v>
      </c>
      <c r="D158" t="str">
        <f>TEXT(tbl_Kalender[[#This Row],[Datum]],"TTTT")</f>
        <v>Mittwoch</v>
      </c>
      <c r="E158">
        <f>WEEKDAY(tbl_Kalender[[#This Row],[Datum]],2)</f>
        <v>3</v>
      </c>
      <c r="F158">
        <f>MONTH(tbl_Kalender[[#This Row],[Datum]])</f>
        <v>6</v>
      </c>
      <c r="G158" t="str">
        <f>TEXT(tbl_Kalender[[#This Row],[Datum]],"MMMM")</f>
        <v>Juni</v>
      </c>
      <c r="H158">
        <f>ROUNDUP(tbl_Kalender[[#This Row],[Monat]]/3,0)</f>
        <v>2</v>
      </c>
      <c r="I158" t="str">
        <f>"Q "&amp;tbl_Kalender[[#This Row],[Quartal]]</f>
        <v>Q 2</v>
      </c>
      <c r="J158" t="str">
        <f>tbl_Kalender[[#This Row],[Quartal]]&amp;". Quartal"</f>
        <v>2. Quartal</v>
      </c>
      <c r="K158">
        <f>_xlfn.ISOWEEKNUM(tbl_Kalender[[#This Row],[Datum]])</f>
        <v>23</v>
      </c>
    </row>
    <row r="159" spans="1:11" x14ac:dyDescent="0.25">
      <c r="A159" s="1">
        <v>45449</v>
      </c>
      <c r="B159">
        <f>YEAR(tbl_Kalender[[#This Row],[Datum]])</f>
        <v>2024</v>
      </c>
      <c r="C159">
        <f>DAY(tbl_Kalender[[#This Row],[Datum]])</f>
        <v>6</v>
      </c>
      <c r="D159" t="str">
        <f>TEXT(tbl_Kalender[[#This Row],[Datum]],"TTTT")</f>
        <v>Donnerstag</v>
      </c>
      <c r="E159">
        <f>WEEKDAY(tbl_Kalender[[#This Row],[Datum]],2)</f>
        <v>4</v>
      </c>
      <c r="F159">
        <f>MONTH(tbl_Kalender[[#This Row],[Datum]])</f>
        <v>6</v>
      </c>
      <c r="G159" t="str">
        <f>TEXT(tbl_Kalender[[#This Row],[Datum]],"MMMM")</f>
        <v>Juni</v>
      </c>
      <c r="H159">
        <f>ROUNDUP(tbl_Kalender[[#This Row],[Monat]]/3,0)</f>
        <v>2</v>
      </c>
      <c r="I159" t="str">
        <f>"Q "&amp;tbl_Kalender[[#This Row],[Quartal]]</f>
        <v>Q 2</v>
      </c>
      <c r="J159" t="str">
        <f>tbl_Kalender[[#This Row],[Quartal]]&amp;". Quartal"</f>
        <v>2. Quartal</v>
      </c>
      <c r="K159">
        <f>_xlfn.ISOWEEKNUM(tbl_Kalender[[#This Row],[Datum]])</f>
        <v>23</v>
      </c>
    </row>
    <row r="160" spans="1:11" x14ac:dyDescent="0.25">
      <c r="A160" s="1">
        <v>45450</v>
      </c>
      <c r="B160">
        <f>YEAR(tbl_Kalender[[#This Row],[Datum]])</f>
        <v>2024</v>
      </c>
      <c r="C160">
        <f>DAY(tbl_Kalender[[#This Row],[Datum]])</f>
        <v>7</v>
      </c>
      <c r="D160" t="str">
        <f>TEXT(tbl_Kalender[[#This Row],[Datum]],"TTTT")</f>
        <v>Freitag</v>
      </c>
      <c r="E160">
        <f>WEEKDAY(tbl_Kalender[[#This Row],[Datum]],2)</f>
        <v>5</v>
      </c>
      <c r="F160">
        <f>MONTH(tbl_Kalender[[#This Row],[Datum]])</f>
        <v>6</v>
      </c>
      <c r="G160" t="str">
        <f>TEXT(tbl_Kalender[[#This Row],[Datum]],"MMMM")</f>
        <v>Juni</v>
      </c>
      <c r="H160">
        <f>ROUNDUP(tbl_Kalender[[#This Row],[Monat]]/3,0)</f>
        <v>2</v>
      </c>
      <c r="I160" t="str">
        <f>"Q "&amp;tbl_Kalender[[#This Row],[Quartal]]</f>
        <v>Q 2</v>
      </c>
      <c r="J160" t="str">
        <f>tbl_Kalender[[#This Row],[Quartal]]&amp;". Quartal"</f>
        <v>2. Quartal</v>
      </c>
      <c r="K160">
        <f>_xlfn.ISOWEEKNUM(tbl_Kalender[[#This Row],[Datum]])</f>
        <v>23</v>
      </c>
    </row>
    <row r="161" spans="1:11" x14ac:dyDescent="0.25">
      <c r="A161" s="1">
        <v>45451</v>
      </c>
      <c r="B161">
        <f>YEAR(tbl_Kalender[[#This Row],[Datum]])</f>
        <v>2024</v>
      </c>
      <c r="C161">
        <f>DAY(tbl_Kalender[[#This Row],[Datum]])</f>
        <v>8</v>
      </c>
      <c r="D161" t="str">
        <f>TEXT(tbl_Kalender[[#This Row],[Datum]],"TTTT")</f>
        <v>Samstag</v>
      </c>
      <c r="E161">
        <f>WEEKDAY(tbl_Kalender[[#This Row],[Datum]],2)</f>
        <v>6</v>
      </c>
      <c r="F161">
        <f>MONTH(tbl_Kalender[[#This Row],[Datum]])</f>
        <v>6</v>
      </c>
      <c r="G161" t="str">
        <f>TEXT(tbl_Kalender[[#This Row],[Datum]],"MMMM")</f>
        <v>Juni</v>
      </c>
      <c r="H161">
        <f>ROUNDUP(tbl_Kalender[[#This Row],[Monat]]/3,0)</f>
        <v>2</v>
      </c>
      <c r="I161" t="str">
        <f>"Q "&amp;tbl_Kalender[[#This Row],[Quartal]]</f>
        <v>Q 2</v>
      </c>
      <c r="J161" t="str">
        <f>tbl_Kalender[[#This Row],[Quartal]]&amp;". Quartal"</f>
        <v>2. Quartal</v>
      </c>
      <c r="K161">
        <f>_xlfn.ISOWEEKNUM(tbl_Kalender[[#This Row],[Datum]])</f>
        <v>23</v>
      </c>
    </row>
    <row r="162" spans="1:11" x14ac:dyDescent="0.25">
      <c r="A162" s="1">
        <v>45452</v>
      </c>
      <c r="B162">
        <f>YEAR(tbl_Kalender[[#This Row],[Datum]])</f>
        <v>2024</v>
      </c>
      <c r="C162">
        <f>DAY(tbl_Kalender[[#This Row],[Datum]])</f>
        <v>9</v>
      </c>
      <c r="D162" t="str">
        <f>TEXT(tbl_Kalender[[#This Row],[Datum]],"TTTT")</f>
        <v>Sonntag</v>
      </c>
      <c r="E162">
        <f>WEEKDAY(tbl_Kalender[[#This Row],[Datum]],2)</f>
        <v>7</v>
      </c>
      <c r="F162">
        <f>MONTH(tbl_Kalender[[#This Row],[Datum]])</f>
        <v>6</v>
      </c>
      <c r="G162" t="str">
        <f>TEXT(tbl_Kalender[[#This Row],[Datum]],"MMMM")</f>
        <v>Juni</v>
      </c>
      <c r="H162">
        <f>ROUNDUP(tbl_Kalender[[#This Row],[Monat]]/3,0)</f>
        <v>2</v>
      </c>
      <c r="I162" t="str">
        <f>"Q "&amp;tbl_Kalender[[#This Row],[Quartal]]</f>
        <v>Q 2</v>
      </c>
      <c r="J162" t="str">
        <f>tbl_Kalender[[#This Row],[Quartal]]&amp;". Quartal"</f>
        <v>2. Quartal</v>
      </c>
      <c r="K162">
        <f>_xlfn.ISOWEEKNUM(tbl_Kalender[[#This Row],[Datum]])</f>
        <v>23</v>
      </c>
    </row>
    <row r="163" spans="1:11" x14ac:dyDescent="0.25">
      <c r="A163" s="1">
        <v>45453</v>
      </c>
      <c r="B163">
        <f>YEAR(tbl_Kalender[[#This Row],[Datum]])</f>
        <v>2024</v>
      </c>
      <c r="C163">
        <f>DAY(tbl_Kalender[[#This Row],[Datum]])</f>
        <v>10</v>
      </c>
      <c r="D163" t="str">
        <f>TEXT(tbl_Kalender[[#This Row],[Datum]],"TTTT")</f>
        <v>Montag</v>
      </c>
      <c r="E163">
        <f>WEEKDAY(tbl_Kalender[[#This Row],[Datum]],2)</f>
        <v>1</v>
      </c>
      <c r="F163">
        <f>MONTH(tbl_Kalender[[#This Row],[Datum]])</f>
        <v>6</v>
      </c>
      <c r="G163" t="str">
        <f>TEXT(tbl_Kalender[[#This Row],[Datum]],"MMMM")</f>
        <v>Juni</v>
      </c>
      <c r="H163">
        <f>ROUNDUP(tbl_Kalender[[#This Row],[Monat]]/3,0)</f>
        <v>2</v>
      </c>
      <c r="I163" t="str">
        <f>"Q "&amp;tbl_Kalender[[#This Row],[Quartal]]</f>
        <v>Q 2</v>
      </c>
      <c r="J163" t="str">
        <f>tbl_Kalender[[#This Row],[Quartal]]&amp;". Quartal"</f>
        <v>2. Quartal</v>
      </c>
      <c r="K163">
        <f>_xlfn.ISOWEEKNUM(tbl_Kalender[[#This Row],[Datum]])</f>
        <v>24</v>
      </c>
    </row>
    <row r="164" spans="1:11" x14ac:dyDescent="0.25">
      <c r="A164" s="1">
        <v>45454</v>
      </c>
      <c r="B164">
        <f>YEAR(tbl_Kalender[[#This Row],[Datum]])</f>
        <v>2024</v>
      </c>
      <c r="C164">
        <f>DAY(tbl_Kalender[[#This Row],[Datum]])</f>
        <v>11</v>
      </c>
      <c r="D164" t="str">
        <f>TEXT(tbl_Kalender[[#This Row],[Datum]],"TTTT")</f>
        <v>Dienstag</v>
      </c>
      <c r="E164">
        <f>WEEKDAY(tbl_Kalender[[#This Row],[Datum]],2)</f>
        <v>2</v>
      </c>
      <c r="F164">
        <f>MONTH(tbl_Kalender[[#This Row],[Datum]])</f>
        <v>6</v>
      </c>
      <c r="G164" t="str">
        <f>TEXT(tbl_Kalender[[#This Row],[Datum]],"MMMM")</f>
        <v>Juni</v>
      </c>
      <c r="H164">
        <f>ROUNDUP(tbl_Kalender[[#This Row],[Monat]]/3,0)</f>
        <v>2</v>
      </c>
      <c r="I164" t="str">
        <f>"Q "&amp;tbl_Kalender[[#This Row],[Quartal]]</f>
        <v>Q 2</v>
      </c>
      <c r="J164" t="str">
        <f>tbl_Kalender[[#This Row],[Quartal]]&amp;". Quartal"</f>
        <v>2. Quartal</v>
      </c>
      <c r="K164">
        <f>_xlfn.ISOWEEKNUM(tbl_Kalender[[#This Row],[Datum]])</f>
        <v>24</v>
      </c>
    </row>
    <row r="165" spans="1:11" x14ac:dyDescent="0.25">
      <c r="A165" s="1">
        <v>45455</v>
      </c>
      <c r="B165">
        <f>YEAR(tbl_Kalender[[#This Row],[Datum]])</f>
        <v>2024</v>
      </c>
      <c r="C165">
        <f>DAY(tbl_Kalender[[#This Row],[Datum]])</f>
        <v>12</v>
      </c>
      <c r="D165" t="str">
        <f>TEXT(tbl_Kalender[[#This Row],[Datum]],"TTTT")</f>
        <v>Mittwoch</v>
      </c>
      <c r="E165">
        <f>WEEKDAY(tbl_Kalender[[#This Row],[Datum]],2)</f>
        <v>3</v>
      </c>
      <c r="F165">
        <f>MONTH(tbl_Kalender[[#This Row],[Datum]])</f>
        <v>6</v>
      </c>
      <c r="G165" t="str">
        <f>TEXT(tbl_Kalender[[#This Row],[Datum]],"MMMM")</f>
        <v>Juni</v>
      </c>
      <c r="H165">
        <f>ROUNDUP(tbl_Kalender[[#This Row],[Monat]]/3,0)</f>
        <v>2</v>
      </c>
      <c r="I165" t="str">
        <f>"Q "&amp;tbl_Kalender[[#This Row],[Quartal]]</f>
        <v>Q 2</v>
      </c>
      <c r="J165" t="str">
        <f>tbl_Kalender[[#This Row],[Quartal]]&amp;". Quartal"</f>
        <v>2. Quartal</v>
      </c>
      <c r="K165">
        <f>_xlfn.ISOWEEKNUM(tbl_Kalender[[#This Row],[Datum]])</f>
        <v>24</v>
      </c>
    </row>
    <row r="166" spans="1:11" x14ac:dyDescent="0.25">
      <c r="A166" s="1">
        <v>45456</v>
      </c>
      <c r="B166">
        <f>YEAR(tbl_Kalender[[#This Row],[Datum]])</f>
        <v>2024</v>
      </c>
      <c r="C166">
        <f>DAY(tbl_Kalender[[#This Row],[Datum]])</f>
        <v>13</v>
      </c>
      <c r="D166" t="str">
        <f>TEXT(tbl_Kalender[[#This Row],[Datum]],"TTTT")</f>
        <v>Donnerstag</v>
      </c>
      <c r="E166">
        <f>WEEKDAY(tbl_Kalender[[#This Row],[Datum]],2)</f>
        <v>4</v>
      </c>
      <c r="F166">
        <f>MONTH(tbl_Kalender[[#This Row],[Datum]])</f>
        <v>6</v>
      </c>
      <c r="G166" t="str">
        <f>TEXT(tbl_Kalender[[#This Row],[Datum]],"MMMM")</f>
        <v>Juni</v>
      </c>
      <c r="H166">
        <f>ROUNDUP(tbl_Kalender[[#This Row],[Monat]]/3,0)</f>
        <v>2</v>
      </c>
      <c r="I166" t="str">
        <f>"Q "&amp;tbl_Kalender[[#This Row],[Quartal]]</f>
        <v>Q 2</v>
      </c>
      <c r="J166" t="str">
        <f>tbl_Kalender[[#This Row],[Quartal]]&amp;". Quartal"</f>
        <v>2. Quartal</v>
      </c>
      <c r="K166">
        <f>_xlfn.ISOWEEKNUM(tbl_Kalender[[#This Row],[Datum]])</f>
        <v>24</v>
      </c>
    </row>
    <row r="167" spans="1:11" x14ac:dyDescent="0.25">
      <c r="A167" s="1">
        <v>45457</v>
      </c>
      <c r="B167">
        <f>YEAR(tbl_Kalender[[#This Row],[Datum]])</f>
        <v>2024</v>
      </c>
      <c r="C167">
        <f>DAY(tbl_Kalender[[#This Row],[Datum]])</f>
        <v>14</v>
      </c>
      <c r="D167" t="str">
        <f>TEXT(tbl_Kalender[[#This Row],[Datum]],"TTTT")</f>
        <v>Freitag</v>
      </c>
      <c r="E167">
        <f>WEEKDAY(tbl_Kalender[[#This Row],[Datum]],2)</f>
        <v>5</v>
      </c>
      <c r="F167">
        <f>MONTH(tbl_Kalender[[#This Row],[Datum]])</f>
        <v>6</v>
      </c>
      <c r="G167" t="str">
        <f>TEXT(tbl_Kalender[[#This Row],[Datum]],"MMMM")</f>
        <v>Juni</v>
      </c>
      <c r="H167">
        <f>ROUNDUP(tbl_Kalender[[#This Row],[Monat]]/3,0)</f>
        <v>2</v>
      </c>
      <c r="I167" t="str">
        <f>"Q "&amp;tbl_Kalender[[#This Row],[Quartal]]</f>
        <v>Q 2</v>
      </c>
      <c r="J167" t="str">
        <f>tbl_Kalender[[#This Row],[Quartal]]&amp;". Quartal"</f>
        <v>2. Quartal</v>
      </c>
      <c r="K167">
        <f>_xlfn.ISOWEEKNUM(tbl_Kalender[[#This Row],[Datum]])</f>
        <v>24</v>
      </c>
    </row>
    <row r="168" spans="1:11" x14ac:dyDescent="0.25">
      <c r="A168" s="1">
        <v>45458</v>
      </c>
      <c r="B168">
        <f>YEAR(tbl_Kalender[[#This Row],[Datum]])</f>
        <v>2024</v>
      </c>
      <c r="C168">
        <f>DAY(tbl_Kalender[[#This Row],[Datum]])</f>
        <v>15</v>
      </c>
      <c r="D168" t="str">
        <f>TEXT(tbl_Kalender[[#This Row],[Datum]],"TTTT")</f>
        <v>Samstag</v>
      </c>
      <c r="E168">
        <f>WEEKDAY(tbl_Kalender[[#This Row],[Datum]],2)</f>
        <v>6</v>
      </c>
      <c r="F168">
        <f>MONTH(tbl_Kalender[[#This Row],[Datum]])</f>
        <v>6</v>
      </c>
      <c r="G168" t="str">
        <f>TEXT(tbl_Kalender[[#This Row],[Datum]],"MMMM")</f>
        <v>Juni</v>
      </c>
      <c r="H168">
        <f>ROUNDUP(tbl_Kalender[[#This Row],[Monat]]/3,0)</f>
        <v>2</v>
      </c>
      <c r="I168" t="str">
        <f>"Q "&amp;tbl_Kalender[[#This Row],[Quartal]]</f>
        <v>Q 2</v>
      </c>
      <c r="J168" t="str">
        <f>tbl_Kalender[[#This Row],[Quartal]]&amp;". Quartal"</f>
        <v>2. Quartal</v>
      </c>
      <c r="K168">
        <f>_xlfn.ISOWEEKNUM(tbl_Kalender[[#This Row],[Datum]])</f>
        <v>24</v>
      </c>
    </row>
    <row r="169" spans="1:11" x14ac:dyDescent="0.25">
      <c r="A169" s="1">
        <v>45459</v>
      </c>
      <c r="B169">
        <f>YEAR(tbl_Kalender[[#This Row],[Datum]])</f>
        <v>2024</v>
      </c>
      <c r="C169">
        <f>DAY(tbl_Kalender[[#This Row],[Datum]])</f>
        <v>16</v>
      </c>
      <c r="D169" t="str">
        <f>TEXT(tbl_Kalender[[#This Row],[Datum]],"TTTT")</f>
        <v>Sonntag</v>
      </c>
      <c r="E169">
        <f>WEEKDAY(tbl_Kalender[[#This Row],[Datum]],2)</f>
        <v>7</v>
      </c>
      <c r="F169">
        <f>MONTH(tbl_Kalender[[#This Row],[Datum]])</f>
        <v>6</v>
      </c>
      <c r="G169" t="str">
        <f>TEXT(tbl_Kalender[[#This Row],[Datum]],"MMMM")</f>
        <v>Juni</v>
      </c>
      <c r="H169">
        <f>ROUNDUP(tbl_Kalender[[#This Row],[Monat]]/3,0)</f>
        <v>2</v>
      </c>
      <c r="I169" t="str">
        <f>"Q "&amp;tbl_Kalender[[#This Row],[Quartal]]</f>
        <v>Q 2</v>
      </c>
      <c r="J169" t="str">
        <f>tbl_Kalender[[#This Row],[Quartal]]&amp;". Quartal"</f>
        <v>2. Quartal</v>
      </c>
      <c r="K169">
        <f>_xlfn.ISOWEEKNUM(tbl_Kalender[[#This Row],[Datum]])</f>
        <v>24</v>
      </c>
    </row>
    <row r="170" spans="1:11" x14ac:dyDescent="0.25">
      <c r="A170" s="1">
        <v>45460</v>
      </c>
      <c r="B170">
        <f>YEAR(tbl_Kalender[[#This Row],[Datum]])</f>
        <v>2024</v>
      </c>
      <c r="C170">
        <f>DAY(tbl_Kalender[[#This Row],[Datum]])</f>
        <v>17</v>
      </c>
      <c r="D170" t="str">
        <f>TEXT(tbl_Kalender[[#This Row],[Datum]],"TTTT")</f>
        <v>Montag</v>
      </c>
      <c r="E170">
        <f>WEEKDAY(tbl_Kalender[[#This Row],[Datum]],2)</f>
        <v>1</v>
      </c>
      <c r="F170">
        <f>MONTH(tbl_Kalender[[#This Row],[Datum]])</f>
        <v>6</v>
      </c>
      <c r="G170" t="str">
        <f>TEXT(tbl_Kalender[[#This Row],[Datum]],"MMMM")</f>
        <v>Juni</v>
      </c>
      <c r="H170">
        <f>ROUNDUP(tbl_Kalender[[#This Row],[Monat]]/3,0)</f>
        <v>2</v>
      </c>
      <c r="I170" t="str">
        <f>"Q "&amp;tbl_Kalender[[#This Row],[Quartal]]</f>
        <v>Q 2</v>
      </c>
      <c r="J170" t="str">
        <f>tbl_Kalender[[#This Row],[Quartal]]&amp;". Quartal"</f>
        <v>2. Quartal</v>
      </c>
      <c r="K170">
        <f>_xlfn.ISOWEEKNUM(tbl_Kalender[[#This Row],[Datum]])</f>
        <v>25</v>
      </c>
    </row>
    <row r="171" spans="1:11" x14ac:dyDescent="0.25">
      <c r="A171" s="1">
        <v>45461</v>
      </c>
      <c r="B171">
        <f>YEAR(tbl_Kalender[[#This Row],[Datum]])</f>
        <v>2024</v>
      </c>
      <c r="C171">
        <f>DAY(tbl_Kalender[[#This Row],[Datum]])</f>
        <v>18</v>
      </c>
      <c r="D171" t="str">
        <f>TEXT(tbl_Kalender[[#This Row],[Datum]],"TTTT")</f>
        <v>Dienstag</v>
      </c>
      <c r="E171">
        <f>WEEKDAY(tbl_Kalender[[#This Row],[Datum]],2)</f>
        <v>2</v>
      </c>
      <c r="F171">
        <f>MONTH(tbl_Kalender[[#This Row],[Datum]])</f>
        <v>6</v>
      </c>
      <c r="G171" t="str">
        <f>TEXT(tbl_Kalender[[#This Row],[Datum]],"MMMM")</f>
        <v>Juni</v>
      </c>
      <c r="H171">
        <f>ROUNDUP(tbl_Kalender[[#This Row],[Monat]]/3,0)</f>
        <v>2</v>
      </c>
      <c r="I171" t="str">
        <f>"Q "&amp;tbl_Kalender[[#This Row],[Quartal]]</f>
        <v>Q 2</v>
      </c>
      <c r="J171" t="str">
        <f>tbl_Kalender[[#This Row],[Quartal]]&amp;". Quartal"</f>
        <v>2. Quartal</v>
      </c>
      <c r="K171">
        <f>_xlfn.ISOWEEKNUM(tbl_Kalender[[#This Row],[Datum]])</f>
        <v>25</v>
      </c>
    </row>
    <row r="172" spans="1:11" x14ac:dyDescent="0.25">
      <c r="A172" s="1">
        <v>45462</v>
      </c>
      <c r="B172">
        <f>YEAR(tbl_Kalender[[#This Row],[Datum]])</f>
        <v>2024</v>
      </c>
      <c r="C172">
        <f>DAY(tbl_Kalender[[#This Row],[Datum]])</f>
        <v>19</v>
      </c>
      <c r="D172" t="str">
        <f>TEXT(tbl_Kalender[[#This Row],[Datum]],"TTTT")</f>
        <v>Mittwoch</v>
      </c>
      <c r="E172">
        <f>WEEKDAY(tbl_Kalender[[#This Row],[Datum]],2)</f>
        <v>3</v>
      </c>
      <c r="F172">
        <f>MONTH(tbl_Kalender[[#This Row],[Datum]])</f>
        <v>6</v>
      </c>
      <c r="G172" t="str">
        <f>TEXT(tbl_Kalender[[#This Row],[Datum]],"MMMM")</f>
        <v>Juni</v>
      </c>
      <c r="H172">
        <f>ROUNDUP(tbl_Kalender[[#This Row],[Monat]]/3,0)</f>
        <v>2</v>
      </c>
      <c r="I172" t="str">
        <f>"Q "&amp;tbl_Kalender[[#This Row],[Quartal]]</f>
        <v>Q 2</v>
      </c>
      <c r="J172" t="str">
        <f>tbl_Kalender[[#This Row],[Quartal]]&amp;". Quartal"</f>
        <v>2. Quartal</v>
      </c>
      <c r="K172">
        <f>_xlfn.ISOWEEKNUM(tbl_Kalender[[#This Row],[Datum]])</f>
        <v>25</v>
      </c>
    </row>
    <row r="173" spans="1:11" x14ac:dyDescent="0.25">
      <c r="A173" s="1">
        <v>45463</v>
      </c>
      <c r="B173">
        <f>YEAR(tbl_Kalender[[#This Row],[Datum]])</f>
        <v>2024</v>
      </c>
      <c r="C173">
        <f>DAY(tbl_Kalender[[#This Row],[Datum]])</f>
        <v>20</v>
      </c>
      <c r="D173" t="str">
        <f>TEXT(tbl_Kalender[[#This Row],[Datum]],"TTTT")</f>
        <v>Donnerstag</v>
      </c>
      <c r="E173">
        <f>WEEKDAY(tbl_Kalender[[#This Row],[Datum]],2)</f>
        <v>4</v>
      </c>
      <c r="F173">
        <f>MONTH(tbl_Kalender[[#This Row],[Datum]])</f>
        <v>6</v>
      </c>
      <c r="G173" t="str">
        <f>TEXT(tbl_Kalender[[#This Row],[Datum]],"MMMM")</f>
        <v>Juni</v>
      </c>
      <c r="H173">
        <f>ROUNDUP(tbl_Kalender[[#This Row],[Monat]]/3,0)</f>
        <v>2</v>
      </c>
      <c r="I173" t="str">
        <f>"Q "&amp;tbl_Kalender[[#This Row],[Quartal]]</f>
        <v>Q 2</v>
      </c>
      <c r="J173" t="str">
        <f>tbl_Kalender[[#This Row],[Quartal]]&amp;". Quartal"</f>
        <v>2. Quartal</v>
      </c>
      <c r="K173">
        <f>_xlfn.ISOWEEKNUM(tbl_Kalender[[#This Row],[Datum]])</f>
        <v>25</v>
      </c>
    </row>
    <row r="174" spans="1:11" x14ac:dyDescent="0.25">
      <c r="A174" s="1">
        <v>45464</v>
      </c>
      <c r="B174">
        <f>YEAR(tbl_Kalender[[#This Row],[Datum]])</f>
        <v>2024</v>
      </c>
      <c r="C174">
        <f>DAY(tbl_Kalender[[#This Row],[Datum]])</f>
        <v>21</v>
      </c>
      <c r="D174" t="str">
        <f>TEXT(tbl_Kalender[[#This Row],[Datum]],"TTTT")</f>
        <v>Freitag</v>
      </c>
      <c r="E174">
        <f>WEEKDAY(tbl_Kalender[[#This Row],[Datum]],2)</f>
        <v>5</v>
      </c>
      <c r="F174">
        <f>MONTH(tbl_Kalender[[#This Row],[Datum]])</f>
        <v>6</v>
      </c>
      <c r="G174" t="str">
        <f>TEXT(tbl_Kalender[[#This Row],[Datum]],"MMMM")</f>
        <v>Juni</v>
      </c>
      <c r="H174">
        <f>ROUNDUP(tbl_Kalender[[#This Row],[Monat]]/3,0)</f>
        <v>2</v>
      </c>
      <c r="I174" t="str">
        <f>"Q "&amp;tbl_Kalender[[#This Row],[Quartal]]</f>
        <v>Q 2</v>
      </c>
      <c r="J174" t="str">
        <f>tbl_Kalender[[#This Row],[Quartal]]&amp;". Quartal"</f>
        <v>2. Quartal</v>
      </c>
      <c r="K174">
        <f>_xlfn.ISOWEEKNUM(tbl_Kalender[[#This Row],[Datum]])</f>
        <v>25</v>
      </c>
    </row>
    <row r="175" spans="1:11" x14ac:dyDescent="0.25">
      <c r="A175" s="1">
        <v>45465</v>
      </c>
      <c r="B175">
        <f>YEAR(tbl_Kalender[[#This Row],[Datum]])</f>
        <v>2024</v>
      </c>
      <c r="C175">
        <f>DAY(tbl_Kalender[[#This Row],[Datum]])</f>
        <v>22</v>
      </c>
      <c r="D175" t="str">
        <f>TEXT(tbl_Kalender[[#This Row],[Datum]],"TTTT")</f>
        <v>Samstag</v>
      </c>
      <c r="E175">
        <f>WEEKDAY(tbl_Kalender[[#This Row],[Datum]],2)</f>
        <v>6</v>
      </c>
      <c r="F175">
        <f>MONTH(tbl_Kalender[[#This Row],[Datum]])</f>
        <v>6</v>
      </c>
      <c r="G175" t="str">
        <f>TEXT(tbl_Kalender[[#This Row],[Datum]],"MMMM")</f>
        <v>Juni</v>
      </c>
      <c r="H175">
        <f>ROUNDUP(tbl_Kalender[[#This Row],[Monat]]/3,0)</f>
        <v>2</v>
      </c>
      <c r="I175" t="str">
        <f>"Q "&amp;tbl_Kalender[[#This Row],[Quartal]]</f>
        <v>Q 2</v>
      </c>
      <c r="J175" t="str">
        <f>tbl_Kalender[[#This Row],[Quartal]]&amp;". Quartal"</f>
        <v>2. Quartal</v>
      </c>
      <c r="K175">
        <f>_xlfn.ISOWEEKNUM(tbl_Kalender[[#This Row],[Datum]])</f>
        <v>25</v>
      </c>
    </row>
    <row r="176" spans="1:11" x14ac:dyDescent="0.25">
      <c r="A176" s="1">
        <v>45466</v>
      </c>
      <c r="B176">
        <f>YEAR(tbl_Kalender[[#This Row],[Datum]])</f>
        <v>2024</v>
      </c>
      <c r="C176">
        <f>DAY(tbl_Kalender[[#This Row],[Datum]])</f>
        <v>23</v>
      </c>
      <c r="D176" t="str">
        <f>TEXT(tbl_Kalender[[#This Row],[Datum]],"TTTT")</f>
        <v>Sonntag</v>
      </c>
      <c r="E176">
        <f>WEEKDAY(tbl_Kalender[[#This Row],[Datum]],2)</f>
        <v>7</v>
      </c>
      <c r="F176">
        <f>MONTH(tbl_Kalender[[#This Row],[Datum]])</f>
        <v>6</v>
      </c>
      <c r="G176" t="str">
        <f>TEXT(tbl_Kalender[[#This Row],[Datum]],"MMMM")</f>
        <v>Juni</v>
      </c>
      <c r="H176">
        <f>ROUNDUP(tbl_Kalender[[#This Row],[Monat]]/3,0)</f>
        <v>2</v>
      </c>
      <c r="I176" t="str">
        <f>"Q "&amp;tbl_Kalender[[#This Row],[Quartal]]</f>
        <v>Q 2</v>
      </c>
      <c r="J176" t="str">
        <f>tbl_Kalender[[#This Row],[Quartal]]&amp;". Quartal"</f>
        <v>2. Quartal</v>
      </c>
      <c r="K176">
        <f>_xlfn.ISOWEEKNUM(tbl_Kalender[[#This Row],[Datum]])</f>
        <v>25</v>
      </c>
    </row>
    <row r="177" spans="1:11" x14ac:dyDescent="0.25">
      <c r="A177" s="1">
        <v>45467</v>
      </c>
      <c r="B177">
        <f>YEAR(tbl_Kalender[[#This Row],[Datum]])</f>
        <v>2024</v>
      </c>
      <c r="C177">
        <f>DAY(tbl_Kalender[[#This Row],[Datum]])</f>
        <v>24</v>
      </c>
      <c r="D177" t="str">
        <f>TEXT(tbl_Kalender[[#This Row],[Datum]],"TTTT")</f>
        <v>Montag</v>
      </c>
      <c r="E177">
        <f>WEEKDAY(tbl_Kalender[[#This Row],[Datum]],2)</f>
        <v>1</v>
      </c>
      <c r="F177">
        <f>MONTH(tbl_Kalender[[#This Row],[Datum]])</f>
        <v>6</v>
      </c>
      <c r="G177" t="str">
        <f>TEXT(tbl_Kalender[[#This Row],[Datum]],"MMMM")</f>
        <v>Juni</v>
      </c>
      <c r="H177">
        <f>ROUNDUP(tbl_Kalender[[#This Row],[Monat]]/3,0)</f>
        <v>2</v>
      </c>
      <c r="I177" t="str">
        <f>"Q "&amp;tbl_Kalender[[#This Row],[Quartal]]</f>
        <v>Q 2</v>
      </c>
      <c r="J177" t="str">
        <f>tbl_Kalender[[#This Row],[Quartal]]&amp;". Quartal"</f>
        <v>2. Quartal</v>
      </c>
      <c r="K177">
        <f>_xlfn.ISOWEEKNUM(tbl_Kalender[[#This Row],[Datum]])</f>
        <v>26</v>
      </c>
    </row>
    <row r="178" spans="1:11" x14ac:dyDescent="0.25">
      <c r="A178" s="1">
        <v>45468</v>
      </c>
      <c r="B178">
        <f>YEAR(tbl_Kalender[[#This Row],[Datum]])</f>
        <v>2024</v>
      </c>
      <c r="C178">
        <f>DAY(tbl_Kalender[[#This Row],[Datum]])</f>
        <v>25</v>
      </c>
      <c r="D178" t="str">
        <f>TEXT(tbl_Kalender[[#This Row],[Datum]],"TTTT")</f>
        <v>Dienstag</v>
      </c>
      <c r="E178">
        <f>WEEKDAY(tbl_Kalender[[#This Row],[Datum]],2)</f>
        <v>2</v>
      </c>
      <c r="F178">
        <f>MONTH(tbl_Kalender[[#This Row],[Datum]])</f>
        <v>6</v>
      </c>
      <c r="G178" t="str">
        <f>TEXT(tbl_Kalender[[#This Row],[Datum]],"MMMM")</f>
        <v>Juni</v>
      </c>
      <c r="H178">
        <f>ROUNDUP(tbl_Kalender[[#This Row],[Monat]]/3,0)</f>
        <v>2</v>
      </c>
      <c r="I178" t="str">
        <f>"Q "&amp;tbl_Kalender[[#This Row],[Quartal]]</f>
        <v>Q 2</v>
      </c>
      <c r="J178" t="str">
        <f>tbl_Kalender[[#This Row],[Quartal]]&amp;". Quartal"</f>
        <v>2. Quartal</v>
      </c>
      <c r="K178">
        <f>_xlfn.ISOWEEKNUM(tbl_Kalender[[#This Row],[Datum]])</f>
        <v>26</v>
      </c>
    </row>
    <row r="179" spans="1:11" x14ac:dyDescent="0.25">
      <c r="A179" s="1">
        <v>45469</v>
      </c>
      <c r="B179">
        <f>YEAR(tbl_Kalender[[#This Row],[Datum]])</f>
        <v>2024</v>
      </c>
      <c r="C179">
        <f>DAY(tbl_Kalender[[#This Row],[Datum]])</f>
        <v>26</v>
      </c>
      <c r="D179" t="str">
        <f>TEXT(tbl_Kalender[[#This Row],[Datum]],"TTTT")</f>
        <v>Mittwoch</v>
      </c>
      <c r="E179">
        <f>WEEKDAY(tbl_Kalender[[#This Row],[Datum]],2)</f>
        <v>3</v>
      </c>
      <c r="F179">
        <f>MONTH(tbl_Kalender[[#This Row],[Datum]])</f>
        <v>6</v>
      </c>
      <c r="G179" t="str">
        <f>TEXT(tbl_Kalender[[#This Row],[Datum]],"MMMM")</f>
        <v>Juni</v>
      </c>
      <c r="H179">
        <f>ROUNDUP(tbl_Kalender[[#This Row],[Monat]]/3,0)</f>
        <v>2</v>
      </c>
      <c r="I179" t="str">
        <f>"Q "&amp;tbl_Kalender[[#This Row],[Quartal]]</f>
        <v>Q 2</v>
      </c>
      <c r="J179" t="str">
        <f>tbl_Kalender[[#This Row],[Quartal]]&amp;". Quartal"</f>
        <v>2. Quartal</v>
      </c>
      <c r="K179">
        <f>_xlfn.ISOWEEKNUM(tbl_Kalender[[#This Row],[Datum]])</f>
        <v>26</v>
      </c>
    </row>
    <row r="180" spans="1:11" x14ac:dyDescent="0.25">
      <c r="A180" s="1">
        <v>45470</v>
      </c>
      <c r="B180">
        <f>YEAR(tbl_Kalender[[#This Row],[Datum]])</f>
        <v>2024</v>
      </c>
      <c r="C180">
        <f>DAY(tbl_Kalender[[#This Row],[Datum]])</f>
        <v>27</v>
      </c>
      <c r="D180" t="str">
        <f>TEXT(tbl_Kalender[[#This Row],[Datum]],"TTTT")</f>
        <v>Donnerstag</v>
      </c>
      <c r="E180">
        <f>WEEKDAY(tbl_Kalender[[#This Row],[Datum]],2)</f>
        <v>4</v>
      </c>
      <c r="F180">
        <f>MONTH(tbl_Kalender[[#This Row],[Datum]])</f>
        <v>6</v>
      </c>
      <c r="G180" t="str">
        <f>TEXT(tbl_Kalender[[#This Row],[Datum]],"MMMM")</f>
        <v>Juni</v>
      </c>
      <c r="H180">
        <f>ROUNDUP(tbl_Kalender[[#This Row],[Monat]]/3,0)</f>
        <v>2</v>
      </c>
      <c r="I180" t="str">
        <f>"Q "&amp;tbl_Kalender[[#This Row],[Quartal]]</f>
        <v>Q 2</v>
      </c>
      <c r="J180" t="str">
        <f>tbl_Kalender[[#This Row],[Quartal]]&amp;". Quartal"</f>
        <v>2. Quartal</v>
      </c>
      <c r="K180">
        <f>_xlfn.ISOWEEKNUM(tbl_Kalender[[#This Row],[Datum]])</f>
        <v>26</v>
      </c>
    </row>
    <row r="181" spans="1:11" x14ac:dyDescent="0.25">
      <c r="A181" s="1">
        <v>45471</v>
      </c>
      <c r="B181">
        <f>YEAR(tbl_Kalender[[#This Row],[Datum]])</f>
        <v>2024</v>
      </c>
      <c r="C181">
        <f>DAY(tbl_Kalender[[#This Row],[Datum]])</f>
        <v>28</v>
      </c>
      <c r="D181" t="str">
        <f>TEXT(tbl_Kalender[[#This Row],[Datum]],"TTTT")</f>
        <v>Freitag</v>
      </c>
      <c r="E181">
        <f>WEEKDAY(tbl_Kalender[[#This Row],[Datum]],2)</f>
        <v>5</v>
      </c>
      <c r="F181">
        <f>MONTH(tbl_Kalender[[#This Row],[Datum]])</f>
        <v>6</v>
      </c>
      <c r="G181" t="str">
        <f>TEXT(tbl_Kalender[[#This Row],[Datum]],"MMMM")</f>
        <v>Juni</v>
      </c>
      <c r="H181">
        <f>ROUNDUP(tbl_Kalender[[#This Row],[Monat]]/3,0)</f>
        <v>2</v>
      </c>
      <c r="I181" t="str">
        <f>"Q "&amp;tbl_Kalender[[#This Row],[Quartal]]</f>
        <v>Q 2</v>
      </c>
      <c r="J181" t="str">
        <f>tbl_Kalender[[#This Row],[Quartal]]&amp;". Quartal"</f>
        <v>2. Quartal</v>
      </c>
      <c r="K181">
        <f>_xlfn.ISOWEEKNUM(tbl_Kalender[[#This Row],[Datum]])</f>
        <v>26</v>
      </c>
    </row>
    <row r="182" spans="1:11" x14ac:dyDescent="0.25">
      <c r="A182" s="1">
        <v>45472</v>
      </c>
      <c r="B182">
        <f>YEAR(tbl_Kalender[[#This Row],[Datum]])</f>
        <v>2024</v>
      </c>
      <c r="C182">
        <f>DAY(tbl_Kalender[[#This Row],[Datum]])</f>
        <v>29</v>
      </c>
      <c r="D182" t="str">
        <f>TEXT(tbl_Kalender[[#This Row],[Datum]],"TTTT")</f>
        <v>Samstag</v>
      </c>
      <c r="E182">
        <f>WEEKDAY(tbl_Kalender[[#This Row],[Datum]],2)</f>
        <v>6</v>
      </c>
      <c r="F182">
        <f>MONTH(tbl_Kalender[[#This Row],[Datum]])</f>
        <v>6</v>
      </c>
      <c r="G182" t="str">
        <f>TEXT(tbl_Kalender[[#This Row],[Datum]],"MMMM")</f>
        <v>Juni</v>
      </c>
      <c r="H182">
        <f>ROUNDUP(tbl_Kalender[[#This Row],[Monat]]/3,0)</f>
        <v>2</v>
      </c>
      <c r="I182" t="str">
        <f>"Q "&amp;tbl_Kalender[[#This Row],[Quartal]]</f>
        <v>Q 2</v>
      </c>
      <c r="J182" t="str">
        <f>tbl_Kalender[[#This Row],[Quartal]]&amp;". Quartal"</f>
        <v>2. Quartal</v>
      </c>
      <c r="K182">
        <f>_xlfn.ISOWEEKNUM(tbl_Kalender[[#This Row],[Datum]])</f>
        <v>26</v>
      </c>
    </row>
    <row r="183" spans="1:11" x14ac:dyDescent="0.25">
      <c r="A183" s="1">
        <v>45473</v>
      </c>
      <c r="B183">
        <f>YEAR(tbl_Kalender[[#This Row],[Datum]])</f>
        <v>2024</v>
      </c>
      <c r="C183">
        <f>DAY(tbl_Kalender[[#This Row],[Datum]])</f>
        <v>30</v>
      </c>
      <c r="D183" t="str">
        <f>TEXT(tbl_Kalender[[#This Row],[Datum]],"TTTT")</f>
        <v>Sonntag</v>
      </c>
      <c r="E183">
        <f>WEEKDAY(tbl_Kalender[[#This Row],[Datum]],2)</f>
        <v>7</v>
      </c>
      <c r="F183">
        <f>MONTH(tbl_Kalender[[#This Row],[Datum]])</f>
        <v>6</v>
      </c>
      <c r="G183" t="str">
        <f>TEXT(tbl_Kalender[[#This Row],[Datum]],"MMMM")</f>
        <v>Juni</v>
      </c>
      <c r="H183">
        <f>ROUNDUP(tbl_Kalender[[#This Row],[Monat]]/3,0)</f>
        <v>2</v>
      </c>
      <c r="I183" t="str">
        <f>"Q "&amp;tbl_Kalender[[#This Row],[Quartal]]</f>
        <v>Q 2</v>
      </c>
      <c r="J183" t="str">
        <f>tbl_Kalender[[#This Row],[Quartal]]&amp;". Quartal"</f>
        <v>2. Quartal</v>
      </c>
      <c r="K183">
        <f>_xlfn.ISOWEEKNUM(tbl_Kalender[[#This Row],[Datum]])</f>
        <v>26</v>
      </c>
    </row>
    <row r="184" spans="1:11" x14ac:dyDescent="0.25">
      <c r="A184" s="1">
        <v>45474</v>
      </c>
      <c r="B184">
        <f>YEAR(tbl_Kalender[[#This Row],[Datum]])</f>
        <v>2024</v>
      </c>
      <c r="C184">
        <f>DAY(tbl_Kalender[[#This Row],[Datum]])</f>
        <v>1</v>
      </c>
      <c r="D184" t="str">
        <f>TEXT(tbl_Kalender[[#This Row],[Datum]],"TTTT")</f>
        <v>Montag</v>
      </c>
      <c r="E184">
        <f>WEEKDAY(tbl_Kalender[[#This Row],[Datum]],2)</f>
        <v>1</v>
      </c>
      <c r="F184">
        <f>MONTH(tbl_Kalender[[#This Row],[Datum]])</f>
        <v>7</v>
      </c>
      <c r="G184" t="str">
        <f>TEXT(tbl_Kalender[[#This Row],[Datum]],"MMMM")</f>
        <v>Juli</v>
      </c>
      <c r="H184">
        <f>ROUNDUP(tbl_Kalender[[#This Row],[Monat]]/3,0)</f>
        <v>3</v>
      </c>
      <c r="I184" t="str">
        <f>"Q "&amp;tbl_Kalender[[#This Row],[Quartal]]</f>
        <v>Q 3</v>
      </c>
      <c r="J184" t="str">
        <f>tbl_Kalender[[#This Row],[Quartal]]&amp;". Quartal"</f>
        <v>3. Quartal</v>
      </c>
      <c r="K184">
        <f>_xlfn.ISOWEEKNUM(tbl_Kalender[[#This Row],[Datum]])</f>
        <v>27</v>
      </c>
    </row>
    <row r="185" spans="1:11" x14ac:dyDescent="0.25">
      <c r="A185" s="1">
        <v>45475</v>
      </c>
      <c r="B185">
        <f>YEAR(tbl_Kalender[[#This Row],[Datum]])</f>
        <v>2024</v>
      </c>
      <c r="C185">
        <f>DAY(tbl_Kalender[[#This Row],[Datum]])</f>
        <v>2</v>
      </c>
      <c r="D185" t="str">
        <f>TEXT(tbl_Kalender[[#This Row],[Datum]],"TTTT")</f>
        <v>Dienstag</v>
      </c>
      <c r="E185">
        <f>WEEKDAY(tbl_Kalender[[#This Row],[Datum]],2)</f>
        <v>2</v>
      </c>
      <c r="F185">
        <f>MONTH(tbl_Kalender[[#This Row],[Datum]])</f>
        <v>7</v>
      </c>
      <c r="G185" t="str">
        <f>TEXT(tbl_Kalender[[#This Row],[Datum]],"MMMM")</f>
        <v>Juli</v>
      </c>
      <c r="H185">
        <f>ROUNDUP(tbl_Kalender[[#This Row],[Monat]]/3,0)</f>
        <v>3</v>
      </c>
      <c r="I185" t="str">
        <f>"Q "&amp;tbl_Kalender[[#This Row],[Quartal]]</f>
        <v>Q 3</v>
      </c>
      <c r="J185" t="str">
        <f>tbl_Kalender[[#This Row],[Quartal]]&amp;". Quartal"</f>
        <v>3. Quartal</v>
      </c>
      <c r="K185">
        <f>_xlfn.ISOWEEKNUM(tbl_Kalender[[#This Row],[Datum]])</f>
        <v>27</v>
      </c>
    </row>
    <row r="186" spans="1:11" x14ac:dyDescent="0.25">
      <c r="A186" s="1">
        <v>45476</v>
      </c>
      <c r="B186">
        <f>YEAR(tbl_Kalender[[#This Row],[Datum]])</f>
        <v>2024</v>
      </c>
      <c r="C186">
        <f>DAY(tbl_Kalender[[#This Row],[Datum]])</f>
        <v>3</v>
      </c>
      <c r="D186" t="str">
        <f>TEXT(tbl_Kalender[[#This Row],[Datum]],"TTTT")</f>
        <v>Mittwoch</v>
      </c>
      <c r="E186">
        <f>WEEKDAY(tbl_Kalender[[#This Row],[Datum]],2)</f>
        <v>3</v>
      </c>
      <c r="F186">
        <f>MONTH(tbl_Kalender[[#This Row],[Datum]])</f>
        <v>7</v>
      </c>
      <c r="G186" t="str">
        <f>TEXT(tbl_Kalender[[#This Row],[Datum]],"MMMM")</f>
        <v>Juli</v>
      </c>
      <c r="H186">
        <f>ROUNDUP(tbl_Kalender[[#This Row],[Monat]]/3,0)</f>
        <v>3</v>
      </c>
      <c r="I186" t="str">
        <f>"Q "&amp;tbl_Kalender[[#This Row],[Quartal]]</f>
        <v>Q 3</v>
      </c>
      <c r="J186" t="str">
        <f>tbl_Kalender[[#This Row],[Quartal]]&amp;". Quartal"</f>
        <v>3. Quartal</v>
      </c>
      <c r="K186">
        <f>_xlfn.ISOWEEKNUM(tbl_Kalender[[#This Row],[Datum]])</f>
        <v>27</v>
      </c>
    </row>
    <row r="187" spans="1:11" x14ac:dyDescent="0.25">
      <c r="A187" s="1">
        <v>45477</v>
      </c>
      <c r="B187">
        <f>YEAR(tbl_Kalender[[#This Row],[Datum]])</f>
        <v>2024</v>
      </c>
      <c r="C187">
        <f>DAY(tbl_Kalender[[#This Row],[Datum]])</f>
        <v>4</v>
      </c>
      <c r="D187" t="str">
        <f>TEXT(tbl_Kalender[[#This Row],[Datum]],"TTTT")</f>
        <v>Donnerstag</v>
      </c>
      <c r="E187">
        <f>WEEKDAY(tbl_Kalender[[#This Row],[Datum]],2)</f>
        <v>4</v>
      </c>
      <c r="F187">
        <f>MONTH(tbl_Kalender[[#This Row],[Datum]])</f>
        <v>7</v>
      </c>
      <c r="G187" t="str">
        <f>TEXT(tbl_Kalender[[#This Row],[Datum]],"MMMM")</f>
        <v>Juli</v>
      </c>
      <c r="H187">
        <f>ROUNDUP(tbl_Kalender[[#This Row],[Monat]]/3,0)</f>
        <v>3</v>
      </c>
      <c r="I187" t="str">
        <f>"Q "&amp;tbl_Kalender[[#This Row],[Quartal]]</f>
        <v>Q 3</v>
      </c>
      <c r="J187" t="str">
        <f>tbl_Kalender[[#This Row],[Quartal]]&amp;". Quartal"</f>
        <v>3. Quartal</v>
      </c>
      <c r="K187">
        <f>_xlfn.ISOWEEKNUM(tbl_Kalender[[#This Row],[Datum]])</f>
        <v>27</v>
      </c>
    </row>
    <row r="188" spans="1:11" x14ac:dyDescent="0.25">
      <c r="A188" s="1">
        <v>45478</v>
      </c>
      <c r="B188">
        <f>YEAR(tbl_Kalender[[#This Row],[Datum]])</f>
        <v>2024</v>
      </c>
      <c r="C188">
        <f>DAY(tbl_Kalender[[#This Row],[Datum]])</f>
        <v>5</v>
      </c>
      <c r="D188" t="str">
        <f>TEXT(tbl_Kalender[[#This Row],[Datum]],"TTTT")</f>
        <v>Freitag</v>
      </c>
      <c r="E188">
        <f>WEEKDAY(tbl_Kalender[[#This Row],[Datum]],2)</f>
        <v>5</v>
      </c>
      <c r="F188">
        <f>MONTH(tbl_Kalender[[#This Row],[Datum]])</f>
        <v>7</v>
      </c>
      <c r="G188" t="str">
        <f>TEXT(tbl_Kalender[[#This Row],[Datum]],"MMMM")</f>
        <v>Juli</v>
      </c>
      <c r="H188">
        <f>ROUNDUP(tbl_Kalender[[#This Row],[Monat]]/3,0)</f>
        <v>3</v>
      </c>
      <c r="I188" t="str">
        <f>"Q "&amp;tbl_Kalender[[#This Row],[Quartal]]</f>
        <v>Q 3</v>
      </c>
      <c r="J188" t="str">
        <f>tbl_Kalender[[#This Row],[Quartal]]&amp;". Quartal"</f>
        <v>3. Quartal</v>
      </c>
      <c r="K188">
        <f>_xlfn.ISOWEEKNUM(tbl_Kalender[[#This Row],[Datum]])</f>
        <v>27</v>
      </c>
    </row>
    <row r="189" spans="1:11" x14ac:dyDescent="0.25">
      <c r="A189" s="1">
        <v>45479</v>
      </c>
      <c r="B189">
        <f>YEAR(tbl_Kalender[[#This Row],[Datum]])</f>
        <v>2024</v>
      </c>
      <c r="C189">
        <f>DAY(tbl_Kalender[[#This Row],[Datum]])</f>
        <v>6</v>
      </c>
      <c r="D189" t="str">
        <f>TEXT(tbl_Kalender[[#This Row],[Datum]],"TTTT")</f>
        <v>Samstag</v>
      </c>
      <c r="E189">
        <f>WEEKDAY(tbl_Kalender[[#This Row],[Datum]],2)</f>
        <v>6</v>
      </c>
      <c r="F189">
        <f>MONTH(tbl_Kalender[[#This Row],[Datum]])</f>
        <v>7</v>
      </c>
      <c r="G189" t="str">
        <f>TEXT(tbl_Kalender[[#This Row],[Datum]],"MMMM")</f>
        <v>Juli</v>
      </c>
      <c r="H189">
        <f>ROUNDUP(tbl_Kalender[[#This Row],[Monat]]/3,0)</f>
        <v>3</v>
      </c>
      <c r="I189" t="str">
        <f>"Q "&amp;tbl_Kalender[[#This Row],[Quartal]]</f>
        <v>Q 3</v>
      </c>
      <c r="J189" t="str">
        <f>tbl_Kalender[[#This Row],[Quartal]]&amp;". Quartal"</f>
        <v>3. Quartal</v>
      </c>
      <c r="K189">
        <f>_xlfn.ISOWEEKNUM(tbl_Kalender[[#This Row],[Datum]])</f>
        <v>27</v>
      </c>
    </row>
    <row r="190" spans="1:11" x14ac:dyDescent="0.25">
      <c r="A190" s="1">
        <v>45480</v>
      </c>
      <c r="B190">
        <f>YEAR(tbl_Kalender[[#This Row],[Datum]])</f>
        <v>2024</v>
      </c>
      <c r="C190">
        <f>DAY(tbl_Kalender[[#This Row],[Datum]])</f>
        <v>7</v>
      </c>
      <c r="D190" t="str">
        <f>TEXT(tbl_Kalender[[#This Row],[Datum]],"TTTT")</f>
        <v>Sonntag</v>
      </c>
      <c r="E190">
        <f>WEEKDAY(tbl_Kalender[[#This Row],[Datum]],2)</f>
        <v>7</v>
      </c>
      <c r="F190">
        <f>MONTH(tbl_Kalender[[#This Row],[Datum]])</f>
        <v>7</v>
      </c>
      <c r="G190" t="str">
        <f>TEXT(tbl_Kalender[[#This Row],[Datum]],"MMMM")</f>
        <v>Juli</v>
      </c>
      <c r="H190">
        <f>ROUNDUP(tbl_Kalender[[#This Row],[Monat]]/3,0)</f>
        <v>3</v>
      </c>
      <c r="I190" t="str">
        <f>"Q "&amp;tbl_Kalender[[#This Row],[Quartal]]</f>
        <v>Q 3</v>
      </c>
      <c r="J190" t="str">
        <f>tbl_Kalender[[#This Row],[Quartal]]&amp;". Quartal"</f>
        <v>3. Quartal</v>
      </c>
      <c r="K190">
        <f>_xlfn.ISOWEEKNUM(tbl_Kalender[[#This Row],[Datum]])</f>
        <v>27</v>
      </c>
    </row>
    <row r="191" spans="1:11" x14ac:dyDescent="0.25">
      <c r="A191" s="1">
        <v>45481</v>
      </c>
      <c r="B191">
        <f>YEAR(tbl_Kalender[[#This Row],[Datum]])</f>
        <v>2024</v>
      </c>
      <c r="C191">
        <f>DAY(tbl_Kalender[[#This Row],[Datum]])</f>
        <v>8</v>
      </c>
      <c r="D191" t="str">
        <f>TEXT(tbl_Kalender[[#This Row],[Datum]],"TTTT")</f>
        <v>Montag</v>
      </c>
      <c r="E191">
        <f>WEEKDAY(tbl_Kalender[[#This Row],[Datum]],2)</f>
        <v>1</v>
      </c>
      <c r="F191">
        <f>MONTH(tbl_Kalender[[#This Row],[Datum]])</f>
        <v>7</v>
      </c>
      <c r="G191" t="str">
        <f>TEXT(tbl_Kalender[[#This Row],[Datum]],"MMMM")</f>
        <v>Juli</v>
      </c>
      <c r="H191">
        <f>ROUNDUP(tbl_Kalender[[#This Row],[Monat]]/3,0)</f>
        <v>3</v>
      </c>
      <c r="I191" t="str">
        <f>"Q "&amp;tbl_Kalender[[#This Row],[Quartal]]</f>
        <v>Q 3</v>
      </c>
      <c r="J191" t="str">
        <f>tbl_Kalender[[#This Row],[Quartal]]&amp;". Quartal"</f>
        <v>3. Quartal</v>
      </c>
      <c r="K191">
        <f>_xlfn.ISOWEEKNUM(tbl_Kalender[[#This Row],[Datum]])</f>
        <v>28</v>
      </c>
    </row>
    <row r="192" spans="1:11" x14ac:dyDescent="0.25">
      <c r="A192" s="1">
        <v>45482</v>
      </c>
      <c r="B192">
        <f>YEAR(tbl_Kalender[[#This Row],[Datum]])</f>
        <v>2024</v>
      </c>
      <c r="C192">
        <f>DAY(tbl_Kalender[[#This Row],[Datum]])</f>
        <v>9</v>
      </c>
      <c r="D192" t="str">
        <f>TEXT(tbl_Kalender[[#This Row],[Datum]],"TTTT")</f>
        <v>Dienstag</v>
      </c>
      <c r="E192">
        <f>WEEKDAY(tbl_Kalender[[#This Row],[Datum]],2)</f>
        <v>2</v>
      </c>
      <c r="F192">
        <f>MONTH(tbl_Kalender[[#This Row],[Datum]])</f>
        <v>7</v>
      </c>
      <c r="G192" t="str">
        <f>TEXT(tbl_Kalender[[#This Row],[Datum]],"MMMM")</f>
        <v>Juli</v>
      </c>
      <c r="H192">
        <f>ROUNDUP(tbl_Kalender[[#This Row],[Monat]]/3,0)</f>
        <v>3</v>
      </c>
      <c r="I192" t="str">
        <f>"Q "&amp;tbl_Kalender[[#This Row],[Quartal]]</f>
        <v>Q 3</v>
      </c>
      <c r="J192" t="str">
        <f>tbl_Kalender[[#This Row],[Quartal]]&amp;". Quartal"</f>
        <v>3. Quartal</v>
      </c>
      <c r="K192">
        <f>_xlfn.ISOWEEKNUM(tbl_Kalender[[#This Row],[Datum]])</f>
        <v>28</v>
      </c>
    </row>
    <row r="193" spans="1:11" x14ac:dyDescent="0.25">
      <c r="A193" s="1">
        <v>45483</v>
      </c>
      <c r="B193">
        <f>YEAR(tbl_Kalender[[#This Row],[Datum]])</f>
        <v>2024</v>
      </c>
      <c r="C193">
        <f>DAY(tbl_Kalender[[#This Row],[Datum]])</f>
        <v>10</v>
      </c>
      <c r="D193" t="str">
        <f>TEXT(tbl_Kalender[[#This Row],[Datum]],"TTTT")</f>
        <v>Mittwoch</v>
      </c>
      <c r="E193">
        <f>WEEKDAY(tbl_Kalender[[#This Row],[Datum]],2)</f>
        <v>3</v>
      </c>
      <c r="F193">
        <f>MONTH(tbl_Kalender[[#This Row],[Datum]])</f>
        <v>7</v>
      </c>
      <c r="G193" t="str">
        <f>TEXT(tbl_Kalender[[#This Row],[Datum]],"MMMM")</f>
        <v>Juli</v>
      </c>
      <c r="H193">
        <f>ROUNDUP(tbl_Kalender[[#This Row],[Monat]]/3,0)</f>
        <v>3</v>
      </c>
      <c r="I193" t="str">
        <f>"Q "&amp;tbl_Kalender[[#This Row],[Quartal]]</f>
        <v>Q 3</v>
      </c>
      <c r="J193" t="str">
        <f>tbl_Kalender[[#This Row],[Quartal]]&amp;". Quartal"</f>
        <v>3. Quartal</v>
      </c>
      <c r="K193">
        <f>_xlfn.ISOWEEKNUM(tbl_Kalender[[#This Row],[Datum]])</f>
        <v>28</v>
      </c>
    </row>
    <row r="194" spans="1:11" x14ac:dyDescent="0.25">
      <c r="A194" s="1">
        <v>45484</v>
      </c>
      <c r="B194">
        <f>YEAR(tbl_Kalender[[#This Row],[Datum]])</f>
        <v>2024</v>
      </c>
      <c r="C194">
        <f>DAY(tbl_Kalender[[#This Row],[Datum]])</f>
        <v>11</v>
      </c>
      <c r="D194" t="str">
        <f>TEXT(tbl_Kalender[[#This Row],[Datum]],"TTTT")</f>
        <v>Donnerstag</v>
      </c>
      <c r="E194">
        <f>WEEKDAY(tbl_Kalender[[#This Row],[Datum]],2)</f>
        <v>4</v>
      </c>
      <c r="F194">
        <f>MONTH(tbl_Kalender[[#This Row],[Datum]])</f>
        <v>7</v>
      </c>
      <c r="G194" t="str">
        <f>TEXT(tbl_Kalender[[#This Row],[Datum]],"MMMM")</f>
        <v>Juli</v>
      </c>
      <c r="H194">
        <f>ROUNDUP(tbl_Kalender[[#This Row],[Monat]]/3,0)</f>
        <v>3</v>
      </c>
      <c r="I194" t="str">
        <f>"Q "&amp;tbl_Kalender[[#This Row],[Quartal]]</f>
        <v>Q 3</v>
      </c>
      <c r="J194" t="str">
        <f>tbl_Kalender[[#This Row],[Quartal]]&amp;". Quartal"</f>
        <v>3. Quartal</v>
      </c>
      <c r="K194">
        <f>_xlfn.ISOWEEKNUM(tbl_Kalender[[#This Row],[Datum]])</f>
        <v>28</v>
      </c>
    </row>
    <row r="195" spans="1:11" x14ac:dyDescent="0.25">
      <c r="A195" s="1">
        <v>45485</v>
      </c>
      <c r="B195">
        <f>YEAR(tbl_Kalender[[#This Row],[Datum]])</f>
        <v>2024</v>
      </c>
      <c r="C195">
        <f>DAY(tbl_Kalender[[#This Row],[Datum]])</f>
        <v>12</v>
      </c>
      <c r="D195" t="str">
        <f>TEXT(tbl_Kalender[[#This Row],[Datum]],"TTTT")</f>
        <v>Freitag</v>
      </c>
      <c r="E195">
        <f>WEEKDAY(tbl_Kalender[[#This Row],[Datum]],2)</f>
        <v>5</v>
      </c>
      <c r="F195">
        <f>MONTH(tbl_Kalender[[#This Row],[Datum]])</f>
        <v>7</v>
      </c>
      <c r="G195" t="str">
        <f>TEXT(tbl_Kalender[[#This Row],[Datum]],"MMMM")</f>
        <v>Juli</v>
      </c>
      <c r="H195">
        <f>ROUNDUP(tbl_Kalender[[#This Row],[Monat]]/3,0)</f>
        <v>3</v>
      </c>
      <c r="I195" t="str">
        <f>"Q "&amp;tbl_Kalender[[#This Row],[Quartal]]</f>
        <v>Q 3</v>
      </c>
      <c r="J195" t="str">
        <f>tbl_Kalender[[#This Row],[Quartal]]&amp;". Quartal"</f>
        <v>3. Quartal</v>
      </c>
      <c r="K195">
        <f>_xlfn.ISOWEEKNUM(tbl_Kalender[[#This Row],[Datum]])</f>
        <v>28</v>
      </c>
    </row>
    <row r="196" spans="1:11" x14ac:dyDescent="0.25">
      <c r="A196" s="1">
        <v>45486</v>
      </c>
      <c r="B196">
        <f>YEAR(tbl_Kalender[[#This Row],[Datum]])</f>
        <v>2024</v>
      </c>
      <c r="C196">
        <f>DAY(tbl_Kalender[[#This Row],[Datum]])</f>
        <v>13</v>
      </c>
      <c r="D196" t="str">
        <f>TEXT(tbl_Kalender[[#This Row],[Datum]],"TTTT")</f>
        <v>Samstag</v>
      </c>
      <c r="E196">
        <f>WEEKDAY(tbl_Kalender[[#This Row],[Datum]],2)</f>
        <v>6</v>
      </c>
      <c r="F196">
        <f>MONTH(tbl_Kalender[[#This Row],[Datum]])</f>
        <v>7</v>
      </c>
      <c r="G196" t="str">
        <f>TEXT(tbl_Kalender[[#This Row],[Datum]],"MMMM")</f>
        <v>Juli</v>
      </c>
      <c r="H196">
        <f>ROUNDUP(tbl_Kalender[[#This Row],[Monat]]/3,0)</f>
        <v>3</v>
      </c>
      <c r="I196" t="str">
        <f>"Q "&amp;tbl_Kalender[[#This Row],[Quartal]]</f>
        <v>Q 3</v>
      </c>
      <c r="J196" t="str">
        <f>tbl_Kalender[[#This Row],[Quartal]]&amp;". Quartal"</f>
        <v>3. Quartal</v>
      </c>
      <c r="K196">
        <f>_xlfn.ISOWEEKNUM(tbl_Kalender[[#This Row],[Datum]])</f>
        <v>28</v>
      </c>
    </row>
    <row r="197" spans="1:11" x14ac:dyDescent="0.25">
      <c r="A197" s="1">
        <v>45487</v>
      </c>
      <c r="B197">
        <f>YEAR(tbl_Kalender[[#This Row],[Datum]])</f>
        <v>2024</v>
      </c>
      <c r="C197">
        <f>DAY(tbl_Kalender[[#This Row],[Datum]])</f>
        <v>14</v>
      </c>
      <c r="D197" t="str">
        <f>TEXT(tbl_Kalender[[#This Row],[Datum]],"TTTT")</f>
        <v>Sonntag</v>
      </c>
      <c r="E197">
        <f>WEEKDAY(tbl_Kalender[[#This Row],[Datum]],2)</f>
        <v>7</v>
      </c>
      <c r="F197">
        <f>MONTH(tbl_Kalender[[#This Row],[Datum]])</f>
        <v>7</v>
      </c>
      <c r="G197" t="str">
        <f>TEXT(tbl_Kalender[[#This Row],[Datum]],"MMMM")</f>
        <v>Juli</v>
      </c>
      <c r="H197">
        <f>ROUNDUP(tbl_Kalender[[#This Row],[Monat]]/3,0)</f>
        <v>3</v>
      </c>
      <c r="I197" t="str">
        <f>"Q "&amp;tbl_Kalender[[#This Row],[Quartal]]</f>
        <v>Q 3</v>
      </c>
      <c r="J197" t="str">
        <f>tbl_Kalender[[#This Row],[Quartal]]&amp;". Quartal"</f>
        <v>3. Quartal</v>
      </c>
      <c r="K197">
        <f>_xlfn.ISOWEEKNUM(tbl_Kalender[[#This Row],[Datum]])</f>
        <v>28</v>
      </c>
    </row>
    <row r="198" spans="1:11" x14ac:dyDescent="0.25">
      <c r="A198" s="1">
        <v>45488</v>
      </c>
      <c r="B198">
        <f>YEAR(tbl_Kalender[[#This Row],[Datum]])</f>
        <v>2024</v>
      </c>
      <c r="C198">
        <f>DAY(tbl_Kalender[[#This Row],[Datum]])</f>
        <v>15</v>
      </c>
      <c r="D198" t="str">
        <f>TEXT(tbl_Kalender[[#This Row],[Datum]],"TTTT")</f>
        <v>Montag</v>
      </c>
      <c r="E198">
        <f>WEEKDAY(tbl_Kalender[[#This Row],[Datum]],2)</f>
        <v>1</v>
      </c>
      <c r="F198">
        <f>MONTH(tbl_Kalender[[#This Row],[Datum]])</f>
        <v>7</v>
      </c>
      <c r="G198" t="str">
        <f>TEXT(tbl_Kalender[[#This Row],[Datum]],"MMMM")</f>
        <v>Juli</v>
      </c>
      <c r="H198">
        <f>ROUNDUP(tbl_Kalender[[#This Row],[Monat]]/3,0)</f>
        <v>3</v>
      </c>
      <c r="I198" t="str">
        <f>"Q "&amp;tbl_Kalender[[#This Row],[Quartal]]</f>
        <v>Q 3</v>
      </c>
      <c r="J198" t="str">
        <f>tbl_Kalender[[#This Row],[Quartal]]&amp;". Quartal"</f>
        <v>3. Quartal</v>
      </c>
      <c r="K198">
        <f>_xlfn.ISOWEEKNUM(tbl_Kalender[[#This Row],[Datum]])</f>
        <v>29</v>
      </c>
    </row>
    <row r="199" spans="1:11" x14ac:dyDescent="0.25">
      <c r="A199" s="1">
        <v>45489</v>
      </c>
      <c r="B199">
        <f>YEAR(tbl_Kalender[[#This Row],[Datum]])</f>
        <v>2024</v>
      </c>
      <c r="C199">
        <f>DAY(tbl_Kalender[[#This Row],[Datum]])</f>
        <v>16</v>
      </c>
      <c r="D199" t="str">
        <f>TEXT(tbl_Kalender[[#This Row],[Datum]],"TTTT")</f>
        <v>Dienstag</v>
      </c>
      <c r="E199">
        <f>WEEKDAY(tbl_Kalender[[#This Row],[Datum]],2)</f>
        <v>2</v>
      </c>
      <c r="F199">
        <f>MONTH(tbl_Kalender[[#This Row],[Datum]])</f>
        <v>7</v>
      </c>
      <c r="G199" t="str">
        <f>TEXT(tbl_Kalender[[#This Row],[Datum]],"MMMM")</f>
        <v>Juli</v>
      </c>
      <c r="H199">
        <f>ROUNDUP(tbl_Kalender[[#This Row],[Monat]]/3,0)</f>
        <v>3</v>
      </c>
      <c r="I199" t="str">
        <f>"Q "&amp;tbl_Kalender[[#This Row],[Quartal]]</f>
        <v>Q 3</v>
      </c>
      <c r="J199" t="str">
        <f>tbl_Kalender[[#This Row],[Quartal]]&amp;". Quartal"</f>
        <v>3. Quartal</v>
      </c>
      <c r="K199">
        <f>_xlfn.ISOWEEKNUM(tbl_Kalender[[#This Row],[Datum]])</f>
        <v>29</v>
      </c>
    </row>
    <row r="200" spans="1:11" x14ac:dyDescent="0.25">
      <c r="A200" s="1">
        <v>45490</v>
      </c>
      <c r="B200">
        <f>YEAR(tbl_Kalender[[#This Row],[Datum]])</f>
        <v>2024</v>
      </c>
      <c r="C200">
        <f>DAY(tbl_Kalender[[#This Row],[Datum]])</f>
        <v>17</v>
      </c>
      <c r="D200" t="str">
        <f>TEXT(tbl_Kalender[[#This Row],[Datum]],"TTTT")</f>
        <v>Mittwoch</v>
      </c>
      <c r="E200">
        <f>WEEKDAY(tbl_Kalender[[#This Row],[Datum]],2)</f>
        <v>3</v>
      </c>
      <c r="F200">
        <f>MONTH(tbl_Kalender[[#This Row],[Datum]])</f>
        <v>7</v>
      </c>
      <c r="G200" t="str">
        <f>TEXT(tbl_Kalender[[#This Row],[Datum]],"MMMM")</f>
        <v>Juli</v>
      </c>
      <c r="H200">
        <f>ROUNDUP(tbl_Kalender[[#This Row],[Monat]]/3,0)</f>
        <v>3</v>
      </c>
      <c r="I200" t="str">
        <f>"Q "&amp;tbl_Kalender[[#This Row],[Quartal]]</f>
        <v>Q 3</v>
      </c>
      <c r="J200" t="str">
        <f>tbl_Kalender[[#This Row],[Quartal]]&amp;". Quartal"</f>
        <v>3. Quartal</v>
      </c>
      <c r="K200">
        <f>_xlfn.ISOWEEKNUM(tbl_Kalender[[#This Row],[Datum]])</f>
        <v>29</v>
      </c>
    </row>
    <row r="201" spans="1:11" x14ac:dyDescent="0.25">
      <c r="A201" s="1">
        <v>45491</v>
      </c>
      <c r="B201">
        <f>YEAR(tbl_Kalender[[#This Row],[Datum]])</f>
        <v>2024</v>
      </c>
      <c r="C201">
        <f>DAY(tbl_Kalender[[#This Row],[Datum]])</f>
        <v>18</v>
      </c>
      <c r="D201" t="str">
        <f>TEXT(tbl_Kalender[[#This Row],[Datum]],"TTTT")</f>
        <v>Donnerstag</v>
      </c>
      <c r="E201">
        <f>WEEKDAY(tbl_Kalender[[#This Row],[Datum]],2)</f>
        <v>4</v>
      </c>
      <c r="F201">
        <f>MONTH(tbl_Kalender[[#This Row],[Datum]])</f>
        <v>7</v>
      </c>
      <c r="G201" t="str">
        <f>TEXT(tbl_Kalender[[#This Row],[Datum]],"MMMM")</f>
        <v>Juli</v>
      </c>
      <c r="H201">
        <f>ROUNDUP(tbl_Kalender[[#This Row],[Monat]]/3,0)</f>
        <v>3</v>
      </c>
      <c r="I201" t="str">
        <f>"Q "&amp;tbl_Kalender[[#This Row],[Quartal]]</f>
        <v>Q 3</v>
      </c>
      <c r="J201" t="str">
        <f>tbl_Kalender[[#This Row],[Quartal]]&amp;". Quartal"</f>
        <v>3. Quartal</v>
      </c>
      <c r="K201">
        <f>_xlfn.ISOWEEKNUM(tbl_Kalender[[#This Row],[Datum]])</f>
        <v>29</v>
      </c>
    </row>
    <row r="202" spans="1:11" x14ac:dyDescent="0.25">
      <c r="A202" s="1">
        <v>45492</v>
      </c>
      <c r="B202">
        <f>YEAR(tbl_Kalender[[#This Row],[Datum]])</f>
        <v>2024</v>
      </c>
      <c r="C202">
        <f>DAY(tbl_Kalender[[#This Row],[Datum]])</f>
        <v>19</v>
      </c>
      <c r="D202" t="str">
        <f>TEXT(tbl_Kalender[[#This Row],[Datum]],"TTTT")</f>
        <v>Freitag</v>
      </c>
      <c r="E202">
        <f>WEEKDAY(tbl_Kalender[[#This Row],[Datum]],2)</f>
        <v>5</v>
      </c>
      <c r="F202">
        <f>MONTH(tbl_Kalender[[#This Row],[Datum]])</f>
        <v>7</v>
      </c>
      <c r="G202" t="str">
        <f>TEXT(tbl_Kalender[[#This Row],[Datum]],"MMMM")</f>
        <v>Juli</v>
      </c>
      <c r="H202">
        <f>ROUNDUP(tbl_Kalender[[#This Row],[Monat]]/3,0)</f>
        <v>3</v>
      </c>
      <c r="I202" t="str">
        <f>"Q "&amp;tbl_Kalender[[#This Row],[Quartal]]</f>
        <v>Q 3</v>
      </c>
      <c r="J202" t="str">
        <f>tbl_Kalender[[#This Row],[Quartal]]&amp;". Quartal"</f>
        <v>3. Quartal</v>
      </c>
      <c r="K202">
        <f>_xlfn.ISOWEEKNUM(tbl_Kalender[[#This Row],[Datum]])</f>
        <v>29</v>
      </c>
    </row>
    <row r="203" spans="1:11" x14ac:dyDescent="0.25">
      <c r="A203" s="1">
        <v>45493</v>
      </c>
      <c r="B203">
        <f>YEAR(tbl_Kalender[[#This Row],[Datum]])</f>
        <v>2024</v>
      </c>
      <c r="C203">
        <f>DAY(tbl_Kalender[[#This Row],[Datum]])</f>
        <v>20</v>
      </c>
      <c r="D203" t="str">
        <f>TEXT(tbl_Kalender[[#This Row],[Datum]],"TTTT")</f>
        <v>Samstag</v>
      </c>
      <c r="E203">
        <f>WEEKDAY(tbl_Kalender[[#This Row],[Datum]],2)</f>
        <v>6</v>
      </c>
      <c r="F203">
        <f>MONTH(tbl_Kalender[[#This Row],[Datum]])</f>
        <v>7</v>
      </c>
      <c r="G203" t="str">
        <f>TEXT(tbl_Kalender[[#This Row],[Datum]],"MMMM")</f>
        <v>Juli</v>
      </c>
      <c r="H203">
        <f>ROUNDUP(tbl_Kalender[[#This Row],[Monat]]/3,0)</f>
        <v>3</v>
      </c>
      <c r="I203" t="str">
        <f>"Q "&amp;tbl_Kalender[[#This Row],[Quartal]]</f>
        <v>Q 3</v>
      </c>
      <c r="J203" t="str">
        <f>tbl_Kalender[[#This Row],[Quartal]]&amp;". Quartal"</f>
        <v>3. Quartal</v>
      </c>
      <c r="K203">
        <f>_xlfn.ISOWEEKNUM(tbl_Kalender[[#This Row],[Datum]])</f>
        <v>29</v>
      </c>
    </row>
    <row r="204" spans="1:11" x14ac:dyDescent="0.25">
      <c r="A204" s="1">
        <v>45494</v>
      </c>
      <c r="B204">
        <f>YEAR(tbl_Kalender[[#This Row],[Datum]])</f>
        <v>2024</v>
      </c>
      <c r="C204">
        <f>DAY(tbl_Kalender[[#This Row],[Datum]])</f>
        <v>21</v>
      </c>
      <c r="D204" t="str">
        <f>TEXT(tbl_Kalender[[#This Row],[Datum]],"TTTT")</f>
        <v>Sonntag</v>
      </c>
      <c r="E204">
        <f>WEEKDAY(tbl_Kalender[[#This Row],[Datum]],2)</f>
        <v>7</v>
      </c>
      <c r="F204">
        <f>MONTH(tbl_Kalender[[#This Row],[Datum]])</f>
        <v>7</v>
      </c>
      <c r="G204" t="str">
        <f>TEXT(tbl_Kalender[[#This Row],[Datum]],"MMMM")</f>
        <v>Juli</v>
      </c>
      <c r="H204">
        <f>ROUNDUP(tbl_Kalender[[#This Row],[Monat]]/3,0)</f>
        <v>3</v>
      </c>
      <c r="I204" t="str">
        <f>"Q "&amp;tbl_Kalender[[#This Row],[Quartal]]</f>
        <v>Q 3</v>
      </c>
      <c r="J204" t="str">
        <f>tbl_Kalender[[#This Row],[Quartal]]&amp;". Quartal"</f>
        <v>3. Quartal</v>
      </c>
      <c r="K204">
        <f>_xlfn.ISOWEEKNUM(tbl_Kalender[[#This Row],[Datum]])</f>
        <v>29</v>
      </c>
    </row>
    <row r="205" spans="1:11" x14ac:dyDescent="0.25">
      <c r="A205" s="1">
        <v>45495</v>
      </c>
      <c r="B205">
        <f>YEAR(tbl_Kalender[[#This Row],[Datum]])</f>
        <v>2024</v>
      </c>
      <c r="C205">
        <f>DAY(tbl_Kalender[[#This Row],[Datum]])</f>
        <v>22</v>
      </c>
      <c r="D205" t="str">
        <f>TEXT(tbl_Kalender[[#This Row],[Datum]],"TTTT")</f>
        <v>Montag</v>
      </c>
      <c r="E205">
        <f>WEEKDAY(tbl_Kalender[[#This Row],[Datum]],2)</f>
        <v>1</v>
      </c>
      <c r="F205">
        <f>MONTH(tbl_Kalender[[#This Row],[Datum]])</f>
        <v>7</v>
      </c>
      <c r="G205" t="str">
        <f>TEXT(tbl_Kalender[[#This Row],[Datum]],"MMMM")</f>
        <v>Juli</v>
      </c>
      <c r="H205">
        <f>ROUNDUP(tbl_Kalender[[#This Row],[Monat]]/3,0)</f>
        <v>3</v>
      </c>
      <c r="I205" t="str">
        <f>"Q "&amp;tbl_Kalender[[#This Row],[Quartal]]</f>
        <v>Q 3</v>
      </c>
      <c r="J205" t="str">
        <f>tbl_Kalender[[#This Row],[Quartal]]&amp;". Quartal"</f>
        <v>3. Quartal</v>
      </c>
      <c r="K205">
        <f>_xlfn.ISOWEEKNUM(tbl_Kalender[[#This Row],[Datum]])</f>
        <v>30</v>
      </c>
    </row>
    <row r="206" spans="1:11" x14ac:dyDescent="0.25">
      <c r="A206" s="1">
        <v>45496</v>
      </c>
      <c r="B206">
        <f>YEAR(tbl_Kalender[[#This Row],[Datum]])</f>
        <v>2024</v>
      </c>
      <c r="C206">
        <f>DAY(tbl_Kalender[[#This Row],[Datum]])</f>
        <v>23</v>
      </c>
      <c r="D206" t="str">
        <f>TEXT(tbl_Kalender[[#This Row],[Datum]],"TTTT")</f>
        <v>Dienstag</v>
      </c>
      <c r="E206">
        <f>WEEKDAY(tbl_Kalender[[#This Row],[Datum]],2)</f>
        <v>2</v>
      </c>
      <c r="F206">
        <f>MONTH(tbl_Kalender[[#This Row],[Datum]])</f>
        <v>7</v>
      </c>
      <c r="G206" t="str">
        <f>TEXT(tbl_Kalender[[#This Row],[Datum]],"MMMM")</f>
        <v>Juli</v>
      </c>
      <c r="H206">
        <f>ROUNDUP(tbl_Kalender[[#This Row],[Monat]]/3,0)</f>
        <v>3</v>
      </c>
      <c r="I206" t="str">
        <f>"Q "&amp;tbl_Kalender[[#This Row],[Quartal]]</f>
        <v>Q 3</v>
      </c>
      <c r="J206" t="str">
        <f>tbl_Kalender[[#This Row],[Quartal]]&amp;". Quartal"</f>
        <v>3. Quartal</v>
      </c>
      <c r="K206">
        <f>_xlfn.ISOWEEKNUM(tbl_Kalender[[#This Row],[Datum]])</f>
        <v>30</v>
      </c>
    </row>
    <row r="207" spans="1:11" x14ac:dyDescent="0.25">
      <c r="A207" s="1">
        <v>45497</v>
      </c>
      <c r="B207">
        <f>YEAR(tbl_Kalender[[#This Row],[Datum]])</f>
        <v>2024</v>
      </c>
      <c r="C207">
        <f>DAY(tbl_Kalender[[#This Row],[Datum]])</f>
        <v>24</v>
      </c>
      <c r="D207" t="str">
        <f>TEXT(tbl_Kalender[[#This Row],[Datum]],"TTTT")</f>
        <v>Mittwoch</v>
      </c>
      <c r="E207">
        <f>WEEKDAY(tbl_Kalender[[#This Row],[Datum]],2)</f>
        <v>3</v>
      </c>
      <c r="F207">
        <f>MONTH(tbl_Kalender[[#This Row],[Datum]])</f>
        <v>7</v>
      </c>
      <c r="G207" t="str">
        <f>TEXT(tbl_Kalender[[#This Row],[Datum]],"MMMM")</f>
        <v>Juli</v>
      </c>
      <c r="H207">
        <f>ROUNDUP(tbl_Kalender[[#This Row],[Monat]]/3,0)</f>
        <v>3</v>
      </c>
      <c r="I207" t="str">
        <f>"Q "&amp;tbl_Kalender[[#This Row],[Quartal]]</f>
        <v>Q 3</v>
      </c>
      <c r="J207" t="str">
        <f>tbl_Kalender[[#This Row],[Quartal]]&amp;". Quartal"</f>
        <v>3. Quartal</v>
      </c>
      <c r="K207">
        <f>_xlfn.ISOWEEKNUM(tbl_Kalender[[#This Row],[Datum]])</f>
        <v>30</v>
      </c>
    </row>
    <row r="208" spans="1:11" x14ac:dyDescent="0.25">
      <c r="A208" s="1">
        <v>45498</v>
      </c>
      <c r="B208">
        <f>YEAR(tbl_Kalender[[#This Row],[Datum]])</f>
        <v>2024</v>
      </c>
      <c r="C208">
        <f>DAY(tbl_Kalender[[#This Row],[Datum]])</f>
        <v>25</v>
      </c>
      <c r="D208" t="str">
        <f>TEXT(tbl_Kalender[[#This Row],[Datum]],"TTTT")</f>
        <v>Donnerstag</v>
      </c>
      <c r="E208">
        <f>WEEKDAY(tbl_Kalender[[#This Row],[Datum]],2)</f>
        <v>4</v>
      </c>
      <c r="F208">
        <f>MONTH(tbl_Kalender[[#This Row],[Datum]])</f>
        <v>7</v>
      </c>
      <c r="G208" t="str">
        <f>TEXT(tbl_Kalender[[#This Row],[Datum]],"MMMM")</f>
        <v>Juli</v>
      </c>
      <c r="H208">
        <f>ROUNDUP(tbl_Kalender[[#This Row],[Monat]]/3,0)</f>
        <v>3</v>
      </c>
      <c r="I208" t="str">
        <f>"Q "&amp;tbl_Kalender[[#This Row],[Quartal]]</f>
        <v>Q 3</v>
      </c>
      <c r="J208" t="str">
        <f>tbl_Kalender[[#This Row],[Quartal]]&amp;". Quartal"</f>
        <v>3. Quartal</v>
      </c>
      <c r="K208">
        <f>_xlfn.ISOWEEKNUM(tbl_Kalender[[#This Row],[Datum]])</f>
        <v>30</v>
      </c>
    </row>
    <row r="209" spans="1:11" x14ac:dyDescent="0.25">
      <c r="A209" s="1">
        <v>45499</v>
      </c>
      <c r="B209">
        <f>YEAR(tbl_Kalender[[#This Row],[Datum]])</f>
        <v>2024</v>
      </c>
      <c r="C209">
        <f>DAY(tbl_Kalender[[#This Row],[Datum]])</f>
        <v>26</v>
      </c>
      <c r="D209" t="str">
        <f>TEXT(tbl_Kalender[[#This Row],[Datum]],"TTTT")</f>
        <v>Freitag</v>
      </c>
      <c r="E209">
        <f>WEEKDAY(tbl_Kalender[[#This Row],[Datum]],2)</f>
        <v>5</v>
      </c>
      <c r="F209">
        <f>MONTH(tbl_Kalender[[#This Row],[Datum]])</f>
        <v>7</v>
      </c>
      <c r="G209" t="str">
        <f>TEXT(tbl_Kalender[[#This Row],[Datum]],"MMMM")</f>
        <v>Juli</v>
      </c>
      <c r="H209">
        <f>ROUNDUP(tbl_Kalender[[#This Row],[Monat]]/3,0)</f>
        <v>3</v>
      </c>
      <c r="I209" t="str">
        <f>"Q "&amp;tbl_Kalender[[#This Row],[Quartal]]</f>
        <v>Q 3</v>
      </c>
      <c r="J209" t="str">
        <f>tbl_Kalender[[#This Row],[Quartal]]&amp;". Quartal"</f>
        <v>3. Quartal</v>
      </c>
      <c r="K209">
        <f>_xlfn.ISOWEEKNUM(tbl_Kalender[[#This Row],[Datum]])</f>
        <v>30</v>
      </c>
    </row>
    <row r="210" spans="1:11" x14ac:dyDescent="0.25">
      <c r="A210" s="1">
        <v>45500</v>
      </c>
      <c r="B210">
        <f>YEAR(tbl_Kalender[[#This Row],[Datum]])</f>
        <v>2024</v>
      </c>
      <c r="C210">
        <f>DAY(tbl_Kalender[[#This Row],[Datum]])</f>
        <v>27</v>
      </c>
      <c r="D210" t="str">
        <f>TEXT(tbl_Kalender[[#This Row],[Datum]],"TTTT")</f>
        <v>Samstag</v>
      </c>
      <c r="E210">
        <f>WEEKDAY(tbl_Kalender[[#This Row],[Datum]],2)</f>
        <v>6</v>
      </c>
      <c r="F210">
        <f>MONTH(tbl_Kalender[[#This Row],[Datum]])</f>
        <v>7</v>
      </c>
      <c r="G210" t="str">
        <f>TEXT(tbl_Kalender[[#This Row],[Datum]],"MMMM")</f>
        <v>Juli</v>
      </c>
      <c r="H210">
        <f>ROUNDUP(tbl_Kalender[[#This Row],[Monat]]/3,0)</f>
        <v>3</v>
      </c>
      <c r="I210" t="str">
        <f>"Q "&amp;tbl_Kalender[[#This Row],[Quartal]]</f>
        <v>Q 3</v>
      </c>
      <c r="J210" t="str">
        <f>tbl_Kalender[[#This Row],[Quartal]]&amp;". Quartal"</f>
        <v>3. Quartal</v>
      </c>
      <c r="K210">
        <f>_xlfn.ISOWEEKNUM(tbl_Kalender[[#This Row],[Datum]])</f>
        <v>30</v>
      </c>
    </row>
    <row r="211" spans="1:11" x14ac:dyDescent="0.25">
      <c r="A211" s="1">
        <v>45501</v>
      </c>
      <c r="B211">
        <f>YEAR(tbl_Kalender[[#This Row],[Datum]])</f>
        <v>2024</v>
      </c>
      <c r="C211">
        <f>DAY(tbl_Kalender[[#This Row],[Datum]])</f>
        <v>28</v>
      </c>
      <c r="D211" t="str">
        <f>TEXT(tbl_Kalender[[#This Row],[Datum]],"TTTT")</f>
        <v>Sonntag</v>
      </c>
      <c r="E211">
        <f>WEEKDAY(tbl_Kalender[[#This Row],[Datum]],2)</f>
        <v>7</v>
      </c>
      <c r="F211">
        <f>MONTH(tbl_Kalender[[#This Row],[Datum]])</f>
        <v>7</v>
      </c>
      <c r="G211" t="str">
        <f>TEXT(tbl_Kalender[[#This Row],[Datum]],"MMMM")</f>
        <v>Juli</v>
      </c>
      <c r="H211">
        <f>ROUNDUP(tbl_Kalender[[#This Row],[Monat]]/3,0)</f>
        <v>3</v>
      </c>
      <c r="I211" t="str">
        <f>"Q "&amp;tbl_Kalender[[#This Row],[Quartal]]</f>
        <v>Q 3</v>
      </c>
      <c r="J211" t="str">
        <f>tbl_Kalender[[#This Row],[Quartal]]&amp;". Quartal"</f>
        <v>3. Quartal</v>
      </c>
      <c r="K211">
        <f>_xlfn.ISOWEEKNUM(tbl_Kalender[[#This Row],[Datum]])</f>
        <v>30</v>
      </c>
    </row>
    <row r="212" spans="1:11" x14ac:dyDescent="0.25">
      <c r="A212" s="1">
        <v>45502</v>
      </c>
      <c r="B212">
        <f>YEAR(tbl_Kalender[[#This Row],[Datum]])</f>
        <v>2024</v>
      </c>
      <c r="C212">
        <f>DAY(tbl_Kalender[[#This Row],[Datum]])</f>
        <v>29</v>
      </c>
      <c r="D212" t="str">
        <f>TEXT(tbl_Kalender[[#This Row],[Datum]],"TTTT")</f>
        <v>Montag</v>
      </c>
      <c r="E212">
        <f>WEEKDAY(tbl_Kalender[[#This Row],[Datum]],2)</f>
        <v>1</v>
      </c>
      <c r="F212">
        <f>MONTH(tbl_Kalender[[#This Row],[Datum]])</f>
        <v>7</v>
      </c>
      <c r="G212" t="str">
        <f>TEXT(tbl_Kalender[[#This Row],[Datum]],"MMMM")</f>
        <v>Juli</v>
      </c>
      <c r="H212">
        <f>ROUNDUP(tbl_Kalender[[#This Row],[Monat]]/3,0)</f>
        <v>3</v>
      </c>
      <c r="I212" t="str">
        <f>"Q "&amp;tbl_Kalender[[#This Row],[Quartal]]</f>
        <v>Q 3</v>
      </c>
      <c r="J212" t="str">
        <f>tbl_Kalender[[#This Row],[Quartal]]&amp;". Quartal"</f>
        <v>3. Quartal</v>
      </c>
      <c r="K212">
        <f>_xlfn.ISOWEEKNUM(tbl_Kalender[[#This Row],[Datum]])</f>
        <v>31</v>
      </c>
    </row>
    <row r="213" spans="1:11" x14ac:dyDescent="0.25">
      <c r="A213" s="1">
        <v>45503</v>
      </c>
      <c r="B213">
        <f>YEAR(tbl_Kalender[[#This Row],[Datum]])</f>
        <v>2024</v>
      </c>
      <c r="C213">
        <f>DAY(tbl_Kalender[[#This Row],[Datum]])</f>
        <v>30</v>
      </c>
      <c r="D213" t="str">
        <f>TEXT(tbl_Kalender[[#This Row],[Datum]],"TTTT")</f>
        <v>Dienstag</v>
      </c>
      <c r="E213">
        <f>WEEKDAY(tbl_Kalender[[#This Row],[Datum]],2)</f>
        <v>2</v>
      </c>
      <c r="F213">
        <f>MONTH(tbl_Kalender[[#This Row],[Datum]])</f>
        <v>7</v>
      </c>
      <c r="G213" t="str">
        <f>TEXT(tbl_Kalender[[#This Row],[Datum]],"MMMM")</f>
        <v>Juli</v>
      </c>
      <c r="H213">
        <f>ROUNDUP(tbl_Kalender[[#This Row],[Monat]]/3,0)</f>
        <v>3</v>
      </c>
      <c r="I213" t="str">
        <f>"Q "&amp;tbl_Kalender[[#This Row],[Quartal]]</f>
        <v>Q 3</v>
      </c>
      <c r="J213" t="str">
        <f>tbl_Kalender[[#This Row],[Quartal]]&amp;". Quartal"</f>
        <v>3. Quartal</v>
      </c>
      <c r="K213">
        <f>_xlfn.ISOWEEKNUM(tbl_Kalender[[#This Row],[Datum]])</f>
        <v>31</v>
      </c>
    </row>
    <row r="214" spans="1:11" x14ac:dyDescent="0.25">
      <c r="A214" s="1">
        <v>45504</v>
      </c>
      <c r="B214">
        <f>YEAR(tbl_Kalender[[#This Row],[Datum]])</f>
        <v>2024</v>
      </c>
      <c r="C214">
        <f>DAY(tbl_Kalender[[#This Row],[Datum]])</f>
        <v>31</v>
      </c>
      <c r="D214" t="str">
        <f>TEXT(tbl_Kalender[[#This Row],[Datum]],"TTTT")</f>
        <v>Mittwoch</v>
      </c>
      <c r="E214">
        <f>WEEKDAY(tbl_Kalender[[#This Row],[Datum]],2)</f>
        <v>3</v>
      </c>
      <c r="F214">
        <f>MONTH(tbl_Kalender[[#This Row],[Datum]])</f>
        <v>7</v>
      </c>
      <c r="G214" t="str">
        <f>TEXT(tbl_Kalender[[#This Row],[Datum]],"MMMM")</f>
        <v>Juli</v>
      </c>
      <c r="H214">
        <f>ROUNDUP(tbl_Kalender[[#This Row],[Monat]]/3,0)</f>
        <v>3</v>
      </c>
      <c r="I214" t="str">
        <f>"Q "&amp;tbl_Kalender[[#This Row],[Quartal]]</f>
        <v>Q 3</v>
      </c>
      <c r="J214" t="str">
        <f>tbl_Kalender[[#This Row],[Quartal]]&amp;". Quartal"</f>
        <v>3. Quartal</v>
      </c>
      <c r="K214">
        <f>_xlfn.ISOWEEKNUM(tbl_Kalender[[#This Row],[Datum]])</f>
        <v>31</v>
      </c>
    </row>
    <row r="215" spans="1:11" x14ac:dyDescent="0.25">
      <c r="A215" s="1">
        <v>45505</v>
      </c>
      <c r="B215">
        <f>YEAR(tbl_Kalender[[#This Row],[Datum]])</f>
        <v>2024</v>
      </c>
      <c r="C215">
        <f>DAY(tbl_Kalender[[#This Row],[Datum]])</f>
        <v>1</v>
      </c>
      <c r="D215" t="str">
        <f>TEXT(tbl_Kalender[[#This Row],[Datum]],"TTTT")</f>
        <v>Donnerstag</v>
      </c>
      <c r="E215">
        <f>WEEKDAY(tbl_Kalender[[#This Row],[Datum]],2)</f>
        <v>4</v>
      </c>
      <c r="F215">
        <f>MONTH(tbl_Kalender[[#This Row],[Datum]])</f>
        <v>8</v>
      </c>
      <c r="G215" t="str">
        <f>TEXT(tbl_Kalender[[#This Row],[Datum]],"MMMM")</f>
        <v>August</v>
      </c>
      <c r="H215">
        <f>ROUNDUP(tbl_Kalender[[#This Row],[Monat]]/3,0)</f>
        <v>3</v>
      </c>
      <c r="I215" t="str">
        <f>"Q "&amp;tbl_Kalender[[#This Row],[Quartal]]</f>
        <v>Q 3</v>
      </c>
      <c r="J215" t="str">
        <f>tbl_Kalender[[#This Row],[Quartal]]&amp;". Quartal"</f>
        <v>3. Quartal</v>
      </c>
      <c r="K215">
        <f>_xlfn.ISOWEEKNUM(tbl_Kalender[[#This Row],[Datum]])</f>
        <v>31</v>
      </c>
    </row>
    <row r="216" spans="1:11" x14ac:dyDescent="0.25">
      <c r="A216" s="1">
        <v>45506</v>
      </c>
      <c r="B216">
        <f>YEAR(tbl_Kalender[[#This Row],[Datum]])</f>
        <v>2024</v>
      </c>
      <c r="C216">
        <f>DAY(tbl_Kalender[[#This Row],[Datum]])</f>
        <v>2</v>
      </c>
      <c r="D216" t="str">
        <f>TEXT(tbl_Kalender[[#This Row],[Datum]],"TTTT")</f>
        <v>Freitag</v>
      </c>
      <c r="E216">
        <f>WEEKDAY(tbl_Kalender[[#This Row],[Datum]],2)</f>
        <v>5</v>
      </c>
      <c r="F216">
        <f>MONTH(tbl_Kalender[[#This Row],[Datum]])</f>
        <v>8</v>
      </c>
      <c r="G216" t="str">
        <f>TEXT(tbl_Kalender[[#This Row],[Datum]],"MMMM")</f>
        <v>August</v>
      </c>
      <c r="H216">
        <f>ROUNDUP(tbl_Kalender[[#This Row],[Monat]]/3,0)</f>
        <v>3</v>
      </c>
      <c r="I216" t="str">
        <f>"Q "&amp;tbl_Kalender[[#This Row],[Quartal]]</f>
        <v>Q 3</v>
      </c>
      <c r="J216" t="str">
        <f>tbl_Kalender[[#This Row],[Quartal]]&amp;". Quartal"</f>
        <v>3. Quartal</v>
      </c>
      <c r="K216">
        <f>_xlfn.ISOWEEKNUM(tbl_Kalender[[#This Row],[Datum]])</f>
        <v>31</v>
      </c>
    </row>
    <row r="217" spans="1:11" x14ac:dyDescent="0.25">
      <c r="A217" s="1">
        <v>45507</v>
      </c>
      <c r="B217">
        <f>YEAR(tbl_Kalender[[#This Row],[Datum]])</f>
        <v>2024</v>
      </c>
      <c r="C217">
        <f>DAY(tbl_Kalender[[#This Row],[Datum]])</f>
        <v>3</v>
      </c>
      <c r="D217" t="str">
        <f>TEXT(tbl_Kalender[[#This Row],[Datum]],"TTTT")</f>
        <v>Samstag</v>
      </c>
      <c r="E217">
        <f>WEEKDAY(tbl_Kalender[[#This Row],[Datum]],2)</f>
        <v>6</v>
      </c>
      <c r="F217">
        <f>MONTH(tbl_Kalender[[#This Row],[Datum]])</f>
        <v>8</v>
      </c>
      <c r="G217" t="str">
        <f>TEXT(tbl_Kalender[[#This Row],[Datum]],"MMMM")</f>
        <v>August</v>
      </c>
      <c r="H217">
        <f>ROUNDUP(tbl_Kalender[[#This Row],[Monat]]/3,0)</f>
        <v>3</v>
      </c>
      <c r="I217" t="str">
        <f>"Q "&amp;tbl_Kalender[[#This Row],[Quartal]]</f>
        <v>Q 3</v>
      </c>
      <c r="J217" t="str">
        <f>tbl_Kalender[[#This Row],[Quartal]]&amp;". Quartal"</f>
        <v>3. Quartal</v>
      </c>
      <c r="K217">
        <f>_xlfn.ISOWEEKNUM(tbl_Kalender[[#This Row],[Datum]])</f>
        <v>31</v>
      </c>
    </row>
    <row r="218" spans="1:11" x14ac:dyDescent="0.25">
      <c r="A218" s="1">
        <v>45508</v>
      </c>
      <c r="B218">
        <f>YEAR(tbl_Kalender[[#This Row],[Datum]])</f>
        <v>2024</v>
      </c>
      <c r="C218">
        <f>DAY(tbl_Kalender[[#This Row],[Datum]])</f>
        <v>4</v>
      </c>
      <c r="D218" t="str">
        <f>TEXT(tbl_Kalender[[#This Row],[Datum]],"TTTT")</f>
        <v>Sonntag</v>
      </c>
      <c r="E218">
        <f>WEEKDAY(tbl_Kalender[[#This Row],[Datum]],2)</f>
        <v>7</v>
      </c>
      <c r="F218">
        <f>MONTH(tbl_Kalender[[#This Row],[Datum]])</f>
        <v>8</v>
      </c>
      <c r="G218" t="str">
        <f>TEXT(tbl_Kalender[[#This Row],[Datum]],"MMMM")</f>
        <v>August</v>
      </c>
      <c r="H218">
        <f>ROUNDUP(tbl_Kalender[[#This Row],[Monat]]/3,0)</f>
        <v>3</v>
      </c>
      <c r="I218" t="str">
        <f>"Q "&amp;tbl_Kalender[[#This Row],[Quartal]]</f>
        <v>Q 3</v>
      </c>
      <c r="J218" t="str">
        <f>tbl_Kalender[[#This Row],[Quartal]]&amp;". Quartal"</f>
        <v>3. Quartal</v>
      </c>
      <c r="K218">
        <f>_xlfn.ISOWEEKNUM(tbl_Kalender[[#This Row],[Datum]])</f>
        <v>31</v>
      </c>
    </row>
    <row r="219" spans="1:11" x14ac:dyDescent="0.25">
      <c r="A219" s="1">
        <v>45509</v>
      </c>
      <c r="B219">
        <f>YEAR(tbl_Kalender[[#This Row],[Datum]])</f>
        <v>2024</v>
      </c>
      <c r="C219">
        <f>DAY(tbl_Kalender[[#This Row],[Datum]])</f>
        <v>5</v>
      </c>
      <c r="D219" t="str">
        <f>TEXT(tbl_Kalender[[#This Row],[Datum]],"TTTT")</f>
        <v>Montag</v>
      </c>
      <c r="E219">
        <f>WEEKDAY(tbl_Kalender[[#This Row],[Datum]],2)</f>
        <v>1</v>
      </c>
      <c r="F219">
        <f>MONTH(tbl_Kalender[[#This Row],[Datum]])</f>
        <v>8</v>
      </c>
      <c r="G219" t="str">
        <f>TEXT(tbl_Kalender[[#This Row],[Datum]],"MMMM")</f>
        <v>August</v>
      </c>
      <c r="H219">
        <f>ROUNDUP(tbl_Kalender[[#This Row],[Monat]]/3,0)</f>
        <v>3</v>
      </c>
      <c r="I219" t="str">
        <f>"Q "&amp;tbl_Kalender[[#This Row],[Quartal]]</f>
        <v>Q 3</v>
      </c>
      <c r="J219" t="str">
        <f>tbl_Kalender[[#This Row],[Quartal]]&amp;". Quartal"</f>
        <v>3. Quartal</v>
      </c>
      <c r="K219">
        <f>_xlfn.ISOWEEKNUM(tbl_Kalender[[#This Row],[Datum]])</f>
        <v>32</v>
      </c>
    </row>
    <row r="220" spans="1:11" x14ac:dyDescent="0.25">
      <c r="A220" s="1">
        <v>45510</v>
      </c>
      <c r="B220">
        <f>YEAR(tbl_Kalender[[#This Row],[Datum]])</f>
        <v>2024</v>
      </c>
      <c r="C220">
        <f>DAY(tbl_Kalender[[#This Row],[Datum]])</f>
        <v>6</v>
      </c>
      <c r="D220" t="str">
        <f>TEXT(tbl_Kalender[[#This Row],[Datum]],"TTTT")</f>
        <v>Dienstag</v>
      </c>
      <c r="E220">
        <f>WEEKDAY(tbl_Kalender[[#This Row],[Datum]],2)</f>
        <v>2</v>
      </c>
      <c r="F220">
        <f>MONTH(tbl_Kalender[[#This Row],[Datum]])</f>
        <v>8</v>
      </c>
      <c r="G220" t="str">
        <f>TEXT(tbl_Kalender[[#This Row],[Datum]],"MMMM")</f>
        <v>August</v>
      </c>
      <c r="H220">
        <f>ROUNDUP(tbl_Kalender[[#This Row],[Monat]]/3,0)</f>
        <v>3</v>
      </c>
      <c r="I220" t="str">
        <f>"Q "&amp;tbl_Kalender[[#This Row],[Quartal]]</f>
        <v>Q 3</v>
      </c>
      <c r="J220" t="str">
        <f>tbl_Kalender[[#This Row],[Quartal]]&amp;". Quartal"</f>
        <v>3. Quartal</v>
      </c>
      <c r="K220">
        <f>_xlfn.ISOWEEKNUM(tbl_Kalender[[#This Row],[Datum]])</f>
        <v>32</v>
      </c>
    </row>
    <row r="221" spans="1:11" x14ac:dyDescent="0.25">
      <c r="A221" s="1">
        <v>45511</v>
      </c>
      <c r="B221">
        <f>YEAR(tbl_Kalender[[#This Row],[Datum]])</f>
        <v>2024</v>
      </c>
      <c r="C221">
        <f>DAY(tbl_Kalender[[#This Row],[Datum]])</f>
        <v>7</v>
      </c>
      <c r="D221" t="str">
        <f>TEXT(tbl_Kalender[[#This Row],[Datum]],"TTTT")</f>
        <v>Mittwoch</v>
      </c>
      <c r="E221">
        <f>WEEKDAY(tbl_Kalender[[#This Row],[Datum]],2)</f>
        <v>3</v>
      </c>
      <c r="F221">
        <f>MONTH(tbl_Kalender[[#This Row],[Datum]])</f>
        <v>8</v>
      </c>
      <c r="G221" t="str">
        <f>TEXT(tbl_Kalender[[#This Row],[Datum]],"MMMM")</f>
        <v>August</v>
      </c>
      <c r="H221">
        <f>ROUNDUP(tbl_Kalender[[#This Row],[Monat]]/3,0)</f>
        <v>3</v>
      </c>
      <c r="I221" t="str">
        <f>"Q "&amp;tbl_Kalender[[#This Row],[Quartal]]</f>
        <v>Q 3</v>
      </c>
      <c r="J221" t="str">
        <f>tbl_Kalender[[#This Row],[Quartal]]&amp;". Quartal"</f>
        <v>3. Quartal</v>
      </c>
      <c r="K221">
        <f>_xlfn.ISOWEEKNUM(tbl_Kalender[[#This Row],[Datum]])</f>
        <v>32</v>
      </c>
    </row>
    <row r="222" spans="1:11" x14ac:dyDescent="0.25">
      <c r="A222" s="1">
        <v>45512</v>
      </c>
      <c r="B222">
        <f>YEAR(tbl_Kalender[[#This Row],[Datum]])</f>
        <v>2024</v>
      </c>
      <c r="C222">
        <f>DAY(tbl_Kalender[[#This Row],[Datum]])</f>
        <v>8</v>
      </c>
      <c r="D222" t="str">
        <f>TEXT(tbl_Kalender[[#This Row],[Datum]],"TTTT")</f>
        <v>Donnerstag</v>
      </c>
      <c r="E222">
        <f>WEEKDAY(tbl_Kalender[[#This Row],[Datum]],2)</f>
        <v>4</v>
      </c>
      <c r="F222">
        <f>MONTH(tbl_Kalender[[#This Row],[Datum]])</f>
        <v>8</v>
      </c>
      <c r="G222" t="str">
        <f>TEXT(tbl_Kalender[[#This Row],[Datum]],"MMMM")</f>
        <v>August</v>
      </c>
      <c r="H222">
        <f>ROUNDUP(tbl_Kalender[[#This Row],[Monat]]/3,0)</f>
        <v>3</v>
      </c>
      <c r="I222" t="str">
        <f>"Q "&amp;tbl_Kalender[[#This Row],[Quartal]]</f>
        <v>Q 3</v>
      </c>
      <c r="J222" t="str">
        <f>tbl_Kalender[[#This Row],[Quartal]]&amp;". Quartal"</f>
        <v>3. Quartal</v>
      </c>
      <c r="K222">
        <f>_xlfn.ISOWEEKNUM(tbl_Kalender[[#This Row],[Datum]])</f>
        <v>32</v>
      </c>
    </row>
    <row r="223" spans="1:11" x14ac:dyDescent="0.25">
      <c r="A223" s="1">
        <v>45513</v>
      </c>
      <c r="B223">
        <f>YEAR(tbl_Kalender[[#This Row],[Datum]])</f>
        <v>2024</v>
      </c>
      <c r="C223">
        <f>DAY(tbl_Kalender[[#This Row],[Datum]])</f>
        <v>9</v>
      </c>
      <c r="D223" t="str">
        <f>TEXT(tbl_Kalender[[#This Row],[Datum]],"TTTT")</f>
        <v>Freitag</v>
      </c>
      <c r="E223">
        <f>WEEKDAY(tbl_Kalender[[#This Row],[Datum]],2)</f>
        <v>5</v>
      </c>
      <c r="F223">
        <f>MONTH(tbl_Kalender[[#This Row],[Datum]])</f>
        <v>8</v>
      </c>
      <c r="G223" t="str">
        <f>TEXT(tbl_Kalender[[#This Row],[Datum]],"MMMM")</f>
        <v>August</v>
      </c>
      <c r="H223">
        <f>ROUNDUP(tbl_Kalender[[#This Row],[Monat]]/3,0)</f>
        <v>3</v>
      </c>
      <c r="I223" t="str">
        <f>"Q "&amp;tbl_Kalender[[#This Row],[Quartal]]</f>
        <v>Q 3</v>
      </c>
      <c r="J223" t="str">
        <f>tbl_Kalender[[#This Row],[Quartal]]&amp;". Quartal"</f>
        <v>3. Quartal</v>
      </c>
      <c r="K223">
        <f>_xlfn.ISOWEEKNUM(tbl_Kalender[[#This Row],[Datum]])</f>
        <v>32</v>
      </c>
    </row>
    <row r="224" spans="1:11" x14ac:dyDescent="0.25">
      <c r="A224" s="1">
        <v>45514</v>
      </c>
      <c r="B224">
        <f>YEAR(tbl_Kalender[[#This Row],[Datum]])</f>
        <v>2024</v>
      </c>
      <c r="C224">
        <f>DAY(tbl_Kalender[[#This Row],[Datum]])</f>
        <v>10</v>
      </c>
      <c r="D224" t="str">
        <f>TEXT(tbl_Kalender[[#This Row],[Datum]],"TTTT")</f>
        <v>Samstag</v>
      </c>
      <c r="E224">
        <f>WEEKDAY(tbl_Kalender[[#This Row],[Datum]],2)</f>
        <v>6</v>
      </c>
      <c r="F224">
        <f>MONTH(tbl_Kalender[[#This Row],[Datum]])</f>
        <v>8</v>
      </c>
      <c r="G224" t="str">
        <f>TEXT(tbl_Kalender[[#This Row],[Datum]],"MMMM")</f>
        <v>August</v>
      </c>
      <c r="H224">
        <f>ROUNDUP(tbl_Kalender[[#This Row],[Monat]]/3,0)</f>
        <v>3</v>
      </c>
      <c r="I224" t="str">
        <f>"Q "&amp;tbl_Kalender[[#This Row],[Quartal]]</f>
        <v>Q 3</v>
      </c>
      <c r="J224" t="str">
        <f>tbl_Kalender[[#This Row],[Quartal]]&amp;". Quartal"</f>
        <v>3. Quartal</v>
      </c>
      <c r="K224">
        <f>_xlfn.ISOWEEKNUM(tbl_Kalender[[#This Row],[Datum]])</f>
        <v>32</v>
      </c>
    </row>
    <row r="225" spans="1:11" x14ac:dyDescent="0.25">
      <c r="A225" s="1">
        <v>45515</v>
      </c>
      <c r="B225">
        <f>YEAR(tbl_Kalender[[#This Row],[Datum]])</f>
        <v>2024</v>
      </c>
      <c r="C225">
        <f>DAY(tbl_Kalender[[#This Row],[Datum]])</f>
        <v>11</v>
      </c>
      <c r="D225" t="str">
        <f>TEXT(tbl_Kalender[[#This Row],[Datum]],"TTTT")</f>
        <v>Sonntag</v>
      </c>
      <c r="E225">
        <f>WEEKDAY(tbl_Kalender[[#This Row],[Datum]],2)</f>
        <v>7</v>
      </c>
      <c r="F225">
        <f>MONTH(tbl_Kalender[[#This Row],[Datum]])</f>
        <v>8</v>
      </c>
      <c r="G225" t="str">
        <f>TEXT(tbl_Kalender[[#This Row],[Datum]],"MMMM")</f>
        <v>August</v>
      </c>
      <c r="H225">
        <f>ROUNDUP(tbl_Kalender[[#This Row],[Monat]]/3,0)</f>
        <v>3</v>
      </c>
      <c r="I225" t="str">
        <f>"Q "&amp;tbl_Kalender[[#This Row],[Quartal]]</f>
        <v>Q 3</v>
      </c>
      <c r="J225" t="str">
        <f>tbl_Kalender[[#This Row],[Quartal]]&amp;". Quartal"</f>
        <v>3. Quartal</v>
      </c>
      <c r="K225">
        <f>_xlfn.ISOWEEKNUM(tbl_Kalender[[#This Row],[Datum]])</f>
        <v>32</v>
      </c>
    </row>
    <row r="226" spans="1:11" x14ac:dyDescent="0.25">
      <c r="A226" s="1">
        <v>45516</v>
      </c>
      <c r="B226">
        <f>YEAR(tbl_Kalender[[#This Row],[Datum]])</f>
        <v>2024</v>
      </c>
      <c r="C226">
        <f>DAY(tbl_Kalender[[#This Row],[Datum]])</f>
        <v>12</v>
      </c>
      <c r="D226" t="str">
        <f>TEXT(tbl_Kalender[[#This Row],[Datum]],"TTTT")</f>
        <v>Montag</v>
      </c>
      <c r="E226">
        <f>WEEKDAY(tbl_Kalender[[#This Row],[Datum]],2)</f>
        <v>1</v>
      </c>
      <c r="F226">
        <f>MONTH(tbl_Kalender[[#This Row],[Datum]])</f>
        <v>8</v>
      </c>
      <c r="G226" t="str">
        <f>TEXT(tbl_Kalender[[#This Row],[Datum]],"MMMM")</f>
        <v>August</v>
      </c>
      <c r="H226">
        <f>ROUNDUP(tbl_Kalender[[#This Row],[Monat]]/3,0)</f>
        <v>3</v>
      </c>
      <c r="I226" t="str">
        <f>"Q "&amp;tbl_Kalender[[#This Row],[Quartal]]</f>
        <v>Q 3</v>
      </c>
      <c r="J226" t="str">
        <f>tbl_Kalender[[#This Row],[Quartal]]&amp;". Quartal"</f>
        <v>3. Quartal</v>
      </c>
      <c r="K226">
        <f>_xlfn.ISOWEEKNUM(tbl_Kalender[[#This Row],[Datum]])</f>
        <v>33</v>
      </c>
    </row>
    <row r="227" spans="1:11" x14ac:dyDescent="0.25">
      <c r="A227" s="1">
        <v>45517</v>
      </c>
      <c r="B227">
        <f>YEAR(tbl_Kalender[[#This Row],[Datum]])</f>
        <v>2024</v>
      </c>
      <c r="C227">
        <f>DAY(tbl_Kalender[[#This Row],[Datum]])</f>
        <v>13</v>
      </c>
      <c r="D227" t="str">
        <f>TEXT(tbl_Kalender[[#This Row],[Datum]],"TTTT")</f>
        <v>Dienstag</v>
      </c>
      <c r="E227">
        <f>WEEKDAY(tbl_Kalender[[#This Row],[Datum]],2)</f>
        <v>2</v>
      </c>
      <c r="F227">
        <f>MONTH(tbl_Kalender[[#This Row],[Datum]])</f>
        <v>8</v>
      </c>
      <c r="G227" t="str">
        <f>TEXT(tbl_Kalender[[#This Row],[Datum]],"MMMM")</f>
        <v>August</v>
      </c>
      <c r="H227">
        <f>ROUNDUP(tbl_Kalender[[#This Row],[Monat]]/3,0)</f>
        <v>3</v>
      </c>
      <c r="I227" t="str">
        <f>"Q "&amp;tbl_Kalender[[#This Row],[Quartal]]</f>
        <v>Q 3</v>
      </c>
      <c r="J227" t="str">
        <f>tbl_Kalender[[#This Row],[Quartal]]&amp;". Quartal"</f>
        <v>3. Quartal</v>
      </c>
      <c r="K227">
        <f>_xlfn.ISOWEEKNUM(tbl_Kalender[[#This Row],[Datum]])</f>
        <v>33</v>
      </c>
    </row>
    <row r="228" spans="1:11" x14ac:dyDescent="0.25">
      <c r="A228" s="1">
        <v>45518</v>
      </c>
      <c r="B228">
        <f>YEAR(tbl_Kalender[[#This Row],[Datum]])</f>
        <v>2024</v>
      </c>
      <c r="C228">
        <f>DAY(tbl_Kalender[[#This Row],[Datum]])</f>
        <v>14</v>
      </c>
      <c r="D228" t="str">
        <f>TEXT(tbl_Kalender[[#This Row],[Datum]],"TTTT")</f>
        <v>Mittwoch</v>
      </c>
      <c r="E228">
        <f>WEEKDAY(tbl_Kalender[[#This Row],[Datum]],2)</f>
        <v>3</v>
      </c>
      <c r="F228">
        <f>MONTH(tbl_Kalender[[#This Row],[Datum]])</f>
        <v>8</v>
      </c>
      <c r="G228" t="str">
        <f>TEXT(tbl_Kalender[[#This Row],[Datum]],"MMMM")</f>
        <v>August</v>
      </c>
      <c r="H228">
        <f>ROUNDUP(tbl_Kalender[[#This Row],[Monat]]/3,0)</f>
        <v>3</v>
      </c>
      <c r="I228" t="str">
        <f>"Q "&amp;tbl_Kalender[[#This Row],[Quartal]]</f>
        <v>Q 3</v>
      </c>
      <c r="J228" t="str">
        <f>tbl_Kalender[[#This Row],[Quartal]]&amp;". Quartal"</f>
        <v>3. Quartal</v>
      </c>
      <c r="K228">
        <f>_xlfn.ISOWEEKNUM(tbl_Kalender[[#This Row],[Datum]])</f>
        <v>33</v>
      </c>
    </row>
    <row r="229" spans="1:11" x14ac:dyDescent="0.25">
      <c r="A229" s="1">
        <v>45519</v>
      </c>
      <c r="B229">
        <f>YEAR(tbl_Kalender[[#This Row],[Datum]])</f>
        <v>2024</v>
      </c>
      <c r="C229">
        <f>DAY(tbl_Kalender[[#This Row],[Datum]])</f>
        <v>15</v>
      </c>
      <c r="D229" t="str">
        <f>TEXT(tbl_Kalender[[#This Row],[Datum]],"TTTT")</f>
        <v>Donnerstag</v>
      </c>
      <c r="E229">
        <f>WEEKDAY(tbl_Kalender[[#This Row],[Datum]],2)</f>
        <v>4</v>
      </c>
      <c r="F229">
        <f>MONTH(tbl_Kalender[[#This Row],[Datum]])</f>
        <v>8</v>
      </c>
      <c r="G229" t="str">
        <f>TEXT(tbl_Kalender[[#This Row],[Datum]],"MMMM")</f>
        <v>August</v>
      </c>
      <c r="H229">
        <f>ROUNDUP(tbl_Kalender[[#This Row],[Monat]]/3,0)</f>
        <v>3</v>
      </c>
      <c r="I229" t="str">
        <f>"Q "&amp;tbl_Kalender[[#This Row],[Quartal]]</f>
        <v>Q 3</v>
      </c>
      <c r="J229" t="str">
        <f>tbl_Kalender[[#This Row],[Quartal]]&amp;". Quartal"</f>
        <v>3. Quartal</v>
      </c>
      <c r="K229">
        <f>_xlfn.ISOWEEKNUM(tbl_Kalender[[#This Row],[Datum]])</f>
        <v>33</v>
      </c>
    </row>
    <row r="230" spans="1:11" x14ac:dyDescent="0.25">
      <c r="A230" s="1">
        <v>45520</v>
      </c>
      <c r="B230">
        <f>YEAR(tbl_Kalender[[#This Row],[Datum]])</f>
        <v>2024</v>
      </c>
      <c r="C230">
        <f>DAY(tbl_Kalender[[#This Row],[Datum]])</f>
        <v>16</v>
      </c>
      <c r="D230" t="str">
        <f>TEXT(tbl_Kalender[[#This Row],[Datum]],"TTTT")</f>
        <v>Freitag</v>
      </c>
      <c r="E230">
        <f>WEEKDAY(tbl_Kalender[[#This Row],[Datum]],2)</f>
        <v>5</v>
      </c>
      <c r="F230">
        <f>MONTH(tbl_Kalender[[#This Row],[Datum]])</f>
        <v>8</v>
      </c>
      <c r="G230" t="str">
        <f>TEXT(tbl_Kalender[[#This Row],[Datum]],"MMMM")</f>
        <v>August</v>
      </c>
      <c r="H230">
        <f>ROUNDUP(tbl_Kalender[[#This Row],[Monat]]/3,0)</f>
        <v>3</v>
      </c>
      <c r="I230" t="str">
        <f>"Q "&amp;tbl_Kalender[[#This Row],[Quartal]]</f>
        <v>Q 3</v>
      </c>
      <c r="J230" t="str">
        <f>tbl_Kalender[[#This Row],[Quartal]]&amp;". Quartal"</f>
        <v>3. Quartal</v>
      </c>
      <c r="K230">
        <f>_xlfn.ISOWEEKNUM(tbl_Kalender[[#This Row],[Datum]])</f>
        <v>33</v>
      </c>
    </row>
    <row r="231" spans="1:11" x14ac:dyDescent="0.25">
      <c r="A231" s="1">
        <v>45521</v>
      </c>
      <c r="B231">
        <f>YEAR(tbl_Kalender[[#This Row],[Datum]])</f>
        <v>2024</v>
      </c>
      <c r="C231">
        <f>DAY(tbl_Kalender[[#This Row],[Datum]])</f>
        <v>17</v>
      </c>
      <c r="D231" t="str">
        <f>TEXT(tbl_Kalender[[#This Row],[Datum]],"TTTT")</f>
        <v>Samstag</v>
      </c>
      <c r="E231">
        <f>WEEKDAY(tbl_Kalender[[#This Row],[Datum]],2)</f>
        <v>6</v>
      </c>
      <c r="F231">
        <f>MONTH(tbl_Kalender[[#This Row],[Datum]])</f>
        <v>8</v>
      </c>
      <c r="G231" t="str">
        <f>TEXT(tbl_Kalender[[#This Row],[Datum]],"MMMM")</f>
        <v>August</v>
      </c>
      <c r="H231">
        <f>ROUNDUP(tbl_Kalender[[#This Row],[Monat]]/3,0)</f>
        <v>3</v>
      </c>
      <c r="I231" t="str">
        <f>"Q "&amp;tbl_Kalender[[#This Row],[Quartal]]</f>
        <v>Q 3</v>
      </c>
      <c r="J231" t="str">
        <f>tbl_Kalender[[#This Row],[Quartal]]&amp;". Quartal"</f>
        <v>3. Quartal</v>
      </c>
      <c r="K231">
        <f>_xlfn.ISOWEEKNUM(tbl_Kalender[[#This Row],[Datum]])</f>
        <v>33</v>
      </c>
    </row>
    <row r="232" spans="1:11" x14ac:dyDescent="0.25">
      <c r="A232" s="1">
        <v>45522</v>
      </c>
      <c r="B232">
        <f>YEAR(tbl_Kalender[[#This Row],[Datum]])</f>
        <v>2024</v>
      </c>
      <c r="C232">
        <f>DAY(tbl_Kalender[[#This Row],[Datum]])</f>
        <v>18</v>
      </c>
      <c r="D232" t="str">
        <f>TEXT(tbl_Kalender[[#This Row],[Datum]],"TTTT")</f>
        <v>Sonntag</v>
      </c>
      <c r="E232">
        <f>WEEKDAY(tbl_Kalender[[#This Row],[Datum]],2)</f>
        <v>7</v>
      </c>
      <c r="F232">
        <f>MONTH(tbl_Kalender[[#This Row],[Datum]])</f>
        <v>8</v>
      </c>
      <c r="G232" t="str">
        <f>TEXT(tbl_Kalender[[#This Row],[Datum]],"MMMM")</f>
        <v>August</v>
      </c>
      <c r="H232">
        <f>ROUNDUP(tbl_Kalender[[#This Row],[Monat]]/3,0)</f>
        <v>3</v>
      </c>
      <c r="I232" t="str">
        <f>"Q "&amp;tbl_Kalender[[#This Row],[Quartal]]</f>
        <v>Q 3</v>
      </c>
      <c r="J232" t="str">
        <f>tbl_Kalender[[#This Row],[Quartal]]&amp;". Quartal"</f>
        <v>3. Quartal</v>
      </c>
      <c r="K232">
        <f>_xlfn.ISOWEEKNUM(tbl_Kalender[[#This Row],[Datum]])</f>
        <v>33</v>
      </c>
    </row>
    <row r="233" spans="1:11" x14ac:dyDescent="0.25">
      <c r="A233" s="1">
        <v>45523</v>
      </c>
      <c r="B233">
        <f>YEAR(tbl_Kalender[[#This Row],[Datum]])</f>
        <v>2024</v>
      </c>
      <c r="C233">
        <f>DAY(tbl_Kalender[[#This Row],[Datum]])</f>
        <v>19</v>
      </c>
      <c r="D233" t="str">
        <f>TEXT(tbl_Kalender[[#This Row],[Datum]],"TTTT")</f>
        <v>Montag</v>
      </c>
      <c r="E233">
        <f>WEEKDAY(tbl_Kalender[[#This Row],[Datum]],2)</f>
        <v>1</v>
      </c>
      <c r="F233">
        <f>MONTH(tbl_Kalender[[#This Row],[Datum]])</f>
        <v>8</v>
      </c>
      <c r="G233" t="str">
        <f>TEXT(tbl_Kalender[[#This Row],[Datum]],"MMMM")</f>
        <v>August</v>
      </c>
      <c r="H233">
        <f>ROUNDUP(tbl_Kalender[[#This Row],[Monat]]/3,0)</f>
        <v>3</v>
      </c>
      <c r="I233" t="str">
        <f>"Q "&amp;tbl_Kalender[[#This Row],[Quartal]]</f>
        <v>Q 3</v>
      </c>
      <c r="J233" t="str">
        <f>tbl_Kalender[[#This Row],[Quartal]]&amp;". Quartal"</f>
        <v>3. Quartal</v>
      </c>
      <c r="K233">
        <f>_xlfn.ISOWEEKNUM(tbl_Kalender[[#This Row],[Datum]])</f>
        <v>34</v>
      </c>
    </row>
    <row r="234" spans="1:11" x14ac:dyDescent="0.25">
      <c r="A234" s="1">
        <v>45524</v>
      </c>
      <c r="B234">
        <f>YEAR(tbl_Kalender[[#This Row],[Datum]])</f>
        <v>2024</v>
      </c>
      <c r="C234">
        <f>DAY(tbl_Kalender[[#This Row],[Datum]])</f>
        <v>20</v>
      </c>
      <c r="D234" t="str">
        <f>TEXT(tbl_Kalender[[#This Row],[Datum]],"TTTT")</f>
        <v>Dienstag</v>
      </c>
      <c r="E234">
        <f>WEEKDAY(tbl_Kalender[[#This Row],[Datum]],2)</f>
        <v>2</v>
      </c>
      <c r="F234">
        <f>MONTH(tbl_Kalender[[#This Row],[Datum]])</f>
        <v>8</v>
      </c>
      <c r="G234" t="str">
        <f>TEXT(tbl_Kalender[[#This Row],[Datum]],"MMMM")</f>
        <v>August</v>
      </c>
      <c r="H234">
        <f>ROUNDUP(tbl_Kalender[[#This Row],[Monat]]/3,0)</f>
        <v>3</v>
      </c>
      <c r="I234" t="str">
        <f>"Q "&amp;tbl_Kalender[[#This Row],[Quartal]]</f>
        <v>Q 3</v>
      </c>
      <c r="J234" t="str">
        <f>tbl_Kalender[[#This Row],[Quartal]]&amp;". Quartal"</f>
        <v>3. Quartal</v>
      </c>
      <c r="K234">
        <f>_xlfn.ISOWEEKNUM(tbl_Kalender[[#This Row],[Datum]])</f>
        <v>34</v>
      </c>
    </row>
    <row r="235" spans="1:11" x14ac:dyDescent="0.25">
      <c r="A235" s="1">
        <v>45525</v>
      </c>
      <c r="B235">
        <f>YEAR(tbl_Kalender[[#This Row],[Datum]])</f>
        <v>2024</v>
      </c>
      <c r="C235">
        <f>DAY(tbl_Kalender[[#This Row],[Datum]])</f>
        <v>21</v>
      </c>
      <c r="D235" t="str">
        <f>TEXT(tbl_Kalender[[#This Row],[Datum]],"TTTT")</f>
        <v>Mittwoch</v>
      </c>
      <c r="E235">
        <f>WEEKDAY(tbl_Kalender[[#This Row],[Datum]],2)</f>
        <v>3</v>
      </c>
      <c r="F235">
        <f>MONTH(tbl_Kalender[[#This Row],[Datum]])</f>
        <v>8</v>
      </c>
      <c r="G235" t="str">
        <f>TEXT(tbl_Kalender[[#This Row],[Datum]],"MMMM")</f>
        <v>August</v>
      </c>
      <c r="H235">
        <f>ROUNDUP(tbl_Kalender[[#This Row],[Monat]]/3,0)</f>
        <v>3</v>
      </c>
      <c r="I235" t="str">
        <f>"Q "&amp;tbl_Kalender[[#This Row],[Quartal]]</f>
        <v>Q 3</v>
      </c>
      <c r="J235" t="str">
        <f>tbl_Kalender[[#This Row],[Quartal]]&amp;". Quartal"</f>
        <v>3. Quartal</v>
      </c>
      <c r="K235">
        <f>_xlfn.ISOWEEKNUM(tbl_Kalender[[#This Row],[Datum]])</f>
        <v>34</v>
      </c>
    </row>
    <row r="236" spans="1:11" x14ac:dyDescent="0.25">
      <c r="A236" s="1">
        <v>45526</v>
      </c>
      <c r="B236">
        <f>YEAR(tbl_Kalender[[#This Row],[Datum]])</f>
        <v>2024</v>
      </c>
      <c r="C236">
        <f>DAY(tbl_Kalender[[#This Row],[Datum]])</f>
        <v>22</v>
      </c>
      <c r="D236" t="str">
        <f>TEXT(tbl_Kalender[[#This Row],[Datum]],"TTTT")</f>
        <v>Donnerstag</v>
      </c>
      <c r="E236">
        <f>WEEKDAY(tbl_Kalender[[#This Row],[Datum]],2)</f>
        <v>4</v>
      </c>
      <c r="F236">
        <f>MONTH(tbl_Kalender[[#This Row],[Datum]])</f>
        <v>8</v>
      </c>
      <c r="G236" t="str">
        <f>TEXT(tbl_Kalender[[#This Row],[Datum]],"MMMM")</f>
        <v>August</v>
      </c>
      <c r="H236">
        <f>ROUNDUP(tbl_Kalender[[#This Row],[Monat]]/3,0)</f>
        <v>3</v>
      </c>
      <c r="I236" t="str">
        <f>"Q "&amp;tbl_Kalender[[#This Row],[Quartal]]</f>
        <v>Q 3</v>
      </c>
      <c r="J236" t="str">
        <f>tbl_Kalender[[#This Row],[Quartal]]&amp;". Quartal"</f>
        <v>3. Quartal</v>
      </c>
      <c r="K236">
        <f>_xlfn.ISOWEEKNUM(tbl_Kalender[[#This Row],[Datum]])</f>
        <v>34</v>
      </c>
    </row>
    <row r="237" spans="1:11" x14ac:dyDescent="0.25">
      <c r="A237" s="1">
        <v>45527</v>
      </c>
      <c r="B237">
        <f>YEAR(tbl_Kalender[[#This Row],[Datum]])</f>
        <v>2024</v>
      </c>
      <c r="C237">
        <f>DAY(tbl_Kalender[[#This Row],[Datum]])</f>
        <v>23</v>
      </c>
      <c r="D237" t="str">
        <f>TEXT(tbl_Kalender[[#This Row],[Datum]],"TTTT")</f>
        <v>Freitag</v>
      </c>
      <c r="E237">
        <f>WEEKDAY(tbl_Kalender[[#This Row],[Datum]],2)</f>
        <v>5</v>
      </c>
      <c r="F237">
        <f>MONTH(tbl_Kalender[[#This Row],[Datum]])</f>
        <v>8</v>
      </c>
      <c r="G237" t="str">
        <f>TEXT(tbl_Kalender[[#This Row],[Datum]],"MMMM")</f>
        <v>August</v>
      </c>
      <c r="H237">
        <f>ROUNDUP(tbl_Kalender[[#This Row],[Monat]]/3,0)</f>
        <v>3</v>
      </c>
      <c r="I237" t="str">
        <f>"Q "&amp;tbl_Kalender[[#This Row],[Quartal]]</f>
        <v>Q 3</v>
      </c>
      <c r="J237" t="str">
        <f>tbl_Kalender[[#This Row],[Quartal]]&amp;". Quartal"</f>
        <v>3. Quartal</v>
      </c>
      <c r="K237">
        <f>_xlfn.ISOWEEKNUM(tbl_Kalender[[#This Row],[Datum]])</f>
        <v>34</v>
      </c>
    </row>
    <row r="238" spans="1:11" x14ac:dyDescent="0.25">
      <c r="A238" s="1">
        <v>45528</v>
      </c>
      <c r="B238">
        <f>YEAR(tbl_Kalender[[#This Row],[Datum]])</f>
        <v>2024</v>
      </c>
      <c r="C238">
        <f>DAY(tbl_Kalender[[#This Row],[Datum]])</f>
        <v>24</v>
      </c>
      <c r="D238" t="str">
        <f>TEXT(tbl_Kalender[[#This Row],[Datum]],"TTTT")</f>
        <v>Samstag</v>
      </c>
      <c r="E238">
        <f>WEEKDAY(tbl_Kalender[[#This Row],[Datum]],2)</f>
        <v>6</v>
      </c>
      <c r="F238">
        <f>MONTH(tbl_Kalender[[#This Row],[Datum]])</f>
        <v>8</v>
      </c>
      <c r="G238" t="str">
        <f>TEXT(tbl_Kalender[[#This Row],[Datum]],"MMMM")</f>
        <v>August</v>
      </c>
      <c r="H238">
        <f>ROUNDUP(tbl_Kalender[[#This Row],[Monat]]/3,0)</f>
        <v>3</v>
      </c>
      <c r="I238" t="str">
        <f>"Q "&amp;tbl_Kalender[[#This Row],[Quartal]]</f>
        <v>Q 3</v>
      </c>
      <c r="J238" t="str">
        <f>tbl_Kalender[[#This Row],[Quartal]]&amp;". Quartal"</f>
        <v>3. Quartal</v>
      </c>
      <c r="K238">
        <f>_xlfn.ISOWEEKNUM(tbl_Kalender[[#This Row],[Datum]])</f>
        <v>34</v>
      </c>
    </row>
    <row r="239" spans="1:11" x14ac:dyDescent="0.25">
      <c r="A239" s="1">
        <v>45529</v>
      </c>
      <c r="B239">
        <f>YEAR(tbl_Kalender[[#This Row],[Datum]])</f>
        <v>2024</v>
      </c>
      <c r="C239">
        <f>DAY(tbl_Kalender[[#This Row],[Datum]])</f>
        <v>25</v>
      </c>
      <c r="D239" t="str">
        <f>TEXT(tbl_Kalender[[#This Row],[Datum]],"TTTT")</f>
        <v>Sonntag</v>
      </c>
      <c r="E239">
        <f>WEEKDAY(tbl_Kalender[[#This Row],[Datum]],2)</f>
        <v>7</v>
      </c>
      <c r="F239">
        <f>MONTH(tbl_Kalender[[#This Row],[Datum]])</f>
        <v>8</v>
      </c>
      <c r="G239" t="str">
        <f>TEXT(tbl_Kalender[[#This Row],[Datum]],"MMMM")</f>
        <v>August</v>
      </c>
      <c r="H239">
        <f>ROUNDUP(tbl_Kalender[[#This Row],[Monat]]/3,0)</f>
        <v>3</v>
      </c>
      <c r="I239" t="str">
        <f>"Q "&amp;tbl_Kalender[[#This Row],[Quartal]]</f>
        <v>Q 3</v>
      </c>
      <c r="J239" t="str">
        <f>tbl_Kalender[[#This Row],[Quartal]]&amp;". Quartal"</f>
        <v>3. Quartal</v>
      </c>
      <c r="K239">
        <f>_xlfn.ISOWEEKNUM(tbl_Kalender[[#This Row],[Datum]])</f>
        <v>34</v>
      </c>
    </row>
    <row r="240" spans="1:11" x14ac:dyDescent="0.25">
      <c r="A240" s="1">
        <v>45530</v>
      </c>
      <c r="B240">
        <f>YEAR(tbl_Kalender[[#This Row],[Datum]])</f>
        <v>2024</v>
      </c>
      <c r="C240">
        <f>DAY(tbl_Kalender[[#This Row],[Datum]])</f>
        <v>26</v>
      </c>
      <c r="D240" t="str">
        <f>TEXT(tbl_Kalender[[#This Row],[Datum]],"TTTT")</f>
        <v>Montag</v>
      </c>
      <c r="E240">
        <f>WEEKDAY(tbl_Kalender[[#This Row],[Datum]],2)</f>
        <v>1</v>
      </c>
      <c r="F240">
        <f>MONTH(tbl_Kalender[[#This Row],[Datum]])</f>
        <v>8</v>
      </c>
      <c r="G240" t="str">
        <f>TEXT(tbl_Kalender[[#This Row],[Datum]],"MMMM")</f>
        <v>August</v>
      </c>
      <c r="H240">
        <f>ROUNDUP(tbl_Kalender[[#This Row],[Monat]]/3,0)</f>
        <v>3</v>
      </c>
      <c r="I240" t="str">
        <f>"Q "&amp;tbl_Kalender[[#This Row],[Quartal]]</f>
        <v>Q 3</v>
      </c>
      <c r="J240" t="str">
        <f>tbl_Kalender[[#This Row],[Quartal]]&amp;". Quartal"</f>
        <v>3. Quartal</v>
      </c>
      <c r="K240">
        <f>_xlfn.ISOWEEKNUM(tbl_Kalender[[#This Row],[Datum]])</f>
        <v>35</v>
      </c>
    </row>
    <row r="241" spans="1:11" x14ac:dyDescent="0.25">
      <c r="A241" s="1">
        <v>45531</v>
      </c>
      <c r="B241">
        <f>YEAR(tbl_Kalender[[#This Row],[Datum]])</f>
        <v>2024</v>
      </c>
      <c r="C241">
        <f>DAY(tbl_Kalender[[#This Row],[Datum]])</f>
        <v>27</v>
      </c>
      <c r="D241" t="str">
        <f>TEXT(tbl_Kalender[[#This Row],[Datum]],"TTTT")</f>
        <v>Dienstag</v>
      </c>
      <c r="E241">
        <f>WEEKDAY(tbl_Kalender[[#This Row],[Datum]],2)</f>
        <v>2</v>
      </c>
      <c r="F241">
        <f>MONTH(tbl_Kalender[[#This Row],[Datum]])</f>
        <v>8</v>
      </c>
      <c r="G241" t="str">
        <f>TEXT(tbl_Kalender[[#This Row],[Datum]],"MMMM")</f>
        <v>August</v>
      </c>
      <c r="H241">
        <f>ROUNDUP(tbl_Kalender[[#This Row],[Monat]]/3,0)</f>
        <v>3</v>
      </c>
      <c r="I241" t="str">
        <f>"Q "&amp;tbl_Kalender[[#This Row],[Quartal]]</f>
        <v>Q 3</v>
      </c>
      <c r="J241" t="str">
        <f>tbl_Kalender[[#This Row],[Quartal]]&amp;". Quartal"</f>
        <v>3. Quartal</v>
      </c>
      <c r="K241">
        <f>_xlfn.ISOWEEKNUM(tbl_Kalender[[#This Row],[Datum]])</f>
        <v>35</v>
      </c>
    </row>
    <row r="242" spans="1:11" x14ac:dyDescent="0.25">
      <c r="A242" s="1">
        <v>45532</v>
      </c>
      <c r="B242">
        <f>YEAR(tbl_Kalender[[#This Row],[Datum]])</f>
        <v>2024</v>
      </c>
      <c r="C242">
        <f>DAY(tbl_Kalender[[#This Row],[Datum]])</f>
        <v>28</v>
      </c>
      <c r="D242" t="str">
        <f>TEXT(tbl_Kalender[[#This Row],[Datum]],"TTTT")</f>
        <v>Mittwoch</v>
      </c>
      <c r="E242">
        <f>WEEKDAY(tbl_Kalender[[#This Row],[Datum]],2)</f>
        <v>3</v>
      </c>
      <c r="F242">
        <f>MONTH(tbl_Kalender[[#This Row],[Datum]])</f>
        <v>8</v>
      </c>
      <c r="G242" t="str">
        <f>TEXT(tbl_Kalender[[#This Row],[Datum]],"MMMM")</f>
        <v>August</v>
      </c>
      <c r="H242">
        <f>ROUNDUP(tbl_Kalender[[#This Row],[Monat]]/3,0)</f>
        <v>3</v>
      </c>
      <c r="I242" t="str">
        <f>"Q "&amp;tbl_Kalender[[#This Row],[Quartal]]</f>
        <v>Q 3</v>
      </c>
      <c r="J242" t="str">
        <f>tbl_Kalender[[#This Row],[Quartal]]&amp;". Quartal"</f>
        <v>3. Quartal</v>
      </c>
      <c r="K242">
        <f>_xlfn.ISOWEEKNUM(tbl_Kalender[[#This Row],[Datum]])</f>
        <v>35</v>
      </c>
    </row>
    <row r="243" spans="1:11" x14ac:dyDescent="0.25">
      <c r="A243" s="1">
        <v>45533</v>
      </c>
      <c r="B243">
        <f>YEAR(tbl_Kalender[[#This Row],[Datum]])</f>
        <v>2024</v>
      </c>
      <c r="C243">
        <f>DAY(tbl_Kalender[[#This Row],[Datum]])</f>
        <v>29</v>
      </c>
      <c r="D243" t="str">
        <f>TEXT(tbl_Kalender[[#This Row],[Datum]],"TTTT")</f>
        <v>Donnerstag</v>
      </c>
      <c r="E243">
        <f>WEEKDAY(tbl_Kalender[[#This Row],[Datum]],2)</f>
        <v>4</v>
      </c>
      <c r="F243">
        <f>MONTH(tbl_Kalender[[#This Row],[Datum]])</f>
        <v>8</v>
      </c>
      <c r="G243" t="str">
        <f>TEXT(tbl_Kalender[[#This Row],[Datum]],"MMMM")</f>
        <v>August</v>
      </c>
      <c r="H243">
        <f>ROUNDUP(tbl_Kalender[[#This Row],[Monat]]/3,0)</f>
        <v>3</v>
      </c>
      <c r="I243" t="str">
        <f>"Q "&amp;tbl_Kalender[[#This Row],[Quartal]]</f>
        <v>Q 3</v>
      </c>
      <c r="J243" t="str">
        <f>tbl_Kalender[[#This Row],[Quartal]]&amp;". Quartal"</f>
        <v>3. Quartal</v>
      </c>
      <c r="K243">
        <f>_xlfn.ISOWEEKNUM(tbl_Kalender[[#This Row],[Datum]])</f>
        <v>35</v>
      </c>
    </row>
    <row r="244" spans="1:11" x14ac:dyDescent="0.25">
      <c r="A244" s="1">
        <v>45534</v>
      </c>
      <c r="B244">
        <f>YEAR(tbl_Kalender[[#This Row],[Datum]])</f>
        <v>2024</v>
      </c>
      <c r="C244">
        <f>DAY(tbl_Kalender[[#This Row],[Datum]])</f>
        <v>30</v>
      </c>
      <c r="D244" t="str">
        <f>TEXT(tbl_Kalender[[#This Row],[Datum]],"TTTT")</f>
        <v>Freitag</v>
      </c>
      <c r="E244">
        <f>WEEKDAY(tbl_Kalender[[#This Row],[Datum]],2)</f>
        <v>5</v>
      </c>
      <c r="F244">
        <f>MONTH(tbl_Kalender[[#This Row],[Datum]])</f>
        <v>8</v>
      </c>
      <c r="G244" t="str">
        <f>TEXT(tbl_Kalender[[#This Row],[Datum]],"MMMM")</f>
        <v>August</v>
      </c>
      <c r="H244">
        <f>ROUNDUP(tbl_Kalender[[#This Row],[Monat]]/3,0)</f>
        <v>3</v>
      </c>
      <c r="I244" t="str">
        <f>"Q "&amp;tbl_Kalender[[#This Row],[Quartal]]</f>
        <v>Q 3</v>
      </c>
      <c r="J244" t="str">
        <f>tbl_Kalender[[#This Row],[Quartal]]&amp;". Quartal"</f>
        <v>3. Quartal</v>
      </c>
      <c r="K244">
        <f>_xlfn.ISOWEEKNUM(tbl_Kalender[[#This Row],[Datum]])</f>
        <v>35</v>
      </c>
    </row>
    <row r="245" spans="1:11" x14ac:dyDescent="0.25">
      <c r="A245" s="1">
        <v>45535</v>
      </c>
      <c r="B245">
        <f>YEAR(tbl_Kalender[[#This Row],[Datum]])</f>
        <v>2024</v>
      </c>
      <c r="C245">
        <f>DAY(tbl_Kalender[[#This Row],[Datum]])</f>
        <v>31</v>
      </c>
      <c r="D245" t="str">
        <f>TEXT(tbl_Kalender[[#This Row],[Datum]],"TTTT")</f>
        <v>Samstag</v>
      </c>
      <c r="E245">
        <f>WEEKDAY(tbl_Kalender[[#This Row],[Datum]],2)</f>
        <v>6</v>
      </c>
      <c r="F245">
        <f>MONTH(tbl_Kalender[[#This Row],[Datum]])</f>
        <v>8</v>
      </c>
      <c r="G245" t="str">
        <f>TEXT(tbl_Kalender[[#This Row],[Datum]],"MMMM")</f>
        <v>August</v>
      </c>
      <c r="H245">
        <f>ROUNDUP(tbl_Kalender[[#This Row],[Monat]]/3,0)</f>
        <v>3</v>
      </c>
      <c r="I245" t="str">
        <f>"Q "&amp;tbl_Kalender[[#This Row],[Quartal]]</f>
        <v>Q 3</v>
      </c>
      <c r="J245" t="str">
        <f>tbl_Kalender[[#This Row],[Quartal]]&amp;". Quartal"</f>
        <v>3. Quartal</v>
      </c>
      <c r="K245">
        <f>_xlfn.ISOWEEKNUM(tbl_Kalender[[#This Row],[Datum]])</f>
        <v>35</v>
      </c>
    </row>
    <row r="246" spans="1:11" x14ac:dyDescent="0.25">
      <c r="A246" s="1">
        <v>45536</v>
      </c>
      <c r="B246">
        <f>YEAR(tbl_Kalender[[#This Row],[Datum]])</f>
        <v>2024</v>
      </c>
      <c r="C246">
        <f>DAY(tbl_Kalender[[#This Row],[Datum]])</f>
        <v>1</v>
      </c>
      <c r="D246" t="str">
        <f>TEXT(tbl_Kalender[[#This Row],[Datum]],"TTTT")</f>
        <v>Sonntag</v>
      </c>
      <c r="E246">
        <f>WEEKDAY(tbl_Kalender[[#This Row],[Datum]],2)</f>
        <v>7</v>
      </c>
      <c r="F246">
        <f>MONTH(tbl_Kalender[[#This Row],[Datum]])</f>
        <v>9</v>
      </c>
      <c r="G246" t="str">
        <f>TEXT(tbl_Kalender[[#This Row],[Datum]],"MMMM")</f>
        <v>September</v>
      </c>
      <c r="H246">
        <f>ROUNDUP(tbl_Kalender[[#This Row],[Monat]]/3,0)</f>
        <v>3</v>
      </c>
      <c r="I246" t="str">
        <f>"Q "&amp;tbl_Kalender[[#This Row],[Quartal]]</f>
        <v>Q 3</v>
      </c>
      <c r="J246" t="str">
        <f>tbl_Kalender[[#This Row],[Quartal]]&amp;". Quartal"</f>
        <v>3. Quartal</v>
      </c>
      <c r="K246">
        <f>_xlfn.ISOWEEKNUM(tbl_Kalender[[#This Row],[Datum]])</f>
        <v>35</v>
      </c>
    </row>
    <row r="247" spans="1:11" x14ac:dyDescent="0.25">
      <c r="A247" s="1">
        <v>45537</v>
      </c>
      <c r="B247">
        <f>YEAR(tbl_Kalender[[#This Row],[Datum]])</f>
        <v>2024</v>
      </c>
      <c r="C247">
        <f>DAY(tbl_Kalender[[#This Row],[Datum]])</f>
        <v>2</v>
      </c>
      <c r="D247" t="str">
        <f>TEXT(tbl_Kalender[[#This Row],[Datum]],"TTTT")</f>
        <v>Montag</v>
      </c>
      <c r="E247">
        <f>WEEKDAY(tbl_Kalender[[#This Row],[Datum]],2)</f>
        <v>1</v>
      </c>
      <c r="F247">
        <f>MONTH(tbl_Kalender[[#This Row],[Datum]])</f>
        <v>9</v>
      </c>
      <c r="G247" t="str">
        <f>TEXT(tbl_Kalender[[#This Row],[Datum]],"MMMM")</f>
        <v>September</v>
      </c>
      <c r="H247">
        <f>ROUNDUP(tbl_Kalender[[#This Row],[Monat]]/3,0)</f>
        <v>3</v>
      </c>
      <c r="I247" t="str">
        <f>"Q "&amp;tbl_Kalender[[#This Row],[Quartal]]</f>
        <v>Q 3</v>
      </c>
      <c r="J247" t="str">
        <f>tbl_Kalender[[#This Row],[Quartal]]&amp;". Quartal"</f>
        <v>3. Quartal</v>
      </c>
      <c r="K247">
        <f>_xlfn.ISOWEEKNUM(tbl_Kalender[[#This Row],[Datum]])</f>
        <v>36</v>
      </c>
    </row>
    <row r="248" spans="1:11" x14ac:dyDescent="0.25">
      <c r="A248" s="1">
        <v>45538</v>
      </c>
      <c r="B248">
        <f>YEAR(tbl_Kalender[[#This Row],[Datum]])</f>
        <v>2024</v>
      </c>
      <c r="C248">
        <f>DAY(tbl_Kalender[[#This Row],[Datum]])</f>
        <v>3</v>
      </c>
      <c r="D248" t="str">
        <f>TEXT(tbl_Kalender[[#This Row],[Datum]],"TTTT")</f>
        <v>Dienstag</v>
      </c>
      <c r="E248">
        <f>WEEKDAY(tbl_Kalender[[#This Row],[Datum]],2)</f>
        <v>2</v>
      </c>
      <c r="F248">
        <f>MONTH(tbl_Kalender[[#This Row],[Datum]])</f>
        <v>9</v>
      </c>
      <c r="G248" t="str">
        <f>TEXT(tbl_Kalender[[#This Row],[Datum]],"MMMM")</f>
        <v>September</v>
      </c>
      <c r="H248">
        <f>ROUNDUP(tbl_Kalender[[#This Row],[Monat]]/3,0)</f>
        <v>3</v>
      </c>
      <c r="I248" t="str">
        <f>"Q "&amp;tbl_Kalender[[#This Row],[Quartal]]</f>
        <v>Q 3</v>
      </c>
      <c r="J248" t="str">
        <f>tbl_Kalender[[#This Row],[Quartal]]&amp;". Quartal"</f>
        <v>3. Quartal</v>
      </c>
      <c r="K248">
        <f>_xlfn.ISOWEEKNUM(tbl_Kalender[[#This Row],[Datum]])</f>
        <v>36</v>
      </c>
    </row>
    <row r="249" spans="1:11" x14ac:dyDescent="0.25">
      <c r="A249" s="1">
        <v>45539</v>
      </c>
      <c r="B249">
        <f>YEAR(tbl_Kalender[[#This Row],[Datum]])</f>
        <v>2024</v>
      </c>
      <c r="C249">
        <f>DAY(tbl_Kalender[[#This Row],[Datum]])</f>
        <v>4</v>
      </c>
      <c r="D249" t="str">
        <f>TEXT(tbl_Kalender[[#This Row],[Datum]],"TTTT")</f>
        <v>Mittwoch</v>
      </c>
      <c r="E249">
        <f>WEEKDAY(tbl_Kalender[[#This Row],[Datum]],2)</f>
        <v>3</v>
      </c>
      <c r="F249">
        <f>MONTH(tbl_Kalender[[#This Row],[Datum]])</f>
        <v>9</v>
      </c>
      <c r="G249" t="str">
        <f>TEXT(tbl_Kalender[[#This Row],[Datum]],"MMMM")</f>
        <v>September</v>
      </c>
      <c r="H249">
        <f>ROUNDUP(tbl_Kalender[[#This Row],[Monat]]/3,0)</f>
        <v>3</v>
      </c>
      <c r="I249" t="str">
        <f>"Q "&amp;tbl_Kalender[[#This Row],[Quartal]]</f>
        <v>Q 3</v>
      </c>
      <c r="J249" t="str">
        <f>tbl_Kalender[[#This Row],[Quartal]]&amp;". Quartal"</f>
        <v>3. Quartal</v>
      </c>
      <c r="K249">
        <f>_xlfn.ISOWEEKNUM(tbl_Kalender[[#This Row],[Datum]])</f>
        <v>36</v>
      </c>
    </row>
    <row r="250" spans="1:11" x14ac:dyDescent="0.25">
      <c r="A250" s="1">
        <v>45540</v>
      </c>
      <c r="B250">
        <f>YEAR(tbl_Kalender[[#This Row],[Datum]])</f>
        <v>2024</v>
      </c>
      <c r="C250">
        <f>DAY(tbl_Kalender[[#This Row],[Datum]])</f>
        <v>5</v>
      </c>
      <c r="D250" t="str">
        <f>TEXT(tbl_Kalender[[#This Row],[Datum]],"TTTT")</f>
        <v>Donnerstag</v>
      </c>
      <c r="E250">
        <f>WEEKDAY(tbl_Kalender[[#This Row],[Datum]],2)</f>
        <v>4</v>
      </c>
      <c r="F250">
        <f>MONTH(tbl_Kalender[[#This Row],[Datum]])</f>
        <v>9</v>
      </c>
      <c r="G250" t="str">
        <f>TEXT(tbl_Kalender[[#This Row],[Datum]],"MMMM")</f>
        <v>September</v>
      </c>
      <c r="H250">
        <f>ROUNDUP(tbl_Kalender[[#This Row],[Monat]]/3,0)</f>
        <v>3</v>
      </c>
      <c r="I250" t="str">
        <f>"Q "&amp;tbl_Kalender[[#This Row],[Quartal]]</f>
        <v>Q 3</v>
      </c>
      <c r="J250" t="str">
        <f>tbl_Kalender[[#This Row],[Quartal]]&amp;". Quartal"</f>
        <v>3. Quartal</v>
      </c>
      <c r="K250">
        <f>_xlfn.ISOWEEKNUM(tbl_Kalender[[#This Row],[Datum]])</f>
        <v>36</v>
      </c>
    </row>
    <row r="251" spans="1:11" x14ac:dyDescent="0.25">
      <c r="A251" s="1">
        <v>45541</v>
      </c>
      <c r="B251">
        <f>YEAR(tbl_Kalender[[#This Row],[Datum]])</f>
        <v>2024</v>
      </c>
      <c r="C251">
        <f>DAY(tbl_Kalender[[#This Row],[Datum]])</f>
        <v>6</v>
      </c>
      <c r="D251" t="str">
        <f>TEXT(tbl_Kalender[[#This Row],[Datum]],"TTTT")</f>
        <v>Freitag</v>
      </c>
      <c r="E251">
        <f>WEEKDAY(tbl_Kalender[[#This Row],[Datum]],2)</f>
        <v>5</v>
      </c>
      <c r="F251">
        <f>MONTH(tbl_Kalender[[#This Row],[Datum]])</f>
        <v>9</v>
      </c>
      <c r="G251" t="str">
        <f>TEXT(tbl_Kalender[[#This Row],[Datum]],"MMMM")</f>
        <v>September</v>
      </c>
      <c r="H251">
        <f>ROUNDUP(tbl_Kalender[[#This Row],[Monat]]/3,0)</f>
        <v>3</v>
      </c>
      <c r="I251" t="str">
        <f>"Q "&amp;tbl_Kalender[[#This Row],[Quartal]]</f>
        <v>Q 3</v>
      </c>
      <c r="J251" t="str">
        <f>tbl_Kalender[[#This Row],[Quartal]]&amp;". Quartal"</f>
        <v>3. Quartal</v>
      </c>
      <c r="K251">
        <f>_xlfn.ISOWEEKNUM(tbl_Kalender[[#This Row],[Datum]])</f>
        <v>36</v>
      </c>
    </row>
    <row r="252" spans="1:11" x14ac:dyDescent="0.25">
      <c r="A252" s="1">
        <v>45542</v>
      </c>
      <c r="B252">
        <f>YEAR(tbl_Kalender[[#This Row],[Datum]])</f>
        <v>2024</v>
      </c>
      <c r="C252">
        <f>DAY(tbl_Kalender[[#This Row],[Datum]])</f>
        <v>7</v>
      </c>
      <c r="D252" t="str">
        <f>TEXT(tbl_Kalender[[#This Row],[Datum]],"TTTT")</f>
        <v>Samstag</v>
      </c>
      <c r="E252">
        <f>WEEKDAY(tbl_Kalender[[#This Row],[Datum]],2)</f>
        <v>6</v>
      </c>
      <c r="F252">
        <f>MONTH(tbl_Kalender[[#This Row],[Datum]])</f>
        <v>9</v>
      </c>
      <c r="G252" t="str">
        <f>TEXT(tbl_Kalender[[#This Row],[Datum]],"MMMM")</f>
        <v>September</v>
      </c>
      <c r="H252">
        <f>ROUNDUP(tbl_Kalender[[#This Row],[Monat]]/3,0)</f>
        <v>3</v>
      </c>
      <c r="I252" t="str">
        <f>"Q "&amp;tbl_Kalender[[#This Row],[Quartal]]</f>
        <v>Q 3</v>
      </c>
      <c r="J252" t="str">
        <f>tbl_Kalender[[#This Row],[Quartal]]&amp;". Quartal"</f>
        <v>3. Quartal</v>
      </c>
      <c r="K252">
        <f>_xlfn.ISOWEEKNUM(tbl_Kalender[[#This Row],[Datum]])</f>
        <v>36</v>
      </c>
    </row>
    <row r="253" spans="1:11" x14ac:dyDescent="0.25">
      <c r="A253" s="1">
        <v>45543</v>
      </c>
      <c r="B253">
        <f>YEAR(tbl_Kalender[[#This Row],[Datum]])</f>
        <v>2024</v>
      </c>
      <c r="C253">
        <f>DAY(tbl_Kalender[[#This Row],[Datum]])</f>
        <v>8</v>
      </c>
      <c r="D253" t="str">
        <f>TEXT(tbl_Kalender[[#This Row],[Datum]],"TTTT")</f>
        <v>Sonntag</v>
      </c>
      <c r="E253">
        <f>WEEKDAY(tbl_Kalender[[#This Row],[Datum]],2)</f>
        <v>7</v>
      </c>
      <c r="F253">
        <f>MONTH(tbl_Kalender[[#This Row],[Datum]])</f>
        <v>9</v>
      </c>
      <c r="G253" t="str">
        <f>TEXT(tbl_Kalender[[#This Row],[Datum]],"MMMM")</f>
        <v>September</v>
      </c>
      <c r="H253">
        <f>ROUNDUP(tbl_Kalender[[#This Row],[Monat]]/3,0)</f>
        <v>3</v>
      </c>
      <c r="I253" t="str">
        <f>"Q "&amp;tbl_Kalender[[#This Row],[Quartal]]</f>
        <v>Q 3</v>
      </c>
      <c r="J253" t="str">
        <f>tbl_Kalender[[#This Row],[Quartal]]&amp;". Quartal"</f>
        <v>3. Quartal</v>
      </c>
      <c r="K253">
        <f>_xlfn.ISOWEEKNUM(tbl_Kalender[[#This Row],[Datum]])</f>
        <v>36</v>
      </c>
    </row>
    <row r="254" spans="1:11" x14ac:dyDescent="0.25">
      <c r="A254" s="1">
        <v>45544</v>
      </c>
      <c r="B254">
        <f>YEAR(tbl_Kalender[[#This Row],[Datum]])</f>
        <v>2024</v>
      </c>
      <c r="C254">
        <f>DAY(tbl_Kalender[[#This Row],[Datum]])</f>
        <v>9</v>
      </c>
      <c r="D254" t="str">
        <f>TEXT(tbl_Kalender[[#This Row],[Datum]],"TTTT")</f>
        <v>Montag</v>
      </c>
      <c r="E254">
        <f>WEEKDAY(tbl_Kalender[[#This Row],[Datum]],2)</f>
        <v>1</v>
      </c>
      <c r="F254">
        <f>MONTH(tbl_Kalender[[#This Row],[Datum]])</f>
        <v>9</v>
      </c>
      <c r="G254" t="str">
        <f>TEXT(tbl_Kalender[[#This Row],[Datum]],"MMMM")</f>
        <v>September</v>
      </c>
      <c r="H254">
        <f>ROUNDUP(tbl_Kalender[[#This Row],[Monat]]/3,0)</f>
        <v>3</v>
      </c>
      <c r="I254" t="str">
        <f>"Q "&amp;tbl_Kalender[[#This Row],[Quartal]]</f>
        <v>Q 3</v>
      </c>
      <c r="J254" t="str">
        <f>tbl_Kalender[[#This Row],[Quartal]]&amp;". Quartal"</f>
        <v>3. Quartal</v>
      </c>
      <c r="K254">
        <f>_xlfn.ISOWEEKNUM(tbl_Kalender[[#This Row],[Datum]])</f>
        <v>37</v>
      </c>
    </row>
    <row r="255" spans="1:11" x14ac:dyDescent="0.25">
      <c r="A255" s="1">
        <v>45545</v>
      </c>
      <c r="B255">
        <f>YEAR(tbl_Kalender[[#This Row],[Datum]])</f>
        <v>2024</v>
      </c>
      <c r="C255">
        <f>DAY(tbl_Kalender[[#This Row],[Datum]])</f>
        <v>10</v>
      </c>
      <c r="D255" t="str">
        <f>TEXT(tbl_Kalender[[#This Row],[Datum]],"TTTT")</f>
        <v>Dienstag</v>
      </c>
      <c r="E255">
        <f>WEEKDAY(tbl_Kalender[[#This Row],[Datum]],2)</f>
        <v>2</v>
      </c>
      <c r="F255">
        <f>MONTH(tbl_Kalender[[#This Row],[Datum]])</f>
        <v>9</v>
      </c>
      <c r="G255" t="str">
        <f>TEXT(tbl_Kalender[[#This Row],[Datum]],"MMMM")</f>
        <v>September</v>
      </c>
      <c r="H255">
        <f>ROUNDUP(tbl_Kalender[[#This Row],[Monat]]/3,0)</f>
        <v>3</v>
      </c>
      <c r="I255" t="str">
        <f>"Q "&amp;tbl_Kalender[[#This Row],[Quartal]]</f>
        <v>Q 3</v>
      </c>
      <c r="J255" t="str">
        <f>tbl_Kalender[[#This Row],[Quartal]]&amp;". Quartal"</f>
        <v>3. Quartal</v>
      </c>
      <c r="K255">
        <f>_xlfn.ISOWEEKNUM(tbl_Kalender[[#This Row],[Datum]])</f>
        <v>37</v>
      </c>
    </row>
    <row r="256" spans="1:11" x14ac:dyDescent="0.25">
      <c r="A256" s="1">
        <v>45546</v>
      </c>
      <c r="B256">
        <f>YEAR(tbl_Kalender[[#This Row],[Datum]])</f>
        <v>2024</v>
      </c>
      <c r="C256">
        <f>DAY(tbl_Kalender[[#This Row],[Datum]])</f>
        <v>11</v>
      </c>
      <c r="D256" t="str">
        <f>TEXT(tbl_Kalender[[#This Row],[Datum]],"TTTT")</f>
        <v>Mittwoch</v>
      </c>
      <c r="E256">
        <f>WEEKDAY(tbl_Kalender[[#This Row],[Datum]],2)</f>
        <v>3</v>
      </c>
      <c r="F256">
        <f>MONTH(tbl_Kalender[[#This Row],[Datum]])</f>
        <v>9</v>
      </c>
      <c r="G256" t="str">
        <f>TEXT(tbl_Kalender[[#This Row],[Datum]],"MMMM")</f>
        <v>September</v>
      </c>
      <c r="H256">
        <f>ROUNDUP(tbl_Kalender[[#This Row],[Monat]]/3,0)</f>
        <v>3</v>
      </c>
      <c r="I256" t="str">
        <f>"Q "&amp;tbl_Kalender[[#This Row],[Quartal]]</f>
        <v>Q 3</v>
      </c>
      <c r="J256" t="str">
        <f>tbl_Kalender[[#This Row],[Quartal]]&amp;". Quartal"</f>
        <v>3. Quartal</v>
      </c>
      <c r="K256">
        <f>_xlfn.ISOWEEKNUM(tbl_Kalender[[#This Row],[Datum]])</f>
        <v>37</v>
      </c>
    </row>
    <row r="257" spans="1:11" x14ac:dyDescent="0.25">
      <c r="A257" s="1">
        <v>45547</v>
      </c>
      <c r="B257">
        <f>YEAR(tbl_Kalender[[#This Row],[Datum]])</f>
        <v>2024</v>
      </c>
      <c r="C257">
        <f>DAY(tbl_Kalender[[#This Row],[Datum]])</f>
        <v>12</v>
      </c>
      <c r="D257" t="str">
        <f>TEXT(tbl_Kalender[[#This Row],[Datum]],"TTTT")</f>
        <v>Donnerstag</v>
      </c>
      <c r="E257">
        <f>WEEKDAY(tbl_Kalender[[#This Row],[Datum]],2)</f>
        <v>4</v>
      </c>
      <c r="F257">
        <f>MONTH(tbl_Kalender[[#This Row],[Datum]])</f>
        <v>9</v>
      </c>
      <c r="G257" t="str">
        <f>TEXT(tbl_Kalender[[#This Row],[Datum]],"MMMM")</f>
        <v>September</v>
      </c>
      <c r="H257">
        <f>ROUNDUP(tbl_Kalender[[#This Row],[Monat]]/3,0)</f>
        <v>3</v>
      </c>
      <c r="I257" t="str">
        <f>"Q "&amp;tbl_Kalender[[#This Row],[Quartal]]</f>
        <v>Q 3</v>
      </c>
      <c r="J257" t="str">
        <f>tbl_Kalender[[#This Row],[Quartal]]&amp;". Quartal"</f>
        <v>3. Quartal</v>
      </c>
      <c r="K257">
        <f>_xlfn.ISOWEEKNUM(tbl_Kalender[[#This Row],[Datum]])</f>
        <v>37</v>
      </c>
    </row>
    <row r="258" spans="1:11" x14ac:dyDescent="0.25">
      <c r="A258" s="1">
        <v>45548</v>
      </c>
      <c r="B258">
        <f>YEAR(tbl_Kalender[[#This Row],[Datum]])</f>
        <v>2024</v>
      </c>
      <c r="C258">
        <f>DAY(tbl_Kalender[[#This Row],[Datum]])</f>
        <v>13</v>
      </c>
      <c r="D258" t="str">
        <f>TEXT(tbl_Kalender[[#This Row],[Datum]],"TTTT")</f>
        <v>Freitag</v>
      </c>
      <c r="E258">
        <f>WEEKDAY(tbl_Kalender[[#This Row],[Datum]],2)</f>
        <v>5</v>
      </c>
      <c r="F258">
        <f>MONTH(tbl_Kalender[[#This Row],[Datum]])</f>
        <v>9</v>
      </c>
      <c r="G258" t="str">
        <f>TEXT(tbl_Kalender[[#This Row],[Datum]],"MMMM")</f>
        <v>September</v>
      </c>
      <c r="H258">
        <f>ROUNDUP(tbl_Kalender[[#This Row],[Monat]]/3,0)</f>
        <v>3</v>
      </c>
      <c r="I258" t="str">
        <f>"Q "&amp;tbl_Kalender[[#This Row],[Quartal]]</f>
        <v>Q 3</v>
      </c>
      <c r="J258" t="str">
        <f>tbl_Kalender[[#This Row],[Quartal]]&amp;". Quartal"</f>
        <v>3. Quartal</v>
      </c>
      <c r="K258">
        <f>_xlfn.ISOWEEKNUM(tbl_Kalender[[#This Row],[Datum]])</f>
        <v>37</v>
      </c>
    </row>
    <row r="259" spans="1:11" x14ac:dyDescent="0.25">
      <c r="A259" s="1">
        <v>45549</v>
      </c>
      <c r="B259">
        <f>YEAR(tbl_Kalender[[#This Row],[Datum]])</f>
        <v>2024</v>
      </c>
      <c r="C259">
        <f>DAY(tbl_Kalender[[#This Row],[Datum]])</f>
        <v>14</v>
      </c>
      <c r="D259" t="str">
        <f>TEXT(tbl_Kalender[[#This Row],[Datum]],"TTTT")</f>
        <v>Samstag</v>
      </c>
      <c r="E259">
        <f>WEEKDAY(tbl_Kalender[[#This Row],[Datum]],2)</f>
        <v>6</v>
      </c>
      <c r="F259">
        <f>MONTH(tbl_Kalender[[#This Row],[Datum]])</f>
        <v>9</v>
      </c>
      <c r="G259" t="str">
        <f>TEXT(tbl_Kalender[[#This Row],[Datum]],"MMMM")</f>
        <v>September</v>
      </c>
      <c r="H259">
        <f>ROUNDUP(tbl_Kalender[[#This Row],[Monat]]/3,0)</f>
        <v>3</v>
      </c>
      <c r="I259" t="str">
        <f>"Q "&amp;tbl_Kalender[[#This Row],[Quartal]]</f>
        <v>Q 3</v>
      </c>
      <c r="J259" t="str">
        <f>tbl_Kalender[[#This Row],[Quartal]]&amp;". Quartal"</f>
        <v>3. Quartal</v>
      </c>
      <c r="K259">
        <f>_xlfn.ISOWEEKNUM(tbl_Kalender[[#This Row],[Datum]])</f>
        <v>37</v>
      </c>
    </row>
    <row r="260" spans="1:11" x14ac:dyDescent="0.25">
      <c r="A260" s="1">
        <v>45550</v>
      </c>
      <c r="B260">
        <f>YEAR(tbl_Kalender[[#This Row],[Datum]])</f>
        <v>2024</v>
      </c>
      <c r="C260">
        <f>DAY(tbl_Kalender[[#This Row],[Datum]])</f>
        <v>15</v>
      </c>
      <c r="D260" t="str">
        <f>TEXT(tbl_Kalender[[#This Row],[Datum]],"TTTT")</f>
        <v>Sonntag</v>
      </c>
      <c r="E260">
        <f>WEEKDAY(tbl_Kalender[[#This Row],[Datum]],2)</f>
        <v>7</v>
      </c>
      <c r="F260">
        <f>MONTH(tbl_Kalender[[#This Row],[Datum]])</f>
        <v>9</v>
      </c>
      <c r="G260" t="str">
        <f>TEXT(tbl_Kalender[[#This Row],[Datum]],"MMMM")</f>
        <v>September</v>
      </c>
      <c r="H260">
        <f>ROUNDUP(tbl_Kalender[[#This Row],[Monat]]/3,0)</f>
        <v>3</v>
      </c>
      <c r="I260" t="str">
        <f>"Q "&amp;tbl_Kalender[[#This Row],[Quartal]]</f>
        <v>Q 3</v>
      </c>
      <c r="J260" t="str">
        <f>tbl_Kalender[[#This Row],[Quartal]]&amp;". Quartal"</f>
        <v>3. Quartal</v>
      </c>
      <c r="K260">
        <f>_xlfn.ISOWEEKNUM(tbl_Kalender[[#This Row],[Datum]])</f>
        <v>37</v>
      </c>
    </row>
    <row r="261" spans="1:11" x14ac:dyDescent="0.25">
      <c r="A261" s="1">
        <v>45551</v>
      </c>
      <c r="B261">
        <f>YEAR(tbl_Kalender[[#This Row],[Datum]])</f>
        <v>2024</v>
      </c>
      <c r="C261">
        <f>DAY(tbl_Kalender[[#This Row],[Datum]])</f>
        <v>16</v>
      </c>
      <c r="D261" t="str">
        <f>TEXT(tbl_Kalender[[#This Row],[Datum]],"TTTT")</f>
        <v>Montag</v>
      </c>
      <c r="E261">
        <f>WEEKDAY(tbl_Kalender[[#This Row],[Datum]],2)</f>
        <v>1</v>
      </c>
      <c r="F261">
        <f>MONTH(tbl_Kalender[[#This Row],[Datum]])</f>
        <v>9</v>
      </c>
      <c r="G261" t="str">
        <f>TEXT(tbl_Kalender[[#This Row],[Datum]],"MMMM")</f>
        <v>September</v>
      </c>
      <c r="H261">
        <f>ROUNDUP(tbl_Kalender[[#This Row],[Monat]]/3,0)</f>
        <v>3</v>
      </c>
      <c r="I261" t="str">
        <f>"Q "&amp;tbl_Kalender[[#This Row],[Quartal]]</f>
        <v>Q 3</v>
      </c>
      <c r="J261" t="str">
        <f>tbl_Kalender[[#This Row],[Quartal]]&amp;". Quartal"</f>
        <v>3. Quartal</v>
      </c>
      <c r="K261">
        <f>_xlfn.ISOWEEKNUM(tbl_Kalender[[#This Row],[Datum]])</f>
        <v>38</v>
      </c>
    </row>
    <row r="262" spans="1:11" x14ac:dyDescent="0.25">
      <c r="A262" s="1">
        <v>45552</v>
      </c>
      <c r="B262">
        <f>YEAR(tbl_Kalender[[#This Row],[Datum]])</f>
        <v>2024</v>
      </c>
      <c r="C262">
        <f>DAY(tbl_Kalender[[#This Row],[Datum]])</f>
        <v>17</v>
      </c>
      <c r="D262" t="str">
        <f>TEXT(tbl_Kalender[[#This Row],[Datum]],"TTTT")</f>
        <v>Dienstag</v>
      </c>
      <c r="E262">
        <f>WEEKDAY(tbl_Kalender[[#This Row],[Datum]],2)</f>
        <v>2</v>
      </c>
      <c r="F262">
        <f>MONTH(tbl_Kalender[[#This Row],[Datum]])</f>
        <v>9</v>
      </c>
      <c r="G262" t="str">
        <f>TEXT(tbl_Kalender[[#This Row],[Datum]],"MMMM")</f>
        <v>September</v>
      </c>
      <c r="H262">
        <f>ROUNDUP(tbl_Kalender[[#This Row],[Monat]]/3,0)</f>
        <v>3</v>
      </c>
      <c r="I262" t="str">
        <f>"Q "&amp;tbl_Kalender[[#This Row],[Quartal]]</f>
        <v>Q 3</v>
      </c>
      <c r="J262" t="str">
        <f>tbl_Kalender[[#This Row],[Quartal]]&amp;". Quartal"</f>
        <v>3. Quartal</v>
      </c>
      <c r="K262">
        <f>_xlfn.ISOWEEKNUM(tbl_Kalender[[#This Row],[Datum]])</f>
        <v>38</v>
      </c>
    </row>
    <row r="263" spans="1:11" x14ac:dyDescent="0.25">
      <c r="A263" s="1">
        <v>45553</v>
      </c>
      <c r="B263">
        <f>YEAR(tbl_Kalender[[#This Row],[Datum]])</f>
        <v>2024</v>
      </c>
      <c r="C263">
        <f>DAY(tbl_Kalender[[#This Row],[Datum]])</f>
        <v>18</v>
      </c>
      <c r="D263" t="str">
        <f>TEXT(tbl_Kalender[[#This Row],[Datum]],"TTTT")</f>
        <v>Mittwoch</v>
      </c>
      <c r="E263">
        <f>WEEKDAY(tbl_Kalender[[#This Row],[Datum]],2)</f>
        <v>3</v>
      </c>
      <c r="F263">
        <f>MONTH(tbl_Kalender[[#This Row],[Datum]])</f>
        <v>9</v>
      </c>
      <c r="G263" t="str">
        <f>TEXT(tbl_Kalender[[#This Row],[Datum]],"MMMM")</f>
        <v>September</v>
      </c>
      <c r="H263">
        <f>ROUNDUP(tbl_Kalender[[#This Row],[Monat]]/3,0)</f>
        <v>3</v>
      </c>
      <c r="I263" t="str">
        <f>"Q "&amp;tbl_Kalender[[#This Row],[Quartal]]</f>
        <v>Q 3</v>
      </c>
      <c r="J263" t="str">
        <f>tbl_Kalender[[#This Row],[Quartal]]&amp;". Quartal"</f>
        <v>3. Quartal</v>
      </c>
      <c r="K263">
        <f>_xlfn.ISOWEEKNUM(tbl_Kalender[[#This Row],[Datum]])</f>
        <v>38</v>
      </c>
    </row>
    <row r="264" spans="1:11" x14ac:dyDescent="0.25">
      <c r="A264" s="1">
        <v>45554</v>
      </c>
      <c r="B264">
        <f>YEAR(tbl_Kalender[[#This Row],[Datum]])</f>
        <v>2024</v>
      </c>
      <c r="C264">
        <f>DAY(tbl_Kalender[[#This Row],[Datum]])</f>
        <v>19</v>
      </c>
      <c r="D264" t="str">
        <f>TEXT(tbl_Kalender[[#This Row],[Datum]],"TTTT")</f>
        <v>Donnerstag</v>
      </c>
      <c r="E264">
        <f>WEEKDAY(tbl_Kalender[[#This Row],[Datum]],2)</f>
        <v>4</v>
      </c>
      <c r="F264">
        <f>MONTH(tbl_Kalender[[#This Row],[Datum]])</f>
        <v>9</v>
      </c>
      <c r="G264" t="str">
        <f>TEXT(tbl_Kalender[[#This Row],[Datum]],"MMMM")</f>
        <v>September</v>
      </c>
      <c r="H264">
        <f>ROUNDUP(tbl_Kalender[[#This Row],[Monat]]/3,0)</f>
        <v>3</v>
      </c>
      <c r="I264" t="str">
        <f>"Q "&amp;tbl_Kalender[[#This Row],[Quartal]]</f>
        <v>Q 3</v>
      </c>
      <c r="J264" t="str">
        <f>tbl_Kalender[[#This Row],[Quartal]]&amp;". Quartal"</f>
        <v>3. Quartal</v>
      </c>
      <c r="K264">
        <f>_xlfn.ISOWEEKNUM(tbl_Kalender[[#This Row],[Datum]])</f>
        <v>38</v>
      </c>
    </row>
    <row r="265" spans="1:11" x14ac:dyDescent="0.25">
      <c r="A265" s="1">
        <v>45555</v>
      </c>
      <c r="B265">
        <f>YEAR(tbl_Kalender[[#This Row],[Datum]])</f>
        <v>2024</v>
      </c>
      <c r="C265">
        <f>DAY(tbl_Kalender[[#This Row],[Datum]])</f>
        <v>20</v>
      </c>
      <c r="D265" t="str">
        <f>TEXT(tbl_Kalender[[#This Row],[Datum]],"TTTT")</f>
        <v>Freitag</v>
      </c>
      <c r="E265">
        <f>WEEKDAY(tbl_Kalender[[#This Row],[Datum]],2)</f>
        <v>5</v>
      </c>
      <c r="F265">
        <f>MONTH(tbl_Kalender[[#This Row],[Datum]])</f>
        <v>9</v>
      </c>
      <c r="G265" t="str">
        <f>TEXT(tbl_Kalender[[#This Row],[Datum]],"MMMM")</f>
        <v>September</v>
      </c>
      <c r="H265">
        <f>ROUNDUP(tbl_Kalender[[#This Row],[Monat]]/3,0)</f>
        <v>3</v>
      </c>
      <c r="I265" t="str">
        <f>"Q "&amp;tbl_Kalender[[#This Row],[Quartal]]</f>
        <v>Q 3</v>
      </c>
      <c r="J265" t="str">
        <f>tbl_Kalender[[#This Row],[Quartal]]&amp;". Quartal"</f>
        <v>3. Quartal</v>
      </c>
      <c r="K265">
        <f>_xlfn.ISOWEEKNUM(tbl_Kalender[[#This Row],[Datum]])</f>
        <v>38</v>
      </c>
    </row>
    <row r="266" spans="1:11" x14ac:dyDescent="0.25">
      <c r="A266" s="1">
        <v>45556</v>
      </c>
      <c r="B266">
        <f>YEAR(tbl_Kalender[[#This Row],[Datum]])</f>
        <v>2024</v>
      </c>
      <c r="C266">
        <f>DAY(tbl_Kalender[[#This Row],[Datum]])</f>
        <v>21</v>
      </c>
      <c r="D266" t="str">
        <f>TEXT(tbl_Kalender[[#This Row],[Datum]],"TTTT")</f>
        <v>Samstag</v>
      </c>
      <c r="E266">
        <f>WEEKDAY(tbl_Kalender[[#This Row],[Datum]],2)</f>
        <v>6</v>
      </c>
      <c r="F266">
        <f>MONTH(tbl_Kalender[[#This Row],[Datum]])</f>
        <v>9</v>
      </c>
      <c r="G266" t="str">
        <f>TEXT(tbl_Kalender[[#This Row],[Datum]],"MMMM")</f>
        <v>September</v>
      </c>
      <c r="H266">
        <f>ROUNDUP(tbl_Kalender[[#This Row],[Monat]]/3,0)</f>
        <v>3</v>
      </c>
      <c r="I266" t="str">
        <f>"Q "&amp;tbl_Kalender[[#This Row],[Quartal]]</f>
        <v>Q 3</v>
      </c>
      <c r="J266" t="str">
        <f>tbl_Kalender[[#This Row],[Quartal]]&amp;". Quartal"</f>
        <v>3. Quartal</v>
      </c>
      <c r="K266">
        <f>_xlfn.ISOWEEKNUM(tbl_Kalender[[#This Row],[Datum]])</f>
        <v>38</v>
      </c>
    </row>
    <row r="267" spans="1:11" x14ac:dyDescent="0.25">
      <c r="A267" s="1">
        <v>45557</v>
      </c>
      <c r="B267">
        <f>YEAR(tbl_Kalender[[#This Row],[Datum]])</f>
        <v>2024</v>
      </c>
      <c r="C267">
        <f>DAY(tbl_Kalender[[#This Row],[Datum]])</f>
        <v>22</v>
      </c>
      <c r="D267" t="str">
        <f>TEXT(tbl_Kalender[[#This Row],[Datum]],"TTTT")</f>
        <v>Sonntag</v>
      </c>
      <c r="E267">
        <f>WEEKDAY(tbl_Kalender[[#This Row],[Datum]],2)</f>
        <v>7</v>
      </c>
      <c r="F267">
        <f>MONTH(tbl_Kalender[[#This Row],[Datum]])</f>
        <v>9</v>
      </c>
      <c r="G267" t="str">
        <f>TEXT(tbl_Kalender[[#This Row],[Datum]],"MMMM")</f>
        <v>September</v>
      </c>
      <c r="H267">
        <f>ROUNDUP(tbl_Kalender[[#This Row],[Monat]]/3,0)</f>
        <v>3</v>
      </c>
      <c r="I267" t="str">
        <f>"Q "&amp;tbl_Kalender[[#This Row],[Quartal]]</f>
        <v>Q 3</v>
      </c>
      <c r="J267" t="str">
        <f>tbl_Kalender[[#This Row],[Quartal]]&amp;". Quartal"</f>
        <v>3. Quartal</v>
      </c>
      <c r="K267">
        <f>_xlfn.ISOWEEKNUM(tbl_Kalender[[#This Row],[Datum]])</f>
        <v>38</v>
      </c>
    </row>
    <row r="268" spans="1:11" x14ac:dyDescent="0.25">
      <c r="A268" s="1">
        <v>45558</v>
      </c>
      <c r="B268">
        <f>YEAR(tbl_Kalender[[#This Row],[Datum]])</f>
        <v>2024</v>
      </c>
      <c r="C268">
        <f>DAY(tbl_Kalender[[#This Row],[Datum]])</f>
        <v>23</v>
      </c>
      <c r="D268" t="str">
        <f>TEXT(tbl_Kalender[[#This Row],[Datum]],"TTTT")</f>
        <v>Montag</v>
      </c>
      <c r="E268">
        <f>WEEKDAY(tbl_Kalender[[#This Row],[Datum]],2)</f>
        <v>1</v>
      </c>
      <c r="F268">
        <f>MONTH(tbl_Kalender[[#This Row],[Datum]])</f>
        <v>9</v>
      </c>
      <c r="G268" t="str">
        <f>TEXT(tbl_Kalender[[#This Row],[Datum]],"MMMM")</f>
        <v>September</v>
      </c>
      <c r="H268">
        <f>ROUNDUP(tbl_Kalender[[#This Row],[Monat]]/3,0)</f>
        <v>3</v>
      </c>
      <c r="I268" t="str">
        <f>"Q "&amp;tbl_Kalender[[#This Row],[Quartal]]</f>
        <v>Q 3</v>
      </c>
      <c r="J268" t="str">
        <f>tbl_Kalender[[#This Row],[Quartal]]&amp;". Quartal"</f>
        <v>3. Quartal</v>
      </c>
      <c r="K268">
        <f>_xlfn.ISOWEEKNUM(tbl_Kalender[[#This Row],[Datum]])</f>
        <v>39</v>
      </c>
    </row>
    <row r="269" spans="1:11" x14ac:dyDescent="0.25">
      <c r="A269" s="1">
        <v>45559</v>
      </c>
      <c r="B269">
        <f>YEAR(tbl_Kalender[[#This Row],[Datum]])</f>
        <v>2024</v>
      </c>
      <c r="C269">
        <f>DAY(tbl_Kalender[[#This Row],[Datum]])</f>
        <v>24</v>
      </c>
      <c r="D269" t="str">
        <f>TEXT(tbl_Kalender[[#This Row],[Datum]],"TTTT")</f>
        <v>Dienstag</v>
      </c>
      <c r="E269">
        <f>WEEKDAY(tbl_Kalender[[#This Row],[Datum]],2)</f>
        <v>2</v>
      </c>
      <c r="F269">
        <f>MONTH(tbl_Kalender[[#This Row],[Datum]])</f>
        <v>9</v>
      </c>
      <c r="G269" t="str">
        <f>TEXT(tbl_Kalender[[#This Row],[Datum]],"MMMM")</f>
        <v>September</v>
      </c>
      <c r="H269">
        <f>ROUNDUP(tbl_Kalender[[#This Row],[Monat]]/3,0)</f>
        <v>3</v>
      </c>
      <c r="I269" t="str">
        <f>"Q "&amp;tbl_Kalender[[#This Row],[Quartal]]</f>
        <v>Q 3</v>
      </c>
      <c r="J269" t="str">
        <f>tbl_Kalender[[#This Row],[Quartal]]&amp;". Quartal"</f>
        <v>3. Quartal</v>
      </c>
      <c r="K269">
        <f>_xlfn.ISOWEEKNUM(tbl_Kalender[[#This Row],[Datum]])</f>
        <v>39</v>
      </c>
    </row>
    <row r="270" spans="1:11" x14ac:dyDescent="0.25">
      <c r="A270" s="1">
        <v>45560</v>
      </c>
      <c r="B270">
        <f>YEAR(tbl_Kalender[[#This Row],[Datum]])</f>
        <v>2024</v>
      </c>
      <c r="C270">
        <f>DAY(tbl_Kalender[[#This Row],[Datum]])</f>
        <v>25</v>
      </c>
      <c r="D270" t="str">
        <f>TEXT(tbl_Kalender[[#This Row],[Datum]],"TTTT")</f>
        <v>Mittwoch</v>
      </c>
      <c r="E270">
        <f>WEEKDAY(tbl_Kalender[[#This Row],[Datum]],2)</f>
        <v>3</v>
      </c>
      <c r="F270">
        <f>MONTH(tbl_Kalender[[#This Row],[Datum]])</f>
        <v>9</v>
      </c>
      <c r="G270" t="str">
        <f>TEXT(tbl_Kalender[[#This Row],[Datum]],"MMMM")</f>
        <v>September</v>
      </c>
      <c r="H270">
        <f>ROUNDUP(tbl_Kalender[[#This Row],[Monat]]/3,0)</f>
        <v>3</v>
      </c>
      <c r="I270" t="str">
        <f>"Q "&amp;tbl_Kalender[[#This Row],[Quartal]]</f>
        <v>Q 3</v>
      </c>
      <c r="J270" t="str">
        <f>tbl_Kalender[[#This Row],[Quartal]]&amp;". Quartal"</f>
        <v>3. Quartal</v>
      </c>
      <c r="K270">
        <f>_xlfn.ISOWEEKNUM(tbl_Kalender[[#This Row],[Datum]])</f>
        <v>39</v>
      </c>
    </row>
    <row r="271" spans="1:11" x14ac:dyDescent="0.25">
      <c r="A271" s="1">
        <v>45561</v>
      </c>
      <c r="B271">
        <f>YEAR(tbl_Kalender[[#This Row],[Datum]])</f>
        <v>2024</v>
      </c>
      <c r="C271">
        <f>DAY(tbl_Kalender[[#This Row],[Datum]])</f>
        <v>26</v>
      </c>
      <c r="D271" t="str">
        <f>TEXT(tbl_Kalender[[#This Row],[Datum]],"TTTT")</f>
        <v>Donnerstag</v>
      </c>
      <c r="E271">
        <f>WEEKDAY(tbl_Kalender[[#This Row],[Datum]],2)</f>
        <v>4</v>
      </c>
      <c r="F271">
        <f>MONTH(tbl_Kalender[[#This Row],[Datum]])</f>
        <v>9</v>
      </c>
      <c r="G271" t="str">
        <f>TEXT(tbl_Kalender[[#This Row],[Datum]],"MMMM")</f>
        <v>September</v>
      </c>
      <c r="H271">
        <f>ROUNDUP(tbl_Kalender[[#This Row],[Monat]]/3,0)</f>
        <v>3</v>
      </c>
      <c r="I271" t="str">
        <f>"Q "&amp;tbl_Kalender[[#This Row],[Quartal]]</f>
        <v>Q 3</v>
      </c>
      <c r="J271" t="str">
        <f>tbl_Kalender[[#This Row],[Quartal]]&amp;". Quartal"</f>
        <v>3. Quartal</v>
      </c>
      <c r="K271">
        <f>_xlfn.ISOWEEKNUM(tbl_Kalender[[#This Row],[Datum]])</f>
        <v>39</v>
      </c>
    </row>
    <row r="272" spans="1:11" x14ac:dyDescent="0.25">
      <c r="A272" s="1">
        <v>45562</v>
      </c>
      <c r="B272">
        <f>YEAR(tbl_Kalender[[#This Row],[Datum]])</f>
        <v>2024</v>
      </c>
      <c r="C272">
        <f>DAY(tbl_Kalender[[#This Row],[Datum]])</f>
        <v>27</v>
      </c>
      <c r="D272" t="str">
        <f>TEXT(tbl_Kalender[[#This Row],[Datum]],"TTTT")</f>
        <v>Freitag</v>
      </c>
      <c r="E272">
        <f>WEEKDAY(tbl_Kalender[[#This Row],[Datum]],2)</f>
        <v>5</v>
      </c>
      <c r="F272">
        <f>MONTH(tbl_Kalender[[#This Row],[Datum]])</f>
        <v>9</v>
      </c>
      <c r="G272" t="str">
        <f>TEXT(tbl_Kalender[[#This Row],[Datum]],"MMMM")</f>
        <v>September</v>
      </c>
      <c r="H272">
        <f>ROUNDUP(tbl_Kalender[[#This Row],[Monat]]/3,0)</f>
        <v>3</v>
      </c>
      <c r="I272" t="str">
        <f>"Q "&amp;tbl_Kalender[[#This Row],[Quartal]]</f>
        <v>Q 3</v>
      </c>
      <c r="J272" t="str">
        <f>tbl_Kalender[[#This Row],[Quartal]]&amp;". Quartal"</f>
        <v>3. Quartal</v>
      </c>
      <c r="K272">
        <f>_xlfn.ISOWEEKNUM(tbl_Kalender[[#This Row],[Datum]])</f>
        <v>39</v>
      </c>
    </row>
    <row r="273" spans="1:11" x14ac:dyDescent="0.25">
      <c r="A273" s="1">
        <v>45563</v>
      </c>
      <c r="B273">
        <f>YEAR(tbl_Kalender[[#This Row],[Datum]])</f>
        <v>2024</v>
      </c>
      <c r="C273">
        <f>DAY(tbl_Kalender[[#This Row],[Datum]])</f>
        <v>28</v>
      </c>
      <c r="D273" t="str">
        <f>TEXT(tbl_Kalender[[#This Row],[Datum]],"TTTT")</f>
        <v>Samstag</v>
      </c>
      <c r="E273">
        <f>WEEKDAY(tbl_Kalender[[#This Row],[Datum]],2)</f>
        <v>6</v>
      </c>
      <c r="F273">
        <f>MONTH(tbl_Kalender[[#This Row],[Datum]])</f>
        <v>9</v>
      </c>
      <c r="G273" t="str">
        <f>TEXT(tbl_Kalender[[#This Row],[Datum]],"MMMM")</f>
        <v>September</v>
      </c>
      <c r="H273">
        <f>ROUNDUP(tbl_Kalender[[#This Row],[Monat]]/3,0)</f>
        <v>3</v>
      </c>
      <c r="I273" t="str">
        <f>"Q "&amp;tbl_Kalender[[#This Row],[Quartal]]</f>
        <v>Q 3</v>
      </c>
      <c r="J273" t="str">
        <f>tbl_Kalender[[#This Row],[Quartal]]&amp;". Quartal"</f>
        <v>3. Quartal</v>
      </c>
      <c r="K273">
        <f>_xlfn.ISOWEEKNUM(tbl_Kalender[[#This Row],[Datum]])</f>
        <v>39</v>
      </c>
    </row>
    <row r="274" spans="1:11" x14ac:dyDescent="0.25">
      <c r="A274" s="1">
        <v>45564</v>
      </c>
      <c r="B274">
        <f>YEAR(tbl_Kalender[[#This Row],[Datum]])</f>
        <v>2024</v>
      </c>
      <c r="C274">
        <f>DAY(tbl_Kalender[[#This Row],[Datum]])</f>
        <v>29</v>
      </c>
      <c r="D274" t="str">
        <f>TEXT(tbl_Kalender[[#This Row],[Datum]],"TTTT")</f>
        <v>Sonntag</v>
      </c>
      <c r="E274">
        <f>WEEKDAY(tbl_Kalender[[#This Row],[Datum]],2)</f>
        <v>7</v>
      </c>
      <c r="F274">
        <f>MONTH(tbl_Kalender[[#This Row],[Datum]])</f>
        <v>9</v>
      </c>
      <c r="G274" t="str">
        <f>TEXT(tbl_Kalender[[#This Row],[Datum]],"MMMM")</f>
        <v>September</v>
      </c>
      <c r="H274">
        <f>ROUNDUP(tbl_Kalender[[#This Row],[Monat]]/3,0)</f>
        <v>3</v>
      </c>
      <c r="I274" t="str">
        <f>"Q "&amp;tbl_Kalender[[#This Row],[Quartal]]</f>
        <v>Q 3</v>
      </c>
      <c r="J274" t="str">
        <f>tbl_Kalender[[#This Row],[Quartal]]&amp;". Quartal"</f>
        <v>3. Quartal</v>
      </c>
      <c r="K274">
        <f>_xlfn.ISOWEEKNUM(tbl_Kalender[[#This Row],[Datum]])</f>
        <v>39</v>
      </c>
    </row>
    <row r="275" spans="1:11" x14ac:dyDescent="0.25">
      <c r="A275" s="1">
        <v>45565</v>
      </c>
      <c r="B275">
        <f>YEAR(tbl_Kalender[[#This Row],[Datum]])</f>
        <v>2024</v>
      </c>
      <c r="C275">
        <f>DAY(tbl_Kalender[[#This Row],[Datum]])</f>
        <v>30</v>
      </c>
      <c r="D275" t="str">
        <f>TEXT(tbl_Kalender[[#This Row],[Datum]],"TTTT")</f>
        <v>Montag</v>
      </c>
      <c r="E275">
        <f>WEEKDAY(tbl_Kalender[[#This Row],[Datum]],2)</f>
        <v>1</v>
      </c>
      <c r="F275">
        <f>MONTH(tbl_Kalender[[#This Row],[Datum]])</f>
        <v>9</v>
      </c>
      <c r="G275" t="str">
        <f>TEXT(tbl_Kalender[[#This Row],[Datum]],"MMMM")</f>
        <v>September</v>
      </c>
      <c r="H275">
        <f>ROUNDUP(tbl_Kalender[[#This Row],[Monat]]/3,0)</f>
        <v>3</v>
      </c>
      <c r="I275" t="str">
        <f>"Q "&amp;tbl_Kalender[[#This Row],[Quartal]]</f>
        <v>Q 3</v>
      </c>
      <c r="J275" t="str">
        <f>tbl_Kalender[[#This Row],[Quartal]]&amp;". Quartal"</f>
        <v>3. Quartal</v>
      </c>
      <c r="K275">
        <f>_xlfn.ISOWEEKNUM(tbl_Kalender[[#This Row],[Datum]])</f>
        <v>40</v>
      </c>
    </row>
    <row r="276" spans="1:11" x14ac:dyDescent="0.25">
      <c r="A276" s="1">
        <v>45566</v>
      </c>
      <c r="B276">
        <f>YEAR(tbl_Kalender[[#This Row],[Datum]])</f>
        <v>2024</v>
      </c>
      <c r="C276">
        <f>DAY(tbl_Kalender[[#This Row],[Datum]])</f>
        <v>1</v>
      </c>
      <c r="D276" t="str">
        <f>TEXT(tbl_Kalender[[#This Row],[Datum]],"TTTT")</f>
        <v>Dienstag</v>
      </c>
      <c r="E276">
        <f>WEEKDAY(tbl_Kalender[[#This Row],[Datum]],2)</f>
        <v>2</v>
      </c>
      <c r="F276">
        <f>MONTH(tbl_Kalender[[#This Row],[Datum]])</f>
        <v>10</v>
      </c>
      <c r="G276" t="str">
        <f>TEXT(tbl_Kalender[[#This Row],[Datum]],"MMMM")</f>
        <v>Oktober</v>
      </c>
      <c r="H276">
        <f>ROUNDUP(tbl_Kalender[[#This Row],[Monat]]/3,0)</f>
        <v>4</v>
      </c>
      <c r="I276" t="str">
        <f>"Q "&amp;tbl_Kalender[[#This Row],[Quartal]]</f>
        <v>Q 4</v>
      </c>
      <c r="J276" t="str">
        <f>tbl_Kalender[[#This Row],[Quartal]]&amp;". Quartal"</f>
        <v>4. Quartal</v>
      </c>
      <c r="K276">
        <f>_xlfn.ISOWEEKNUM(tbl_Kalender[[#This Row],[Datum]])</f>
        <v>40</v>
      </c>
    </row>
    <row r="277" spans="1:11" x14ac:dyDescent="0.25">
      <c r="A277" s="1">
        <v>45567</v>
      </c>
      <c r="B277">
        <f>YEAR(tbl_Kalender[[#This Row],[Datum]])</f>
        <v>2024</v>
      </c>
      <c r="C277">
        <f>DAY(tbl_Kalender[[#This Row],[Datum]])</f>
        <v>2</v>
      </c>
      <c r="D277" t="str">
        <f>TEXT(tbl_Kalender[[#This Row],[Datum]],"TTTT")</f>
        <v>Mittwoch</v>
      </c>
      <c r="E277">
        <f>WEEKDAY(tbl_Kalender[[#This Row],[Datum]],2)</f>
        <v>3</v>
      </c>
      <c r="F277">
        <f>MONTH(tbl_Kalender[[#This Row],[Datum]])</f>
        <v>10</v>
      </c>
      <c r="G277" t="str">
        <f>TEXT(tbl_Kalender[[#This Row],[Datum]],"MMMM")</f>
        <v>Oktober</v>
      </c>
      <c r="H277">
        <f>ROUNDUP(tbl_Kalender[[#This Row],[Monat]]/3,0)</f>
        <v>4</v>
      </c>
      <c r="I277" t="str">
        <f>"Q "&amp;tbl_Kalender[[#This Row],[Quartal]]</f>
        <v>Q 4</v>
      </c>
      <c r="J277" t="str">
        <f>tbl_Kalender[[#This Row],[Quartal]]&amp;". Quartal"</f>
        <v>4. Quartal</v>
      </c>
      <c r="K277">
        <f>_xlfn.ISOWEEKNUM(tbl_Kalender[[#This Row],[Datum]])</f>
        <v>40</v>
      </c>
    </row>
    <row r="278" spans="1:11" x14ac:dyDescent="0.25">
      <c r="A278" s="1">
        <v>45568</v>
      </c>
      <c r="B278">
        <f>YEAR(tbl_Kalender[[#This Row],[Datum]])</f>
        <v>2024</v>
      </c>
      <c r="C278">
        <f>DAY(tbl_Kalender[[#This Row],[Datum]])</f>
        <v>3</v>
      </c>
      <c r="D278" t="str">
        <f>TEXT(tbl_Kalender[[#This Row],[Datum]],"TTTT")</f>
        <v>Donnerstag</v>
      </c>
      <c r="E278">
        <f>WEEKDAY(tbl_Kalender[[#This Row],[Datum]],2)</f>
        <v>4</v>
      </c>
      <c r="F278">
        <f>MONTH(tbl_Kalender[[#This Row],[Datum]])</f>
        <v>10</v>
      </c>
      <c r="G278" t="str">
        <f>TEXT(tbl_Kalender[[#This Row],[Datum]],"MMMM")</f>
        <v>Oktober</v>
      </c>
      <c r="H278">
        <f>ROUNDUP(tbl_Kalender[[#This Row],[Monat]]/3,0)</f>
        <v>4</v>
      </c>
      <c r="I278" t="str">
        <f>"Q "&amp;tbl_Kalender[[#This Row],[Quartal]]</f>
        <v>Q 4</v>
      </c>
      <c r="J278" t="str">
        <f>tbl_Kalender[[#This Row],[Quartal]]&amp;". Quartal"</f>
        <v>4. Quartal</v>
      </c>
      <c r="K278">
        <f>_xlfn.ISOWEEKNUM(tbl_Kalender[[#This Row],[Datum]])</f>
        <v>40</v>
      </c>
    </row>
    <row r="279" spans="1:11" x14ac:dyDescent="0.25">
      <c r="A279" s="1">
        <v>45569</v>
      </c>
      <c r="B279">
        <f>YEAR(tbl_Kalender[[#This Row],[Datum]])</f>
        <v>2024</v>
      </c>
      <c r="C279">
        <f>DAY(tbl_Kalender[[#This Row],[Datum]])</f>
        <v>4</v>
      </c>
      <c r="D279" t="str">
        <f>TEXT(tbl_Kalender[[#This Row],[Datum]],"TTTT")</f>
        <v>Freitag</v>
      </c>
      <c r="E279">
        <f>WEEKDAY(tbl_Kalender[[#This Row],[Datum]],2)</f>
        <v>5</v>
      </c>
      <c r="F279">
        <f>MONTH(tbl_Kalender[[#This Row],[Datum]])</f>
        <v>10</v>
      </c>
      <c r="G279" t="str">
        <f>TEXT(tbl_Kalender[[#This Row],[Datum]],"MMMM")</f>
        <v>Oktober</v>
      </c>
      <c r="H279">
        <f>ROUNDUP(tbl_Kalender[[#This Row],[Monat]]/3,0)</f>
        <v>4</v>
      </c>
      <c r="I279" t="str">
        <f>"Q "&amp;tbl_Kalender[[#This Row],[Quartal]]</f>
        <v>Q 4</v>
      </c>
      <c r="J279" t="str">
        <f>tbl_Kalender[[#This Row],[Quartal]]&amp;". Quartal"</f>
        <v>4. Quartal</v>
      </c>
      <c r="K279">
        <f>_xlfn.ISOWEEKNUM(tbl_Kalender[[#This Row],[Datum]])</f>
        <v>40</v>
      </c>
    </row>
    <row r="280" spans="1:11" x14ac:dyDescent="0.25">
      <c r="A280" s="1">
        <v>45570</v>
      </c>
      <c r="B280">
        <f>YEAR(tbl_Kalender[[#This Row],[Datum]])</f>
        <v>2024</v>
      </c>
      <c r="C280">
        <f>DAY(tbl_Kalender[[#This Row],[Datum]])</f>
        <v>5</v>
      </c>
      <c r="D280" t="str">
        <f>TEXT(tbl_Kalender[[#This Row],[Datum]],"TTTT")</f>
        <v>Samstag</v>
      </c>
      <c r="E280">
        <f>WEEKDAY(tbl_Kalender[[#This Row],[Datum]],2)</f>
        <v>6</v>
      </c>
      <c r="F280">
        <f>MONTH(tbl_Kalender[[#This Row],[Datum]])</f>
        <v>10</v>
      </c>
      <c r="G280" t="str">
        <f>TEXT(tbl_Kalender[[#This Row],[Datum]],"MMMM")</f>
        <v>Oktober</v>
      </c>
      <c r="H280">
        <f>ROUNDUP(tbl_Kalender[[#This Row],[Monat]]/3,0)</f>
        <v>4</v>
      </c>
      <c r="I280" t="str">
        <f>"Q "&amp;tbl_Kalender[[#This Row],[Quartal]]</f>
        <v>Q 4</v>
      </c>
      <c r="J280" t="str">
        <f>tbl_Kalender[[#This Row],[Quartal]]&amp;". Quartal"</f>
        <v>4. Quartal</v>
      </c>
      <c r="K280">
        <f>_xlfn.ISOWEEKNUM(tbl_Kalender[[#This Row],[Datum]])</f>
        <v>40</v>
      </c>
    </row>
    <row r="281" spans="1:11" x14ac:dyDescent="0.25">
      <c r="A281" s="1">
        <v>45571</v>
      </c>
      <c r="B281">
        <f>YEAR(tbl_Kalender[[#This Row],[Datum]])</f>
        <v>2024</v>
      </c>
      <c r="C281">
        <f>DAY(tbl_Kalender[[#This Row],[Datum]])</f>
        <v>6</v>
      </c>
      <c r="D281" t="str">
        <f>TEXT(tbl_Kalender[[#This Row],[Datum]],"TTTT")</f>
        <v>Sonntag</v>
      </c>
      <c r="E281">
        <f>WEEKDAY(tbl_Kalender[[#This Row],[Datum]],2)</f>
        <v>7</v>
      </c>
      <c r="F281">
        <f>MONTH(tbl_Kalender[[#This Row],[Datum]])</f>
        <v>10</v>
      </c>
      <c r="G281" t="str">
        <f>TEXT(tbl_Kalender[[#This Row],[Datum]],"MMMM")</f>
        <v>Oktober</v>
      </c>
      <c r="H281">
        <f>ROUNDUP(tbl_Kalender[[#This Row],[Monat]]/3,0)</f>
        <v>4</v>
      </c>
      <c r="I281" t="str">
        <f>"Q "&amp;tbl_Kalender[[#This Row],[Quartal]]</f>
        <v>Q 4</v>
      </c>
      <c r="J281" t="str">
        <f>tbl_Kalender[[#This Row],[Quartal]]&amp;". Quartal"</f>
        <v>4. Quartal</v>
      </c>
      <c r="K281">
        <f>_xlfn.ISOWEEKNUM(tbl_Kalender[[#This Row],[Datum]])</f>
        <v>40</v>
      </c>
    </row>
    <row r="282" spans="1:11" x14ac:dyDescent="0.25">
      <c r="A282" s="1">
        <v>45572</v>
      </c>
      <c r="B282">
        <f>YEAR(tbl_Kalender[[#This Row],[Datum]])</f>
        <v>2024</v>
      </c>
      <c r="C282">
        <f>DAY(tbl_Kalender[[#This Row],[Datum]])</f>
        <v>7</v>
      </c>
      <c r="D282" t="str">
        <f>TEXT(tbl_Kalender[[#This Row],[Datum]],"TTTT")</f>
        <v>Montag</v>
      </c>
      <c r="E282">
        <f>WEEKDAY(tbl_Kalender[[#This Row],[Datum]],2)</f>
        <v>1</v>
      </c>
      <c r="F282">
        <f>MONTH(tbl_Kalender[[#This Row],[Datum]])</f>
        <v>10</v>
      </c>
      <c r="G282" t="str">
        <f>TEXT(tbl_Kalender[[#This Row],[Datum]],"MMMM")</f>
        <v>Oktober</v>
      </c>
      <c r="H282">
        <f>ROUNDUP(tbl_Kalender[[#This Row],[Monat]]/3,0)</f>
        <v>4</v>
      </c>
      <c r="I282" t="str">
        <f>"Q "&amp;tbl_Kalender[[#This Row],[Quartal]]</f>
        <v>Q 4</v>
      </c>
      <c r="J282" t="str">
        <f>tbl_Kalender[[#This Row],[Quartal]]&amp;". Quartal"</f>
        <v>4. Quartal</v>
      </c>
      <c r="K282">
        <f>_xlfn.ISOWEEKNUM(tbl_Kalender[[#This Row],[Datum]])</f>
        <v>41</v>
      </c>
    </row>
    <row r="283" spans="1:11" x14ac:dyDescent="0.25">
      <c r="A283" s="1">
        <v>45573</v>
      </c>
      <c r="B283">
        <f>YEAR(tbl_Kalender[[#This Row],[Datum]])</f>
        <v>2024</v>
      </c>
      <c r="C283">
        <f>DAY(tbl_Kalender[[#This Row],[Datum]])</f>
        <v>8</v>
      </c>
      <c r="D283" t="str">
        <f>TEXT(tbl_Kalender[[#This Row],[Datum]],"TTTT")</f>
        <v>Dienstag</v>
      </c>
      <c r="E283">
        <f>WEEKDAY(tbl_Kalender[[#This Row],[Datum]],2)</f>
        <v>2</v>
      </c>
      <c r="F283">
        <f>MONTH(tbl_Kalender[[#This Row],[Datum]])</f>
        <v>10</v>
      </c>
      <c r="G283" t="str">
        <f>TEXT(tbl_Kalender[[#This Row],[Datum]],"MMMM")</f>
        <v>Oktober</v>
      </c>
      <c r="H283">
        <f>ROUNDUP(tbl_Kalender[[#This Row],[Monat]]/3,0)</f>
        <v>4</v>
      </c>
      <c r="I283" t="str">
        <f>"Q "&amp;tbl_Kalender[[#This Row],[Quartal]]</f>
        <v>Q 4</v>
      </c>
      <c r="J283" t="str">
        <f>tbl_Kalender[[#This Row],[Quartal]]&amp;". Quartal"</f>
        <v>4. Quartal</v>
      </c>
      <c r="K283">
        <f>_xlfn.ISOWEEKNUM(tbl_Kalender[[#This Row],[Datum]])</f>
        <v>41</v>
      </c>
    </row>
    <row r="284" spans="1:11" x14ac:dyDescent="0.25">
      <c r="A284" s="1">
        <v>45574</v>
      </c>
      <c r="B284">
        <f>YEAR(tbl_Kalender[[#This Row],[Datum]])</f>
        <v>2024</v>
      </c>
      <c r="C284">
        <f>DAY(tbl_Kalender[[#This Row],[Datum]])</f>
        <v>9</v>
      </c>
      <c r="D284" t="str">
        <f>TEXT(tbl_Kalender[[#This Row],[Datum]],"TTTT")</f>
        <v>Mittwoch</v>
      </c>
      <c r="E284">
        <f>WEEKDAY(tbl_Kalender[[#This Row],[Datum]],2)</f>
        <v>3</v>
      </c>
      <c r="F284">
        <f>MONTH(tbl_Kalender[[#This Row],[Datum]])</f>
        <v>10</v>
      </c>
      <c r="G284" t="str">
        <f>TEXT(tbl_Kalender[[#This Row],[Datum]],"MMMM")</f>
        <v>Oktober</v>
      </c>
      <c r="H284">
        <f>ROUNDUP(tbl_Kalender[[#This Row],[Monat]]/3,0)</f>
        <v>4</v>
      </c>
      <c r="I284" t="str">
        <f>"Q "&amp;tbl_Kalender[[#This Row],[Quartal]]</f>
        <v>Q 4</v>
      </c>
      <c r="J284" t="str">
        <f>tbl_Kalender[[#This Row],[Quartal]]&amp;". Quartal"</f>
        <v>4. Quartal</v>
      </c>
      <c r="K284">
        <f>_xlfn.ISOWEEKNUM(tbl_Kalender[[#This Row],[Datum]])</f>
        <v>41</v>
      </c>
    </row>
    <row r="285" spans="1:11" x14ac:dyDescent="0.25">
      <c r="A285" s="1">
        <v>45575</v>
      </c>
      <c r="B285">
        <f>YEAR(tbl_Kalender[[#This Row],[Datum]])</f>
        <v>2024</v>
      </c>
      <c r="C285">
        <f>DAY(tbl_Kalender[[#This Row],[Datum]])</f>
        <v>10</v>
      </c>
      <c r="D285" t="str">
        <f>TEXT(tbl_Kalender[[#This Row],[Datum]],"TTTT")</f>
        <v>Donnerstag</v>
      </c>
      <c r="E285">
        <f>WEEKDAY(tbl_Kalender[[#This Row],[Datum]],2)</f>
        <v>4</v>
      </c>
      <c r="F285">
        <f>MONTH(tbl_Kalender[[#This Row],[Datum]])</f>
        <v>10</v>
      </c>
      <c r="G285" t="str">
        <f>TEXT(tbl_Kalender[[#This Row],[Datum]],"MMMM")</f>
        <v>Oktober</v>
      </c>
      <c r="H285">
        <f>ROUNDUP(tbl_Kalender[[#This Row],[Monat]]/3,0)</f>
        <v>4</v>
      </c>
      <c r="I285" t="str">
        <f>"Q "&amp;tbl_Kalender[[#This Row],[Quartal]]</f>
        <v>Q 4</v>
      </c>
      <c r="J285" t="str">
        <f>tbl_Kalender[[#This Row],[Quartal]]&amp;". Quartal"</f>
        <v>4. Quartal</v>
      </c>
      <c r="K285">
        <f>_xlfn.ISOWEEKNUM(tbl_Kalender[[#This Row],[Datum]])</f>
        <v>41</v>
      </c>
    </row>
    <row r="286" spans="1:11" x14ac:dyDescent="0.25">
      <c r="A286" s="1">
        <v>45576</v>
      </c>
      <c r="B286">
        <f>YEAR(tbl_Kalender[[#This Row],[Datum]])</f>
        <v>2024</v>
      </c>
      <c r="C286">
        <f>DAY(tbl_Kalender[[#This Row],[Datum]])</f>
        <v>11</v>
      </c>
      <c r="D286" t="str">
        <f>TEXT(tbl_Kalender[[#This Row],[Datum]],"TTTT")</f>
        <v>Freitag</v>
      </c>
      <c r="E286">
        <f>WEEKDAY(tbl_Kalender[[#This Row],[Datum]],2)</f>
        <v>5</v>
      </c>
      <c r="F286">
        <f>MONTH(tbl_Kalender[[#This Row],[Datum]])</f>
        <v>10</v>
      </c>
      <c r="G286" t="str">
        <f>TEXT(tbl_Kalender[[#This Row],[Datum]],"MMMM")</f>
        <v>Oktober</v>
      </c>
      <c r="H286">
        <f>ROUNDUP(tbl_Kalender[[#This Row],[Monat]]/3,0)</f>
        <v>4</v>
      </c>
      <c r="I286" t="str">
        <f>"Q "&amp;tbl_Kalender[[#This Row],[Quartal]]</f>
        <v>Q 4</v>
      </c>
      <c r="J286" t="str">
        <f>tbl_Kalender[[#This Row],[Quartal]]&amp;". Quartal"</f>
        <v>4. Quartal</v>
      </c>
      <c r="K286">
        <f>_xlfn.ISOWEEKNUM(tbl_Kalender[[#This Row],[Datum]])</f>
        <v>41</v>
      </c>
    </row>
    <row r="287" spans="1:11" x14ac:dyDescent="0.25">
      <c r="A287" s="1">
        <v>45577</v>
      </c>
      <c r="B287">
        <f>YEAR(tbl_Kalender[[#This Row],[Datum]])</f>
        <v>2024</v>
      </c>
      <c r="C287">
        <f>DAY(tbl_Kalender[[#This Row],[Datum]])</f>
        <v>12</v>
      </c>
      <c r="D287" t="str">
        <f>TEXT(tbl_Kalender[[#This Row],[Datum]],"TTTT")</f>
        <v>Samstag</v>
      </c>
      <c r="E287">
        <f>WEEKDAY(tbl_Kalender[[#This Row],[Datum]],2)</f>
        <v>6</v>
      </c>
      <c r="F287">
        <f>MONTH(tbl_Kalender[[#This Row],[Datum]])</f>
        <v>10</v>
      </c>
      <c r="G287" t="str">
        <f>TEXT(tbl_Kalender[[#This Row],[Datum]],"MMMM")</f>
        <v>Oktober</v>
      </c>
      <c r="H287">
        <f>ROUNDUP(tbl_Kalender[[#This Row],[Monat]]/3,0)</f>
        <v>4</v>
      </c>
      <c r="I287" t="str">
        <f>"Q "&amp;tbl_Kalender[[#This Row],[Quartal]]</f>
        <v>Q 4</v>
      </c>
      <c r="J287" t="str">
        <f>tbl_Kalender[[#This Row],[Quartal]]&amp;". Quartal"</f>
        <v>4. Quartal</v>
      </c>
      <c r="K287">
        <f>_xlfn.ISOWEEKNUM(tbl_Kalender[[#This Row],[Datum]])</f>
        <v>41</v>
      </c>
    </row>
    <row r="288" spans="1:11" x14ac:dyDescent="0.25">
      <c r="A288" s="1">
        <v>45578</v>
      </c>
      <c r="B288">
        <f>YEAR(tbl_Kalender[[#This Row],[Datum]])</f>
        <v>2024</v>
      </c>
      <c r="C288">
        <f>DAY(tbl_Kalender[[#This Row],[Datum]])</f>
        <v>13</v>
      </c>
      <c r="D288" t="str">
        <f>TEXT(tbl_Kalender[[#This Row],[Datum]],"TTTT")</f>
        <v>Sonntag</v>
      </c>
      <c r="E288">
        <f>WEEKDAY(tbl_Kalender[[#This Row],[Datum]],2)</f>
        <v>7</v>
      </c>
      <c r="F288">
        <f>MONTH(tbl_Kalender[[#This Row],[Datum]])</f>
        <v>10</v>
      </c>
      <c r="G288" t="str">
        <f>TEXT(tbl_Kalender[[#This Row],[Datum]],"MMMM")</f>
        <v>Oktober</v>
      </c>
      <c r="H288">
        <f>ROUNDUP(tbl_Kalender[[#This Row],[Monat]]/3,0)</f>
        <v>4</v>
      </c>
      <c r="I288" t="str">
        <f>"Q "&amp;tbl_Kalender[[#This Row],[Quartal]]</f>
        <v>Q 4</v>
      </c>
      <c r="J288" t="str">
        <f>tbl_Kalender[[#This Row],[Quartal]]&amp;". Quartal"</f>
        <v>4. Quartal</v>
      </c>
      <c r="K288">
        <f>_xlfn.ISOWEEKNUM(tbl_Kalender[[#This Row],[Datum]])</f>
        <v>41</v>
      </c>
    </row>
    <row r="289" spans="1:11" x14ac:dyDescent="0.25">
      <c r="A289" s="1">
        <v>45579</v>
      </c>
      <c r="B289">
        <f>YEAR(tbl_Kalender[[#This Row],[Datum]])</f>
        <v>2024</v>
      </c>
      <c r="C289">
        <f>DAY(tbl_Kalender[[#This Row],[Datum]])</f>
        <v>14</v>
      </c>
      <c r="D289" t="str">
        <f>TEXT(tbl_Kalender[[#This Row],[Datum]],"TTTT")</f>
        <v>Montag</v>
      </c>
      <c r="E289">
        <f>WEEKDAY(tbl_Kalender[[#This Row],[Datum]],2)</f>
        <v>1</v>
      </c>
      <c r="F289">
        <f>MONTH(tbl_Kalender[[#This Row],[Datum]])</f>
        <v>10</v>
      </c>
      <c r="G289" t="str">
        <f>TEXT(tbl_Kalender[[#This Row],[Datum]],"MMMM")</f>
        <v>Oktober</v>
      </c>
      <c r="H289">
        <f>ROUNDUP(tbl_Kalender[[#This Row],[Monat]]/3,0)</f>
        <v>4</v>
      </c>
      <c r="I289" t="str">
        <f>"Q "&amp;tbl_Kalender[[#This Row],[Quartal]]</f>
        <v>Q 4</v>
      </c>
      <c r="J289" t="str">
        <f>tbl_Kalender[[#This Row],[Quartal]]&amp;". Quartal"</f>
        <v>4. Quartal</v>
      </c>
      <c r="K289">
        <f>_xlfn.ISOWEEKNUM(tbl_Kalender[[#This Row],[Datum]])</f>
        <v>42</v>
      </c>
    </row>
    <row r="290" spans="1:11" x14ac:dyDescent="0.25">
      <c r="A290" s="1">
        <v>45580</v>
      </c>
      <c r="B290">
        <f>YEAR(tbl_Kalender[[#This Row],[Datum]])</f>
        <v>2024</v>
      </c>
      <c r="C290">
        <f>DAY(tbl_Kalender[[#This Row],[Datum]])</f>
        <v>15</v>
      </c>
      <c r="D290" t="str">
        <f>TEXT(tbl_Kalender[[#This Row],[Datum]],"TTTT")</f>
        <v>Dienstag</v>
      </c>
      <c r="E290">
        <f>WEEKDAY(tbl_Kalender[[#This Row],[Datum]],2)</f>
        <v>2</v>
      </c>
      <c r="F290">
        <f>MONTH(tbl_Kalender[[#This Row],[Datum]])</f>
        <v>10</v>
      </c>
      <c r="G290" t="str">
        <f>TEXT(tbl_Kalender[[#This Row],[Datum]],"MMMM")</f>
        <v>Oktober</v>
      </c>
      <c r="H290">
        <f>ROUNDUP(tbl_Kalender[[#This Row],[Monat]]/3,0)</f>
        <v>4</v>
      </c>
      <c r="I290" t="str">
        <f>"Q "&amp;tbl_Kalender[[#This Row],[Quartal]]</f>
        <v>Q 4</v>
      </c>
      <c r="J290" t="str">
        <f>tbl_Kalender[[#This Row],[Quartal]]&amp;". Quartal"</f>
        <v>4. Quartal</v>
      </c>
      <c r="K290">
        <f>_xlfn.ISOWEEKNUM(tbl_Kalender[[#This Row],[Datum]])</f>
        <v>42</v>
      </c>
    </row>
    <row r="291" spans="1:11" x14ac:dyDescent="0.25">
      <c r="A291" s="1">
        <v>45581</v>
      </c>
      <c r="B291">
        <f>YEAR(tbl_Kalender[[#This Row],[Datum]])</f>
        <v>2024</v>
      </c>
      <c r="C291">
        <f>DAY(tbl_Kalender[[#This Row],[Datum]])</f>
        <v>16</v>
      </c>
      <c r="D291" t="str">
        <f>TEXT(tbl_Kalender[[#This Row],[Datum]],"TTTT")</f>
        <v>Mittwoch</v>
      </c>
      <c r="E291">
        <f>WEEKDAY(tbl_Kalender[[#This Row],[Datum]],2)</f>
        <v>3</v>
      </c>
      <c r="F291">
        <f>MONTH(tbl_Kalender[[#This Row],[Datum]])</f>
        <v>10</v>
      </c>
      <c r="G291" t="str">
        <f>TEXT(tbl_Kalender[[#This Row],[Datum]],"MMMM")</f>
        <v>Oktober</v>
      </c>
      <c r="H291">
        <f>ROUNDUP(tbl_Kalender[[#This Row],[Monat]]/3,0)</f>
        <v>4</v>
      </c>
      <c r="I291" t="str">
        <f>"Q "&amp;tbl_Kalender[[#This Row],[Quartal]]</f>
        <v>Q 4</v>
      </c>
      <c r="J291" t="str">
        <f>tbl_Kalender[[#This Row],[Quartal]]&amp;". Quartal"</f>
        <v>4. Quartal</v>
      </c>
      <c r="K291">
        <f>_xlfn.ISOWEEKNUM(tbl_Kalender[[#This Row],[Datum]])</f>
        <v>42</v>
      </c>
    </row>
    <row r="292" spans="1:11" x14ac:dyDescent="0.25">
      <c r="A292" s="1">
        <v>45582</v>
      </c>
      <c r="B292">
        <f>YEAR(tbl_Kalender[[#This Row],[Datum]])</f>
        <v>2024</v>
      </c>
      <c r="C292">
        <f>DAY(tbl_Kalender[[#This Row],[Datum]])</f>
        <v>17</v>
      </c>
      <c r="D292" t="str">
        <f>TEXT(tbl_Kalender[[#This Row],[Datum]],"TTTT")</f>
        <v>Donnerstag</v>
      </c>
      <c r="E292">
        <f>WEEKDAY(tbl_Kalender[[#This Row],[Datum]],2)</f>
        <v>4</v>
      </c>
      <c r="F292">
        <f>MONTH(tbl_Kalender[[#This Row],[Datum]])</f>
        <v>10</v>
      </c>
      <c r="G292" t="str">
        <f>TEXT(tbl_Kalender[[#This Row],[Datum]],"MMMM")</f>
        <v>Oktober</v>
      </c>
      <c r="H292">
        <f>ROUNDUP(tbl_Kalender[[#This Row],[Monat]]/3,0)</f>
        <v>4</v>
      </c>
      <c r="I292" t="str">
        <f>"Q "&amp;tbl_Kalender[[#This Row],[Quartal]]</f>
        <v>Q 4</v>
      </c>
      <c r="J292" t="str">
        <f>tbl_Kalender[[#This Row],[Quartal]]&amp;". Quartal"</f>
        <v>4. Quartal</v>
      </c>
      <c r="K292">
        <f>_xlfn.ISOWEEKNUM(tbl_Kalender[[#This Row],[Datum]])</f>
        <v>42</v>
      </c>
    </row>
    <row r="293" spans="1:11" x14ac:dyDescent="0.25">
      <c r="A293" s="1">
        <v>45583</v>
      </c>
      <c r="B293">
        <f>YEAR(tbl_Kalender[[#This Row],[Datum]])</f>
        <v>2024</v>
      </c>
      <c r="C293">
        <f>DAY(tbl_Kalender[[#This Row],[Datum]])</f>
        <v>18</v>
      </c>
      <c r="D293" t="str">
        <f>TEXT(tbl_Kalender[[#This Row],[Datum]],"TTTT")</f>
        <v>Freitag</v>
      </c>
      <c r="E293">
        <f>WEEKDAY(tbl_Kalender[[#This Row],[Datum]],2)</f>
        <v>5</v>
      </c>
      <c r="F293">
        <f>MONTH(tbl_Kalender[[#This Row],[Datum]])</f>
        <v>10</v>
      </c>
      <c r="G293" t="str">
        <f>TEXT(tbl_Kalender[[#This Row],[Datum]],"MMMM")</f>
        <v>Oktober</v>
      </c>
      <c r="H293">
        <f>ROUNDUP(tbl_Kalender[[#This Row],[Monat]]/3,0)</f>
        <v>4</v>
      </c>
      <c r="I293" t="str">
        <f>"Q "&amp;tbl_Kalender[[#This Row],[Quartal]]</f>
        <v>Q 4</v>
      </c>
      <c r="J293" t="str">
        <f>tbl_Kalender[[#This Row],[Quartal]]&amp;". Quartal"</f>
        <v>4. Quartal</v>
      </c>
      <c r="K293">
        <f>_xlfn.ISOWEEKNUM(tbl_Kalender[[#This Row],[Datum]])</f>
        <v>42</v>
      </c>
    </row>
    <row r="294" spans="1:11" x14ac:dyDescent="0.25">
      <c r="A294" s="1">
        <v>45584</v>
      </c>
      <c r="B294">
        <f>YEAR(tbl_Kalender[[#This Row],[Datum]])</f>
        <v>2024</v>
      </c>
      <c r="C294">
        <f>DAY(tbl_Kalender[[#This Row],[Datum]])</f>
        <v>19</v>
      </c>
      <c r="D294" t="str">
        <f>TEXT(tbl_Kalender[[#This Row],[Datum]],"TTTT")</f>
        <v>Samstag</v>
      </c>
      <c r="E294">
        <f>WEEKDAY(tbl_Kalender[[#This Row],[Datum]],2)</f>
        <v>6</v>
      </c>
      <c r="F294">
        <f>MONTH(tbl_Kalender[[#This Row],[Datum]])</f>
        <v>10</v>
      </c>
      <c r="G294" t="str">
        <f>TEXT(tbl_Kalender[[#This Row],[Datum]],"MMMM")</f>
        <v>Oktober</v>
      </c>
      <c r="H294">
        <f>ROUNDUP(tbl_Kalender[[#This Row],[Monat]]/3,0)</f>
        <v>4</v>
      </c>
      <c r="I294" t="str">
        <f>"Q "&amp;tbl_Kalender[[#This Row],[Quartal]]</f>
        <v>Q 4</v>
      </c>
      <c r="J294" t="str">
        <f>tbl_Kalender[[#This Row],[Quartal]]&amp;". Quartal"</f>
        <v>4. Quartal</v>
      </c>
      <c r="K294">
        <f>_xlfn.ISOWEEKNUM(tbl_Kalender[[#This Row],[Datum]])</f>
        <v>42</v>
      </c>
    </row>
    <row r="295" spans="1:11" x14ac:dyDescent="0.25">
      <c r="A295" s="1">
        <v>45585</v>
      </c>
      <c r="B295">
        <f>YEAR(tbl_Kalender[[#This Row],[Datum]])</f>
        <v>2024</v>
      </c>
      <c r="C295">
        <f>DAY(tbl_Kalender[[#This Row],[Datum]])</f>
        <v>20</v>
      </c>
      <c r="D295" t="str">
        <f>TEXT(tbl_Kalender[[#This Row],[Datum]],"TTTT")</f>
        <v>Sonntag</v>
      </c>
      <c r="E295">
        <f>WEEKDAY(tbl_Kalender[[#This Row],[Datum]],2)</f>
        <v>7</v>
      </c>
      <c r="F295">
        <f>MONTH(tbl_Kalender[[#This Row],[Datum]])</f>
        <v>10</v>
      </c>
      <c r="G295" t="str">
        <f>TEXT(tbl_Kalender[[#This Row],[Datum]],"MMMM")</f>
        <v>Oktober</v>
      </c>
      <c r="H295">
        <f>ROUNDUP(tbl_Kalender[[#This Row],[Monat]]/3,0)</f>
        <v>4</v>
      </c>
      <c r="I295" t="str">
        <f>"Q "&amp;tbl_Kalender[[#This Row],[Quartal]]</f>
        <v>Q 4</v>
      </c>
      <c r="J295" t="str">
        <f>tbl_Kalender[[#This Row],[Quartal]]&amp;". Quartal"</f>
        <v>4. Quartal</v>
      </c>
      <c r="K295">
        <f>_xlfn.ISOWEEKNUM(tbl_Kalender[[#This Row],[Datum]])</f>
        <v>42</v>
      </c>
    </row>
    <row r="296" spans="1:11" x14ac:dyDescent="0.25">
      <c r="A296" s="1">
        <v>45586</v>
      </c>
      <c r="B296">
        <f>YEAR(tbl_Kalender[[#This Row],[Datum]])</f>
        <v>2024</v>
      </c>
      <c r="C296">
        <f>DAY(tbl_Kalender[[#This Row],[Datum]])</f>
        <v>21</v>
      </c>
      <c r="D296" t="str">
        <f>TEXT(tbl_Kalender[[#This Row],[Datum]],"TTTT")</f>
        <v>Montag</v>
      </c>
      <c r="E296">
        <f>WEEKDAY(tbl_Kalender[[#This Row],[Datum]],2)</f>
        <v>1</v>
      </c>
      <c r="F296">
        <f>MONTH(tbl_Kalender[[#This Row],[Datum]])</f>
        <v>10</v>
      </c>
      <c r="G296" t="str">
        <f>TEXT(tbl_Kalender[[#This Row],[Datum]],"MMMM")</f>
        <v>Oktober</v>
      </c>
      <c r="H296">
        <f>ROUNDUP(tbl_Kalender[[#This Row],[Monat]]/3,0)</f>
        <v>4</v>
      </c>
      <c r="I296" t="str">
        <f>"Q "&amp;tbl_Kalender[[#This Row],[Quartal]]</f>
        <v>Q 4</v>
      </c>
      <c r="J296" t="str">
        <f>tbl_Kalender[[#This Row],[Quartal]]&amp;". Quartal"</f>
        <v>4. Quartal</v>
      </c>
      <c r="K296">
        <f>_xlfn.ISOWEEKNUM(tbl_Kalender[[#This Row],[Datum]])</f>
        <v>43</v>
      </c>
    </row>
    <row r="297" spans="1:11" x14ac:dyDescent="0.25">
      <c r="A297" s="1">
        <v>45587</v>
      </c>
      <c r="B297">
        <f>YEAR(tbl_Kalender[[#This Row],[Datum]])</f>
        <v>2024</v>
      </c>
      <c r="C297">
        <f>DAY(tbl_Kalender[[#This Row],[Datum]])</f>
        <v>22</v>
      </c>
      <c r="D297" t="str">
        <f>TEXT(tbl_Kalender[[#This Row],[Datum]],"TTTT")</f>
        <v>Dienstag</v>
      </c>
      <c r="E297">
        <f>WEEKDAY(tbl_Kalender[[#This Row],[Datum]],2)</f>
        <v>2</v>
      </c>
      <c r="F297">
        <f>MONTH(tbl_Kalender[[#This Row],[Datum]])</f>
        <v>10</v>
      </c>
      <c r="G297" t="str">
        <f>TEXT(tbl_Kalender[[#This Row],[Datum]],"MMMM")</f>
        <v>Oktober</v>
      </c>
      <c r="H297">
        <f>ROUNDUP(tbl_Kalender[[#This Row],[Monat]]/3,0)</f>
        <v>4</v>
      </c>
      <c r="I297" t="str">
        <f>"Q "&amp;tbl_Kalender[[#This Row],[Quartal]]</f>
        <v>Q 4</v>
      </c>
      <c r="J297" t="str">
        <f>tbl_Kalender[[#This Row],[Quartal]]&amp;". Quartal"</f>
        <v>4. Quartal</v>
      </c>
      <c r="K297">
        <f>_xlfn.ISOWEEKNUM(tbl_Kalender[[#This Row],[Datum]])</f>
        <v>43</v>
      </c>
    </row>
    <row r="298" spans="1:11" x14ac:dyDescent="0.25">
      <c r="A298" s="1">
        <v>45588</v>
      </c>
      <c r="B298">
        <f>YEAR(tbl_Kalender[[#This Row],[Datum]])</f>
        <v>2024</v>
      </c>
      <c r="C298">
        <f>DAY(tbl_Kalender[[#This Row],[Datum]])</f>
        <v>23</v>
      </c>
      <c r="D298" t="str">
        <f>TEXT(tbl_Kalender[[#This Row],[Datum]],"TTTT")</f>
        <v>Mittwoch</v>
      </c>
      <c r="E298">
        <f>WEEKDAY(tbl_Kalender[[#This Row],[Datum]],2)</f>
        <v>3</v>
      </c>
      <c r="F298">
        <f>MONTH(tbl_Kalender[[#This Row],[Datum]])</f>
        <v>10</v>
      </c>
      <c r="G298" t="str">
        <f>TEXT(tbl_Kalender[[#This Row],[Datum]],"MMMM")</f>
        <v>Oktober</v>
      </c>
      <c r="H298">
        <f>ROUNDUP(tbl_Kalender[[#This Row],[Monat]]/3,0)</f>
        <v>4</v>
      </c>
      <c r="I298" t="str">
        <f>"Q "&amp;tbl_Kalender[[#This Row],[Quartal]]</f>
        <v>Q 4</v>
      </c>
      <c r="J298" t="str">
        <f>tbl_Kalender[[#This Row],[Quartal]]&amp;". Quartal"</f>
        <v>4. Quartal</v>
      </c>
      <c r="K298">
        <f>_xlfn.ISOWEEKNUM(tbl_Kalender[[#This Row],[Datum]])</f>
        <v>43</v>
      </c>
    </row>
    <row r="299" spans="1:11" x14ac:dyDescent="0.25">
      <c r="A299" s="1">
        <v>45589</v>
      </c>
      <c r="B299">
        <f>YEAR(tbl_Kalender[[#This Row],[Datum]])</f>
        <v>2024</v>
      </c>
      <c r="C299">
        <f>DAY(tbl_Kalender[[#This Row],[Datum]])</f>
        <v>24</v>
      </c>
      <c r="D299" t="str">
        <f>TEXT(tbl_Kalender[[#This Row],[Datum]],"TTTT")</f>
        <v>Donnerstag</v>
      </c>
      <c r="E299">
        <f>WEEKDAY(tbl_Kalender[[#This Row],[Datum]],2)</f>
        <v>4</v>
      </c>
      <c r="F299">
        <f>MONTH(tbl_Kalender[[#This Row],[Datum]])</f>
        <v>10</v>
      </c>
      <c r="G299" t="str">
        <f>TEXT(tbl_Kalender[[#This Row],[Datum]],"MMMM")</f>
        <v>Oktober</v>
      </c>
      <c r="H299">
        <f>ROUNDUP(tbl_Kalender[[#This Row],[Monat]]/3,0)</f>
        <v>4</v>
      </c>
      <c r="I299" t="str">
        <f>"Q "&amp;tbl_Kalender[[#This Row],[Quartal]]</f>
        <v>Q 4</v>
      </c>
      <c r="J299" t="str">
        <f>tbl_Kalender[[#This Row],[Quartal]]&amp;". Quartal"</f>
        <v>4. Quartal</v>
      </c>
      <c r="K299">
        <f>_xlfn.ISOWEEKNUM(tbl_Kalender[[#This Row],[Datum]])</f>
        <v>43</v>
      </c>
    </row>
    <row r="300" spans="1:11" x14ac:dyDescent="0.25">
      <c r="A300" s="1">
        <v>45590</v>
      </c>
      <c r="B300">
        <f>YEAR(tbl_Kalender[[#This Row],[Datum]])</f>
        <v>2024</v>
      </c>
      <c r="C300">
        <f>DAY(tbl_Kalender[[#This Row],[Datum]])</f>
        <v>25</v>
      </c>
      <c r="D300" t="str">
        <f>TEXT(tbl_Kalender[[#This Row],[Datum]],"TTTT")</f>
        <v>Freitag</v>
      </c>
      <c r="E300">
        <f>WEEKDAY(tbl_Kalender[[#This Row],[Datum]],2)</f>
        <v>5</v>
      </c>
      <c r="F300">
        <f>MONTH(tbl_Kalender[[#This Row],[Datum]])</f>
        <v>10</v>
      </c>
      <c r="G300" t="str">
        <f>TEXT(tbl_Kalender[[#This Row],[Datum]],"MMMM")</f>
        <v>Oktober</v>
      </c>
      <c r="H300">
        <f>ROUNDUP(tbl_Kalender[[#This Row],[Monat]]/3,0)</f>
        <v>4</v>
      </c>
      <c r="I300" t="str">
        <f>"Q "&amp;tbl_Kalender[[#This Row],[Quartal]]</f>
        <v>Q 4</v>
      </c>
      <c r="J300" t="str">
        <f>tbl_Kalender[[#This Row],[Quartal]]&amp;". Quartal"</f>
        <v>4. Quartal</v>
      </c>
      <c r="K300">
        <f>_xlfn.ISOWEEKNUM(tbl_Kalender[[#This Row],[Datum]])</f>
        <v>43</v>
      </c>
    </row>
    <row r="301" spans="1:11" x14ac:dyDescent="0.25">
      <c r="A301" s="1">
        <v>45591</v>
      </c>
      <c r="B301">
        <f>YEAR(tbl_Kalender[[#This Row],[Datum]])</f>
        <v>2024</v>
      </c>
      <c r="C301">
        <f>DAY(tbl_Kalender[[#This Row],[Datum]])</f>
        <v>26</v>
      </c>
      <c r="D301" t="str">
        <f>TEXT(tbl_Kalender[[#This Row],[Datum]],"TTTT")</f>
        <v>Samstag</v>
      </c>
      <c r="E301">
        <f>WEEKDAY(tbl_Kalender[[#This Row],[Datum]],2)</f>
        <v>6</v>
      </c>
      <c r="F301">
        <f>MONTH(tbl_Kalender[[#This Row],[Datum]])</f>
        <v>10</v>
      </c>
      <c r="G301" t="str">
        <f>TEXT(tbl_Kalender[[#This Row],[Datum]],"MMMM")</f>
        <v>Oktober</v>
      </c>
      <c r="H301">
        <f>ROUNDUP(tbl_Kalender[[#This Row],[Monat]]/3,0)</f>
        <v>4</v>
      </c>
      <c r="I301" t="str">
        <f>"Q "&amp;tbl_Kalender[[#This Row],[Quartal]]</f>
        <v>Q 4</v>
      </c>
      <c r="J301" t="str">
        <f>tbl_Kalender[[#This Row],[Quartal]]&amp;". Quartal"</f>
        <v>4. Quartal</v>
      </c>
      <c r="K301">
        <f>_xlfn.ISOWEEKNUM(tbl_Kalender[[#This Row],[Datum]])</f>
        <v>43</v>
      </c>
    </row>
    <row r="302" spans="1:11" x14ac:dyDescent="0.25">
      <c r="A302" s="1">
        <v>45592</v>
      </c>
      <c r="B302">
        <f>YEAR(tbl_Kalender[[#This Row],[Datum]])</f>
        <v>2024</v>
      </c>
      <c r="C302">
        <f>DAY(tbl_Kalender[[#This Row],[Datum]])</f>
        <v>27</v>
      </c>
      <c r="D302" t="str">
        <f>TEXT(tbl_Kalender[[#This Row],[Datum]],"TTTT")</f>
        <v>Sonntag</v>
      </c>
      <c r="E302">
        <f>WEEKDAY(tbl_Kalender[[#This Row],[Datum]],2)</f>
        <v>7</v>
      </c>
      <c r="F302">
        <f>MONTH(tbl_Kalender[[#This Row],[Datum]])</f>
        <v>10</v>
      </c>
      <c r="G302" t="str">
        <f>TEXT(tbl_Kalender[[#This Row],[Datum]],"MMMM")</f>
        <v>Oktober</v>
      </c>
      <c r="H302">
        <f>ROUNDUP(tbl_Kalender[[#This Row],[Monat]]/3,0)</f>
        <v>4</v>
      </c>
      <c r="I302" t="str">
        <f>"Q "&amp;tbl_Kalender[[#This Row],[Quartal]]</f>
        <v>Q 4</v>
      </c>
      <c r="J302" t="str">
        <f>tbl_Kalender[[#This Row],[Quartal]]&amp;". Quartal"</f>
        <v>4. Quartal</v>
      </c>
      <c r="K302">
        <f>_xlfn.ISOWEEKNUM(tbl_Kalender[[#This Row],[Datum]])</f>
        <v>43</v>
      </c>
    </row>
    <row r="303" spans="1:11" x14ac:dyDescent="0.25">
      <c r="A303" s="1">
        <v>45593</v>
      </c>
      <c r="B303">
        <f>YEAR(tbl_Kalender[[#This Row],[Datum]])</f>
        <v>2024</v>
      </c>
      <c r="C303">
        <f>DAY(tbl_Kalender[[#This Row],[Datum]])</f>
        <v>28</v>
      </c>
      <c r="D303" t="str">
        <f>TEXT(tbl_Kalender[[#This Row],[Datum]],"TTTT")</f>
        <v>Montag</v>
      </c>
      <c r="E303">
        <f>WEEKDAY(tbl_Kalender[[#This Row],[Datum]],2)</f>
        <v>1</v>
      </c>
      <c r="F303">
        <f>MONTH(tbl_Kalender[[#This Row],[Datum]])</f>
        <v>10</v>
      </c>
      <c r="G303" t="str">
        <f>TEXT(tbl_Kalender[[#This Row],[Datum]],"MMMM")</f>
        <v>Oktober</v>
      </c>
      <c r="H303">
        <f>ROUNDUP(tbl_Kalender[[#This Row],[Monat]]/3,0)</f>
        <v>4</v>
      </c>
      <c r="I303" t="str">
        <f>"Q "&amp;tbl_Kalender[[#This Row],[Quartal]]</f>
        <v>Q 4</v>
      </c>
      <c r="J303" t="str">
        <f>tbl_Kalender[[#This Row],[Quartal]]&amp;". Quartal"</f>
        <v>4. Quartal</v>
      </c>
      <c r="K303">
        <f>_xlfn.ISOWEEKNUM(tbl_Kalender[[#This Row],[Datum]])</f>
        <v>44</v>
      </c>
    </row>
    <row r="304" spans="1:11" x14ac:dyDescent="0.25">
      <c r="A304" s="1">
        <v>45594</v>
      </c>
      <c r="B304">
        <f>YEAR(tbl_Kalender[[#This Row],[Datum]])</f>
        <v>2024</v>
      </c>
      <c r="C304">
        <f>DAY(tbl_Kalender[[#This Row],[Datum]])</f>
        <v>29</v>
      </c>
      <c r="D304" t="str">
        <f>TEXT(tbl_Kalender[[#This Row],[Datum]],"TTTT")</f>
        <v>Dienstag</v>
      </c>
      <c r="E304">
        <f>WEEKDAY(tbl_Kalender[[#This Row],[Datum]],2)</f>
        <v>2</v>
      </c>
      <c r="F304">
        <f>MONTH(tbl_Kalender[[#This Row],[Datum]])</f>
        <v>10</v>
      </c>
      <c r="G304" t="str">
        <f>TEXT(tbl_Kalender[[#This Row],[Datum]],"MMMM")</f>
        <v>Oktober</v>
      </c>
      <c r="H304">
        <f>ROUNDUP(tbl_Kalender[[#This Row],[Monat]]/3,0)</f>
        <v>4</v>
      </c>
      <c r="I304" t="str">
        <f>"Q "&amp;tbl_Kalender[[#This Row],[Quartal]]</f>
        <v>Q 4</v>
      </c>
      <c r="J304" t="str">
        <f>tbl_Kalender[[#This Row],[Quartal]]&amp;". Quartal"</f>
        <v>4. Quartal</v>
      </c>
      <c r="K304">
        <f>_xlfn.ISOWEEKNUM(tbl_Kalender[[#This Row],[Datum]])</f>
        <v>44</v>
      </c>
    </row>
    <row r="305" spans="1:11" x14ac:dyDescent="0.25">
      <c r="A305" s="1">
        <v>45595</v>
      </c>
      <c r="B305">
        <f>YEAR(tbl_Kalender[[#This Row],[Datum]])</f>
        <v>2024</v>
      </c>
      <c r="C305">
        <f>DAY(tbl_Kalender[[#This Row],[Datum]])</f>
        <v>30</v>
      </c>
      <c r="D305" t="str">
        <f>TEXT(tbl_Kalender[[#This Row],[Datum]],"TTTT")</f>
        <v>Mittwoch</v>
      </c>
      <c r="E305">
        <f>WEEKDAY(tbl_Kalender[[#This Row],[Datum]],2)</f>
        <v>3</v>
      </c>
      <c r="F305">
        <f>MONTH(tbl_Kalender[[#This Row],[Datum]])</f>
        <v>10</v>
      </c>
      <c r="G305" t="str">
        <f>TEXT(tbl_Kalender[[#This Row],[Datum]],"MMMM")</f>
        <v>Oktober</v>
      </c>
      <c r="H305">
        <f>ROUNDUP(tbl_Kalender[[#This Row],[Monat]]/3,0)</f>
        <v>4</v>
      </c>
      <c r="I305" t="str">
        <f>"Q "&amp;tbl_Kalender[[#This Row],[Quartal]]</f>
        <v>Q 4</v>
      </c>
      <c r="J305" t="str">
        <f>tbl_Kalender[[#This Row],[Quartal]]&amp;". Quartal"</f>
        <v>4. Quartal</v>
      </c>
      <c r="K305">
        <f>_xlfn.ISOWEEKNUM(tbl_Kalender[[#This Row],[Datum]])</f>
        <v>44</v>
      </c>
    </row>
    <row r="306" spans="1:11" x14ac:dyDescent="0.25">
      <c r="A306" s="1">
        <v>45596</v>
      </c>
      <c r="B306">
        <f>YEAR(tbl_Kalender[[#This Row],[Datum]])</f>
        <v>2024</v>
      </c>
      <c r="C306">
        <f>DAY(tbl_Kalender[[#This Row],[Datum]])</f>
        <v>31</v>
      </c>
      <c r="D306" t="str">
        <f>TEXT(tbl_Kalender[[#This Row],[Datum]],"TTTT")</f>
        <v>Donnerstag</v>
      </c>
      <c r="E306">
        <f>WEEKDAY(tbl_Kalender[[#This Row],[Datum]],2)</f>
        <v>4</v>
      </c>
      <c r="F306">
        <f>MONTH(tbl_Kalender[[#This Row],[Datum]])</f>
        <v>10</v>
      </c>
      <c r="G306" t="str">
        <f>TEXT(tbl_Kalender[[#This Row],[Datum]],"MMMM")</f>
        <v>Oktober</v>
      </c>
      <c r="H306">
        <f>ROUNDUP(tbl_Kalender[[#This Row],[Monat]]/3,0)</f>
        <v>4</v>
      </c>
      <c r="I306" t="str">
        <f>"Q "&amp;tbl_Kalender[[#This Row],[Quartal]]</f>
        <v>Q 4</v>
      </c>
      <c r="J306" t="str">
        <f>tbl_Kalender[[#This Row],[Quartal]]&amp;". Quartal"</f>
        <v>4. Quartal</v>
      </c>
      <c r="K306">
        <f>_xlfn.ISOWEEKNUM(tbl_Kalender[[#This Row],[Datum]])</f>
        <v>44</v>
      </c>
    </row>
    <row r="307" spans="1:11" x14ac:dyDescent="0.25">
      <c r="A307" s="1">
        <v>45597</v>
      </c>
      <c r="B307">
        <f>YEAR(tbl_Kalender[[#This Row],[Datum]])</f>
        <v>2024</v>
      </c>
      <c r="C307">
        <f>DAY(tbl_Kalender[[#This Row],[Datum]])</f>
        <v>1</v>
      </c>
      <c r="D307" t="str">
        <f>TEXT(tbl_Kalender[[#This Row],[Datum]],"TTTT")</f>
        <v>Freitag</v>
      </c>
      <c r="E307">
        <f>WEEKDAY(tbl_Kalender[[#This Row],[Datum]],2)</f>
        <v>5</v>
      </c>
      <c r="F307">
        <f>MONTH(tbl_Kalender[[#This Row],[Datum]])</f>
        <v>11</v>
      </c>
      <c r="G307" t="str">
        <f>TEXT(tbl_Kalender[[#This Row],[Datum]],"MMMM")</f>
        <v>November</v>
      </c>
      <c r="H307">
        <f>ROUNDUP(tbl_Kalender[[#This Row],[Monat]]/3,0)</f>
        <v>4</v>
      </c>
      <c r="I307" t="str">
        <f>"Q "&amp;tbl_Kalender[[#This Row],[Quartal]]</f>
        <v>Q 4</v>
      </c>
      <c r="J307" t="str">
        <f>tbl_Kalender[[#This Row],[Quartal]]&amp;". Quartal"</f>
        <v>4. Quartal</v>
      </c>
      <c r="K307">
        <f>_xlfn.ISOWEEKNUM(tbl_Kalender[[#This Row],[Datum]])</f>
        <v>44</v>
      </c>
    </row>
    <row r="308" spans="1:11" x14ac:dyDescent="0.25">
      <c r="A308" s="1">
        <v>45598</v>
      </c>
      <c r="B308">
        <f>YEAR(tbl_Kalender[[#This Row],[Datum]])</f>
        <v>2024</v>
      </c>
      <c r="C308">
        <f>DAY(tbl_Kalender[[#This Row],[Datum]])</f>
        <v>2</v>
      </c>
      <c r="D308" t="str">
        <f>TEXT(tbl_Kalender[[#This Row],[Datum]],"TTTT")</f>
        <v>Samstag</v>
      </c>
      <c r="E308">
        <f>WEEKDAY(tbl_Kalender[[#This Row],[Datum]],2)</f>
        <v>6</v>
      </c>
      <c r="F308">
        <f>MONTH(tbl_Kalender[[#This Row],[Datum]])</f>
        <v>11</v>
      </c>
      <c r="G308" t="str">
        <f>TEXT(tbl_Kalender[[#This Row],[Datum]],"MMMM")</f>
        <v>November</v>
      </c>
      <c r="H308">
        <f>ROUNDUP(tbl_Kalender[[#This Row],[Monat]]/3,0)</f>
        <v>4</v>
      </c>
      <c r="I308" t="str">
        <f>"Q "&amp;tbl_Kalender[[#This Row],[Quartal]]</f>
        <v>Q 4</v>
      </c>
      <c r="J308" t="str">
        <f>tbl_Kalender[[#This Row],[Quartal]]&amp;". Quartal"</f>
        <v>4. Quartal</v>
      </c>
      <c r="K308">
        <f>_xlfn.ISOWEEKNUM(tbl_Kalender[[#This Row],[Datum]])</f>
        <v>44</v>
      </c>
    </row>
    <row r="309" spans="1:11" x14ac:dyDescent="0.25">
      <c r="A309" s="1">
        <v>45599</v>
      </c>
      <c r="B309">
        <f>YEAR(tbl_Kalender[[#This Row],[Datum]])</f>
        <v>2024</v>
      </c>
      <c r="C309">
        <f>DAY(tbl_Kalender[[#This Row],[Datum]])</f>
        <v>3</v>
      </c>
      <c r="D309" t="str">
        <f>TEXT(tbl_Kalender[[#This Row],[Datum]],"TTTT")</f>
        <v>Sonntag</v>
      </c>
      <c r="E309">
        <f>WEEKDAY(tbl_Kalender[[#This Row],[Datum]],2)</f>
        <v>7</v>
      </c>
      <c r="F309">
        <f>MONTH(tbl_Kalender[[#This Row],[Datum]])</f>
        <v>11</v>
      </c>
      <c r="G309" t="str">
        <f>TEXT(tbl_Kalender[[#This Row],[Datum]],"MMMM")</f>
        <v>November</v>
      </c>
      <c r="H309">
        <f>ROUNDUP(tbl_Kalender[[#This Row],[Monat]]/3,0)</f>
        <v>4</v>
      </c>
      <c r="I309" t="str">
        <f>"Q "&amp;tbl_Kalender[[#This Row],[Quartal]]</f>
        <v>Q 4</v>
      </c>
      <c r="J309" t="str">
        <f>tbl_Kalender[[#This Row],[Quartal]]&amp;". Quartal"</f>
        <v>4. Quartal</v>
      </c>
      <c r="K309">
        <f>_xlfn.ISOWEEKNUM(tbl_Kalender[[#This Row],[Datum]])</f>
        <v>44</v>
      </c>
    </row>
    <row r="310" spans="1:11" x14ac:dyDescent="0.25">
      <c r="A310" s="1">
        <v>45600</v>
      </c>
      <c r="B310">
        <f>YEAR(tbl_Kalender[[#This Row],[Datum]])</f>
        <v>2024</v>
      </c>
      <c r="C310">
        <f>DAY(tbl_Kalender[[#This Row],[Datum]])</f>
        <v>4</v>
      </c>
      <c r="D310" t="str">
        <f>TEXT(tbl_Kalender[[#This Row],[Datum]],"TTTT")</f>
        <v>Montag</v>
      </c>
      <c r="E310">
        <f>WEEKDAY(tbl_Kalender[[#This Row],[Datum]],2)</f>
        <v>1</v>
      </c>
      <c r="F310">
        <f>MONTH(tbl_Kalender[[#This Row],[Datum]])</f>
        <v>11</v>
      </c>
      <c r="G310" t="str">
        <f>TEXT(tbl_Kalender[[#This Row],[Datum]],"MMMM")</f>
        <v>November</v>
      </c>
      <c r="H310">
        <f>ROUNDUP(tbl_Kalender[[#This Row],[Monat]]/3,0)</f>
        <v>4</v>
      </c>
      <c r="I310" t="str">
        <f>"Q "&amp;tbl_Kalender[[#This Row],[Quartal]]</f>
        <v>Q 4</v>
      </c>
      <c r="J310" t="str">
        <f>tbl_Kalender[[#This Row],[Quartal]]&amp;". Quartal"</f>
        <v>4. Quartal</v>
      </c>
      <c r="K310">
        <f>_xlfn.ISOWEEKNUM(tbl_Kalender[[#This Row],[Datum]])</f>
        <v>45</v>
      </c>
    </row>
    <row r="311" spans="1:11" x14ac:dyDescent="0.25">
      <c r="A311" s="1">
        <v>45601</v>
      </c>
      <c r="B311">
        <f>YEAR(tbl_Kalender[[#This Row],[Datum]])</f>
        <v>2024</v>
      </c>
      <c r="C311">
        <f>DAY(tbl_Kalender[[#This Row],[Datum]])</f>
        <v>5</v>
      </c>
      <c r="D311" t="str">
        <f>TEXT(tbl_Kalender[[#This Row],[Datum]],"TTTT")</f>
        <v>Dienstag</v>
      </c>
      <c r="E311">
        <f>WEEKDAY(tbl_Kalender[[#This Row],[Datum]],2)</f>
        <v>2</v>
      </c>
      <c r="F311">
        <f>MONTH(tbl_Kalender[[#This Row],[Datum]])</f>
        <v>11</v>
      </c>
      <c r="G311" t="str">
        <f>TEXT(tbl_Kalender[[#This Row],[Datum]],"MMMM")</f>
        <v>November</v>
      </c>
      <c r="H311">
        <f>ROUNDUP(tbl_Kalender[[#This Row],[Monat]]/3,0)</f>
        <v>4</v>
      </c>
      <c r="I311" t="str">
        <f>"Q "&amp;tbl_Kalender[[#This Row],[Quartal]]</f>
        <v>Q 4</v>
      </c>
      <c r="J311" t="str">
        <f>tbl_Kalender[[#This Row],[Quartal]]&amp;". Quartal"</f>
        <v>4. Quartal</v>
      </c>
      <c r="K311">
        <f>_xlfn.ISOWEEKNUM(tbl_Kalender[[#This Row],[Datum]])</f>
        <v>45</v>
      </c>
    </row>
    <row r="312" spans="1:11" x14ac:dyDescent="0.25">
      <c r="A312" s="1">
        <v>45602</v>
      </c>
      <c r="B312">
        <f>YEAR(tbl_Kalender[[#This Row],[Datum]])</f>
        <v>2024</v>
      </c>
      <c r="C312">
        <f>DAY(tbl_Kalender[[#This Row],[Datum]])</f>
        <v>6</v>
      </c>
      <c r="D312" t="str">
        <f>TEXT(tbl_Kalender[[#This Row],[Datum]],"TTTT")</f>
        <v>Mittwoch</v>
      </c>
      <c r="E312">
        <f>WEEKDAY(tbl_Kalender[[#This Row],[Datum]],2)</f>
        <v>3</v>
      </c>
      <c r="F312">
        <f>MONTH(tbl_Kalender[[#This Row],[Datum]])</f>
        <v>11</v>
      </c>
      <c r="G312" t="str">
        <f>TEXT(tbl_Kalender[[#This Row],[Datum]],"MMMM")</f>
        <v>November</v>
      </c>
      <c r="H312">
        <f>ROUNDUP(tbl_Kalender[[#This Row],[Monat]]/3,0)</f>
        <v>4</v>
      </c>
      <c r="I312" t="str">
        <f>"Q "&amp;tbl_Kalender[[#This Row],[Quartal]]</f>
        <v>Q 4</v>
      </c>
      <c r="J312" t="str">
        <f>tbl_Kalender[[#This Row],[Quartal]]&amp;". Quartal"</f>
        <v>4. Quartal</v>
      </c>
      <c r="K312">
        <f>_xlfn.ISOWEEKNUM(tbl_Kalender[[#This Row],[Datum]])</f>
        <v>45</v>
      </c>
    </row>
    <row r="313" spans="1:11" x14ac:dyDescent="0.25">
      <c r="A313" s="1">
        <v>45603</v>
      </c>
      <c r="B313">
        <f>YEAR(tbl_Kalender[[#This Row],[Datum]])</f>
        <v>2024</v>
      </c>
      <c r="C313">
        <f>DAY(tbl_Kalender[[#This Row],[Datum]])</f>
        <v>7</v>
      </c>
      <c r="D313" t="str">
        <f>TEXT(tbl_Kalender[[#This Row],[Datum]],"TTTT")</f>
        <v>Donnerstag</v>
      </c>
      <c r="E313">
        <f>WEEKDAY(tbl_Kalender[[#This Row],[Datum]],2)</f>
        <v>4</v>
      </c>
      <c r="F313">
        <f>MONTH(tbl_Kalender[[#This Row],[Datum]])</f>
        <v>11</v>
      </c>
      <c r="G313" t="str">
        <f>TEXT(tbl_Kalender[[#This Row],[Datum]],"MMMM")</f>
        <v>November</v>
      </c>
      <c r="H313">
        <f>ROUNDUP(tbl_Kalender[[#This Row],[Monat]]/3,0)</f>
        <v>4</v>
      </c>
      <c r="I313" t="str">
        <f>"Q "&amp;tbl_Kalender[[#This Row],[Quartal]]</f>
        <v>Q 4</v>
      </c>
      <c r="J313" t="str">
        <f>tbl_Kalender[[#This Row],[Quartal]]&amp;". Quartal"</f>
        <v>4. Quartal</v>
      </c>
      <c r="K313">
        <f>_xlfn.ISOWEEKNUM(tbl_Kalender[[#This Row],[Datum]])</f>
        <v>45</v>
      </c>
    </row>
    <row r="314" spans="1:11" x14ac:dyDescent="0.25">
      <c r="A314" s="1">
        <v>45604</v>
      </c>
      <c r="B314">
        <f>YEAR(tbl_Kalender[[#This Row],[Datum]])</f>
        <v>2024</v>
      </c>
      <c r="C314">
        <f>DAY(tbl_Kalender[[#This Row],[Datum]])</f>
        <v>8</v>
      </c>
      <c r="D314" t="str">
        <f>TEXT(tbl_Kalender[[#This Row],[Datum]],"TTTT")</f>
        <v>Freitag</v>
      </c>
      <c r="E314">
        <f>WEEKDAY(tbl_Kalender[[#This Row],[Datum]],2)</f>
        <v>5</v>
      </c>
      <c r="F314">
        <f>MONTH(tbl_Kalender[[#This Row],[Datum]])</f>
        <v>11</v>
      </c>
      <c r="G314" t="str">
        <f>TEXT(tbl_Kalender[[#This Row],[Datum]],"MMMM")</f>
        <v>November</v>
      </c>
      <c r="H314">
        <f>ROUNDUP(tbl_Kalender[[#This Row],[Monat]]/3,0)</f>
        <v>4</v>
      </c>
      <c r="I314" t="str">
        <f>"Q "&amp;tbl_Kalender[[#This Row],[Quartal]]</f>
        <v>Q 4</v>
      </c>
      <c r="J314" t="str">
        <f>tbl_Kalender[[#This Row],[Quartal]]&amp;". Quartal"</f>
        <v>4. Quartal</v>
      </c>
      <c r="K314">
        <f>_xlfn.ISOWEEKNUM(tbl_Kalender[[#This Row],[Datum]])</f>
        <v>45</v>
      </c>
    </row>
    <row r="315" spans="1:11" x14ac:dyDescent="0.25">
      <c r="A315" s="1">
        <v>45605</v>
      </c>
      <c r="B315">
        <f>YEAR(tbl_Kalender[[#This Row],[Datum]])</f>
        <v>2024</v>
      </c>
      <c r="C315">
        <f>DAY(tbl_Kalender[[#This Row],[Datum]])</f>
        <v>9</v>
      </c>
      <c r="D315" t="str">
        <f>TEXT(tbl_Kalender[[#This Row],[Datum]],"TTTT")</f>
        <v>Samstag</v>
      </c>
      <c r="E315">
        <f>WEEKDAY(tbl_Kalender[[#This Row],[Datum]],2)</f>
        <v>6</v>
      </c>
      <c r="F315">
        <f>MONTH(tbl_Kalender[[#This Row],[Datum]])</f>
        <v>11</v>
      </c>
      <c r="G315" t="str">
        <f>TEXT(tbl_Kalender[[#This Row],[Datum]],"MMMM")</f>
        <v>November</v>
      </c>
      <c r="H315">
        <f>ROUNDUP(tbl_Kalender[[#This Row],[Monat]]/3,0)</f>
        <v>4</v>
      </c>
      <c r="I315" t="str">
        <f>"Q "&amp;tbl_Kalender[[#This Row],[Quartal]]</f>
        <v>Q 4</v>
      </c>
      <c r="J315" t="str">
        <f>tbl_Kalender[[#This Row],[Quartal]]&amp;". Quartal"</f>
        <v>4. Quartal</v>
      </c>
      <c r="K315">
        <f>_xlfn.ISOWEEKNUM(tbl_Kalender[[#This Row],[Datum]])</f>
        <v>45</v>
      </c>
    </row>
    <row r="316" spans="1:11" x14ac:dyDescent="0.25">
      <c r="A316" s="1">
        <v>45606</v>
      </c>
      <c r="B316">
        <f>YEAR(tbl_Kalender[[#This Row],[Datum]])</f>
        <v>2024</v>
      </c>
      <c r="C316">
        <f>DAY(tbl_Kalender[[#This Row],[Datum]])</f>
        <v>10</v>
      </c>
      <c r="D316" t="str">
        <f>TEXT(tbl_Kalender[[#This Row],[Datum]],"TTTT")</f>
        <v>Sonntag</v>
      </c>
      <c r="E316">
        <f>WEEKDAY(tbl_Kalender[[#This Row],[Datum]],2)</f>
        <v>7</v>
      </c>
      <c r="F316">
        <f>MONTH(tbl_Kalender[[#This Row],[Datum]])</f>
        <v>11</v>
      </c>
      <c r="G316" t="str">
        <f>TEXT(tbl_Kalender[[#This Row],[Datum]],"MMMM")</f>
        <v>November</v>
      </c>
      <c r="H316">
        <f>ROUNDUP(tbl_Kalender[[#This Row],[Monat]]/3,0)</f>
        <v>4</v>
      </c>
      <c r="I316" t="str">
        <f>"Q "&amp;tbl_Kalender[[#This Row],[Quartal]]</f>
        <v>Q 4</v>
      </c>
      <c r="J316" t="str">
        <f>tbl_Kalender[[#This Row],[Quartal]]&amp;". Quartal"</f>
        <v>4. Quartal</v>
      </c>
      <c r="K316">
        <f>_xlfn.ISOWEEKNUM(tbl_Kalender[[#This Row],[Datum]])</f>
        <v>45</v>
      </c>
    </row>
    <row r="317" spans="1:11" x14ac:dyDescent="0.25">
      <c r="A317" s="1">
        <v>45607</v>
      </c>
      <c r="B317">
        <f>YEAR(tbl_Kalender[[#This Row],[Datum]])</f>
        <v>2024</v>
      </c>
      <c r="C317">
        <f>DAY(tbl_Kalender[[#This Row],[Datum]])</f>
        <v>11</v>
      </c>
      <c r="D317" t="str">
        <f>TEXT(tbl_Kalender[[#This Row],[Datum]],"TTTT")</f>
        <v>Montag</v>
      </c>
      <c r="E317">
        <f>WEEKDAY(tbl_Kalender[[#This Row],[Datum]],2)</f>
        <v>1</v>
      </c>
      <c r="F317">
        <f>MONTH(tbl_Kalender[[#This Row],[Datum]])</f>
        <v>11</v>
      </c>
      <c r="G317" t="str">
        <f>TEXT(tbl_Kalender[[#This Row],[Datum]],"MMMM")</f>
        <v>November</v>
      </c>
      <c r="H317">
        <f>ROUNDUP(tbl_Kalender[[#This Row],[Monat]]/3,0)</f>
        <v>4</v>
      </c>
      <c r="I317" t="str">
        <f>"Q "&amp;tbl_Kalender[[#This Row],[Quartal]]</f>
        <v>Q 4</v>
      </c>
      <c r="J317" t="str">
        <f>tbl_Kalender[[#This Row],[Quartal]]&amp;". Quartal"</f>
        <v>4. Quartal</v>
      </c>
      <c r="K317">
        <f>_xlfn.ISOWEEKNUM(tbl_Kalender[[#This Row],[Datum]])</f>
        <v>46</v>
      </c>
    </row>
    <row r="318" spans="1:11" x14ac:dyDescent="0.25">
      <c r="A318" s="1">
        <v>45608</v>
      </c>
      <c r="B318">
        <f>YEAR(tbl_Kalender[[#This Row],[Datum]])</f>
        <v>2024</v>
      </c>
      <c r="C318">
        <f>DAY(tbl_Kalender[[#This Row],[Datum]])</f>
        <v>12</v>
      </c>
      <c r="D318" t="str">
        <f>TEXT(tbl_Kalender[[#This Row],[Datum]],"TTTT")</f>
        <v>Dienstag</v>
      </c>
      <c r="E318">
        <f>WEEKDAY(tbl_Kalender[[#This Row],[Datum]],2)</f>
        <v>2</v>
      </c>
      <c r="F318">
        <f>MONTH(tbl_Kalender[[#This Row],[Datum]])</f>
        <v>11</v>
      </c>
      <c r="G318" t="str">
        <f>TEXT(tbl_Kalender[[#This Row],[Datum]],"MMMM")</f>
        <v>November</v>
      </c>
      <c r="H318">
        <f>ROUNDUP(tbl_Kalender[[#This Row],[Monat]]/3,0)</f>
        <v>4</v>
      </c>
      <c r="I318" t="str">
        <f>"Q "&amp;tbl_Kalender[[#This Row],[Quartal]]</f>
        <v>Q 4</v>
      </c>
      <c r="J318" t="str">
        <f>tbl_Kalender[[#This Row],[Quartal]]&amp;". Quartal"</f>
        <v>4. Quartal</v>
      </c>
      <c r="K318">
        <f>_xlfn.ISOWEEKNUM(tbl_Kalender[[#This Row],[Datum]])</f>
        <v>46</v>
      </c>
    </row>
    <row r="319" spans="1:11" x14ac:dyDescent="0.25">
      <c r="A319" s="1">
        <v>45609</v>
      </c>
      <c r="B319">
        <f>YEAR(tbl_Kalender[[#This Row],[Datum]])</f>
        <v>2024</v>
      </c>
      <c r="C319">
        <f>DAY(tbl_Kalender[[#This Row],[Datum]])</f>
        <v>13</v>
      </c>
      <c r="D319" t="str">
        <f>TEXT(tbl_Kalender[[#This Row],[Datum]],"TTTT")</f>
        <v>Mittwoch</v>
      </c>
      <c r="E319">
        <f>WEEKDAY(tbl_Kalender[[#This Row],[Datum]],2)</f>
        <v>3</v>
      </c>
      <c r="F319">
        <f>MONTH(tbl_Kalender[[#This Row],[Datum]])</f>
        <v>11</v>
      </c>
      <c r="G319" t="str">
        <f>TEXT(tbl_Kalender[[#This Row],[Datum]],"MMMM")</f>
        <v>November</v>
      </c>
      <c r="H319">
        <f>ROUNDUP(tbl_Kalender[[#This Row],[Monat]]/3,0)</f>
        <v>4</v>
      </c>
      <c r="I319" t="str">
        <f>"Q "&amp;tbl_Kalender[[#This Row],[Quartal]]</f>
        <v>Q 4</v>
      </c>
      <c r="J319" t="str">
        <f>tbl_Kalender[[#This Row],[Quartal]]&amp;". Quartal"</f>
        <v>4. Quartal</v>
      </c>
      <c r="K319">
        <f>_xlfn.ISOWEEKNUM(tbl_Kalender[[#This Row],[Datum]])</f>
        <v>46</v>
      </c>
    </row>
    <row r="320" spans="1:11" x14ac:dyDescent="0.25">
      <c r="A320" s="1">
        <v>45610</v>
      </c>
      <c r="B320">
        <f>YEAR(tbl_Kalender[[#This Row],[Datum]])</f>
        <v>2024</v>
      </c>
      <c r="C320">
        <f>DAY(tbl_Kalender[[#This Row],[Datum]])</f>
        <v>14</v>
      </c>
      <c r="D320" t="str">
        <f>TEXT(tbl_Kalender[[#This Row],[Datum]],"TTTT")</f>
        <v>Donnerstag</v>
      </c>
      <c r="E320">
        <f>WEEKDAY(tbl_Kalender[[#This Row],[Datum]],2)</f>
        <v>4</v>
      </c>
      <c r="F320">
        <f>MONTH(tbl_Kalender[[#This Row],[Datum]])</f>
        <v>11</v>
      </c>
      <c r="G320" t="str">
        <f>TEXT(tbl_Kalender[[#This Row],[Datum]],"MMMM")</f>
        <v>November</v>
      </c>
      <c r="H320">
        <f>ROUNDUP(tbl_Kalender[[#This Row],[Monat]]/3,0)</f>
        <v>4</v>
      </c>
      <c r="I320" t="str">
        <f>"Q "&amp;tbl_Kalender[[#This Row],[Quartal]]</f>
        <v>Q 4</v>
      </c>
      <c r="J320" t="str">
        <f>tbl_Kalender[[#This Row],[Quartal]]&amp;". Quartal"</f>
        <v>4. Quartal</v>
      </c>
      <c r="K320">
        <f>_xlfn.ISOWEEKNUM(tbl_Kalender[[#This Row],[Datum]])</f>
        <v>46</v>
      </c>
    </row>
    <row r="321" spans="1:11" x14ac:dyDescent="0.25">
      <c r="A321" s="1">
        <v>45611</v>
      </c>
      <c r="B321">
        <f>YEAR(tbl_Kalender[[#This Row],[Datum]])</f>
        <v>2024</v>
      </c>
      <c r="C321">
        <f>DAY(tbl_Kalender[[#This Row],[Datum]])</f>
        <v>15</v>
      </c>
      <c r="D321" t="str">
        <f>TEXT(tbl_Kalender[[#This Row],[Datum]],"TTTT")</f>
        <v>Freitag</v>
      </c>
      <c r="E321">
        <f>WEEKDAY(tbl_Kalender[[#This Row],[Datum]],2)</f>
        <v>5</v>
      </c>
      <c r="F321">
        <f>MONTH(tbl_Kalender[[#This Row],[Datum]])</f>
        <v>11</v>
      </c>
      <c r="G321" t="str">
        <f>TEXT(tbl_Kalender[[#This Row],[Datum]],"MMMM")</f>
        <v>November</v>
      </c>
      <c r="H321">
        <f>ROUNDUP(tbl_Kalender[[#This Row],[Monat]]/3,0)</f>
        <v>4</v>
      </c>
      <c r="I321" t="str">
        <f>"Q "&amp;tbl_Kalender[[#This Row],[Quartal]]</f>
        <v>Q 4</v>
      </c>
      <c r="J321" t="str">
        <f>tbl_Kalender[[#This Row],[Quartal]]&amp;". Quartal"</f>
        <v>4. Quartal</v>
      </c>
      <c r="K321">
        <f>_xlfn.ISOWEEKNUM(tbl_Kalender[[#This Row],[Datum]])</f>
        <v>46</v>
      </c>
    </row>
    <row r="322" spans="1:11" x14ac:dyDescent="0.25">
      <c r="A322" s="1">
        <v>45612</v>
      </c>
      <c r="B322">
        <f>YEAR(tbl_Kalender[[#This Row],[Datum]])</f>
        <v>2024</v>
      </c>
      <c r="C322">
        <f>DAY(tbl_Kalender[[#This Row],[Datum]])</f>
        <v>16</v>
      </c>
      <c r="D322" t="str">
        <f>TEXT(tbl_Kalender[[#This Row],[Datum]],"TTTT")</f>
        <v>Samstag</v>
      </c>
      <c r="E322">
        <f>WEEKDAY(tbl_Kalender[[#This Row],[Datum]],2)</f>
        <v>6</v>
      </c>
      <c r="F322">
        <f>MONTH(tbl_Kalender[[#This Row],[Datum]])</f>
        <v>11</v>
      </c>
      <c r="G322" t="str">
        <f>TEXT(tbl_Kalender[[#This Row],[Datum]],"MMMM")</f>
        <v>November</v>
      </c>
      <c r="H322">
        <f>ROUNDUP(tbl_Kalender[[#This Row],[Monat]]/3,0)</f>
        <v>4</v>
      </c>
      <c r="I322" t="str">
        <f>"Q "&amp;tbl_Kalender[[#This Row],[Quartal]]</f>
        <v>Q 4</v>
      </c>
      <c r="J322" t="str">
        <f>tbl_Kalender[[#This Row],[Quartal]]&amp;". Quartal"</f>
        <v>4. Quartal</v>
      </c>
      <c r="K322">
        <f>_xlfn.ISOWEEKNUM(tbl_Kalender[[#This Row],[Datum]])</f>
        <v>46</v>
      </c>
    </row>
    <row r="323" spans="1:11" x14ac:dyDescent="0.25">
      <c r="A323" s="1">
        <v>45613</v>
      </c>
      <c r="B323">
        <f>YEAR(tbl_Kalender[[#This Row],[Datum]])</f>
        <v>2024</v>
      </c>
      <c r="C323">
        <f>DAY(tbl_Kalender[[#This Row],[Datum]])</f>
        <v>17</v>
      </c>
      <c r="D323" t="str">
        <f>TEXT(tbl_Kalender[[#This Row],[Datum]],"TTTT")</f>
        <v>Sonntag</v>
      </c>
      <c r="E323">
        <f>WEEKDAY(tbl_Kalender[[#This Row],[Datum]],2)</f>
        <v>7</v>
      </c>
      <c r="F323">
        <f>MONTH(tbl_Kalender[[#This Row],[Datum]])</f>
        <v>11</v>
      </c>
      <c r="G323" t="str">
        <f>TEXT(tbl_Kalender[[#This Row],[Datum]],"MMMM")</f>
        <v>November</v>
      </c>
      <c r="H323">
        <f>ROUNDUP(tbl_Kalender[[#This Row],[Monat]]/3,0)</f>
        <v>4</v>
      </c>
      <c r="I323" t="str">
        <f>"Q "&amp;tbl_Kalender[[#This Row],[Quartal]]</f>
        <v>Q 4</v>
      </c>
      <c r="J323" t="str">
        <f>tbl_Kalender[[#This Row],[Quartal]]&amp;". Quartal"</f>
        <v>4. Quartal</v>
      </c>
      <c r="K323">
        <f>_xlfn.ISOWEEKNUM(tbl_Kalender[[#This Row],[Datum]])</f>
        <v>46</v>
      </c>
    </row>
    <row r="324" spans="1:11" x14ac:dyDescent="0.25">
      <c r="A324" s="1">
        <v>45614</v>
      </c>
      <c r="B324">
        <f>YEAR(tbl_Kalender[[#This Row],[Datum]])</f>
        <v>2024</v>
      </c>
      <c r="C324">
        <f>DAY(tbl_Kalender[[#This Row],[Datum]])</f>
        <v>18</v>
      </c>
      <c r="D324" t="str">
        <f>TEXT(tbl_Kalender[[#This Row],[Datum]],"TTTT")</f>
        <v>Montag</v>
      </c>
      <c r="E324">
        <f>WEEKDAY(tbl_Kalender[[#This Row],[Datum]],2)</f>
        <v>1</v>
      </c>
      <c r="F324">
        <f>MONTH(tbl_Kalender[[#This Row],[Datum]])</f>
        <v>11</v>
      </c>
      <c r="G324" t="str">
        <f>TEXT(tbl_Kalender[[#This Row],[Datum]],"MMMM")</f>
        <v>November</v>
      </c>
      <c r="H324">
        <f>ROUNDUP(tbl_Kalender[[#This Row],[Monat]]/3,0)</f>
        <v>4</v>
      </c>
      <c r="I324" t="str">
        <f>"Q "&amp;tbl_Kalender[[#This Row],[Quartal]]</f>
        <v>Q 4</v>
      </c>
      <c r="J324" t="str">
        <f>tbl_Kalender[[#This Row],[Quartal]]&amp;". Quartal"</f>
        <v>4. Quartal</v>
      </c>
      <c r="K324">
        <f>_xlfn.ISOWEEKNUM(tbl_Kalender[[#This Row],[Datum]])</f>
        <v>47</v>
      </c>
    </row>
    <row r="325" spans="1:11" x14ac:dyDescent="0.25">
      <c r="A325" s="1">
        <v>45615</v>
      </c>
      <c r="B325">
        <f>YEAR(tbl_Kalender[[#This Row],[Datum]])</f>
        <v>2024</v>
      </c>
      <c r="C325">
        <f>DAY(tbl_Kalender[[#This Row],[Datum]])</f>
        <v>19</v>
      </c>
      <c r="D325" t="str">
        <f>TEXT(tbl_Kalender[[#This Row],[Datum]],"TTTT")</f>
        <v>Dienstag</v>
      </c>
      <c r="E325">
        <f>WEEKDAY(tbl_Kalender[[#This Row],[Datum]],2)</f>
        <v>2</v>
      </c>
      <c r="F325">
        <f>MONTH(tbl_Kalender[[#This Row],[Datum]])</f>
        <v>11</v>
      </c>
      <c r="G325" t="str">
        <f>TEXT(tbl_Kalender[[#This Row],[Datum]],"MMMM")</f>
        <v>November</v>
      </c>
      <c r="H325">
        <f>ROUNDUP(tbl_Kalender[[#This Row],[Monat]]/3,0)</f>
        <v>4</v>
      </c>
      <c r="I325" t="str">
        <f>"Q "&amp;tbl_Kalender[[#This Row],[Quartal]]</f>
        <v>Q 4</v>
      </c>
      <c r="J325" t="str">
        <f>tbl_Kalender[[#This Row],[Quartal]]&amp;". Quartal"</f>
        <v>4. Quartal</v>
      </c>
      <c r="K325">
        <f>_xlfn.ISOWEEKNUM(tbl_Kalender[[#This Row],[Datum]])</f>
        <v>47</v>
      </c>
    </row>
    <row r="326" spans="1:11" x14ac:dyDescent="0.25">
      <c r="A326" s="1">
        <v>45616</v>
      </c>
      <c r="B326">
        <f>YEAR(tbl_Kalender[[#This Row],[Datum]])</f>
        <v>2024</v>
      </c>
      <c r="C326">
        <f>DAY(tbl_Kalender[[#This Row],[Datum]])</f>
        <v>20</v>
      </c>
      <c r="D326" t="str">
        <f>TEXT(tbl_Kalender[[#This Row],[Datum]],"TTTT")</f>
        <v>Mittwoch</v>
      </c>
      <c r="E326">
        <f>WEEKDAY(tbl_Kalender[[#This Row],[Datum]],2)</f>
        <v>3</v>
      </c>
      <c r="F326">
        <f>MONTH(tbl_Kalender[[#This Row],[Datum]])</f>
        <v>11</v>
      </c>
      <c r="G326" t="str">
        <f>TEXT(tbl_Kalender[[#This Row],[Datum]],"MMMM")</f>
        <v>November</v>
      </c>
      <c r="H326">
        <f>ROUNDUP(tbl_Kalender[[#This Row],[Monat]]/3,0)</f>
        <v>4</v>
      </c>
      <c r="I326" t="str">
        <f>"Q "&amp;tbl_Kalender[[#This Row],[Quartal]]</f>
        <v>Q 4</v>
      </c>
      <c r="J326" t="str">
        <f>tbl_Kalender[[#This Row],[Quartal]]&amp;". Quartal"</f>
        <v>4. Quartal</v>
      </c>
      <c r="K326">
        <f>_xlfn.ISOWEEKNUM(tbl_Kalender[[#This Row],[Datum]])</f>
        <v>47</v>
      </c>
    </row>
    <row r="327" spans="1:11" x14ac:dyDescent="0.25">
      <c r="A327" s="1">
        <v>45617</v>
      </c>
      <c r="B327">
        <f>YEAR(tbl_Kalender[[#This Row],[Datum]])</f>
        <v>2024</v>
      </c>
      <c r="C327">
        <f>DAY(tbl_Kalender[[#This Row],[Datum]])</f>
        <v>21</v>
      </c>
      <c r="D327" t="str">
        <f>TEXT(tbl_Kalender[[#This Row],[Datum]],"TTTT")</f>
        <v>Donnerstag</v>
      </c>
      <c r="E327">
        <f>WEEKDAY(tbl_Kalender[[#This Row],[Datum]],2)</f>
        <v>4</v>
      </c>
      <c r="F327">
        <f>MONTH(tbl_Kalender[[#This Row],[Datum]])</f>
        <v>11</v>
      </c>
      <c r="G327" t="str">
        <f>TEXT(tbl_Kalender[[#This Row],[Datum]],"MMMM")</f>
        <v>November</v>
      </c>
      <c r="H327">
        <f>ROUNDUP(tbl_Kalender[[#This Row],[Monat]]/3,0)</f>
        <v>4</v>
      </c>
      <c r="I327" t="str">
        <f>"Q "&amp;tbl_Kalender[[#This Row],[Quartal]]</f>
        <v>Q 4</v>
      </c>
      <c r="J327" t="str">
        <f>tbl_Kalender[[#This Row],[Quartal]]&amp;". Quartal"</f>
        <v>4. Quartal</v>
      </c>
      <c r="K327">
        <f>_xlfn.ISOWEEKNUM(tbl_Kalender[[#This Row],[Datum]])</f>
        <v>47</v>
      </c>
    </row>
    <row r="328" spans="1:11" x14ac:dyDescent="0.25">
      <c r="A328" s="1">
        <v>45618</v>
      </c>
      <c r="B328">
        <f>YEAR(tbl_Kalender[[#This Row],[Datum]])</f>
        <v>2024</v>
      </c>
      <c r="C328">
        <f>DAY(tbl_Kalender[[#This Row],[Datum]])</f>
        <v>22</v>
      </c>
      <c r="D328" t="str">
        <f>TEXT(tbl_Kalender[[#This Row],[Datum]],"TTTT")</f>
        <v>Freitag</v>
      </c>
      <c r="E328">
        <f>WEEKDAY(tbl_Kalender[[#This Row],[Datum]],2)</f>
        <v>5</v>
      </c>
      <c r="F328">
        <f>MONTH(tbl_Kalender[[#This Row],[Datum]])</f>
        <v>11</v>
      </c>
      <c r="G328" t="str">
        <f>TEXT(tbl_Kalender[[#This Row],[Datum]],"MMMM")</f>
        <v>November</v>
      </c>
      <c r="H328">
        <f>ROUNDUP(tbl_Kalender[[#This Row],[Monat]]/3,0)</f>
        <v>4</v>
      </c>
      <c r="I328" t="str">
        <f>"Q "&amp;tbl_Kalender[[#This Row],[Quartal]]</f>
        <v>Q 4</v>
      </c>
      <c r="J328" t="str">
        <f>tbl_Kalender[[#This Row],[Quartal]]&amp;". Quartal"</f>
        <v>4. Quartal</v>
      </c>
      <c r="K328">
        <f>_xlfn.ISOWEEKNUM(tbl_Kalender[[#This Row],[Datum]])</f>
        <v>47</v>
      </c>
    </row>
    <row r="329" spans="1:11" x14ac:dyDescent="0.25">
      <c r="A329" s="1">
        <v>45619</v>
      </c>
      <c r="B329">
        <f>YEAR(tbl_Kalender[[#This Row],[Datum]])</f>
        <v>2024</v>
      </c>
      <c r="C329">
        <f>DAY(tbl_Kalender[[#This Row],[Datum]])</f>
        <v>23</v>
      </c>
      <c r="D329" t="str">
        <f>TEXT(tbl_Kalender[[#This Row],[Datum]],"TTTT")</f>
        <v>Samstag</v>
      </c>
      <c r="E329">
        <f>WEEKDAY(tbl_Kalender[[#This Row],[Datum]],2)</f>
        <v>6</v>
      </c>
      <c r="F329">
        <f>MONTH(tbl_Kalender[[#This Row],[Datum]])</f>
        <v>11</v>
      </c>
      <c r="G329" t="str">
        <f>TEXT(tbl_Kalender[[#This Row],[Datum]],"MMMM")</f>
        <v>November</v>
      </c>
      <c r="H329">
        <f>ROUNDUP(tbl_Kalender[[#This Row],[Monat]]/3,0)</f>
        <v>4</v>
      </c>
      <c r="I329" t="str">
        <f>"Q "&amp;tbl_Kalender[[#This Row],[Quartal]]</f>
        <v>Q 4</v>
      </c>
      <c r="J329" t="str">
        <f>tbl_Kalender[[#This Row],[Quartal]]&amp;". Quartal"</f>
        <v>4. Quartal</v>
      </c>
      <c r="K329">
        <f>_xlfn.ISOWEEKNUM(tbl_Kalender[[#This Row],[Datum]])</f>
        <v>47</v>
      </c>
    </row>
    <row r="330" spans="1:11" x14ac:dyDescent="0.25">
      <c r="A330" s="1">
        <v>45620</v>
      </c>
      <c r="B330">
        <f>YEAR(tbl_Kalender[[#This Row],[Datum]])</f>
        <v>2024</v>
      </c>
      <c r="C330">
        <f>DAY(tbl_Kalender[[#This Row],[Datum]])</f>
        <v>24</v>
      </c>
      <c r="D330" t="str">
        <f>TEXT(tbl_Kalender[[#This Row],[Datum]],"TTTT")</f>
        <v>Sonntag</v>
      </c>
      <c r="E330">
        <f>WEEKDAY(tbl_Kalender[[#This Row],[Datum]],2)</f>
        <v>7</v>
      </c>
      <c r="F330">
        <f>MONTH(tbl_Kalender[[#This Row],[Datum]])</f>
        <v>11</v>
      </c>
      <c r="G330" t="str">
        <f>TEXT(tbl_Kalender[[#This Row],[Datum]],"MMMM")</f>
        <v>November</v>
      </c>
      <c r="H330">
        <f>ROUNDUP(tbl_Kalender[[#This Row],[Monat]]/3,0)</f>
        <v>4</v>
      </c>
      <c r="I330" t="str">
        <f>"Q "&amp;tbl_Kalender[[#This Row],[Quartal]]</f>
        <v>Q 4</v>
      </c>
      <c r="J330" t="str">
        <f>tbl_Kalender[[#This Row],[Quartal]]&amp;". Quartal"</f>
        <v>4. Quartal</v>
      </c>
      <c r="K330">
        <f>_xlfn.ISOWEEKNUM(tbl_Kalender[[#This Row],[Datum]])</f>
        <v>47</v>
      </c>
    </row>
    <row r="331" spans="1:11" x14ac:dyDescent="0.25">
      <c r="A331" s="1">
        <v>45621</v>
      </c>
      <c r="B331">
        <f>YEAR(tbl_Kalender[[#This Row],[Datum]])</f>
        <v>2024</v>
      </c>
      <c r="C331">
        <f>DAY(tbl_Kalender[[#This Row],[Datum]])</f>
        <v>25</v>
      </c>
      <c r="D331" t="str">
        <f>TEXT(tbl_Kalender[[#This Row],[Datum]],"TTTT")</f>
        <v>Montag</v>
      </c>
      <c r="E331">
        <f>WEEKDAY(tbl_Kalender[[#This Row],[Datum]],2)</f>
        <v>1</v>
      </c>
      <c r="F331">
        <f>MONTH(tbl_Kalender[[#This Row],[Datum]])</f>
        <v>11</v>
      </c>
      <c r="G331" t="str">
        <f>TEXT(tbl_Kalender[[#This Row],[Datum]],"MMMM")</f>
        <v>November</v>
      </c>
      <c r="H331">
        <f>ROUNDUP(tbl_Kalender[[#This Row],[Monat]]/3,0)</f>
        <v>4</v>
      </c>
      <c r="I331" t="str">
        <f>"Q "&amp;tbl_Kalender[[#This Row],[Quartal]]</f>
        <v>Q 4</v>
      </c>
      <c r="J331" t="str">
        <f>tbl_Kalender[[#This Row],[Quartal]]&amp;". Quartal"</f>
        <v>4. Quartal</v>
      </c>
      <c r="K331">
        <f>_xlfn.ISOWEEKNUM(tbl_Kalender[[#This Row],[Datum]])</f>
        <v>48</v>
      </c>
    </row>
    <row r="332" spans="1:11" x14ac:dyDescent="0.25">
      <c r="A332" s="1">
        <v>45622</v>
      </c>
      <c r="B332">
        <f>YEAR(tbl_Kalender[[#This Row],[Datum]])</f>
        <v>2024</v>
      </c>
      <c r="C332">
        <f>DAY(tbl_Kalender[[#This Row],[Datum]])</f>
        <v>26</v>
      </c>
      <c r="D332" t="str">
        <f>TEXT(tbl_Kalender[[#This Row],[Datum]],"TTTT")</f>
        <v>Dienstag</v>
      </c>
      <c r="E332">
        <f>WEEKDAY(tbl_Kalender[[#This Row],[Datum]],2)</f>
        <v>2</v>
      </c>
      <c r="F332">
        <f>MONTH(tbl_Kalender[[#This Row],[Datum]])</f>
        <v>11</v>
      </c>
      <c r="G332" t="str">
        <f>TEXT(tbl_Kalender[[#This Row],[Datum]],"MMMM")</f>
        <v>November</v>
      </c>
      <c r="H332">
        <f>ROUNDUP(tbl_Kalender[[#This Row],[Monat]]/3,0)</f>
        <v>4</v>
      </c>
      <c r="I332" t="str">
        <f>"Q "&amp;tbl_Kalender[[#This Row],[Quartal]]</f>
        <v>Q 4</v>
      </c>
      <c r="J332" t="str">
        <f>tbl_Kalender[[#This Row],[Quartal]]&amp;". Quartal"</f>
        <v>4. Quartal</v>
      </c>
      <c r="K332">
        <f>_xlfn.ISOWEEKNUM(tbl_Kalender[[#This Row],[Datum]])</f>
        <v>48</v>
      </c>
    </row>
    <row r="333" spans="1:11" x14ac:dyDescent="0.25">
      <c r="A333" s="1">
        <v>45623</v>
      </c>
      <c r="B333">
        <f>YEAR(tbl_Kalender[[#This Row],[Datum]])</f>
        <v>2024</v>
      </c>
      <c r="C333">
        <f>DAY(tbl_Kalender[[#This Row],[Datum]])</f>
        <v>27</v>
      </c>
      <c r="D333" t="str">
        <f>TEXT(tbl_Kalender[[#This Row],[Datum]],"TTTT")</f>
        <v>Mittwoch</v>
      </c>
      <c r="E333">
        <f>WEEKDAY(tbl_Kalender[[#This Row],[Datum]],2)</f>
        <v>3</v>
      </c>
      <c r="F333">
        <f>MONTH(tbl_Kalender[[#This Row],[Datum]])</f>
        <v>11</v>
      </c>
      <c r="G333" t="str">
        <f>TEXT(tbl_Kalender[[#This Row],[Datum]],"MMMM")</f>
        <v>November</v>
      </c>
      <c r="H333">
        <f>ROUNDUP(tbl_Kalender[[#This Row],[Monat]]/3,0)</f>
        <v>4</v>
      </c>
      <c r="I333" t="str">
        <f>"Q "&amp;tbl_Kalender[[#This Row],[Quartal]]</f>
        <v>Q 4</v>
      </c>
      <c r="J333" t="str">
        <f>tbl_Kalender[[#This Row],[Quartal]]&amp;". Quartal"</f>
        <v>4. Quartal</v>
      </c>
      <c r="K333">
        <f>_xlfn.ISOWEEKNUM(tbl_Kalender[[#This Row],[Datum]])</f>
        <v>48</v>
      </c>
    </row>
    <row r="334" spans="1:11" x14ac:dyDescent="0.25">
      <c r="A334" s="1">
        <v>45624</v>
      </c>
      <c r="B334">
        <f>YEAR(tbl_Kalender[[#This Row],[Datum]])</f>
        <v>2024</v>
      </c>
      <c r="C334">
        <f>DAY(tbl_Kalender[[#This Row],[Datum]])</f>
        <v>28</v>
      </c>
      <c r="D334" t="str">
        <f>TEXT(tbl_Kalender[[#This Row],[Datum]],"TTTT")</f>
        <v>Donnerstag</v>
      </c>
      <c r="E334">
        <f>WEEKDAY(tbl_Kalender[[#This Row],[Datum]],2)</f>
        <v>4</v>
      </c>
      <c r="F334">
        <f>MONTH(tbl_Kalender[[#This Row],[Datum]])</f>
        <v>11</v>
      </c>
      <c r="G334" t="str">
        <f>TEXT(tbl_Kalender[[#This Row],[Datum]],"MMMM")</f>
        <v>November</v>
      </c>
      <c r="H334">
        <f>ROUNDUP(tbl_Kalender[[#This Row],[Monat]]/3,0)</f>
        <v>4</v>
      </c>
      <c r="I334" t="str">
        <f>"Q "&amp;tbl_Kalender[[#This Row],[Quartal]]</f>
        <v>Q 4</v>
      </c>
      <c r="J334" t="str">
        <f>tbl_Kalender[[#This Row],[Quartal]]&amp;". Quartal"</f>
        <v>4. Quartal</v>
      </c>
      <c r="K334">
        <f>_xlfn.ISOWEEKNUM(tbl_Kalender[[#This Row],[Datum]])</f>
        <v>48</v>
      </c>
    </row>
    <row r="335" spans="1:11" x14ac:dyDescent="0.25">
      <c r="A335" s="1">
        <v>45625</v>
      </c>
      <c r="B335">
        <f>YEAR(tbl_Kalender[[#This Row],[Datum]])</f>
        <v>2024</v>
      </c>
      <c r="C335">
        <f>DAY(tbl_Kalender[[#This Row],[Datum]])</f>
        <v>29</v>
      </c>
      <c r="D335" t="str">
        <f>TEXT(tbl_Kalender[[#This Row],[Datum]],"TTTT")</f>
        <v>Freitag</v>
      </c>
      <c r="E335">
        <f>WEEKDAY(tbl_Kalender[[#This Row],[Datum]],2)</f>
        <v>5</v>
      </c>
      <c r="F335">
        <f>MONTH(tbl_Kalender[[#This Row],[Datum]])</f>
        <v>11</v>
      </c>
      <c r="G335" t="str">
        <f>TEXT(tbl_Kalender[[#This Row],[Datum]],"MMMM")</f>
        <v>November</v>
      </c>
      <c r="H335">
        <f>ROUNDUP(tbl_Kalender[[#This Row],[Monat]]/3,0)</f>
        <v>4</v>
      </c>
      <c r="I335" t="str">
        <f>"Q "&amp;tbl_Kalender[[#This Row],[Quartal]]</f>
        <v>Q 4</v>
      </c>
      <c r="J335" t="str">
        <f>tbl_Kalender[[#This Row],[Quartal]]&amp;". Quartal"</f>
        <v>4. Quartal</v>
      </c>
      <c r="K335">
        <f>_xlfn.ISOWEEKNUM(tbl_Kalender[[#This Row],[Datum]])</f>
        <v>48</v>
      </c>
    </row>
    <row r="336" spans="1:11" x14ac:dyDescent="0.25">
      <c r="A336" s="1">
        <v>45626</v>
      </c>
      <c r="B336">
        <f>YEAR(tbl_Kalender[[#This Row],[Datum]])</f>
        <v>2024</v>
      </c>
      <c r="C336">
        <f>DAY(tbl_Kalender[[#This Row],[Datum]])</f>
        <v>30</v>
      </c>
      <c r="D336" t="str">
        <f>TEXT(tbl_Kalender[[#This Row],[Datum]],"TTTT")</f>
        <v>Samstag</v>
      </c>
      <c r="E336">
        <f>WEEKDAY(tbl_Kalender[[#This Row],[Datum]],2)</f>
        <v>6</v>
      </c>
      <c r="F336">
        <f>MONTH(tbl_Kalender[[#This Row],[Datum]])</f>
        <v>11</v>
      </c>
      <c r="G336" t="str">
        <f>TEXT(tbl_Kalender[[#This Row],[Datum]],"MMMM")</f>
        <v>November</v>
      </c>
      <c r="H336">
        <f>ROUNDUP(tbl_Kalender[[#This Row],[Monat]]/3,0)</f>
        <v>4</v>
      </c>
      <c r="I336" t="str">
        <f>"Q "&amp;tbl_Kalender[[#This Row],[Quartal]]</f>
        <v>Q 4</v>
      </c>
      <c r="J336" t="str">
        <f>tbl_Kalender[[#This Row],[Quartal]]&amp;". Quartal"</f>
        <v>4. Quartal</v>
      </c>
      <c r="K336">
        <f>_xlfn.ISOWEEKNUM(tbl_Kalender[[#This Row],[Datum]])</f>
        <v>48</v>
      </c>
    </row>
    <row r="337" spans="1:11" x14ac:dyDescent="0.25">
      <c r="A337" s="1">
        <v>45627</v>
      </c>
      <c r="B337">
        <f>YEAR(tbl_Kalender[[#This Row],[Datum]])</f>
        <v>2024</v>
      </c>
      <c r="C337">
        <f>DAY(tbl_Kalender[[#This Row],[Datum]])</f>
        <v>1</v>
      </c>
      <c r="D337" t="str">
        <f>TEXT(tbl_Kalender[[#This Row],[Datum]],"TTTT")</f>
        <v>Sonntag</v>
      </c>
      <c r="E337">
        <f>WEEKDAY(tbl_Kalender[[#This Row],[Datum]],2)</f>
        <v>7</v>
      </c>
      <c r="F337">
        <f>MONTH(tbl_Kalender[[#This Row],[Datum]])</f>
        <v>12</v>
      </c>
      <c r="G337" t="str">
        <f>TEXT(tbl_Kalender[[#This Row],[Datum]],"MMMM")</f>
        <v>Dezember</v>
      </c>
      <c r="H337">
        <f>ROUNDUP(tbl_Kalender[[#This Row],[Monat]]/3,0)</f>
        <v>4</v>
      </c>
      <c r="I337" t="str">
        <f>"Q "&amp;tbl_Kalender[[#This Row],[Quartal]]</f>
        <v>Q 4</v>
      </c>
      <c r="J337" t="str">
        <f>tbl_Kalender[[#This Row],[Quartal]]&amp;". Quartal"</f>
        <v>4. Quartal</v>
      </c>
      <c r="K337">
        <f>_xlfn.ISOWEEKNUM(tbl_Kalender[[#This Row],[Datum]])</f>
        <v>48</v>
      </c>
    </row>
    <row r="338" spans="1:11" x14ac:dyDescent="0.25">
      <c r="A338" s="1">
        <v>45628</v>
      </c>
      <c r="B338">
        <f>YEAR(tbl_Kalender[[#This Row],[Datum]])</f>
        <v>2024</v>
      </c>
      <c r="C338">
        <f>DAY(tbl_Kalender[[#This Row],[Datum]])</f>
        <v>2</v>
      </c>
      <c r="D338" t="str">
        <f>TEXT(tbl_Kalender[[#This Row],[Datum]],"TTTT")</f>
        <v>Montag</v>
      </c>
      <c r="E338">
        <f>WEEKDAY(tbl_Kalender[[#This Row],[Datum]],2)</f>
        <v>1</v>
      </c>
      <c r="F338">
        <f>MONTH(tbl_Kalender[[#This Row],[Datum]])</f>
        <v>12</v>
      </c>
      <c r="G338" t="str">
        <f>TEXT(tbl_Kalender[[#This Row],[Datum]],"MMMM")</f>
        <v>Dezember</v>
      </c>
      <c r="H338">
        <f>ROUNDUP(tbl_Kalender[[#This Row],[Monat]]/3,0)</f>
        <v>4</v>
      </c>
      <c r="I338" t="str">
        <f>"Q "&amp;tbl_Kalender[[#This Row],[Quartal]]</f>
        <v>Q 4</v>
      </c>
      <c r="J338" t="str">
        <f>tbl_Kalender[[#This Row],[Quartal]]&amp;". Quartal"</f>
        <v>4. Quartal</v>
      </c>
      <c r="K338">
        <f>_xlfn.ISOWEEKNUM(tbl_Kalender[[#This Row],[Datum]])</f>
        <v>49</v>
      </c>
    </row>
    <row r="339" spans="1:11" x14ac:dyDescent="0.25">
      <c r="A339" s="1">
        <v>45629</v>
      </c>
      <c r="B339">
        <f>YEAR(tbl_Kalender[[#This Row],[Datum]])</f>
        <v>2024</v>
      </c>
      <c r="C339">
        <f>DAY(tbl_Kalender[[#This Row],[Datum]])</f>
        <v>3</v>
      </c>
      <c r="D339" t="str">
        <f>TEXT(tbl_Kalender[[#This Row],[Datum]],"TTTT")</f>
        <v>Dienstag</v>
      </c>
      <c r="E339">
        <f>WEEKDAY(tbl_Kalender[[#This Row],[Datum]],2)</f>
        <v>2</v>
      </c>
      <c r="F339">
        <f>MONTH(tbl_Kalender[[#This Row],[Datum]])</f>
        <v>12</v>
      </c>
      <c r="G339" t="str">
        <f>TEXT(tbl_Kalender[[#This Row],[Datum]],"MMMM")</f>
        <v>Dezember</v>
      </c>
      <c r="H339">
        <f>ROUNDUP(tbl_Kalender[[#This Row],[Monat]]/3,0)</f>
        <v>4</v>
      </c>
      <c r="I339" t="str">
        <f>"Q "&amp;tbl_Kalender[[#This Row],[Quartal]]</f>
        <v>Q 4</v>
      </c>
      <c r="J339" t="str">
        <f>tbl_Kalender[[#This Row],[Quartal]]&amp;". Quartal"</f>
        <v>4. Quartal</v>
      </c>
      <c r="K339">
        <f>_xlfn.ISOWEEKNUM(tbl_Kalender[[#This Row],[Datum]])</f>
        <v>49</v>
      </c>
    </row>
    <row r="340" spans="1:11" x14ac:dyDescent="0.25">
      <c r="A340" s="1">
        <v>45630</v>
      </c>
      <c r="B340">
        <f>YEAR(tbl_Kalender[[#This Row],[Datum]])</f>
        <v>2024</v>
      </c>
      <c r="C340">
        <f>DAY(tbl_Kalender[[#This Row],[Datum]])</f>
        <v>4</v>
      </c>
      <c r="D340" t="str">
        <f>TEXT(tbl_Kalender[[#This Row],[Datum]],"TTTT")</f>
        <v>Mittwoch</v>
      </c>
      <c r="E340">
        <f>WEEKDAY(tbl_Kalender[[#This Row],[Datum]],2)</f>
        <v>3</v>
      </c>
      <c r="F340">
        <f>MONTH(tbl_Kalender[[#This Row],[Datum]])</f>
        <v>12</v>
      </c>
      <c r="G340" t="str">
        <f>TEXT(tbl_Kalender[[#This Row],[Datum]],"MMMM")</f>
        <v>Dezember</v>
      </c>
      <c r="H340">
        <f>ROUNDUP(tbl_Kalender[[#This Row],[Monat]]/3,0)</f>
        <v>4</v>
      </c>
      <c r="I340" t="str">
        <f>"Q "&amp;tbl_Kalender[[#This Row],[Quartal]]</f>
        <v>Q 4</v>
      </c>
      <c r="J340" t="str">
        <f>tbl_Kalender[[#This Row],[Quartal]]&amp;". Quartal"</f>
        <v>4. Quartal</v>
      </c>
      <c r="K340">
        <f>_xlfn.ISOWEEKNUM(tbl_Kalender[[#This Row],[Datum]])</f>
        <v>49</v>
      </c>
    </row>
    <row r="341" spans="1:11" x14ac:dyDescent="0.25">
      <c r="A341" s="1">
        <v>45631</v>
      </c>
      <c r="B341">
        <f>YEAR(tbl_Kalender[[#This Row],[Datum]])</f>
        <v>2024</v>
      </c>
      <c r="C341">
        <f>DAY(tbl_Kalender[[#This Row],[Datum]])</f>
        <v>5</v>
      </c>
      <c r="D341" t="str">
        <f>TEXT(tbl_Kalender[[#This Row],[Datum]],"TTTT")</f>
        <v>Donnerstag</v>
      </c>
      <c r="E341">
        <f>WEEKDAY(tbl_Kalender[[#This Row],[Datum]],2)</f>
        <v>4</v>
      </c>
      <c r="F341">
        <f>MONTH(tbl_Kalender[[#This Row],[Datum]])</f>
        <v>12</v>
      </c>
      <c r="G341" t="str">
        <f>TEXT(tbl_Kalender[[#This Row],[Datum]],"MMMM")</f>
        <v>Dezember</v>
      </c>
      <c r="H341">
        <f>ROUNDUP(tbl_Kalender[[#This Row],[Monat]]/3,0)</f>
        <v>4</v>
      </c>
      <c r="I341" t="str">
        <f>"Q "&amp;tbl_Kalender[[#This Row],[Quartal]]</f>
        <v>Q 4</v>
      </c>
      <c r="J341" t="str">
        <f>tbl_Kalender[[#This Row],[Quartal]]&amp;". Quartal"</f>
        <v>4. Quartal</v>
      </c>
      <c r="K341">
        <f>_xlfn.ISOWEEKNUM(tbl_Kalender[[#This Row],[Datum]])</f>
        <v>49</v>
      </c>
    </row>
    <row r="342" spans="1:11" x14ac:dyDescent="0.25">
      <c r="A342" s="1">
        <v>45632</v>
      </c>
      <c r="B342">
        <f>YEAR(tbl_Kalender[[#This Row],[Datum]])</f>
        <v>2024</v>
      </c>
      <c r="C342">
        <f>DAY(tbl_Kalender[[#This Row],[Datum]])</f>
        <v>6</v>
      </c>
      <c r="D342" t="str">
        <f>TEXT(tbl_Kalender[[#This Row],[Datum]],"TTTT")</f>
        <v>Freitag</v>
      </c>
      <c r="E342">
        <f>WEEKDAY(tbl_Kalender[[#This Row],[Datum]],2)</f>
        <v>5</v>
      </c>
      <c r="F342">
        <f>MONTH(tbl_Kalender[[#This Row],[Datum]])</f>
        <v>12</v>
      </c>
      <c r="G342" t="str">
        <f>TEXT(tbl_Kalender[[#This Row],[Datum]],"MMMM")</f>
        <v>Dezember</v>
      </c>
      <c r="H342">
        <f>ROUNDUP(tbl_Kalender[[#This Row],[Monat]]/3,0)</f>
        <v>4</v>
      </c>
      <c r="I342" t="str">
        <f>"Q "&amp;tbl_Kalender[[#This Row],[Quartal]]</f>
        <v>Q 4</v>
      </c>
      <c r="J342" t="str">
        <f>tbl_Kalender[[#This Row],[Quartal]]&amp;". Quartal"</f>
        <v>4. Quartal</v>
      </c>
      <c r="K342">
        <f>_xlfn.ISOWEEKNUM(tbl_Kalender[[#This Row],[Datum]])</f>
        <v>49</v>
      </c>
    </row>
    <row r="343" spans="1:11" x14ac:dyDescent="0.25">
      <c r="A343" s="1">
        <v>45633</v>
      </c>
      <c r="B343">
        <f>YEAR(tbl_Kalender[[#This Row],[Datum]])</f>
        <v>2024</v>
      </c>
      <c r="C343">
        <f>DAY(tbl_Kalender[[#This Row],[Datum]])</f>
        <v>7</v>
      </c>
      <c r="D343" t="str">
        <f>TEXT(tbl_Kalender[[#This Row],[Datum]],"TTTT")</f>
        <v>Samstag</v>
      </c>
      <c r="E343">
        <f>WEEKDAY(tbl_Kalender[[#This Row],[Datum]],2)</f>
        <v>6</v>
      </c>
      <c r="F343">
        <f>MONTH(tbl_Kalender[[#This Row],[Datum]])</f>
        <v>12</v>
      </c>
      <c r="G343" t="str">
        <f>TEXT(tbl_Kalender[[#This Row],[Datum]],"MMMM")</f>
        <v>Dezember</v>
      </c>
      <c r="H343">
        <f>ROUNDUP(tbl_Kalender[[#This Row],[Monat]]/3,0)</f>
        <v>4</v>
      </c>
      <c r="I343" t="str">
        <f>"Q "&amp;tbl_Kalender[[#This Row],[Quartal]]</f>
        <v>Q 4</v>
      </c>
      <c r="J343" t="str">
        <f>tbl_Kalender[[#This Row],[Quartal]]&amp;". Quartal"</f>
        <v>4. Quartal</v>
      </c>
      <c r="K343">
        <f>_xlfn.ISOWEEKNUM(tbl_Kalender[[#This Row],[Datum]])</f>
        <v>49</v>
      </c>
    </row>
    <row r="344" spans="1:11" x14ac:dyDescent="0.25">
      <c r="A344" s="1">
        <v>45634</v>
      </c>
      <c r="B344">
        <f>YEAR(tbl_Kalender[[#This Row],[Datum]])</f>
        <v>2024</v>
      </c>
      <c r="C344">
        <f>DAY(tbl_Kalender[[#This Row],[Datum]])</f>
        <v>8</v>
      </c>
      <c r="D344" t="str">
        <f>TEXT(tbl_Kalender[[#This Row],[Datum]],"TTTT")</f>
        <v>Sonntag</v>
      </c>
      <c r="E344">
        <f>WEEKDAY(tbl_Kalender[[#This Row],[Datum]],2)</f>
        <v>7</v>
      </c>
      <c r="F344">
        <f>MONTH(tbl_Kalender[[#This Row],[Datum]])</f>
        <v>12</v>
      </c>
      <c r="G344" t="str">
        <f>TEXT(tbl_Kalender[[#This Row],[Datum]],"MMMM")</f>
        <v>Dezember</v>
      </c>
      <c r="H344">
        <f>ROUNDUP(tbl_Kalender[[#This Row],[Monat]]/3,0)</f>
        <v>4</v>
      </c>
      <c r="I344" t="str">
        <f>"Q "&amp;tbl_Kalender[[#This Row],[Quartal]]</f>
        <v>Q 4</v>
      </c>
      <c r="J344" t="str">
        <f>tbl_Kalender[[#This Row],[Quartal]]&amp;". Quartal"</f>
        <v>4. Quartal</v>
      </c>
      <c r="K344">
        <f>_xlfn.ISOWEEKNUM(tbl_Kalender[[#This Row],[Datum]])</f>
        <v>49</v>
      </c>
    </row>
    <row r="345" spans="1:11" x14ac:dyDescent="0.25">
      <c r="A345" s="1">
        <v>45635</v>
      </c>
      <c r="B345">
        <f>YEAR(tbl_Kalender[[#This Row],[Datum]])</f>
        <v>2024</v>
      </c>
      <c r="C345">
        <f>DAY(tbl_Kalender[[#This Row],[Datum]])</f>
        <v>9</v>
      </c>
      <c r="D345" t="str">
        <f>TEXT(tbl_Kalender[[#This Row],[Datum]],"TTTT")</f>
        <v>Montag</v>
      </c>
      <c r="E345">
        <f>WEEKDAY(tbl_Kalender[[#This Row],[Datum]],2)</f>
        <v>1</v>
      </c>
      <c r="F345">
        <f>MONTH(tbl_Kalender[[#This Row],[Datum]])</f>
        <v>12</v>
      </c>
      <c r="G345" t="str">
        <f>TEXT(tbl_Kalender[[#This Row],[Datum]],"MMMM")</f>
        <v>Dezember</v>
      </c>
      <c r="H345">
        <f>ROUNDUP(tbl_Kalender[[#This Row],[Monat]]/3,0)</f>
        <v>4</v>
      </c>
      <c r="I345" t="str">
        <f>"Q "&amp;tbl_Kalender[[#This Row],[Quartal]]</f>
        <v>Q 4</v>
      </c>
      <c r="J345" t="str">
        <f>tbl_Kalender[[#This Row],[Quartal]]&amp;". Quartal"</f>
        <v>4. Quartal</v>
      </c>
      <c r="K345">
        <f>_xlfn.ISOWEEKNUM(tbl_Kalender[[#This Row],[Datum]])</f>
        <v>50</v>
      </c>
    </row>
    <row r="346" spans="1:11" x14ac:dyDescent="0.25">
      <c r="A346" s="1">
        <v>45636</v>
      </c>
      <c r="B346">
        <f>YEAR(tbl_Kalender[[#This Row],[Datum]])</f>
        <v>2024</v>
      </c>
      <c r="C346">
        <f>DAY(tbl_Kalender[[#This Row],[Datum]])</f>
        <v>10</v>
      </c>
      <c r="D346" t="str">
        <f>TEXT(tbl_Kalender[[#This Row],[Datum]],"TTTT")</f>
        <v>Dienstag</v>
      </c>
      <c r="E346">
        <f>WEEKDAY(tbl_Kalender[[#This Row],[Datum]],2)</f>
        <v>2</v>
      </c>
      <c r="F346">
        <f>MONTH(tbl_Kalender[[#This Row],[Datum]])</f>
        <v>12</v>
      </c>
      <c r="G346" t="str">
        <f>TEXT(tbl_Kalender[[#This Row],[Datum]],"MMMM")</f>
        <v>Dezember</v>
      </c>
      <c r="H346">
        <f>ROUNDUP(tbl_Kalender[[#This Row],[Monat]]/3,0)</f>
        <v>4</v>
      </c>
      <c r="I346" t="str">
        <f>"Q "&amp;tbl_Kalender[[#This Row],[Quartal]]</f>
        <v>Q 4</v>
      </c>
      <c r="J346" t="str">
        <f>tbl_Kalender[[#This Row],[Quartal]]&amp;". Quartal"</f>
        <v>4. Quartal</v>
      </c>
      <c r="K346">
        <f>_xlfn.ISOWEEKNUM(tbl_Kalender[[#This Row],[Datum]])</f>
        <v>50</v>
      </c>
    </row>
    <row r="347" spans="1:11" x14ac:dyDescent="0.25">
      <c r="A347" s="1">
        <v>45637</v>
      </c>
      <c r="B347">
        <f>YEAR(tbl_Kalender[[#This Row],[Datum]])</f>
        <v>2024</v>
      </c>
      <c r="C347">
        <f>DAY(tbl_Kalender[[#This Row],[Datum]])</f>
        <v>11</v>
      </c>
      <c r="D347" t="str">
        <f>TEXT(tbl_Kalender[[#This Row],[Datum]],"TTTT")</f>
        <v>Mittwoch</v>
      </c>
      <c r="E347">
        <f>WEEKDAY(tbl_Kalender[[#This Row],[Datum]],2)</f>
        <v>3</v>
      </c>
      <c r="F347">
        <f>MONTH(tbl_Kalender[[#This Row],[Datum]])</f>
        <v>12</v>
      </c>
      <c r="G347" t="str">
        <f>TEXT(tbl_Kalender[[#This Row],[Datum]],"MMMM")</f>
        <v>Dezember</v>
      </c>
      <c r="H347">
        <f>ROUNDUP(tbl_Kalender[[#This Row],[Monat]]/3,0)</f>
        <v>4</v>
      </c>
      <c r="I347" t="str">
        <f>"Q "&amp;tbl_Kalender[[#This Row],[Quartal]]</f>
        <v>Q 4</v>
      </c>
      <c r="J347" t="str">
        <f>tbl_Kalender[[#This Row],[Quartal]]&amp;". Quartal"</f>
        <v>4. Quartal</v>
      </c>
      <c r="K347">
        <f>_xlfn.ISOWEEKNUM(tbl_Kalender[[#This Row],[Datum]])</f>
        <v>50</v>
      </c>
    </row>
    <row r="348" spans="1:11" x14ac:dyDescent="0.25">
      <c r="A348" s="1">
        <v>45638</v>
      </c>
      <c r="B348">
        <f>YEAR(tbl_Kalender[[#This Row],[Datum]])</f>
        <v>2024</v>
      </c>
      <c r="C348">
        <f>DAY(tbl_Kalender[[#This Row],[Datum]])</f>
        <v>12</v>
      </c>
      <c r="D348" t="str">
        <f>TEXT(tbl_Kalender[[#This Row],[Datum]],"TTTT")</f>
        <v>Donnerstag</v>
      </c>
      <c r="E348">
        <f>WEEKDAY(tbl_Kalender[[#This Row],[Datum]],2)</f>
        <v>4</v>
      </c>
      <c r="F348">
        <f>MONTH(tbl_Kalender[[#This Row],[Datum]])</f>
        <v>12</v>
      </c>
      <c r="G348" t="str">
        <f>TEXT(tbl_Kalender[[#This Row],[Datum]],"MMMM")</f>
        <v>Dezember</v>
      </c>
      <c r="H348">
        <f>ROUNDUP(tbl_Kalender[[#This Row],[Monat]]/3,0)</f>
        <v>4</v>
      </c>
      <c r="I348" t="str">
        <f>"Q "&amp;tbl_Kalender[[#This Row],[Quartal]]</f>
        <v>Q 4</v>
      </c>
      <c r="J348" t="str">
        <f>tbl_Kalender[[#This Row],[Quartal]]&amp;". Quartal"</f>
        <v>4. Quartal</v>
      </c>
      <c r="K348">
        <f>_xlfn.ISOWEEKNUM(tbl_Kalender[[#This Row],[Datum]])</f>
        <v>50</v>
      </c>
    </row>
    <row r="349" spans="1:11" x14ac:dyDescent="0.25">
      <c r="A349" s="1">
        <v>45639</v>
      </c>
      <c r="B349">
        <f>YEAR(tbl_Kalender[[#This Row],[Datum]])</f>
        <v>2024</v>
      </c>
      <c r="C349">
        <f>DAY(tbl_Kalender[[#This Row],[Datum]])</f>
        <v>13</v>
      </c>
      <c r="D349" t="str">
        <f>TEXT(tbl_Kalender[[#This Row],[Datum]],"TTTT")</f>
        <v>Freitag</v>
      </c>
      <c r="E349">
        <f>WEEKDAY(tbl_Kalender[[#This Row],[Datum]],2)</f>
        <v>5</v>
      </c>
      <c r="F349">
        <f>MONTH(tbl_Kalender[[#This Row],[Datum]])</f>
        <v>12</v>
      </c>
      <c r="G349" t="str">
        <f>TEXT(tbl_Kalender[[#This Row],[Datum]],"MMMM")</f>
        <v>Dezember</v>
      </c>
      <c r="H349">
        <f>ROUNDUP(tbl_Kalender[[#This Row],[Monat]]/3,0)</f>
        <v>4</v>
      </c>
      <c r="I349" t="str">
        <f>"Q "&amp;tbl_Kalender[[#This Row],[Quartal]]</f>
        <v>Q 4</v>
      </c>
      <c r="J349" t="str">
        <f>tbl_Kalender[[#This Row],[Quartal]]&amp;". Quartal"</f>
        <v>4. Quartal</v>
      </c>
      <c r="K349">
        <f>_xlfn.ISOWEEKNUM(tbl_Kalender[[#This Row],[Datum]])</f>
        <v>50</v>
      </c>
    </row>
    <row r="350" spans="1:11" x14ac:dyDescent="0.25">
      <c r="A350" s="1">
        <v>45640</v>
      </c>
      <c r="B350">
        <f>YEAR(tbl_Kalender[[#This Row],[Datum]])</f>
        <v>2024</v>
      </c>
      <c r="C350">
        <f>DAY(tbl_Kalender[[#This Row],[Datum]])</f>
        <v>14</v>
      </c>
      <c r="D350" t="str">
        <f>TEXT(tbl_Kalender[[#This Row],[Datum]],"TTTT")</f>
        <v>Samstag</v>
      </c>
      <c r="E350">
        <f>WEEKDAY(tbl_Kalender[[#This Row],[Datum]],2)</f>
        <v>6</v>
      </c>
      <c r="F350">
        <f>MONTH(tbl_Kalender[[#This Row],[Datum]])</f>
        <v>12</v>
      </c>
      <c r="G350" t="str">
        <f>TEXT(tbl_Kalender[[#This Row],[Datum]],"MMMM")</f>
        <v>Dezember</v>
      </c>
      <c r="H350">
        <f>ROUNDUP(tbl_Kalender[[#This Row],[Monat]]/3,0)</f>
        <v>4</v>
      </c>
      <c r="I350" t="str">
        <f>"Q "&amp;tbl_Kalender[[#This Row],[Quartal]]</f>
        <v>Q 4</v>
      </c>
      <c r="J350" t="str">
        <f>tbl_Kalender[[#This Row],[Quartal]]&amp;". Quartal"</f>
        <v>4. Quartal</v>
      </c>
      <c r="K350">
        <f>_xlfn.ISOWEEKNUM(tbl_Kalender[[#This Row],[Datum]])</f>
        <v>50</v>
      </c>
    </row>
    <row r="351" spans="1:11" x14ac:dyDescent="0.25">
      <c r="A351" s="1">
        <v>45641</v>
      </c>
      <c r="B351">
        <f>YEAR(tbl_Kalender[[#This Row],[Datum]])</f>
        <v>2024</v>
      </c>
      <c r="C351">
        <f>DAY(tbl_Kalender[[#This Row],[Datum]])</f>
        <v>15</v>
      </c>
      <c r="D351" t="str">
        <f>TEXT(tbl_Kalender[[#This Row],[Datum]],"TTTT")</f>
        <v>Sonntag</v>
      </c>
      <c r="E351">
        <f>WEEKDAY(tbl_Kalender[[#This Row],[Datum]],2)</f>
        <v>7</v>
      </c>
      <c r="F351">
        <f>MONTH(tbl_Kalender[[#This Row],[Datum]])</f>
        <v>12</v>
      </c>
      <c r="G351" t="str">
        <f>TEXT(tbl_Kalender[[#This Row],[Datum]],"MMMM")</f>
        <v>Dezember</v>
      </c>
      <c r="H351">
        <f>ROUNDUP(tbl_Kalender[[#This Row],[Monat]]/3,0)</f>
        <v>4</v>
      </c>
      <c r="I351" t="str">
        <f>"Q "&amp;tbl_Kalender[[#This Row],[Quartal]]</f>
        <v>Q 4</v>
      </c>
      <c r="J351" t="str">
        <f>tbl_Kalender[[#This Row],[Quartal]]&amp;". Quartal"</f>
        <v>4. Quartal</v>
      </c>
      <c r="K351">
        <f>_xlfn.ISOWEEKNUM(tbl_Kalender[[#This Row],[Datum]])</f>
        <v>50</v>
      </c>
    </row>
    <row r="352" spans="1:11" x14ac:dyDescent="0.25">
      <c r="A352" s="1">
        <v>45642</v>
      </c>
      <c r="B352">
        <f>YEAR(tbl_Kalender[[#This Row],[Datum]])</f>
        <v>2024</v>
      </c>
      <c r="C352">
        <f>DAY(tbl_Kalender[[#This Row],[Datum]])</f>
        <v>16</v>
      </c>
      <c r="D352" t="str">
        <f>TEXT(tbl_Kalender[[#This Row],[Datum]],"TTTT")</f>
        <v>Montag</v>
      </c>
      <c r="E352">
        <f>WEEKDAY(tbl_Kalender[[#This Row],[Datum]],2)</f>
        <v>1</v>
      </c>
      <c r="F352">
        <f>MONTH(tbl_Kalender[[#This Row],[Datum]])</f>
        <v>12</v>
      </c>
      <c r="G352" t="str">
        <f>TEXT(tbl_Kalender[[#This Row],[Datum]],"MMMM")</f>
        <v>Dezember</v>
      </c>
      <c r="H352">
        <f>ROUNDUP(tbl_Kalender[[#This Row],[Monat]]/3,0)</f>
        <v>4</v>
      </c>
      <c r="I352" t="str">
        <f>"Q "&amp;tbl_Kalender[[#This Row],[Quartal]]</f>
        <v>Q 4</v>
      </c>
      <c r="J352" t="str">
        <f>tbl_Kalender[[#This Row],[Quartal]]&amp;". Quartal"</f>
        <v>4. Quartal</v>
      </c>
      <c r="K352">
        <f>_xlfn.ISOWEEKNUM(tbl_Kalender[[#This Row],[Datum]])</f>
        <v>51</v>
      </c>
    </row>
    <row r="353" spans="1:11" x14ac:dyDescent="0.25">
      <c r="A353" s="1">
        <v>45643</v>
      </c>
      <c r="B353">
        <f>YEAR(tbl_Kalender[[#This Row],[Datum]])</f>
        <v>2024</v>
      </c>
      <c r="C353">
        <f>DAY(tbl_Kalender[[#This Row],[Datum]])</f>
        <v>17</v>
      </c>
      <c r="D353" t="str">
        <f>TEXT(tbl_Kalender[[#This Row],[Datum]],"TTTT")</f>
        <v>Dienstag</v>
      </c>
      <c r="E353">
        <f>WEEKDAY(tbl_Kalender[[#This Row],[Datum]],2)</f>
        <v>2</v>
      </c>
      <c r="F353">
        <f>MONTH(tbl_Kalender[[#This Row],[Datum]])</f>
        <v>12</v>
      </c>
      <c r="G353" t="str">
        <f>TEXT(tbl_Kalender[[#This Row],[Datum]],"MMMM")</f>
        <v>Dezember</v>
      </c>
      <c r="H353">
        <f>ROUNDUP(tbl_Kalender[[#This Row],[Monat]]/3,0)</f>
        <v>4</v>
      </c>
      <c r="I353" t="str">
        <f>"Q "&amp;tbl_Kalender[[#This Row],[Quartal]]</f>
        <v>Q 4</v>
      </c>
      <c r="J353" t="str">
        <f>tbl_Kalender[[#This Row],[Quartal]]&amp;". Quartal"</f>
        <v>4. Quartal</v>
      </c>
      <c r="K353">
        <f>_xlfn.ISOWEEKNUM(tbl_Kalender[[#This Row],[Datum]])</f>
        <v>51</v>
      </c>
    </row>
    <row r="354" spans="1:11" x14ac:dyDescent="0.25">
      <c r="A354" s="1">
        <v>45644</v>
      </c>
      <c r="B354">
        <f>YEAR(tbl_Kalender[[#This Row],[Datum]])</f>
        <v>2024</v>
      </c>
      <c r="C354">
        <f>DAY(tbl_Kalender[[#This Row],[Datum]])</f>
        <v>18</v>
      </c>
      <c r="D354" t="str">
        <f>TEXT(tbl_Kalender[[#This Row],[Datum]],"TTTT")</f>
        <v>Mittwoch</v>
      </c>
      <c r="E354">
        <f>WEEKDAY(tbl_Kalender[[#This Row],[Datum]],2)</f>
        <v>3</v>
      </c>
      <c r="F354">
        <f>MONTH(tbl_Kalender[[#This Row],[Datum]])</f>
        <v>12</v>
      </c>
      <c r="G354" t="str">
        <f>TEXT(tbl_Kalender[[#This Row],[Datum]],"MMMM")</f>
        <v>Dezember</v>
      </c>
      <c r="H354">
        <f>ROUNDUP(tbl_Kalender[[#This Row],[Monat]]/3,0)</f>
        <v>4</v>
      </c>
      <c r="I354" t="str">
        <f>"Q "&amp;tbl_Kalender[[#This Row],[Quartal]]</f>
        <v>Q 4</v>
      </c>
      <c r="J354" t="str">
        <f>tbl_Kalender[[#This Row],[Quartal]]&amp;". Quartal"</f>
        <v>4. Quartal</v>
      </c>
      <c r="K354">
        <f>_xlfn.ISOWEEKNUM(tbl_Kalender[[#This Row],[Datum]])</f>
        <v>51</v>
      </c>
    </row>
    <row r="355" spans="1:11" x14ac:dyDescent="0.25">
      <c r="A355" s="1">
        <v>45645</v>
      </c>
      <c r="B355">
        <f>YEAR(tbl_Kalender[[#This Row],[Datum]])</f>
        <v>2024</v>
      </c>
      <c r="C355">
        <f>DAY(tbl_Kalender[[#This Row],[Datum]])</f>
        <v>19</v>
      </c>
      <c r="D355" t="str">
        <f>TEXT(tbl_Kalender[[#This Row],[Datum]],"TTTT")</f>
        <v>Donnerstag</v>
      </c>
      <c r="E355">
        <f>WEEKDAY(tbl_Kalender[[#This Row],[Datum]],2)</f>
        <v>4</v>
      </c>
      <c r="F355">
        <f>MONTH(tbl_Kalender[[#This Row],[Datum]])</f>
        <v>12</v>
      </c>
      <c r="G355" t="str">
        <f>TEXT(tbl_Kalender[[#This Row],[Datum]],"MMMM")</f>
        <v>Dezember</v>
      </c>
      <c r="H355">
        <f>ROUNDUP(tbl_Kalender[[#This Row],[Monat]]/3,0)</f>
        <v>4</v>
      </c>
      <c r="I355" t="str">
        <f>"Q "&amp;tbl_Kalender[[#This Row],[Quartal]]</f>
        <v>Q 4</v>
      </c>
      <c r="J355" t="str">
        <f>tbl_Kalender[[#This Row],[Quartal]]&amp;". Quartal"</f>
        <v>4. Quartal</v>
      </c>
      <c r="K355">
        <f>_xlfn.ISOWEEKNUM(tbl_Kalender[[#This Row],[Datum]])</f>
        <v>51</v>
      </c>
    </row>
    <row r="356" spans="1:11" x14ac:dyDescent="0.25">
      <c r="A356" s="1">
        <v>45646</v>
      </c>
      <c r="B356">
        <f>YEAR(tbl_Kalender[[#This Row],[Datum]])</f>
        <v>2024</v>
      </c>
      <c r="C356">
        <f>DAY(tbl_Kalender[[#This Row],[Datum]])</f>
        <v>20</v>
      </c>
      <c r="D356" t="str">
        <f>TEXT(tbl_Kalender[[#This Row],[Datum]],"TTTT")</f>
        <v>Freitag</v>
      </c>
      <c r="E356">
        <f>WEEKDAY(tbl_Kalender[[#This Row],[Datum]],2)</f>
        <v>5</v>
      </c>
      <c r="F356">
        <f>MONTH(tbl_Kalender[[#This Row],[Datum]])</f>
        <v>12</v>
      </c>
      <c r="G356" t="str">
        <f>TEXT(tbl_Kalender[[#This Row],[Datum]],"MMMM")</f>
        <v>Dezember</v>
      </c>
      <c r="H356">
        <f>ROUNDUP(tbl_Kalender[[#This Row],[Monat]]/3,0)</f>
        <v>4</v>
      </c>
      <c r="I356" t="str">
        <f>"Q "&amp;tbl_Kalender[[#This Row],[Quartal]]</f>
        <v>Q 4</v>
      </c>
      <c r="J356" t="str">
        <f>tbl_Kalender[[#This Row],[Quartal]]&amp;". Quartal"</f>
        <v>4. Quartal</v>
      </c>
      <c r="K356">
        <f>_xlfn.ISOWEEKNUM(tbl_Kalender[[#This Row],[Datum]])</f>
        <v>51</v>
      </c>
    </row>
    <row r="357" spans="1:11" x14ac:dyDescent="0.25">
      <c r="A357" s="1">
        <v>45647</v>
      </c>
      <c r="B357">
        <f>YEAR(tbl_Kalender[[#This Row],[Datum]])</f>
        <v>2024</v>
      </c>
      <c r="C357">
        <f>DAY(tbl_Kalender[[#This Row],[Datum]])</f>
        <v>21</v>
      </c>
      <c r="D357" t="str">
        <f>TEXT(tbl_Kalender[[#This Row],[Datum]],"TTTT")</f>
        <v>Samstag</v>
      </c>
      <c r="E357">
        <f>WEEKDAY(tbl_Kalender[[#This Row],[Datum]],2)</f>
        <v>6</v>
      </c>
      <c r="F357">
        <f>MONTH(tbl_Kalender[[#This Row],[Datum]])</f>
        <v>12</v>
      </c>
      <c r="G357" t="str">
        <f>TEXT(tbl_Kalender[[#This Row],[Datum]],"MMMM")</f>
        <v>Dezember</v>
      </c>
      <c r="H357">
        <f>ROUNDUP(tbl_Kalender[[#This Row],[Monat]]/3,0)</f>
        <v>4</v>
      </c>
      <c r="I357" t="str">
        <f>"Q "&amp;tbl_Kalender[[#This Row],[Quartal]]</f>
        <v>Q 4</v>
      </c>
      <c r="J357" t="str">
        <f>tbl_Kalender[[#This Row],[Quartal]]&amp;". Quartal"</f>
        <v>4. Quartal</v>
      </c>
      <c r="K357">
        <f>_xlfn.ISOWEEKNUM(tbl_Kalender[[#This Row],[Datum]])</f>
        <v>51</v>
      </c>
    </row>
    <row r="358" spans="1:11" x14ac:dyDescent="0.25">
      <c r="A358" s="1">
        <v>45648</v>
      </c>
      <c r="B358">
        <f>YEAR(tbl_Kalender[[#This Row],[Datum]])</f>
        <v>2024</v>
      </c>
      <c r="C358">
        <f>DAY(tbl_Kalender[[#This Row],[Datum]])</f>
        <v>22</v>
      </c>
      <c r="D358" t="str">
        <f>TEXT(tbl_Kalender[[#This Row],[Datum]],"TTTT")</f>
        <v>Sonntag</v>
      </c>
      <c r="E358">
        <f>WEEKDAY(tbl_Kalender[[#This Row],[Datum]],2)</f>
        <v>7</v>
      </c>
      <c r="F358">
        <f>MONTH(tbl_Kalender[[#This Row],[Datum]])</f>
        <v>12</v>
      </c>
      <c r="G358" t="str">
        <f>TEXT(tbl_Kalender[[#This Row],[Datum]],"MMMM")</f>
        <v>Dezember</v>
      </c>
      <c r="H358">
        <f>ROUNDUP(tbl_Kalender[[#This Row],[Monat]]/3,0)</f>
        <v>4</v>
      </c>
      <c r="I358" t="str">
        <f>"Q "&amp;tbl_Kalender[[#This Row],[Quartal]]</f>
        <v>Q 4</v>
      </c>
      <c r="J358" t="str">
        <f>tbl_Kalender[[#This Row],[Quartal]]&amp;". Quartal"</f>
        <v>4. Quartal</v>
      </c>
      <c r="K358">
        <f>_xlfn.ISOWEEKNUM(tbl_Kalender[[#This Row],[Datum]])</f>
        <v>51</v>
      </c>
    </row>
    <row r="359" spans="1:11" x14ac:dyDescent="0.25">
      <c r="A359" s="1">
        <v>45649</v>
      </c>
      <c r="B359">
        <f>YEAR(tbl_Kalender[[#This Row],[Datum]])</f>
        <v>2024</v>
      </c>
      <c r="C359">
        <f>DAY(tbl_Kalender[[#This Row],[Datum]])</f>
        <v>23</v>
      </c>
      <c r="D359" t="str">
        <f>TEXT(tbl_Kalender[[#This Row],[Datum]],"TTTT")</f>
        <v>Montag</v>
      </c>
      <c r="E359">
        <f>WEEKDAY(tbl_Kalender[[#This Row],[Datum]],2)</f>
        <v>1</v>
      </c>
      <c r="F359">
        <f>MONTH(tbl_Kalender[[#This Row],[Datum]])</f>
        <v>12</v>
      </c>
      <c r="G359" t="str">
        <f>TEXT(tbl_Kalender[[#This Row],[Datum]],"MMMM")</f>
        <v>Dezember</v>
      </c>
      <c r="H359">
        <f>ROUNDUP(tbl_Kalender[[#This Row],[Monat]]/3,0)</f>
        <v>4</v>
      </c>
      <c r="I359" t="str">
        <f>"Q "&amp;tbl_Kalender[[#This Row],[Quartal]]</f>
        <v>Q 4</v>
      </c>
      <c r="J359" t="str">
        <f>tbl_Kalender[[#This Row],[Quartal]]&amp;". Quartal"</f>
        <v>4. Quartal</v>
      </c>
      <c r="K359">
        <f>_xlfn.ISOWEEKNUM(tbl_Kalender[[#This Row],[Datum]])</f>
        <v>52</v>
      </c>
    </row>
    <row r="360" spans="1:11" x14ac:dyDescent="0.25">
      <c r="A360" s="1">
        <v>45650</v>
      </c>
      <c r="B360">
        <f>YEAR(tbl_Kalender[[#This Row],[Datum]])</f>
        <v>2024</v>
      </c>
      <c r="C360">
        <f>DAY(tbl_Kalender[[#This Row],[Datum]])</f>
        <v>24</v>
      </c>
      <c r="D360" t="str">
        <f>TEXT(tbl_Kalender[[#This Row],[Datum]],"TTTT")</f>
        <v>Dienstag</v>
      </c>
      <c r="E360">
        <f>WEEKDAY(tbl_Kalender[[#This Row],[Datum]],2)</f>
        <v>2</v>
      </c>
      <c r="F360">
        <f>MONTH(tbl_Kalender[[#This Row],[Datum]])</f>
        <v>12</v>
      </c>
      <c r="G360" t="str">
        <f>TEXT(tbl_Kalender[[#This Row],[Datum]],"MMMM")</f>
        <v>Dezember</v>
      </c>
      <c r="H360">
        <f>ROUNDUP(tbl_Kalender[[#This Row],[Monat]]/3,0)</f>
        <v>4</v>
      </c>
      <c r="I360" t="str">
        <f>"Q "&amp;tbl_Kalender[[#This Row],[Quartal]]</f>
        <v>Q 4</v>
      </c>
      <c r="J360" t="str">
        <f>tbl_Kalender[[#This Row],[Quartal]]&amp;". Quartal"</f>
        <v>4. Quartal</v>
      </c>
      <c r="K360">
        <f>_xlfn.ISOWEEKNUM(tbl_Kalender[[#This Row],[Datum]])</f>
        <v>52</v>
      </c>
    </row>
    <row r="361" spans="1:11" x14ac:dyDescent="0.25">
      <c r="A361" s="1">
        <v>45651</v>
      </c>
      <c r="B361">
        <f>YEAR(tbl_Kalender[[#This Row],[Datum]])</f>
        <v>2024</v>
      </c>
      <c r="C361">
        <f>DAY(tbl_Kalender[[#This Row],[Datum]])</f>
        <v>25</v>
      </c>
      <c r="D361" t="str">
        <f>TEXT(tbl_Kalender[[#This Row],[Datum]],"TTTT")</f>
        <v>Mittwoch</v>
      </c>
      <c r="E361">
        <f>WEEKDAY(tbl_Kalender[[#This Row],[Datum]],2)</f>
        <v>3</v>
      </c>
      <c r="F361">
        <f>MONTH(tbl_Kalender[[#This Row],[Datum]])</f>
        <v>12</v>
      </c>
      <c r="G361" t="str">
        <f>TEXT(tbl_Kalender[[#This Row],[Datum]],"MMMM")</f>
        <v>Dezember</v>
      </c>
      <c r="H361">
        <f>ROUNDUP(tbl_Kalender[[#This Row],[Monat]]/3,0)</f>
        <v>4</v>
      </c>
      <c r="I361" t="str">
        <f>"Q "&amp;tbl_Kalender[[#This Row],[Quartal]]</f>
        <v>Q 4</v>
      </c>
      <c r="J361" t="str">
        <f>tbl_Kalender[[#This Row],[Quartal]]&amp;". Quartal"</f>
        <v>4. Quartal</v>
      </c>
      <c r="K361">
        <f>_xlfn.ISOWEEKNUM(tbl_Kalender[[#This Row],[Datum]])</f>
        <v>52</v>
      </c>
    </row>
    <row r="362" spans="1:11" x14ac:dyDescent="0.25">
      <c r="A362" s="1">
        <v>45652</v>
      </c>
      <c r="B362">
        <f>YEAR(tbl_Kalender[[#This Row],[Datum]])</f>
        <v>2024</v>
      </c>
      <c r="C362">
        <f>DAY(tbl_Kalender[[#This Row],[Datum]])</f>
        <v>26</v>
      </c>
      <c r="D362" t="str">
        <f>TEXT(tbl_Kalender[[#This Row],[Datum]],"TTTT")</f>
        <v>Donnerstag</v>
      </c>
      <c r="E362">
        <f>WEEKDAY(tbl_Kalender[[#This Row],[Datum]],2)</f>
        <v>4</v>
      </c>
      <c r="F362">
        <f>MONTH(tbl_Kalender[[#This Row],[Datum]])</f>
        <v>12</v>
      </c>
      <c r="G362" t="str">
        <f>TEXT(tbl_Kalender[[#This Row],[Datum]],"MMMM")</f>
        <v>Dezember</v>
      </c>
      <c r="H362">
        <f>ROUNDUP(tbl_Kalender[[#This Row],[Monat]]/3,0)</f>
        <v>4</v>
      </c>
      <c r="I362" t="str">
        <f>"Q "&amp;tbl_Kalender[[#This Row],[Quartal]]</f>
        <v>Q 4</v>
      </c>
      <c r="J362" t="str">
        <f>tbl_Kalender[[#This Row],[Quartal]]&amp;". Quartal"</f>
        <v>4. Quartal</v>
      </c>
      <c r="K362">
        <f>_xlfn.ISOWEEKNUM(tbl_Kalender[[#This Row],[Datum]])</f>
        <v>52</v>
      </c>
    </row>
    <row r="363" spans="1:11" x14ac:dyDescent="0.25">
      <c r="A363" s="1">
        <v>45653</v>
      </c>
      <c r="B363">
        <f>YEAR(tbl_Kalender[[#This Row],[Datum]])</f>
        <v>2024</v>
      </c>
      <c r="C363">
        <f>DAY(tbl_Kalender[[#This Row],[Datum]])</f>
        <v>27</v>
      </c>
      <c r="D363" t="str">
        <f>TEXT(tbl_Kalender[[#This Row],[Datum]],"TTTT")</f>
        <v>Freitag</v>
      </c>
      <c r="E363">
        <f>WEEKDAY(tbl_Kalender[[#This Row],[Datum]],2)</f>
        <v>5</v>
      </c>
      <c r="F363">
        <f>MONTH(tbl_Kalender[[#This Row],[Datum]])</f>
        <v>12</v>
      </c>
      <c r="G363" t="str">
        <f>TEXT(tbl_Kalender[[#This Row],[Datum]],"MMMM")</f>
        <v>Dezember</v>
      </c>
      <c r="H363">
        <f>ROUNDUP(tbl_Kalender[[#This Row],[Monat]]/3,0)</f>
        <v>4</v>
      </c>
      <c r="I363" t="str">
        <f>"Q "&amp;tbl_Kalender[[#This Row],[Quartal]]</f>
        <v>Q 4</v>
      </c>
      <c r="J363" t="str">
        <f>tbl_Kalender[[#This Row],[Quartal]]&amp;". Quartal"</f>
        <v>4. Quartal</v>
      </c>
      <c r="K363">
        <f>_xlfn.ISOWEEKNUM(tbl_Kalender[[#This Row],[Datum]])</f>
        <v>52</v>
      </c>
    </row>
    <row r="364" spans="1:11" x14ac:dyDescent="0.25">
      <c r="A364" s="1">
        <v>45654</v>
      </c>
      <c r="B364">
        <f>YEAR(tbl_Kalender[[#This Row],[Datum]])</f>
        <v>2024</v>
      </c>
      <c r="C364">
        <f>DAY(tbl_Kalender[[#This Row],[Datum]])</f>
        <v>28</v>
      </c>
      <c r="D364" t="str">
        <f>TEXT(tbl_Kalender[[#This Row],[Datum]],"TTTT")</f>
        <v>Samstag</v>
      </c>
      <c r="E364">
        <f>WEEKDAY(tbl_Kalender[[#This Row],[Datum]],2)</f>
        <v>6</v>
      </c>
      <c r="F364">
        <f>MONTH(tbl_Kalender[[#This Row],[Datum]])</f>
        <v>12</v>
      </c>
      <c r="G364" t="str">
        <f>TEXT(tbl_Kalender[[#This Row],[Datum]],"MMMM")</f>
        <v>Dezember</v>
      </c>
      <c r="H364">
        <f>ROUNDUP(tbl_Kalender[[#This Row],[Monat]]/3,0)</f>
        <v>4</v>
      </c>
      <c r="I364" t="str">
        <f>"Q "&amp;tbl_Kalender[[#This Row],[Quartal]]</f>
        <v>Q 4</v>
      </c>
      <c r="J364" t="str">
        <f>tbl_Kalender[[#This Row],[Quartal]]&amp;". Quartal"</f>
        <v>4. Quartal</v>
      </c>
      <c r="K364">
        <f>_xlfn.ISOWEEKNUM(tbl_Kalender[[#This Row],[Datum]])</f>
        <v>52</v>
      </c>
    </row>
    <row r="365" spans="1:11" x14ac:dyDescent="0.25">
      <c r="A365" s="1">
        <v>45655</v>
      </c>
      <c r="B365">
        <f>YEAR(tbl_Kalender[[#This Row],[Datum]])</f>
        <v>2024</v>
      </c>
      <c r="C365">
        <f>DAY(tbl_Kalender[[#This Row],[Datum]])</f>
        <v>29</v>
      </c>
      <c r="D365" t="str">
        <f>TEXT(tbl_Kalender[[#This Row],[Datum]],"TTTT")</f>
        <v>Sonntag</v>
      </c>
      <c r="E365">
        <f>WEEKDAY(tbl_Kalender[[#This Row],[Datum]],2)</f>
        <v>7</v>
      </c>
      <c r="F365">
        <f>MONTH(tbl_Kalender[[#This Row],[Datum]])</f>
        <v>12</v>
      </c>
      <c r="G365" t="str">
        <f>TEXT(tbl_Kalender[[#This Row],[Datum]],"MMMM")</f>
        <v>Dezember</v>
      </c>
      <c r="H365">
        <f>ROUNDUP(tbl_Kalender[[#This Row],[Monat]]/3,0)</f>
        <v>4</v>
      </c>
      <c r="I365" t="str">
        <f>"Q "&amp;tbl_Kalender[[#This Row],[Quartal]]</f>
        <v>Q 4</v>
      </c>
      <c r="J365" t="str">
        <f>tbl_Kalender[[#This Row],[Quartal]]&amp;". Quartal"</f>
        <v>4. Quartal</v>
      </c>
      <c r="K365">
        <f>_xlfn.ISOWEEKNUM(tbl_Kalender[[#This Row],[Datum]])</f>
        <v>52</v>
      </c>
    </row>
    <row r="366" spans="1:11" x14ac:dyDescent="0.25">
      <c r="A366" s="1">
        <v>45656</v>
      </c>
      <c r="B366">
        <f>YEAR(tbl_Kalender[[#This Row],[Datum]])</f>
        <v>2024</v>
      </c>
      <c r="C366">
        <f>DAY(tbl_Kalender[[#This Row],[Datum]])</f>
        <v>30</v>
      </c>
      <c r="D366" t="str">
        <f>TEXT(tbl_Kalender[[#This Row],[Datum]],"TTTT")</f>
        <v>Montag</v>
      </c>
      <c r="E366">
        <f>WEEKDAY(tbl_Kalender[[#This Row],[Datum]],2)</f>
        <v>1</v>
      </c>
      <c r="F366">
        <f>MONTH(tbl_Kalender[[#This Row],[Datum]])</f>
        <v>12</v>
      </c>
      <c r="G366" t="str">
        <f>TEXT(tbl_Kalender[[#This Row],[Datum]],"MMMM")</f>
        <v>Dezember</v>
      </c>
      <c r="H366">
        <f>ROUNDUP(tbl_Kalender[[#This Row],[Monat]]/3,0)</f>
        <v>4</v>
      </c>
      <c r="I366" t="str">
        <f>"Q "&amp;tbl_Kalender[[#This Row],[Quartal]]</f>
        <v>Q 4</v>
      </c>
      <c r="J366" t="str">
        <f>tbl_Kalender[[#This Row],[Quartal]]&amp;". Quartal"</f>
        <v>4. Quartal</v>
      </c>
      <c r="K366">
        <f>_xlfn.ISOWEEKNUM(tbl_Kalender[[#This Row],[Datum]])</f>
        <v>1</v>
      </c>
    </row>
    <row r="367" spans="1:11" x14ac:dyDescent="0.25">
      <c r="A367" s="1">
        <v>45657</v>
      </c>
      <c r="B367">
        <f>YEAR(tbl_Kalender[[#This Row],[Datum]])</f>
        <v>2024</v>
      </c>
      <c r="C367">
        <f>DAY(tbl_Kalender[[#This Row],[Datum]])</f>
        <v>31</v>
      </c>
      <c r="D367" t="str">
        <f>TEXT(tbl_Kalender[[#This Row],[Datum]],"TTTT")</f>
        <v>Dienstag</v>
      </c>
      <c r="E367">
        <f>WEEKDAY(tbl_Kalender[[#This Row],[Datum]],2)</f>
        <v>2</v>
      </c>
      <c r="F367">
        <f>MONTH(tbl_Kalender[[#This Row],[Datum]])</f>
        <v>12</v>
      </c>
      <c r="G367" t="str">
        <f>TEXT(tbl_Kalender[[#This Row],[Datum]],"MMMM")</f>
        <v>Dezember</v>
      </c>
      <c r="H367">
        <f>ROUNDUP(tbl_Kalender[[#This Row],[Monat]]/3,0)</f>
        <v>4</v>
      </c>
      <c r="I367" t="str">
        <f>"Q "&amp;tbl_Kalender[[#This Row],[Quartal]]</f>
        <v>Q 4</v>
      </c>
      <c r="J367" t="str">
        <f>tbl_Kalender[[#This Row],[Quartal]]&amp;". Quartal"</f>
        <v>4. Quartal</v>
      </c>
      <c r="K367">
        <f>_xlfn.ISOWEEKNUM(tbl_Kalender[[#This Row],[Datum]])</f>
        <v>1</v>
      </c>
    </row>
    <row r="368" spans="1:11" x14ac:dyDescent="0.25">
      <c r="A368" s="1">
        <v>45658</v>
      </c>
      <c r="B368">
        <f>YEAR(tbl_Kalender[[#This Row],[Datum]])</f>
        <v>2025</v>
      </c>
      <c r="C368">
        <f>DAY(tbl_Kalender[[#This Row],[Datum]])</f>
        <v>1</v>
      </c>
      <c r="D368" t="str">
        <f>TEXT(tbl_Kalender[[#This Row],[Datum]],"TTTT")</f>
        <v>Mittwoch</v>
      </c>
      <c r="E368">
        <f>WEEKDAY(tbl_Kalender[[#This Row],[Datum]],2)</f>
        <v>3</v>
      </c>
      <c r="F368">
        <f>MONTH(tbl_Kalender[[#This Row],[Datum]])</f>
        <v>1</v>
      </c>
      <c r="G368" t="str">
        <f>TEXT(tbl_Kalender[[#This Row],[Datum]],"MMMM")</f>
        <v>Januar</v>
      </c>
      <c r="H368">
        <f>ROUNDUP(tbl_Kalender[[#This Row],[Monat]]/3,0)</f>
        <v>1</v>
      </c>
      <c r="I368" t="str">
        <f>"Q "&amp;tbl_Kalender[[#This Row],[Quartal]]</f>
        <v>Q 1</v>
      </c>
      <c r="J368" t="str">
        <f>tbl_Kalender[[#This Row],[Quartal]]&amp;". Quartal"</f>
        <v>1. Quartal</v>
      </c>
      <c r="K368">
        <f>_xlfn.ISOWEEKNUM(tbl_Kalender[[#This Row],[Datum]])</f>
        <v>1</v>
      </c>
    </row>
    <row r="369" spans="1:11" x14ac:dyDescent="0.25">
      <c r="A369" s="1">
        <v>45659</v>
      </c>
      <c r="B369">
        <f>YEAR(tbl_Kalender[[#This Row],[Datum]])</f>
        <v>2025</v>
      </c>
      <c r="C369">
        <f>DAY(tbl_Kalender[[#This Row],[Datum]])</f>
        <v>2</v>
      </c>
      <c r="D369" t="str">
        <f>TEXT(tbl_Kalender[[#This Row],[Datum]],"TTTT")</f>
        <v>Donnerstag</v>
      </c>
      <c r="E369">
        <f>WEEKDAY(tbl_Kalender[[#This Row],[Datum]],2)</f>
        <v>4</v>
      </c>
      <c r="F369">
        <f>MONTH(tbl_Kalender[[#This Row],[Datum]])</f>
        <v>1</v>
      </c>
      <c r="G369" t="str">
        <f>TEXT(tbl_Kalender[[#This Row],[Datum]],"MMMM")</f>
        <v>Januar</v>
      </c>
      <c r="H369">
        <f>ROUNDUP(tbl_Kalender[[#This Row],[Monat]]/3,0)</f>
        <v>1</v>
      </c>
      <c r="I369" t="str">
        <f>"Q "&amp;tbl_Kalender[[#This Row],[Quartal]]</f>
        <v>Q 1</v>
      </c>
      <c r="J369" t="str">
        <f>tbl_Kalender[[#This Row],[Quartal]]&amp;". Quartal"</f>
        <v>1. Quartal</v>
      </c>
      <c r="K369">
        <f>_xlfn.ISOWEEKNUM(tbl_Kalender[[#This Row],[Datum]])</f>
        <v>1</v>
      </c>
    </row>
    <row r="370" spans="1:11" x14ac:dyDescent="0.25">
      <c r="A370" s="1">
        <v>45660</v>
      </c>
      <c r="B370">
        <f>YEAR(tbl_Kalender[[#This Row],[Datum]])</f>
        <v>2025</v>
      </c>
      <c r="C370">
        <f>DAY(tbl_Kalender[[#This Row],[Datum]])</f>
        <v>3</v>
      </c>
      <c r="D370" t="str">
        <f>TEXT(tbl_Kalender[[#This Row],[Datum]],"TTTT")</f>
        <v>Freitag</v>
      </c>
      <c r="E370">
        <f>WEEKDAY(tbl_Kalender[[#This Row],[Datum]],2)</f>
        <v>5</v>
      </c>
      <c r="F370">
        <f>MONTH(tbl_Kalender[[#This Row],[Datum]])</f>
        <v>1</v>
      </c>
      <c r="G370" t="str">
        <f>TEXT(tbl_Kalender[[#This Row],[Datum]],"MMMM")</f>
        <v>Januar</v>
      </c>
      <c r="H370">
        <f>ROUNDUP(tbl_Kalender[[#This Row],[Monat]]/3,0)</f>
        <v>1</v>
      </c>
      <c r="I370" t="str">
        <f>"Q "&amp;tbl_Kalender[[#This Row],[Quartal]]</f>
        <v>Q 1</v>
      </c>
      <c r="J370" t="str">
        <f>tbl_Kalender[[#This Row],[Quartal]]&amp;". Quartal"</f>
        <v>1. Quartal</v>
      </c>
      <c r="K370">
        <f>_xlfn.ISOWEEKNUM(tbl_Kalender[[#This Row],[Datum]])</f>
        <v>1</v>
      </c>
    </row>
    <row r="371" spans="1:11" x14ac:dyDescent="0.25">
      <c r="A371" s="1">
        <v>45661</v>
      </c>
      <c r="B371">
        <f>YEAR(tbl_Kalender[[#This Row],[Datum]])</f>
        <v>2025</v>
      </c>
      <c r="C371">
        <f>DAY(tbl_Kalender[[#This Row],[Datum]])</f>
        <v>4</v>
      </c>
      <c r="D371" t="str">
        <f>TEXT(tbl_Kalender[[#This Row],[Datum]],"TTTT")</f>
        <v>Samstag</v>
      </c>
      <c r="E371">
        <f>WEEKDAY(tbl_Kalender[[#This Row],[Datum]],2)</f>
        <v>6</v>
      </c>
      <c r="F371">
        <f>MONTH(tbl_Kalender[[#This Row],[Datum]])</f>
        <v>1</v>
      </c>
      <c r="G371" t="str">
        <f>TEXT(tbl_Kalender[[#This Row],[Datum]],"MMMM")</f>
        <v>Januar</v>
      </c>
      <c r="H371">
        <f>ROUNDUP(tbl_Kalender[[#This Row],[Monat]]/3,0)</f>
        <v>1</v>
      </c>
      <c r="I371" t="str">
        <f>"Q "&amp;tbl_Kalender[[#This Row],[Quartal]]</f>
        <v>Q 1</v>
      </c>
      <c r="J371" t="str">
        <f>tbl_Kalender[[#This Row],[Quartal]]&amp;". Quartal"</f>
        <v>1. Quartal</v>
      </c>
      <c r="K371">
        <f>_xlfn.ISOWEEKNUM(tbl_Kalender[[#This Row],[Datum]])</f>
        <v>1</v>
      </c>
    </row>
    <row r="372" spans="1:11" x14ac:dyDescent="0.25">
      <c r="A372" s="1">
        <v>45662</v>
      </c>
      <c r="B372">
        <f>YEAR(tbl_Kalender[[#This Row],[Datum]])</f>
        <v>2025</v>
      </c>
      <c r="C372">
        <f>DAY(tbl_Kalender[[#This Row],[Datum]])</f>
        <v>5</v>
      </c>
      <c r="D372" t="str">
        <f>TEXT(tbl_Kalender[[#This Row],[Datum]],"TTTT")</f>
        <v>Sonntag</v>
      </c>
      <c r="E372">
        <f>WEEKDAY(tbl_Kalender[[#This Row],[Datum]],2)</f>
        <v>7</v>
      </c>
      <c r="F372">
        <f>MONTH(tbl_Kalender[[#This Row],[Datum]])</f>
        <v>1</v>
      </c>
      <c r="G372" t="str">
        <f>TEXT(tbl_Kalender[[#This Row],[Datum]],"MMMM")</f>
        <v>Januar</v>
      </c>
      <c r="H372">
        <f>ROUNDUP(tbl_Kalender[[#This Row],[Monat]]/3,0)</f>
        <v>1</v>
      </c>
      <c r="I372" t="str">
        <f>"Q "&amp;tbl_Kalender[[#This Row],[Quartal]]</f>
        <v>Q 1</v>
      </c>
      <c r="J372" t="str">
        <f>tbl_Kalender[[#This Row],[Quartal]]&amp;". Quartal"</f>
        <v>1. Quartal</v>
      </c>
      <c r="K372">
        <f>_xlfn.ISOWEEKNUM(tbl_Kalender[[#This Row],[Datum]])</f>
        <v>1</v>
      </c>
    </row>
    <row r="373" spans="1:11" x14ac:dyDescent="0.25">
      <c r="A373" s="1">
        <v>45663</v>
      </c>
      <c r="B373">
        <f>YEAR(tbl_Kalender[[#This Row],[Datum]])</f>
        <v>2025</v>
      </c>
      <c r="C373">
        <f>DAY(tbl_Kalender[[#This Row],[Datum]])</f>
        <v>6</v>
      </c>
      <c r="D373" t="str">
        <f>TEXT(tbl_Kalender[[#This Row],[Datum]],"TTTT")</f>
        <v>Montag</v>
      </c>
      <c r="E373">
        <f>WEEKDAY(tbl_Kalender[[#This Row],[Datum]],2)</f>
        <v>1</v>
      </c>
      <c r="F373">
        <f>MONTH(tbl_Kalender[[#This Row],[Datum]])</f>
        <v>1</v>
      </c>
      <c r="G373" t="str">
        <f>TEXT(tbl_Kalender[[#This Row],[Datum]],"MMMM")</f>
        <v>Januar</v>
      </c>
      <c r="H373">
        <f>ROUNDUP(tbl_Kalender[[#This Row],[Monat]]/3,0)</f>
        <v>1</v>
      </c>
      <c r="I373" t="str">
        <f>"Q "&amp;tbl_Kalender[[#This Row],[Quartal]]</f>
        <v>Q 1</v>
      </c>
      <c r="J373" t="str">
        <f>tbl_Kalender[[#This Row],[Quartal]]&amp;". Quartal"</f>
        <v>1. Quartal</v>
      </c>
      <c r="K373">
        <f>_xlfn.ISOWEEKNUM(tbl_Kalender[[#This Row],[Datum]])</f>
        <v>2</v>
      </c>
    </row>
    <row r="374" spans="1:11" x14ac:dyDescent="0.25">
      <c r="A374" s="1">
        <v>45664</v>
      </c>
      <c r="B374">
        <f>YEAR(tbl_Kalender[[#This Row],[Datum]])</f>
        <v>2025</v>
      </c>
      <c r="C374">
        <f>DAY(tbl_Kalender[[#This Row],[Datum]])</f>
        <v>7</v>
      </c>
      <c r="D374" t="str">
        <f>TEXT(tbl_Kalender[[#This Row],[Datum]],"TTTT")</f>
        <v>Dienstag</v>
      </c>
      <c r="E374">
        <f>WEEKDAY(tbl_Kalender[[#This Row],[Datum]],2)</f>
        <v>2</v>
      </c>
      <c r="F374">
        <f>MONTH(tbl_Kalender[[#This Row],[Datum]])</f>
        <v>1</v>
      </c>
      <c r="G374" t="str">
        <f>TEXT(tbl_Kalender[[#This Row],[Datum]],"MMMM")</f>
        <v>Januar</v>
      </c>
      <c r="H374">
        <f>ROUNDUP(tbl_Kalender[[#This Row],[Monat]]/3,0)</f>
        <v>1</v>
      </c>
      <c r="I374" t="str">
        <f>"Q "&amp;tbl_Kalender[[#This Row],[Quartal]]</f>
        <v>Q 1</v>
      </c>
      <c r="J374" t="str">
        <f>tbl_Kalender[[#This Row],[Quartal]]&amp;". Quartal"</f>
        <v>1. Quartal</v>
      </c>
      <c r="K374">
        <f>_xlfn.ISOWEEKNUM(tbl_Kalender[[#This Row],[Datum]])</f>
        <v>2</v>
      </c>
    </row>
    <row r="375" spans="1:11" x14ac:dyDescent="0.25">
      <c r="A375" s="1">
        <v>45665</v>
      </c>
      <c r="B375">
        <f>YEAR(tbl_Kalender[[#This Row],[Datum]])</f>
        <v>2025</v>
      </c>
      <c r="C375">
        <f>DAY(tbl_Kalender[[#This Row],[Datum]])</f>
        <v>8</v>
      </c>
      <c r="D375" t="str">
        <f>TEXT(tbl_Kalender[[#This Row],[Datum]],"TTTT")</f>
        <v>Mittwoch</v>
      </c>
      <c r="E375">
        <f>WEEKDAY(tbl_Kalender[[#This Row],[Datum]],2)</f>
        <v>3</v>
      </c>
      <c r="F375">
        <f>MONTH(tbl_Kalender[[#This Row],[Datum]])</f>
        <v>1</v>
      </c>
      <c r="G375" t="str">
        <f>TEXT(tbl_Kalender[[#This Row],[Datum]],"MMMM")</f>
        <v>Januar</v>
      </c>
      <c r="H375">
        <f>ROUNDUP(tbl_Kalender[[#This Row],[Monat]]/3,0)</f>
        <v>1</v>
      </c>
      <c r="I375" t="str">
        <f>"Q "&amp;tbl_Kalender[[#This Row],[Quartal]]</f>
        <v>Q 1</v>
      </c>
      <c r="J375" t="str">
        <f>tbl_Kalender[[#This Row],[Quartal]]&amp;". Quartal"</f>
        <v>1. Quartal</v>
      </c>
      <c r="K375">
        <f>_xlfn.ISOWEEKNUM(tbl_Kalender[[#This Row],[Datum]])</f>
        <v>2</v>
      </c>
    </row>
    <row r="376" spans="1:11" x14ac:dyDescent="0.25">
      <c r="A376" s="1">
        <v>45666</v>
      </c>
      <c r="B376">
        <f>YEAR(tbl_Kalender[[#This Row],[Datum]])</f>
        <v>2025</v>
      </c>
      <c r="C376">
        <f>DAY(tbl_Kalender[[#This Row],[Datum]])</f>
        <v>9</v>
      </c>
      <c r="D376" t="str">
        <f>TEXT(tbl_Kalender[[#This Row],[Datum]],"TTTT")</f>
        <v>Donnerstag</v>
      </c>
      <c r="E376">
        <f>WEEKDAY(tbl_Kalender[[#This Row],[Datum]],2)</f>
        <v>4</v>
      </c>
      <c r="F376">
        <f>MONTH(tbl_Kalender[[#This Row],[Datum]])</f>
        <v>1</v>
      </c>
      <c r="G376" t="str">
        <f>TEXT(tbl_Kalender[[#This Row],[Datum]],"MMMM")</f>
        <v>Januar</v>
      </c>
      <c r="H376">
        <f>ROUNDUP(tbl_Kalender[[#This Row],[Monat]]/3,0)</f>
        <v>1</v>
      </c>
      <c r="I376" t="str">
        <f>"Q "&amp;tbl_Kalender[[#This Row],[Quartal]]</f>
        <v>Q 1</v>
      </c>
      <c r="J376" t="str">
        <f>tbl_Kalender[[#This Row],[Quartal]]&amp;". Quartal"</f>
        <v>1. Quartal</v>
      </c>
      <c r="K376">
        <f>_xlfn.ISOWEEKNUM(tbl_Kalender[[#This Row],[Datum]])</f>
        <v>2</v>
      </c>
    </row>
    <row r="377" spans="1:11" x14ac:dyDescent="0.25">
      <c r="A377" s="1">
        <v>45667</v>
      </c>
      <c r="B377">
        <f>YEAR(tbl_Kalender[[#This Row],[Datum]])</f>
        <v>2025</v>
      </c>
      <c r="C377">
        <f>DAY(tbl_Kalender[[#This Row],[Datum]])</f>
        <v>10</v>
      </c>
      <c r="D377" t="str">
        <f>TEXT(tbl_Kalender[[#This Row],[Datum]],"TTTT")</f>
        <v>Freitag</v>
      </c>
      <c r="E377">
        <f>WEEKDAY(tbl_Kalender[[#This Row],[Datum]],2)</f>
        <v>5</v>
      </c>
      <c r="F377">
        <f>MONTH(tbl_Kalender[[#This Row],[Datum]])</f>
        <v>1</v>
      </c>
      <c r="G377" t="str">
        <f>TEXT(tbl_Kalender[[#This Row],[Datum]],"MMMM")</f>
        <v>Januar</v>
      </c>
      <c r="H377">
        <f>ROUNDUP(tbl_Kalender[[#This Row],[Monat]]/3,0)</f>
        <v>1</v>
      </c>
      <c r="I377" t="str">
        <f>"Q "&amp;tbl_Kalender[[#This Row],[Quartal]]</f>
        <v>Q 1</v>
      </c>
      <c r="J377" t="str">
        <f>tbl_Kalender[[#This Row],[Quartal]]&amp;". Quartal"</f>
        <v>1. Quartal</v>
      </c>
      <c r="K377">
        <f>_xlfn.ISOWEEKNUM(tbl_Kalender[[#This Row],[Datum]])</f>
        <v>2</v>
      </c>
    </row>
    <row r="378" spans="1:11" x14ac:dyDescent="0.25">
      <c r="A378" s="1">
        <v>45668</v>
      </c>
      <c r="B378">
        <f>YEAR(tbl_Kalender[[#This Row],[Datum]])</f>
        <v>2025</v>
      </c>
      <c r="C378">
        <f>DAY(tbl_Kalender[[#This Row],[Datum]])</f>
        <v>11</v>
      </c>
      <c r="D378" t="str">
        <f>TEXT(tbl_Kalender[[#This Row],[Datum]],"TTTT")</f>
        <v>Samstag</v>
      </c>
      <c r="E378">
        <f>WEEKDAY(tbl_Kalender[[#This Row],[Datum]],2)</f>
        <v>6</v>
      </c>
      <c r="F378">
        <f>MONTH(tbl_Kalender[[#This Row],[Datum]])</f>
        <v>1</v>
      </c>
      <c r="G378" t="str">
        <f>TEXT(tbl_Kalender[[#This Row],[Datum]],"MMMM")</f>
        <v>Januar</v>
      </c>
      <c r="H378">
        <f>ROUNDUP(tbl_Kalender[[#This Row],[Monat]]/3,0)</f>
        <v>1</v>
      </c>
      <c r="I378" t="str">
        <f>"Q "&amp;tbl_Kalender[[#This Row],[Quartal]]</f>
        <v>Q 1</v>
      </c>
      <c r="J378" t="str">
        <f>tbl_Kalender[[#This Row],[Quartal]]&amp;". Quartal"</f>
        <v>1. Quartal</v>
      </c>
      <c r="K378">
        <f>_xlfn.ISOWEEKNUM(tbl_Kalender[[#This Row],[Datum]])</f>
        <v>2</v>
      </c>
    </row>
    <row r="379" spans="1:11" x14ac:dyDescent="0.25">
      <c r="A379" s="1">
        <v>45669</v>
      </c>
      <c r="B379">
        <f>YEAR(tbl_Kalender[[#This Row],[Datum]])</f>
        <v>2025</v>
      </c>
      <c r="C379">
        <f>DAY(tbl_Kalender[[#This Row],[Datum]])</f>
        <v>12</v>
      </c>
      <c r="D379" t="str">
        <f>TEXT(tbl_Kalender[[#This Row],[Datum]],"TTTT")</f>
        <v>Sonntag</v>
      </c>
      <c r="E379">
        <f>WEEKDAY(tbl_Kalender[[#This Row],[Datum]],2)</f>
        <v>7</v>
      </c>
      <c r="F379">
        <f>MONTH(tbl_Kalender[[#This Row],[Datum]])</f>
        <v>1</v>
      </c>
      <c r="G379" t="str">
        <f>TEXT(tbl_Kalender[[#This Row],[Datum]],"MMMM")</f>
        <v>Januar</v>
      </c>
      <c r="H379">
        <f>ROUNDUP(tbl_Kalender[[#This Row],[Monat]]/3,0)</f>
        <v>1</v>
      </c>
      <c r="I379" t="str">
        <f>"Q "&amp;tbl_Kalender[[#This Row],[Quartal]]</f>
        <v>Q 1</v>
      </c>
      <c r="J379" t="str">
        <f>tbl_Kalender[[#This Row],[Quartal]]&amp;". Quartal"</f>
        <v>1. Quartal</v>
      </c>
      <c r="K379">
        <f>_xlfn.ISOWEEKNUM(tbl_Kalender[[#This Row],[Datum]])</f>
        <v>2</v>
      </c>
    </row>
    <row r="380" spans="1:11" x14ac:dyDescent="0.25">
      <c r="A380" s="1">
        <v>45670</v>
      </c>
      <c r="B380">
        <f>YEAR(tbl_Kalender[[#This Row],[Datum]])</f>
        <v>2025</v>
      </c>
      <c r="C380">
        <f>DAY(tbl_Kalender[[#This Row],[Datum]])</f>
        <v>13</v>
      </c>
      <c r="D380" t="str">
        <f>TEXT(tbl_Kalender[[#This Row],[Datum]],"TTTT")</f>
        <v>Montag</v>
      </c>
      <c r="E380">
        <f>WEEKDAY(tbl_Kalender[[#This Row],[Datum]],2)</f>
        <v>1</v>
      </c>
      <c r="F380">
        <f>MONTH(tbl_Kalender[[#This Row],[Datum]])</f>
        <v>1</v>
      </c>
      <c r="G380" t="str">
        <f>TEXT(tbl_Kalender[[#This Row],[Datum]],"MMMM")</f>
        <v>Januar</v>
      </c>
      <c r="H380">
        <f>ROUNDUP(tbl_Kalender[[#This Row],[Monat]]/3,0)</f>
        <v>1</v>
      </c>
      <c r="I380" t="str">
        <f>"Q "&amp;tbl_Kalender[[#This Row],[Quartal]]</f>
        <v>Q 1</v>
      </c>
      <c r="J380" t="str">
        <f>tbl_Kalender[[#This Row],[Quartal]]&amp;". Quartal"</f>
        <v>1. Quartal</v>
      </c>
      <c r="K380">
        <f>_xlfn.ISOWEEKNUM(tbl_Kalender[[#This Row],[Datum]])</f>
        <v>3</v>
      </c>
    </row>
    <row r="381" spans="1:11" x14ac:dyDescent="0.25">
      <c r="A381" s="1">
        <v>45671</v>
      </c>
      <c r="B381">
        <f>YEAR(tbl_Kalender[[#This Row],[Datum]])</f>
        <v>2025</v>
      </c>
      <c r="C381">
        <f>DAY(tbl_Kalender[[#This Row],[Datum]])</f>
        <v>14</v>
      </c>
      <c r="D381" t="str">
        <f>TEXT(tbl_Kalender[[#This Row],[Datum]],"TTTT")</f>
        <v>Dienstag</v>
      </c>
      <c r="E381">
        <f>WEEKDAY(tbl_Kalender[[#This Row],[Datum]],2)</f>
        <v>2</v>
      </c>
      <c r="F381">
        <f>MONTH(tbl_Kalender[[#This Row],[Datum]])</f>
        <v>1</v>
      </c>
      <c r="G381" t="str">
        <f>TEXT(tbl_Kalender[[#This Row],[Datum]],"MMMM")</f>
        <v>Januar</v>
      </c>
      <c r="H381">
        <f>ROUNDUP(tbl_Kalender[[#This Row],[Monat]]/3,0)</f>
        <v>1</v>
      </c>
      <c r="I381" t="str">
        <f>"Q "&amp;tbl_Kalender[[#This Row],[Quartal]]</f>
        <v>Q 1</v>
      </c>
      <c r="J381" t="str">
        <f>tbl_Kalender[[#This Row],[Quartal]]&amp;". Quartal"</f>
        <v>1. Quartal</v>
      </c>
      <c r="K381">
        <f>_xlfn.ISOWEEKNUM(tbl_Kalender[[#This Row],[Datum]])</f>
        <v>3</v>
      </c>
    </row>
    <row r="382" spans="1:11" x14ac:dyDescent="0.25">
      <c r="A382" s="1">
        <v>45672</v>
      </c>
      <c r="B382">
        <f>YEAR(tbl_Kalender[[#This Row],[Datum]])</f>
        <v>2025</v>
      </c>
      <c r="C382">
        <f>DAY(tbl_Kalender[[#This Row],[Datum]])</f>
        <v>15</v>
      </c>
      <c r="D382" t="str">
        <f>TEXT(tbl_Kalender[[#This Row],[Datum]],"TTTT")</f>
        <v>Mittwoch</v>
      </c>
      <c r="E382">
        <f>WEEKDAY(tbl_Kalender[[#This Row],[Datum]],2)</f>
        <v>3</v>
      </c>
      <c r="F382">
        <f>MONTH(tbl_Kalender[[#This Row],[Datum]])</f>
        <v>1</v>
      </c>
      <c r="G382" t="str">
        <f>TEXT(tbl_Kalender[[#This Row],[Datum]],"MMMM")</f>
        <v>Januar</v>
      </c>
      <c r="H382">
        <f>ROUNDUP(tbl_Kalender[[#This Row],[Monat]]/3,0)</f>
        <v>1</v>
      </c>
      <c r="I382" t="str">
        <f>"Q "&amp;tbl_Kalender[[#This Row],[Quartal]]</f>
        <v>Q 1</v>
      </c>
      <c r="J382" t="str">
        <f>tbl_Kalender[[#This Row],[Quartal]]&amp;". Quartal"</f>
        <v>1. Quartal</v>
      </c>
      <c r="K382">
        <f>_xlfn.ISOWEEKNUM(tbl_Kalender[[#This Row],[Datum]])</f>
        <v>3</v>
      </c>
    </row>
    <row r="383" spans="1:11" x14ac:dyDescent="0.25">
      <c r="A383" s="1">
        <v>45673</v>
      </c>
      <c r="B383">
        <f>YEAR(tbl_Kalender[[#This Row],[Datum]])</f>
        <v>2025</v>
      </c>
      <c r="C383">
        <f>DAY(tbl_Kalender[[#This Row],[Datum]])</f>
        <v>16</v>
      </c>
      <c r="D383" t="str">
        <f>TEXT(tbl_Kalender[[#This Row],[Datum]],"TTTT")</f>
        <v>Donnerstag</v>
      </c>
      <c r="E383">
        <f>WEEKDAY(tbl_Kalender[[#This Row],[Datum]],2)</f>
        <v>4</v>
      </c>
      <c r="F383">
        <f>MONTH(tbl_Kalender[[#This Row],[Datum]])</f>
        <v>1</v>
      </c>
      <c r="G383" t="str">
        <f>TEXT(tbl_Kalender[[#This Row],[Datum]],"MMMM")</f>
        <v>Januar</v>
      </c>
      <c r="H383">
        <f>ROUNDUP(tbl_Kalender[[#This Row],[Monat]]/3,0)</f>
        <v>1</v>
      </c>
      <c r="I383" t="str">
        <f>"Q "&amp;tbl_Kalender[[#This Row],[Quartal]]</f>
        <v>Q 1</v>
      </c>
      <c r="J383" t="str">
        <f>tbl_Kalender[[#This Row],[Quartal]]&amp;". Quartal"</f>
        <v>1. Quartal</v>
      </c>
      <c r="K383">
        <f>_xlfn.ISOWEEKNUM(tbl_Kalender[[#This Row],[Datum]])</f>
        <v>3</v>
      </c>
    </row>
    <row r="384" spans="1:11" x14ac:dyDescent="0.25">
      <c r="A384" s="1">
        <v>45674</v>
      </c>
      <c r="B384">
        <f>YEAR(tbl_Kalender[[#This Row],[Datum]])</f>
        <v>2025</v>
      </c>
      <c r="C384">
        <f>DAY(tbl_Kalender[[#This Row],[Datum]])</f>
        <v>17</v>
      </c>
      <c r="D384" t="str">
        <f>TEXT(tbl_Kalender[[#This Row],[Datum]],"TTTT")</f>
        <v>Freitag</v>
      </c>
      <c r="E384">
        <f>WEEKDAY(tbl_Kalender[[#This Row],[Datum]],2)</f>
        <v>5</v>
      </c>
      <c r="F384">
        <f>MONTH(tbl_Kalender[[#This Row],[Datum]])</f>
        <v>1</v>
      </c>
      <c r="G384" t="str">
        <f>TEXT(tbl_Kalender[[#This Row],[Datum]],"MMMM")</f>
        <v>Januar</v>
      </c>
      <c r="H384">
        <f>ROUNDUP(tbl_Kalender[[#This Row],[Monat]]/3,0)</f>
        <v>1</v>
      </c>
      <c r="I384" t="str">
        <f>"Q "&amp;tbl_Kalender[[#This Row],[Quartal]]</f>
        <v>Q 1</v>
      </c>
      <c r="J384" t="str">
        <f>tbl_Kalender[[#This Row],[Quartal]]&amp;". Quartal"</f>
        <v>1. Quartal</v>
      </c>
      <c r="K384">
        <f>_xlfn.ISOWEEKNUM(tbl_Kalender[[#This Row],[Datum]])</f>
        <v>3</v>
      </c>
    </row>
    <row r="385" spans="1:11" x14ac:dyDescent="0.25">
      <c r="A385" s="1">
        <v>45675</v>
      </c>
      <c r="B385">
        <f>YEAR(tbl_Kalender[[#This Row],[Datum]])</f>
        <v>2025</v>
      </c>
      <c r="C385">
        <f>DAY(tbl_Kalender[[#This Row],[Datum]])</f>
        <v>18</v>
      </c>
      <c r="D385" t="str">
        <f>TEXT(tbl_Kalender[[#This Row],[Datum]],"TTTT")</f>
        <v>Samstag</v>
      </c>
      <c r="E385">
        <f>WEEKDAY(tbl_Kalender[[#This Row],[Datum]],2)</f>
        <v>6</v>
      </c>
      <c r="F385">
        <f>MONTH(tbl_Kalender[[#This Row],[Datum]])</f>
        <v>1</v>
      </c>
      <c r="G385" t="str">
        <f>TEXT(tbl_Kalender[[#This Row],[Datum]],"MMMM")</f>
        <v>Januar</v>
      </c>
      <c r="H385">
        <f>ROUNDUP(tbl_Kalender[[#This Row],[Monat]]/3,0)</f>
        <v>1</v>
      </c>
      <c r="I385" t="str">
        <f>"Q "&amp;tbl_Kalender[[#This Row],[Quartal]]</f>
        <v>Q 1</v>
      </c>
      <c r="J385" t="str">
        <f>tbl_Kalender[[#This Row],[Quartal]]&amp;". Quartal"</f>
        <v>1. Quartal</v>
      </c>
      <c r="K385">
        <f>_xlfn.ISOWEEKNUM(tbl_Kalender[[#This Row],[Datum]])</f>
        <v>3</v>
      </c>
    </row>
    <row r="386" spans="1:11" x14ac:dyDescent="0.25">
      <c r="A386" s="1">
        <v>45676</v>
      </c>
      <c r="B386">
        <f>YEAR(tbl_Kalender[[#This Row],[Datum]])</f>
        <v>2025</v>
      </c>
      <c r="C386">
        <f>DAY(tbl_Kalender[[#This Row],[Datum]])</f>
        <v>19</v>
      </c>
      <c r="D386" t="str">
        <f>TEXT(tbl_Kalender[[#This Row],[Datum]],"TTTT")</f>
        <v>Sonntag</v>
      </c>
      <c r="E386">
        <f>WEEKDAY(tbl_Kalender[[#This Row],[Datum]],2)</f>
        <v>7</v>
      </c>
      <c r="F386">
        <f>MONTH(tbl_Kalender[[#This Row],[Datum]])</f>
        <v>1</v>
      </c>
      <c r="G386" t="str">
        <f>TEXT(tbl_Kalender[[#This Row],[Datum]],"MMMM")</f>
        <v>Januar</v>
      </c>
      <c r="H386">
        <f>ROUNDUP(tbl_Kalender[[#This Row],[Monat]]/3,0)</f>
        <v>1</v>
      </c>
      <c r="I386" t="str">
        <f>"Q "&amp;tbl_Kalender[[#This Row],[Quartal]]</f>
        <v>Q 1</v>
      </c>
      <c r="J386" t="str">
        <f>tbl_Kalender[[#This Row],[Quartal]]&amp;". Quartal"</f>
        <v>1. Quartal</v>
      </c>
      <c r="K386">
        <f>_xlfn.ISOWEEKNUM(tbl_Kalender[[#This Row],[Datum]])</f>
        <v>3</v>
      </c>
    </row>
    <row r="387" spans="1:11" x14ac:dyDescent="0.25">
      <c r="A387" s="1">
        <v>45677</v>
      </c>
      <c r="B387">
        <f>YEAR(tbl_Kalender[[#This Row],[Datum]])</f>
        <v>2025</v>
      </c>
      <c r="C387">
        <f>DAY(tbl_Kalender[[#This Row],[Datum]])</f>
        <v>20</v>
      </c>
      <c r="D387" t="str">
        <f>TEXT(tbl_Kalender[[#This Row],[Datum]],"TTTT")</f>
        <v>Montag</v>
      </c>
      <c r="E387">
        <f>WEEKDAY(tbl_Kalender[[#This Row],[Datum]],2)</f>
        <v>1</v>
      </c>
      <c r="F387">
        <f>MONTH(tbl_Kalender[[#This Row],[Datum]])</f>
        <v>1</v>
      </c>
      <c r="G387" t="str">
        <f>TEXT(tbl_Kalender[[#This Row],[Datum]],"MMMM")</f>
        <v>Januar</v>
      </c>
      <c r="H387">
        <f>ROUNDUP(tbl_Kalender[[#This Row],[Monat]]/3,0)</f>
        <v>1</v>
      </c>
      <c r="I387" t="str">
        <f>"Q "&amp;tbl_Kalender[[#This Row],[Quartal]]</f>
        <v>Q 1</v>
      </c>
      <c r="J387" t="str">
        <f>tbl_Kalender[[#This Row],[Quartal]]&amp;". Quartal"</f>
        <v>1. Quartal</v>
      </c>
      <c r="K387">
        <f>_xlfn.ISOWEEKNUM(tbl_Kalender[[#This Row],[Datum]])</f>
        <v>4</v>
      </c>
    </row>
    <row r="388" spans="1:11" x14ac:dyDescent="0.25">
      <c r="A388" s="1">
        <v>45678</v>
      </c>
      <c r="B388">
        <f>YEAR(tbl_Kalender[[#This Row],[Datum]])</f>
        <v>2025</v>
      </c>
      <c r="C388">
        <f>DAY(tbl_Kalender[[#This Row],[Datum]])</f>
        <v>21</v>
      </c>
      <c r="D388" t="str">
        <f>TEXT(tbl_Kalender[[#This Row],[Datum]],"TTTT")</f>
        <v>Dienstag</v>
      </c>
      <c r="E388">
        <f>WEEKDAY(tbl_Kalender[[#This Row],[Datum]],2)</f>
        <v>2</v>
      </c>
      <c r="F388">
        <f>MONTH(tbl_Kalender[[#This Row],[Datum]])</f>
        <v>1</v>
      </c>
      <c r="G388" t="str">
        <f>TEXT(tbl_Kalender[[#This Row],[Datum]],"MMMM")</f>
        <v>Januar</v>
      </c>
      <c r="H388">
        <f>ROUNDUP(tbl_Kalender[[#This Row],[Monat]]/3,0)</f>
        <v>1</v>
      </c>
      <c r="I388" t="str">
        <f>"Q "&amp;tbl_Kalender[[#This Row],[Quartal]]</f>
        <v>Q 1</v>
      </c>
      <c r="J388" t="str">
        <f>tbl_Kalender[[#This Row],[Quartal]]&amp;". Quartal"</f>
        <v>1. Quartal</v>
      </c>
      <c r="K388">
        <f>_xlfn.ISOWEEKNUM(tbl_Kalender[[#This Row],[Datum]])</f>
        <v>4</v>
      </c>
    </row>
    <row r="389" spans="1:11" x14ac:dyDescent="0.25">
      <c r="A389" s="1">
        <v>45679</v>
      </c>
      <c r="B389">
        <f>YEAR(tbl_Kalender[[#This Row],[Datum]])</f>
        <v>2025</v>
      </c>
      <c r="C389">
        <f>DAY(tbl_Kalender[[#This Row],[Datum]])</f>
        <v>22</v>
      </c>
      <c r="D389" t="str">
        <f>TEXT(tbl_Kalender[[#This Row],[Datum]],"TTTT")</f>
        <v>Mittwoch</v>
      </c>
      <c r="E389">
        <f>WEEKDAY(tbl_Kalender[[#This Row],[Datum]],2)</f>
        <v>3</v>
      </c>
      <c r="F389">
        <f>MONTH(tbl_Kalender[[#This Row],[Datum]])</f>
        <v>1</v>
      </c>
      <c r="G389" t="str">
        <f>TEXT(tbl_Kalender[[#This Row],[Datum]],"MMMM")</f>
        <v>Januar</v>
      </c>
      <c r="H389">
        <f>ROUNDUP(tbl_Kalender[[#This Row],[Monat]]/3,0)</f>
        <v>1</v>
      </c>
      <c r="I389" t="str">
        <f>"Q "&amp;tbl_Kalender[[#This Row],[Quartal]]</f>
        <v>Q 1</v>
      </c>
      <c r="J389" t="str">
        <f>tbl_Kalender[[#This Row],[Quartal]]&amp;". Quartal"</f>
        <v>1. Quartal</v>
      </c>
      <c r="K389">
        <f>_xlfn.ISOWEEKNUM(tbl_Kalender[[#This Row],[Datum]])</f>
        <v>4</v>
      </c>
    </row>
    <row r="390" spans="1:11" x14ac:dyDescent="0.25">
      <c r="A390" s="1">
        <v>45680</v>
      </c>
      <c r="B390">
        <f>YEAR(tbl_Kalender[[#This Row],[Datum]])</f>
        <v>2025</v>
      </c>
      <c r="C390">
        <f>DAY(tbl_Kalender[[#This Row],[Datum]])</f>
        <v>23</v>
      </c>
      <c r="D390" t="str">
        <f>TEXT(tbl_Kalender[[#This Row],[Datum]],"TTTT")</f>
        <v>Donnerstag</v>
      </c>
      <c r="E390">
        <f>WEEKDAY(tbl_Kalender[[#This Row],[Datum]],2)</f>
        <v>4</v>
      </c>
      <c r="F390">
        <f>MONTH(tbl_Kalender[[#This Row],[Datum]])</f>
        <v>1</v>
      </c>
      <c r="G390" t="str">
        <f>TEXT(tbl_Kalender[[#This Row],[Datum]],"MMMM")</f>
        <v>Januar</v>
      </c>
      <c r="H390">
        <f>ROUNDUP(tbl_Kalender[[#This Row],[Monat]]/3,0)</f>
        <v>1</v>
      </c>
      <c r="I390" t="str">
        <f>"Q "&amp;tbl_Kalender[[#This Row],[Quartal]]</f>
        <v>Q 1</v>
      </c>
      <c r="J390" t="str">
        <f>tbl_Kalender[[#This Row],[Quartal]]&amp;". Quartal"</f>
        <v>1. Quartal</v>
      </c>
      <c r="K390">
        <f>_xlfn.ISOWEEKNUM(tbl_Kalender[[#This Row],[Datum]])</f>
        <v>4</v>
      </c>
    </row>
    <row r="391" spans="1:11" x14ac:dyDescent="0.25">
      <c r="A391" s="1">
        <v>45681</v>
      </c>
      <c r="B391">
        <f>YEAR(tbl_Kalender[[#This Row],[Datum]])</f>
        <v>2025</v>
      </c>
      <c r="C391">
        <f>DAY(tbl_Kalender[[#This Row],[Datum]])</f>
        <v>24</v>
      </c>
      <c r="D391" t="str">
        <f>TEXT(tbl_Kalender[[#This Row],[Datum]],"TTTT")</f>
        <v>Freitag</v>
      </c>
      <c r="E391">
        <f>WEEKDAY(tbl_Kalender[[#This Row],[Datum]],2)</f>
        <v>5</v>
      </c>
      <c r="F391">
        <f>MONTH(tbl_Kalender[[#This Row],[Datum]])</f>
        <v>1</v>
      </c>
      <c r="G391" t="str">
        <f>TEXT(tbl_Kalender[[#This Row],[Datum]],"MMMM")</f>
        <v>Januar</v>
      </c>
      <c r="H391">
        <f>ROUNDUP(tbl_Kalender[[#This Row],[Monat]]/3,0)</f>
        <v>1</v>
      </c>
      <c r="I391" t="str">
        <f>"Q "&amp;tbl_Kalender[[#This Row],[Quartal]]</f>
        <v>Q 1</v>
      </c>
      <c r="J391" t="str">
        <f>tbl_Kalender[[#This Row],[Quartal]]&amp;". Quartal"</f>
        <v>1. Quartal</v>
      </c>
      <c r="K391">
        <f>_xlfn.ISOWEEKNUM(tbl_Kalender[[#This Row],[Datum]])</f>
        <v>4</v>
      </c>
    </row>
    <row r="392" spans="1:11" x14ac:dyDescent="0.25">
      <c r="A392" s="1">
        <v>45682</v>
      </c>
      <c r="B392">
        <f>YEAR(tbl_Kalender[[#This Row],[Datum]])</f>
        <v>2025</v>
      </c>
      <c r="C392">
        <f>DAY(tbl_Kalender[[#This Row],[Datum]])</f>
        <v>25</v>
      </c>
      <c r="D392" t="str">
        <f>TEXT(tbl_Kalender[[#This Row],[Datum]],"TTTT")</f>
        <v>Samstag</v>
      </c>
      <c r="E392">
        <f>WEEKDAY(tbl_Kalender[[#This Row],[Datum]],2)</f>
        <v>6</v>
      </c>
      <c r="F392">
        <f>MONTH(tbl_Kalender[[#This Row],[Datum]])</f>
        <v>1</v>
      </c>
      <c r="G392" t="str">
        <f>TEXT(tbl_Kalender[[#This Row],[Datum]],"MMMM")</f>
        <v>Januar</v>
      </c>
      <c r="H392">
        <f>ROUNDUP(tbl_Kalender[[#This Row],[Monat]]/3,0)</f>
        <v>1</v>
      </c>
      <c r="I392" t="str">
        <f>"Q "&amp;tbl_Kalender[[#This Row],[Quartal]]</f>
        <v>Q 1</v>
      </c>
      <c r="J392" t="str">
        <f>tbl_Kalender[[#This Row],[Quartal]]&amp;". Quartal"</f>
        <v>1. Quartal</v>
      </c>
      <c r="K392">
        <f>_xlfn.ISOWEEKNUM(tbl_Kalender[[#This Row],[Datum]])</f>
        <v>4</v>
      </c>
    </row>
    <row r="393" spans="1:11" x14ac:dyDescent="0.25">
      <c r="A393" s="1">
        <v>45683</v>
      </c>
      <c r="B393">
        <f>YEAR(tbl_Kalender[[#This Row],[Datum]])</f>
        <v>2025</v>
      </c>
      <c r="C393">
        <f>DAY(tbl_Kalender[[#This Row],[Datum]])</f>
        <v>26</v>
      </c>
      <c r="D393" t="str">
        <f>TEXT(tbl_Kalender[[#This Row],[Datum]],"TTTT")</f>
        <v>Sonntag</v>
      </c>
      <c r="E393">
        <f>WEEKDAY(tbl_Kalender[[#This Row],[Datum]],2)</f>
        <v>7</v>
      </c>
      <c r="F393">
        <f>MONTH(tbl_Kalender[[#This Row],[Datum]])</f>
        <v>1</v>
      </c>
      <c r="G393" t="str">
        <f>TEXT(tbl_Kalender[[#This Row],[Datum]],"MMMM")</f>
        <v>Januar</v>
      </c>
      <c r="H393">
        <f>ROUNDUP(tbl_Kalender[[#This Row],[Monat]]/3,0)</f>
        <v>1</v>
      </c>
      <c r="I393" t="str">
        <f>"Q "&amp;tbl_Kalender[[#This Row],[Quartal]]</f>
        <v>Q 1</v>
      </c>
      <c r="J393" t="str">
        <f>tbl_Kalender[[#This Row],[Quartal]]&amp;". Quartal"</f>
        <v>1. Quartal</v>
      </c>
      <c r="K393">
        <f>_xlfn.ISOWEEKNUM(tbl_Kalender[[#This Row],[Datum]])</f>
        <v>4</v>
      </c>
    </row>
    <row r="394" spans="1:11" x14ac:dyDescent="0.25">
      <c r="A394" s="1">
        <v>45684</v>
      </c>
      <c r="B394">
        <f>YEAR(tbl_Kalender[[#This Row],[Datum]])</f>
        <v>2025</v>
      </c>
      <c r="C394">
        <f>DAY(tbl_Kalender[[#This Row],[Datum]])</f>
        <v>27</v>
      </c>
      <c r="D394" t="str">
        <f>TEXT(tbl_Kalender[[#This Row],[Datum]],"TTTT")</f>
        <v>Montag</v>
      </c>
      <c r="E394">
        <f>WEEKDAY(tbl_Kalender[[#This Row],[Datum]],2)</f>
        <v>1</v>
      </c>
      <c r="F394">
        <f>MONTH(tbl_Kalender[[#This Row],[Datum]])</f>
        <v>1</v>
      </c>
      <c r="G394" t="str">
        <f>TEXT(tbl_Kalender[[#This Row],[Datum]],"MMMM")</f>
        <v>Januar</v>
      </c>
      <c r="H394">
        <f>ROUNDUP(tbl_Kalender[[#This Row],[Monat]]/3,0)</f>
        <v>1</v>
      </c>
      <c r="I394" t="str">
        <f>"Q "&amp;tbl_Kalender[[#This Row],[Quartal]]</f>
        <v>Q 1</v>
      </c>
      <c r="J394" t="str">
        <f>tbl_Kalender[[#This Row],[Quartal]]&amp;". Quartal"</f>
        <v>1. Quartal</v>
      </c>
      <c r="K394">
        <f>_xlfn.ISOWEEKNUM(tbl_Kalender[[#This Row],[Datum]])</f>
        <v>5</v>
      </c>
    </row>
    <row r="395" spans="1:11" x14ac:dyDescent="0.25">
      <c r="A395" s="1">
        <v>45685</v>
      </c>
      <c r="B395">
        <f>YEAR(tbl_Kalender[[#This Row],[Datum]])</f>
        <v>2025</v>
      </c>
      <c r="C395">
        <f>DAY(tbl_Kalender[[#This Row],[Datum]])</f>
        <v>28</v>
      </c>
      <c r="D395" t="str">
        <f>TEXT(tbl_Kalender[[#This Row],[Datum]],"TTTT")</f>
        <v>Dienstag</v>
      </c>
      <c r="E395">
        <f>WEEKDAY(tbl_Kalender[[#This Row],[Datum]],2)</f>
        <v>2</v>
      </c>
      <c r="F395">
        <f>MONTH(tbl_Kalender[[#This Row],[Datum]])</f>
        <v>1</v>
      </c>
      <c r="G395" t="str">
        <f>TEXT(tbl_Kalender[[#This Row],[Datum]],"MMMM")</f>
        <v>Januar</v>
      </c>
      <c r="H395">
        <f>ROUNDUP(tbl_Kalender[[#This Row],[Monat]]/3,0)</f>
        <v>1</v>
      </c>
      <c r="I395" t="str">
        <f>"Q "&amp;tbl_Kalender[[#This Row],[Quartal]]</f>
        <v>Q 1</v>
      </c>
      <c r="J395" t="str">
        <f>tbl_Kalender[[#This Row],[Quartal]]&amp;". Quartal"</f>
        <v>1. Quartal</v>
      </c>
      <c r="K395">
        <f>_xlfn.ISOWEEKNUM(tbl_Kalender[[#This Row],[Datum]])</f>
        <v>5</v>
      </c>
    </row>
    <row r="396" spans="1:11" x14ac:dyDescent="0.25">
      <c r="A396" s="1">
        <v>45686</v>
      </c>
      <c r="B396">
        <f>YEAR(tbl_Kalender[[#This Row],[Datum]])</f>
        <v>2025</v>
      </c>
      <c r="C396">
        <f>DAY(tbl_Kalender[[#This Row],[Datum]])</f>
        <v>29</v>
      </c>
      <c r="D396" t="str">
        <f>TEXT(tbl_Kalender[[#This Row],[Datum]],"TTTT")</f>
        <v>Mittwoch</v>
      </c>
      <c r="E396">
        <f>WEEKDAY(tbl_Kalender[[#This Row],[Datum]],2)</f>
        <v>3</v>
      </c>
      <c r="F396">
        <f>MONTH(tbl_Kalender[[#This Row],[Datum]])</f>
        <v>1</v>
      </c>
      <c r="G396" t="str">
        <f>TEXT(tbl_Kalender[[#This Row],[Datum]],"MMMM")</f>
        <v>Januar</v>
      </c>
      <c r="H396">
        <f>ROUNDUP(tbl_Kalender[[#This Row],[Monat]]/3,0)</f>
        <v>1</v>
      </c>
      <c r="I396" t="str">
        <f>"Q "&amp;tbl_Kalender[[#This Row],[Quartal]]</f>
        <v>Q 1</v>
      </c>
      <c r="J396" t="str">
        <f>tbl_Kalender[[#This Row],[Quartal]]&amp;". Quartal"</f>
        <v>1. Quartal</v>
      </c>
      <c r="K396">
        <f>_xlfn.ISOWEEKNUM(tbl_Kalender[[#This Row],[Datum]])</f>
        <v>5</v>
      </c>
    </row>
    <row r="397" spans="1:11" x14ac:dyDescent="0.25">
      <c r="A397" s="1">
        <v>45687</v>
      </c>
      <c r="B397">
        <f>YEAR(tbl_Kalender[[#This Row],[Datum]])</f>
        <v>2025</v>
      </c>
      <c r="C397">
        <f>DAY(tbl_Kalender[[#This Row],[Datum]])</f>
        <v>30</v>
      </c>
      <c r="D397" t="str">
        <f>TEXT(tbl_Kalender[[#This Row],[Datum]],"TTTT")</f>
        <v>Donnerstag</v>
      </c>
      <c r="E397">
        <f>WEEKDAY(tbl_Kalender[[#This Row],[Datum]],2)</f>
        <v>4</v>
      </c>
      <c r="F397">
        <f>MONTH(tbl_Kalender[[#This Row],[Datum]])</f>
        <v>1</v>
      </c>
      <c r="G397" t="str">
        <f>TEXT(tbl_Kalender[[#This Row],[Datum]],"MMMM")</f>
        <v>Januar</v>
      </c>
      <c r="H397">
        <f>ROUNDUP(tbl_Kalender[[#This Row],[Monat]]/3,0)</f>
        <v>1</v>
      </c>
      <c r="I397" t="str">
        <f>"Q "&amp;tbl_Kalender[[#This Row],[Quartal]]</f>
        <v>Q 1</v>
      </c>
      <c r="J397" t="str">
        <f>tbl_Kalender[[#This Row],[Quartal]]&amp;". Quartal"</f>
        <v>1. Quartal</v>
      </c>
      <c r="K397">
        <f>_xlfn.ISOWEEKNUM(tbl_Kalender[[#This Row],[Datum]])</f>
        <v>5</v>
      </c>
    </row>
    <row r="398" spans="1:11" x14ac:dyDescent="0.25">
      <c r="A398" s="1">
        <v>45688</v>
      </c>
      <c r="B398">
        <f>YEAR(tbl_Kalender[[#This Row],[Datum]])</f>
        <v>2025</v>
      </c>
      <c r="C398">
        <f>DAY(tbl_Kalender[[#This Row],[Datum]])</f>
        <v>31</v>
      </c>
      <c r="D398" t="str">
        <f>TEXT(tbl_Kalender[[#This Row],[Datum]],"TTTT")</f>
        <v>Freitag</v>
      </c>
      <c r="E398">
        <f>WEEKDAY(tbl_Kalender[[#This Row],[Datum]],2)</f>
        <v>5</v>
      </c>
      <c r="F398">
        <f>MONTH(tbl_Kalender[[#This Row],[Datum]])</f>
        <v>1</v>
      </c>
      <c r="G398" t="str">
        <f>TEXT(tbl_Kalender[[#This Row],[Datum]],"MMMM")</f>
        <v>Januar</v>
      </c>
      <c r="H398">
        <f>ROUNDUP(tbl_Kalender[[#This Row],[Monat]]/3,0)</f>
        <v>1</v>
      </c>
      <c r="I398" t="str">
        <f>"Q "&amp;tbl_Kalender[[#This Row],[Quartal]]</f>
        <v>Q 1</v>
      </c>
      <c r="J398" t="str">
        <f>tbl_Kalender[[#This Row],[Quartal]]&amp;". Quartal"</f>
        <v>1. Quartal</v>
      </c>
      <c r="K398">
        <f>_xlfn.ISOWEEKNUM(tbl_Kalender[[#This Row],[Datum]])</f>
        <v>5</v>
      </c>
    </row>
    <row r="399" spans="1:11" x14ac:dyDescent="0.25">
      <c r="A399" s="1">
        <v>45689</v>
      </c>
      <c r="B399">
        <f>YEAR(tbl_Kalender[[#This Row],[Datum]])</f>
        <v>2025</v>
      </c>
      <c r="C399">
        <f>DAY(tbl_Kalender[[#This Row],[Datum]])</f>
        <v>1</v>
      </c>
      <c r="D399" t="str">
        <f>TEXT(tbl_Kalender[[#This Row],[Datum]],"TTTT")</f>
        <v>Samstag</v>
      </c>
      <c r="E399">
        <f>WEEKDAY(tbl_Kalender[[#This Row],[Datum]],2)</f>
        <v>6</v>
      </c>
      <c r="F399">
        <f>MONTH(tbl_Kalender[[#This Row],[Datum]])</f>
        <v>2</v>
      </c>
      <c r="G399" t="str">
        <f>TEXT(tbl_Kalender[[#This Row],[Datum]],"MMMM")</f>
        <v>Februar</v>
      </c>
      <c r="H399">
        <f>ROUNDUP(tbl_Kalender[[#This Row],[Monat]]/3,0)</f>
        <v>1</v>
      </c>
      <c r="I399" t="str">
        <f>"Q "&amp;tbl_Kalender[[#This Row],[Quartal]]</f>
        <v>Q 1</v>
      </c>
      <c r="J399" t="str">
        <f>tbl_Kalender[[#This Row],[Quartal]]&amp;". Quartal"</f>
        <v>1. Quartal</v>
      </c>
      <c r="K399">
        <f>_xlfn.ISOWEEKNUM(tbl_Kalender[[#This Row],[Datum]])</f>
        <v>5</v>
      </c>
    </row>
    <row r="400" spans="1:11" x14ac:dyDescent="0.25">
      <c r="A400" s="1">
        <v>45690</v>
      </c>
      <c r="B400">
        <f>YEAR(tbl_Kalender[[#This Row],[Datum]])</f>
        <v>2025</v>
      </c>
      <c r="C400">
        <f>DAY(tbl_Kalender[[#This Row],[Datum]])</f>
        <v>2</v>
      </c>
      <c r="D400" t="str">
        <f>TEXT(tbl_Kalender[[#This Row],[Datum]],"TTTT")</f>
        <v>Sonntag</v>
      </c>
      <c r="E400">
        <f>WEEKDAY(tbl_Kalender[[#This Row],[Datum]],2)</f>
        <v>7</v>
      </c>
      <c r="F400">
        <f>MONTH(tbl_Kalender[[#This Row],[Datum]])</f>
        <v>2</v>
      </c>
      <c r="G400" t="str">
        <f>TEXT(tbl_Kalender[[#This Row],[Datum]],"MMMM")</f>
        <v>Februar</v>
      </c>
      <c r="H400">
        <f>ROUNDUP(tbl_Kalender[[#This Row],[Monat]]/3,0)</f>
        <v>1</v>
      </c>
      <c r="I400" t="str">
        <f>"Q "&amp;tbl_Kalender[[#This Row],[Quartal]]</f>
        <v>Q 1</v>
      </c>
      <c r="J400" t="str">
        <f>tbl_Kalender[[#This Row],[Quartal]]&amp;". Quartal"</f>
        <v>1. Quartal</v>
      </c>
      <c r="K400">
        <f>_xlfn.ISOWEEKNUM(tbl_Kalender[[#This Row],[Datum]])</f>
        <v>5</v>
      </c>
    </row>
    <row r="401" spans="1:11" x14ac:dyDescent="0.25">
      <c r="A401" s="1">
        <v>45691</v>
      </c>
      <c r="B401">
        <f>YEAR(tbl_Kalender[[#This Row],[Datum]])</f>
        <v>2025</v>
      </c>
      <c r="C401">
        <f>DAY(tbl_Kalender[[#This Row],[Datum]])</f>
        <v>3</v>
      </c>
      <c r="D401" t="str">
        <f>TEXT(tbl_Kalender[[#This Row],[Datum]],"TTTT")</f>
        <v>Montag</v>
      </c>
      <c r="E401">
        <f>WEEKDAY(tbl_Kalender[[#This Row],[Datum]],2)</f>
        <v>1</v>
      </c>
      <c r="F401">
        <f>MONTH(tbl_Kalender[[#This Row],[Datum]])</f>
        <v>2</v>
      </c>
      <c r="G401" t="str">
        <f>TEXT(tbl_Kalender[[#This Row],[Datum]],"MMMM")</f>
        <v>Februar</v>
      </c>
      <c r="H401">
        <f>ROUNDUP(tbl_Kalender[[#This Row],[Monat]]/3,0)</f>
        <v>1</v>
      </c>
      <c r="I401" t="str">
        <f>"Q "&amp;tbl_Kalender[[#This Row],[Quartal]]</f>
        <v>Q 1</v>
      </c>
      <c r="J401" t="str">
        <f>tbl_Kalender[[#This Row],[Quartal]]&amp;". Quartal"</f>
        <v>1. Quartal</v>
      </c>
      <c r="K401">
        <f>_xlfn.ISOWEEKNUM(tbl_Kalender[[#This Row],[Datum]])</f>
        <v>6</v>
      </c>
    </row>
    <row r="402" spans="1:11" x14ac:dyDescent="0.25">
      <c r="A402" s="1">
        <v>45692</v>
      </c>
      <c r="B402">
        <f>YEAR(tbl_Kalender[[#This Row],[Datum]])</f>
        <v>2025</v>
      </c>
      <c r="C402">
        <f>DAY(tbl_Kalender[[#This Row],[Datum]])</f>
        <v>4</v>
      </c>
      <c r="D402" t="str">
        <f>TEXT(tbl_Kalender[[#This Row],[Datum]],"TTTT")</f>
        <v>Dienstag</v>
      </c>
      <c r="E402">
        <f>WEEKDAY(tbl_Kalender[[#This Row],[Datum]],2)</f>
        <v>2</v>
      </c>
      <c r="F402">
        <f>MONTH(tbl_Kalender[[#This Row],[Datum]])</f>
        <v>2</v>
      </c>
      <c r="G402" t="str">
        <f>TEXT(tbl_Kalender[[#This Row],[Datum]],"MMMM")</f>
        <v>Februar</v>
      </c>
      <c r="H402">
        <f>ROUNDUP(tbl_Kalender[[#This Row],[Monat]]/3,0)</f>
        <v>1</v>
      </c>
      <c r="I402" t="str">
        <f>"Q "&amp;tbl_Kalender[[#This Row],[Quartal]]</f>
        <v>Q 1</v>
      </c>
      <c r="J402" t="str">
        <f>tbl_Kalender[[#This Row],[Quartal]]&amp;". Quartal"</f>
        <v>1. Quartal</v>
      </c>
      <c r="K402">
        <f>_xlfn.ISOWEEKNUM(tbl_Kalender[[#This Row],[Datum]])</f>
        <v>6</v>
      </c>
    </row>
    <row r="403" spans="1:11" x14ac:dyDescent="0.25">
      <c r="A403" s="1">
        <v>45693</v>
      </c>
      <c r="B403">
        <f>YEAR(tbl_Kalender[[#This Row],[Datum]])</f>
        <v>2025</v>
      </c>
      <c r="C403">
        <f>DAY(tbl_Kalender[[#This Row],[Datum]])</f>
        <v>5</v>
      </c>
      <c r="D403" t="str">
        <f>TEXT(tbl_Kalender[[#This Row],[Datum]],"TTTT")</f>
        <v>Mittwoch</v>
      </c>
      <c r="E403">
        <f>WEEKDAY(tbl_Kalender[[#This Row],[Datum]],2)</f>
        <v>3</v>
      </c>
      <c r="F403">
        <f>MONTH(tbl_Kalender[[#This Row],[Datum]])</f>
        <v>2</v>
      </c>
      <c r="G403" t="str">
        <f>TEXT(tbl_Kalender[[#This Row],[Datum]],"MMMM")</f>
        <v>Februar</v>
      </c>
      <c r="H403">
        <f>ROUNDUP(tbl_Kalender[[#This Row],[Monat]]/3,0)</f>
        <v>1</v>
      </c>
      <c r="I403" t="str">
        <f>"Q "&amp;tbl_Kalender[[#This Row],[Quartal]]</f>
        <v>Q 1</v>
      </c>
      <c r="J403" t="str">
        <f>tbl_Kalender[[#This Row],[Quartal]]&amp;". Quartal"</f>
        <v>1. Quartal</v>
      </c>
      <c r="K403">
        <f>_xlfn.ISOWEEKNUM(tbl_Kalender[[#This Row],[Datum]])</f>
        <v>6</v>
      </c>
    </row>
    <row r="404" spans="1:11" x14ac:dyDescent="0.25">
      <c r="A404" s="1">
        <v>45694</v>
      </c>
      <c r="B404">
        <f>YEAR(tbl_Kalender[[#This Row],[Datum]])</f>
        <v>2025</v>
      </c>
      <c r="C404">
        <f>DAY(tbl_Kalender[[#This Row],[Datum]])</f>
        <v>6</v>
      </c>
      <c r="D404" t="str">
        <f>TEXT(tbl_Kalender[[#This Row],[Datum]],"TTTT")</f>
        <v>Donnerstag</v>
      </c>
      <c r="E404">
        <f>WEEKDAY(tbl_Kalender[[#This Row],[Datum]],2)</f>
        <v>4</v>
      </c>
      <c r="F404">
        <f>MONTH(tbl_Kalender[[#This Row],[Datum]])</f>
        <v>2</v>
      </c>
      <c r="G404" t="str">
        <f>TEXT(tbl_Kalender[[#This Row],[Datum]],"MMMM")</f>
        <v>Februar</v>
      </c>
      <c r="H404">
        <f>ROUNDUP(tbl_Kalender[[#This Row],[Monat]]/3,0)</f>
        <v>1</v>
      </c>
      <c r="I404" t="str">
        <f>"Q "&amp;tbl_Kalender[[#This Row],[Quartal]]</f>
        <v>Q 1</v>
      </c>
      <c r="J404" t="str">
        <f>tbl_Kalender[[#This Row],[Quartal]]&amp;". Quartal"</f>
        <v>1. Quartal</v>
      </c>
      <c r="K404">
        <f>_xlfn.ISOWEEKNUM(tbl_Kalender[[#This Row],[Datum]])</f>
        <v>6</v>
      </c>
    </row>
    <row r="405" spans="1:11" x14ac:dyDescent="0.25">
      <c r="A405" s="1">
        <v>45695</v>
      </c>
      <c r="B405">
        <f>YEAR(tbl_Kalender[[#This Row],[Datum]])</f>
        <v>2025</v>
      </c>
      <c r="C405">
        <f>DAY(tbl_Kalender[[#This Row],[Datum]])</f>
        <v>7</v>
      </c>
      <c r="D405" t="str">
        <f>TEXT(tbl_Kalender[[#This Row],[Datum]],"TTTT")</f>
        <v>Freitag</v>
      </c>
      <c r="E405">
        <f>WEEKDAY(tbl_Kalender[[#This Row],[Datum]],2)</f>
        <v>5</v>
      </c>
      <c r="F405">
        <f>MONTH(tbl_Kalender[[#This Row],[Datum]])</f>
        <v>2</v>
      </c>
      <c r="G405" t="str">
        <f>TEXT(tbl_Kalender[[#This Row],[Datum]],"MMMM")</f>
        <v>Februar</v>
      </c>
      <c r="H405">
        <f>ROUNDUP(tbl_Kalender[[#This Row],[Monat]]/3,0)</f>
        <v>1</v>
      </c>
      <c r="I405" t="str">
        <f>"Q "&amp;tbl_Kalender[[#This Row],[Quartal]]</f>
        <v>Q 1</v>
      </c>
      <c r="J405" t="str">
        <f>tbl_Kalender[[#This Row],[Quartal]]&amp;". Quartal"</f>
        <v>1. Quartal</v>
      </c>
      <c r="K405">
        <f>_xlfn.ISOWEEKNUM(tbl_Kalender[[#This Row],[Datum]])</f>
        <v>6</v>
      </c>
    </row>
    <row r="406" spans="1:11" x14ac:dyDescent="0.25">
      <c r="A406" s="1">
        <v>45696</v>
      </c>
      <c r="B406">
        <f>YEAR(tbl_Kalender[[#This Row],[Datum]])</f>
        <v>2025</v>
      </c>
      <c r="C406">
        <f>DAY(tbl_Kalender[[#This Row],[Datum]])</f>
        <v>8</v>
      </c>
      <c r="D406" t="str">
        <f>TEXT(tbl_Kalender[[#This Row],[Datum]],"TTTT")</f>
        <v>Samstag</v>
      </c>
      <c r="E406">
        <f>WEEKDAY(tbl_Kalender[[#This Row],[Datum]],2)</f>
        <v>6</v>
      </c>
      <c r="F406">
        <f>MONTH(tbl_Kalender[[#This Row],[Datum]])</f>
        <v>2</v>
      </c>
      <c r="G406" t="str">
        <f>TEXT(tbl_Kalender[[#This Row],[Datum]],"MMMM")</f>
        <v>Februar</v>
      </c>
      <c r="H406">
        <f>ROUNDUP(tbl_Kalender[[#This Row],[Monat]]/3,0)</f>
        <v>1</v>
      </c>
      <c r="I406" t="str">
        <f>"Q "&amp;tbl_Kalender[[#This Row],[Quartal]]</f>
        <v>Q 1</v>
      </c>
      <c r="J406" t="str">
        <f>tbl_Kalender[[#This Row],[Quartal]]&amp;". Quartal"</f>
        <v>1. Quartal</v>
      </c>
      <c r="K406">
        <f>_xlfn.ISOWEEKNUM(tbl_Kalender[[#This Row],[Datum]])</f>
        <v>6</v>
      </c>
    </row>
    <row r="407" spans="1:11" x14ac:dyDescent="0.25">
      <c r="A407" s="1">
        <v>45697</v>
      </c>
      <c r="B407">
        <f>YEAR(tbl_Kalender[[#This Row],[Datum]])</f>
        <v>2025</v>
      </c>
      <c r="C407">
        <f>DAY(tbl_Kalender[[#This Row],[Datum]])</f>
        <v>9</v>
      </c>
      <c r="D407" t="str">
        <f>TEXT(tbl_Kalender[[#This Row],[Datum]],"TTTT")</f>
        <v>Sonntag</v>
      </c>
      <c r="E407">
        <f>WEEKDAY(tbl_Kalender[[#This Row],[Datum]],2)</f>
        <v>7</v>
      </c>
      <c r="F407">
        <f>MONTH(tbl_Kalender[[#This Row],[Datum]])</f>
        <v>2</v>
      </c>
      <c r="G407" t="str">
        <f>TEXT(tbl_Kalender[[#This Row],[Datum]],"MMMM")</f>
        <v>Februar</v>
      </c>
      <c r="H407">
        <f>ROUNDUP(tbl_Kalender[[#This Row],[Monat]]/3,0)</f>
        <v>1</v>
      </c>
      <c r="I407" t="str">
        <f>"Q "&amp;tbl_Kalender[[#This Row],[Quartal]]</f>
        <v>Q 1</v>
      </c>
      <c r="J407" t="str">
        <f>tbl_Kalender[[#This Row],[Quartal]]&amp;". Quartal"</f>
        <v>1. Quartal</v>
      </c>
      <c r="K407">
        <f>_xlfn.ISOWEEKNUM(tbl_Kalender[[#This Row],[Datum]])</f>
        <v>6</v>
      </c>
    </row>
    <row r="408" spans="1:11" x14ac:dyDescent="0.25">
      <c r="A408" s="1">
        <v>45698</v>
      </c>
      <c r="B408">
        <f>YEAR(tbl_Kalender[[#This Row],[Datum]])</f>
        <v>2025</v>
      </c>
      <c r="C408">
        <f>DAY(tbl_Kalender[[#This Row],[Datum]])</f>
        <v>10</v>
      </c>
      <c r="D408" t="str">
        <f>TEXT(tbl_Kalender[[#This Row],[Datum]],"TTTT")</f>
        <v>Montag</v>
      </c>
      <c r="E408">
        <f>WEEKDAY(tbl_Kalender[[#This Row],[Datum]],2)</f>
        <v>1</v>
      </c>
      <c r="F408">
        <f>MONTH(tbl_Kalender[[#This Row],[Datum]])</f>
        <v>2</v>
      </c>
      <c r="G408" t="str">
        <f>TEXT(tbl_Kalender[[#This Row],[Datum]],"MMMM")</f>
        <v>Februar</v>
      </c>
      <c r="H408">
        <f>ROUNDUP(tbl_Kalender[[#This Row],[Monat]]/3,0)</f>
        <v>1</v>
      </c>
      <c r="I408" t="str">
        <f>"Q "&amp;tbl_Kalender[[#This Row],[Quartal]]</f>
        <v>Q 1</v>
      </c>
      <c r="J408" t="str">
        <f>tbl_Kalender[[#This Row],[Quartal]]&amp;". Quartal"</f>
        <v>1. Quartal</v>
      </c>
      <c r="K408">
        <f>_xlfn.ISOWEEKNUM(tbl_Kalender[[#This Row],[Datum]])</f>
        <v>7</v>
      </c>
    </row>
    <row r="409" spans="1:11" x14ac:dyDescent="0.25">
      <c r="A409" s="1">
        <v>45699</v>
      </c>
      <c r="B409">
        <f>YEAR(tbl_Kalender[[#This Row],[Datum]])</f>
        <v>2025</v>
      </c>
      <c r="C409">
        <f>DAY(tbl_Kalender[[#This Row],[Datum]])</f>
        <v>11</v>
      </c>
      <c r="D409" t="str">
        <f>TEXT(tbl_Kalender[[#This Row],[Datum]],"TTTT")</f>
        <v>Dienstag</v>
      </c>
      <c r="E409">
        <f>WEEKDAY(tbl_Kalender[[#This Row],[Datum]],2)</f>
        <v>2</v>
      </c>
      <c r="F409">
        <f>MONTH(tbl_Kalender[[#This Row],[Datum]])</f>
        <v>2</v>
      </c>
      <c r="G409" t="str">
        <f>TEXT(tbl_Kalender[[#This Row],[Datum]],"MMMM")</f>
        <v>Februar</v>
      </c>
      <c r="H409">
        <f>ROUNDUP(tbl_Kalender[[#This Row],[Monat]]/3,0)</f>
        <v>1</v>
      </c>
      <c r="I409" t="str">
        <f>"Q "&amp;tbl_Kalender[[#This Row],[Quartal]]</f>
        <v>Q 1</v>
      </c>
      <c r="J409" t="str">
        <f>tbl_Kalender[[#This Row],[Quartal]]&amp;". Quartal"</f>
        <v>1. Quartal</v>
      </c>
      <c r="K409">
        <f>_xlfn.ISOWEEKNUM(tbl_Kalender[[#This Row],[Datum]])</f>
        <v>7</v>
      </c>
    </row>
    <row r="410" spans="1:11" x14ac:dyDescent="0.25">
      <c r="A410" s="1">
        <v>45700</v>
      </c>
      <c r="B410">
        <f>YEAR(tbl_Kalender[[#This Row],[Datum]])</f>
        <v>2025</v>
      </c>
      <c r="C410">
        <f>DAY(tbl_Kalender[[#This Row],[Datum]])</f>
        <v>12</v>
      </c>
      <c r="D410" t="str">
        <f>TEXT(tbl_Kalender[[#This Row],[Datum]],"TTTT")</f>
        <v>Mittwoch</v>
      </c>
      <c r="E410">
        <f>WEEKDAY(tbl_Kalender[[#This Row],[Datum]],2)</f>
        <v>3</v>
      </c>
      <c r="F410">
        <f>MONTH(tbl_Kalender[[#This Row],[Datum]])</f>
        <v>2</v>
      </c>
      <c r="G410" t="str">
        <f>TEXT(tbl_Kalender[[#This Row],[Datum]],"MMMM")</f>
        <v>Februar</v>
      </c>
      <c r="H410">
        <f>ROUNDUP(tbl_Kalender[[#This Row],[Monat]]/3,0)</f>
        <v>1</v>
      </c>
      <c r="I410" t="str">
        <f>"Q "&amp;tbl_Kalender[[#This Row],[Quartal]]</f>
        <v>Q 1</v>
      </c>
      <c r="J410" t="str">
        <f>tbl_Kalender[[#This Row],[Quartal]]&amp;". Quartal"</f>
        <v>1. Quartal</v>
      </c>
      <c r="K410">
        <f>_xlfn.ISOWEEKNUM(tbl_Kalender[[#This Row],[Datum]])</f>
        <v>7</v>
      </c>
    </row>
    <row r="411" spans="1:11" x14ac:dyDescent="0.25">
      <c r="A411" s="1">
        <v>45701</v>
      </c>
      <c r="B411">
        <f>YEAR(tbl_Kalender[[#This Row],[Datum]])</f>
        <v>2025</v>
      </c>
      <c r="C411">
        <f>DAY(tbl_Kalender[[#This Row],[Datum]])</f>
        <v>13</v>
      </c>
      <c r="D411" t="str">
        <f>TEXT(tbl_Kalender[[#This Row],[Datum]],"TTTT")</f>
        <v>Donnerstag</v>
      </c>
      <c r="E411">
        <f>WEEKDAY(tbl_Kalender[[#This Row],[Datum]],2)</f>
        <v>4</v>
      </c>
      <c r="F411">
        <f>MONTH(tbl_Kalender[[#This Row],[Datum]])</f>
        <v>2</v>
      </c>
      <c r="G411" t="str">
        <f>TEXT(tbl_Kalender[[#This Row],[Datum]],"MMMM")</f>
        <v>Februar</v>
      </c>
      <c r="H411">
        <f>ROUNDUP(tbl_Kalender[[#This Row],[Monat]]/3,0)</f>
        <v>1</v>
      </c>
      <c r="I411" t="str">
        <f>"Q "&amp;tbl_Kalender[[#This Row],[Quartal]]</f>
        <v>Q 1</v>
      </c>
      <c r="J411" t="str">
        <f>tbl_Kalender[[#This Row],[Quartal]]&amp;". Quartal"</f>
        <v>1. Quartal</v>
      </c>
      <c r="K411">
        <f>_xlfn.ISOWEEKNUM(tbl_Kalender[[#This Row],[Datum]])</f>
        <v>7</v>
      </c>
    </row>
    <row r="412" spans="1:11" x14ac:dyDescent="0.25">
      <c r="A412" s="1">
        <v>45702</v>
      </c>
      <c r="B412">
        <f>YEAR(tbl_Kalender[[#This Row],[Datum]])</f>
        <v>2025</v>
      </c>
      <c r="C412">
        <f>DAY(tbl_Kalender[[#This Row],[Datum]])</f>
        <v>14</v>
      </c>
      <c r="D412" t="str">
        <f>TEXT(tbl_Kalender[[#This Row],[Datum]],"TTTT")</f>
        <v>Freitag</v>
      </c>
      <c r="E412">
        <f>WEEKDAY(tbl_Kalender[[#This Row],[Datum]],2)</f>
        <v>5</v>
      </c>
      <c r="F412">
        <f>MONTH(tbl_Kalender[[#This Row],[Datum]])</f>
        <v>2</v>
      </c>
      <c r="G412" t="str">
        <f>TEXT(tbl_Kalender[[#This Row],[Datum]],"MMMM")</f>
        <v>Februar</v>
      </c>
      <c r="H412">
        <f>ROUNDUP(tbl_Kalender[[#This Row],[Monat]]/3,0)</f>
        <v>1</v>
      </c>
      <c r="I412" t="str">
        <f>"Q "&amp;tbl_Kalender[[#This Row],[Quartal]]</f>
        <v>Q 1</v>
      </c>
      <c r="J412" t="str">
        <f>tbl_Kalender[[#This Row],[Quartal]]&amp;". Quartal"</f>
        <v>1. Quartal</v>
      </c>
      <c r="K412">
        <f>_xlfn.ISOWEEKNUM(tbl_Kalender[[#This Row],[Datum]])</f>
        <v>7</v>
      </c>
    </row>
    <row r="413" spans="1:11" x14ac:dyDescent="0.25">
      <c r="A413" s="1">
        <v>45703</v>
      </c>
      <c r="B413">
        <f>YEAR(tbl_Kalender[[#This Row],[Datum]])</f>
        <v>2025</v>
      </c>
      <c r="C413">
        <f>DAY(tbl_Kalender[[#This Row],[Datum]])</f>
        <v>15</v>
      </c>
      <c r="D413" t="str">
        <f>TEXT(tbl_Kalender[[#This Row],[Datum]],"TTTT")</f>
        <v>Samstag</v>
      </c>
      <c r="E413">
        <f>WEEKDAY(tbl_Kalender[[#This Row],[Datum]],2)</f>
        <v>6</v>
      </c>
      <c r="F413">
        <f>MONTH(tbl_Kalender[[#This Row],[Datum]])</f>
        <v>2</v>
      </c>
      <c r="G413" t="str">
        <f>TEXT(tbl_Kalender[[#This Row],[Datum]],"MMMM")</f>
        <v>Februar</v>
      </c>
      <c r="H413">
        <f>ROUNDUP(tbl_Kalender[[#This Row],[Monat]]/3,0)</f>
        <v>1</v>
      </c>
      <c r="I413" t="str">
        <f>"Q "&amp;tbl_Kalender[[#This Row],[Quartal]]</f>
        <v>Q 1</v>
      </c>
      <c r="J413" t="str">
        <f>tbl_Kalender[[#This Row],[Quartal]]&amp;". Quartal"</f>
        <v>1. Quartal</v>
      </c>
      <c r="K413">
        <f>_xlfn.ISOWEEKNUM(tbl_Kalender[[#This Row],[Datum]])</f>
        <v>7</v>
      </c>
    </row>
    <row r="414" spans="1:11" x14ac:dyDescent="0.25">
      <c r="A414" s="1">
        <v>45704</v>
      </c>
      <c r="B414">
        <f>YEAR(tbl_Kalender[[#This Row],[Datum]])</f>
        <v>2025</v>
      </c>
      <c r="C414">
        <f>DAY(tbl_Kalender[[#This Row],[Datum]])</f>
        <v>16</v>
      </c>
      <c r="D414" t="str">
        <f>TEXT(tbl_Kalender[[#This Row],[Datum]],"TTTT")</f>
        <v>Sonntag</v>
      </c>
      <c r="E414">
        <f>WEEKDAY(tbl_Kalender[[#This Row],[Datum]],2)</f>
        <v>7</v>
      </c>
      <c r="F414">
        <f>MONTH(tbl_Kalender[[#This Row],[Datum]])</f>
        <v>2</v>
      </c>
      <c r="G414" t="str">
        <f>TEXT(tbl_Kalender[[#This Row],[Datum]],"MMMM")</f>
        <v>Februar</v>
      </c>
      <c r="H414">
        <f>ROUNDUP(tbl_Kalender[[#This Row],[Monat]]/3,0)</f>
        <v>1</v>
      </c>
      <c r="I414" t="str">
        <f>"Q "&amp;tbl_Kalender[[#This Row],[Quartal]]</f>
        <v>Q 1</v>
      </c>
      <c r="J414" t="str">
        <f>tbl_Kalender[[#This Row],[Quartal]]&amp;". Quartal"</f>
        <v>1. Quartal</v>
      </c>
      <c r="K414">
        <f>_xlfn.ISOWEEKNUM(tbl_Kalender[[#This Row],[Datum]])</f>
        <v>7</v>
      </c>
    </row>
    <row r="415" spans="1:11" x14ac:dyDescent="0.25">
      <c r="A415" s="1">
        <v>45705</v>
      </c>
      <c r="B415">
        <f>YEAR(tbl_Kalender[[#This Row],[Datum]])</f>
        <v>2025</v>
      </c>
      <c r="C415">
        <f>DAY(tbl_Kalender[[#This Row],[Datum]])</f>
        <v>17</v>
      </c>
      <c r="D415" t="str">
        <f>TEXT(tbl_Kalender[[#This Row],[Datum]],"TTTT")</f>
        <v>Montag</v>
      </c>
      <c r="E415">
        <f>WEEKDAY(tbl_Kalender[[#This Row],[Datum]],2)</f>
        <v>1</v>
      </c>
      <c r="F415">
        <f>MONTH(tbl_Kalender[[#This Row],[Datum]])</f>
        <v>2</v>
      </c>
      <c r="G415" t="str">
        <f>TEXT(tbl_Kalender[[#This Row],[Datum]],"MMMM")</f>
        <v>Februar</v>
      </c>
      <c r="H415">
        <f>ROUNDUP(tbl_Kalender[[#This Row],[Monat]]/3,0)</f>
        <v>1</v>
      </c>
      <c r="I415" t="str">
        <f>"Q "&amp;tbl_Kalender[[#This Row],[Quartal]]</f>
        <v>Q 1</v>
      </c>
      <c r="J415" t="str">
        <f>tbl_Kalender[[#This Row],[Quartal]]&amp;". Quartal"</f>
        <v>1. Quartal</v>
      </c>
      <c r="K415">
        <f>_xlfn.ISOWEEKNUM(tbl_Kalender[[#This Row],[Datum]])</f>
        <v>8</v>
      </c>
    </row>
    <row r="416" spans="1:11" x14ac:dyDescent="0.25">
      <c r="A416" s="1">
        <v>45706</v>
      </c>
      <c r="B416">
        <f>YEAR(tbl_Kalender[[#This Row],[Datum]])</f>
        <v>2025</v>
      </c>
      <c r="C416">
        <f>DAY(tbl_Kalender[[#This Row],[Datum]])</f>
        <v>18</v>
      </c>
      <c r="D416" t="str">
        <f>TEXT(tbl_Kalender[[#This Row],[Datum]],"TTTT")</f>
        <v>Dienstag</v>
      </c>
      <c r="E416">
        <f>WEEKDAY(tbl_Kalender[[#This Row],[Datum]],2)</f>
        <v>2</v>
      </c>
      <c r="F416">
        <f>MONTH(tbl_Kalender[[#This Row],[Datum]])</f>
        <v>2</v>
      </c>
      <c r="G416" t="str">
        <f>TEXT(tbl_Kalender[[#This Row],[Datum]],"MMMM")</f>
        <v>Februar</v>
      </c>
      <c r="H416">
        <f>ROUNDUP(tbl_Kalender[[#This Row],[Monat]]/3,0)</f>
        <v>1</v>
      </c>
      <c r="I416" t="str">
        <f>"Q "&amp;tbl_Kalender[[#This Row],[Quartal]]</f>
        <v>Q 1</v>
      </c>
      <c r="J416" t="str">
        <f>tbl_Kalender[[#This Row],[Quartal]]&amp;". Quartal"</f>
        <v>1. Quartal</v>
      </c>
      <c r="K416">
        <f>_xlfn.ISOWEEKNUM(tbl_Kalender[[#This Row],[Datum]])</f>
        <v>8</v>
      </c>
    </row>
    <row r="417" spans="1:11" x14ac:dyDescent="0.25">
      <c r="A417" s="1">
        <v>45707</v>
      </c>
      <c r="B417">
        <f>YEAR(tbl_Kalender[[#This Row],[Datum]])</f>
        <v>2025</v>
      </c>
      <c r="C417">
        <f>DAY(tbl_Kalender[[#This Row],[Datum]])</f>
        <v>19</v>
      </c>
      <c r="D417" t="str">
        <f>TEXT(tbl_Kalender[[#This Row],[Datum]],"TTTT")</f>
        <v>Mittwoch</v>
      </c>
      <c r="E417">
        <f>WEEKDAY(tbl_Kalender[[#This Row],[Datum]],2)</f>
        <v>3</v>
      </c>
      <c r="F417">
        <f>MONTH(tbl_Kalender[[#This Row],[Datum]])</f>
        <v>2</v>
      </c>
      <c r="G417" t="str">
        <f>TEXT(tbl_Kalender[[#This Row],[Datum]],"MMMM")</f>
        <v>Februar</v>
      </c>
      <c r="H417">
        <f>ROUNDUP(tbl_Kalender[[#This Row],[Monat]]/3,0)</f>
        <v>1</v>
      </c>
      <c r="I417" t="str">
        <f>"Q "&amp;tbl_Kalender[[#This Row],[Quartal]]</f>
        <v>Q 1</v>
      </c>
      <c r="J417" t="str">
        <f>tbl_Kalender[[#This Row],[Quartal]]&amp;". Quartal"</f>
        <v>1. Quartal</v>
      </c>
      <c r="K417">
        <f>_xlfn.ISOWEEKNUM(tbl_Kalender[[#This Row],[Datum]])</f>
        <v>8</v>
      </c>
    </row>
    <row r="418" spans="1:11" x14ac:dyDescent="0.25">
      <c r="A418" s="1">
        <v>45708</v>
      </c>
      <c r="B418">
        <f>YEAR(tbl_Kalender[[#This Row],[Datum]])</f>
        <v>2025</v>
      </c>
      <c r="C418">
        <f>DAY(tbl_Kalender[[#This Row],[Datum]])</f>
        <v>20</v>
      </c>
      <c r="D418" t="str">
        <f>TEXT(tbl_Kalender[[#This Row],[Datum]],"TTTT")</f>
        <v>Donnerstag</v>
      </c>
      <c r="E418">
        <f>WEEKDAY(tbl_Kalender[[#This Row],[Datum]],2)</f>
        <v>4</v>
      </c>
      <c r="F418">
        <f>MONTH(tbl_Kalender[[#This Row],[Datum]])</f>
        <v>2</v>
      </c>
      <c r="G418" t="str">
        <f>TEXT(tbl_Kalender[[#This Row],[Datum]],"MMMM")</f>
        <v>Februar</v>
      </c>
      <c r="H418">
        <f>ROUNDUP(tbl_Kalender[[#This Row],[Monat]]/3,0)</f>
        <v>1</v>
      </c>
      <c r="I418" t="str">
        <f>"Q "&amp;tbl_Kalender[[#This Row],[Quartal]]</f>
        <v>Q 1</v>
      </c>
      <c r="J418" t="str">
        <f>tbl_Kalender[[#This Row],[Quartal]]&amp;". Quartal"</f>
        <v>1. Quartal</v>
      </c>
      <c r="K418">
        <f>_xlfn.ISOWEEKNUM(tbl_Kalender[[#This Row],[Datum]])</f>
        <v>8</v>
      </c>
    </row>
    <row r="419" spans="1:11" x14ac:dyDescent="0.25">
      <c r="A419" s="1">
        <v>45709</v>
      </c>
      <c r="B419">
        <f>YEAR(tbl_Kalender[[#This Row],[Datum]])</f>
        <v>2025</v>
      </c>
      <c r="C419">
        <f>DAY(tbl_Kalender[[#This Row],[Datum]])</f>
        <v>21</v>
      </c>
      <c r="D419" t="str">
        <f>TEXT(tbl_Kalender[[#This Row],[Datum]],"TTTT")</f>
        <v>Freitag</v>
      </c>
      <c r="E419">
        <f>WEEKDAY(tbl_Kalender[[#This Row],[Datum]],2)</f>
        <v>5</v>
      </c>
      <c r="F419">
        <f>MONTH(tbl_Kalender[[#This Row],[Datum]])</f>
        <v>2</v>
      </c>
      <c r="G419" t="str">
        <f>TEXT(tbl_Kalender[[#This Row],[Datum]],"MMMM")</f>
        <v>Februar</v>
      </c>
      <c r="H419">
        <f>ROUNDUP(tbl_Kalender[[#This Row],[Monat]]/3,0)</f>
        <v>1</v>
      </c>
      <c r="I419" t="str">
        <f>"Q "&amp;tbl_Kalender[[#This Row],[Quartal]]</f>
        <v>Q 1</v>
      </c>
      <c r="J419" t="str">
        <f>tbl_Kalender[[#This Row],[Quartal]]&amp;". Quartal"</f>
        <v>1. Quartal</v>
      </c>
      <c r="K419">
        <f>_xlfn.ISOWEEKNUM(tbl_Kalender[[#This Row],[Datum]])</f>
        <v>8</v>
      </c>
    </row>
    <row r="420" spans="1:11" x14ac:dyDescent="0.25">
      <c r="A420" s="1">
        <v>45710</v>
      </c>
      <c r="B420">
        <f>YEAR(tbl_Kalender[[#This Row],[Datum]])</f>
        <v>2025</v>
      </c>
      <c r="C420">
        <f>DAY(tbl_Kalender[[#This Row],[Datum]])</f>
        <v>22</v>
      </c>
      <c r="D420" t="str">
        <f>TEXT(tbl_Kalender[[#This Row],[Datum]],"TTTT")</f>
        <v>Samstag</v>
      </c>
      <c r="E420">
        <f>WEEKDAY(tbl_Kalender[[#This Row],[Datum]],2)</f>
        <v>6</v>
      </c>
      <c r="F420">
        <f>MONTH(tbl_Kalender[[#This Row],[Datum]])</f>
        <v>2</v>
      </c>
      <c r="G420" t="str">
        <f>TEXT(tbl_Kalender[[#This Row],[Datum]],"MMMM")</f>
        <v>Februar</v>
      </c>
      <c r="H420">
        <f>ROUNDUP(tbl_Kalender[[#This Row],[Monat]]/3,0)</f>
        <v>1</v>
      </c>
      <c r="I420" t="str">
        <f>"Q "&amp;tbl_Kalender[[#This Row],[Quartal]]</f>
        <v>Q 1</v>
      </c>
      <c r="J420" t="str">
        <f>tbl_Kalender[[#This Row],[Quartal]]&amp;". Quartal"</f>
        <v>1. Quartal</v>
      </c>
      <c r="K420">
        <f>_xlfn.ISOWEEKNUM(tbl_Kalender[[#This Row],[Datum]])</f>
        <v>8</v>
      </c>
    </row>
    <row r="421" spans="1:11" x14ac:dyDescent="0.25">
      <c r="A421" s="1">
        <v>45711</v>
      </c>
      <c r="B421">
        <f>YEAR(tbl_Kalender[[#This Row],[Datum]])</f>
        <v>2025</v>
      </c>
      <c r="C421">
        <f>DAY(tbl_Kalender[[#This Row],[Datum]])</f>
        <v>23</v>
      </c>
      <c r="D421" t="str">
        <f>TEXT(tbl_Kalender[[#This Row],[Datum]],"TTTT")</f>
        <v>Sonntag</v>
      </c>
      <c r="E421">
        <f>WEEKDAY(tbl_Kalender[[#This Row],[Datum]],2)</f>
        <v>7</v>
      </c>
      <c r="F421">
        <f>MONTH(tbl_Kalender[[#This Row],[Datum]])</f>
        <v>2</v>
      </c>
      <c r="G421" t="str">
        <f>TEXT(tbl_Kalender[[#This Row],[Datum]],"MMMM")</f>
        <v>Februar</v>
      </c>
      <c r="H421">
        <f>ROUNDUP(tbl_Kalender[[#This Row],[Monat]]/3,0)</f>
        <v>1</v>
      </c>
      <c r="I421" t="str">
        <f>"Q "&amp;tbl_Kalender[[#This Row],[Quartal]]</f>
        <v>Q 1</v>
      </c>
      <c r="J421" t="str">
        <f>tbl_Kalender[[#This Row],[Quartal]]&amp;". Quartal"</f>
        <v>1. Quartal</v>
      </c>
      <c r="K421">
        <f>_xlfn.ISOWEEKNUM(tbl_Kalender[[#This Row],[Datum]])</f>
        <v>8</v>
      </c>
    </row>
    <row r="422" spans="1:11" x14ac:dyDescent="0.25">
      <c r="A422" s="1">
        <v>45712</v>
      </c>
      <c r="B422">
        <f>YEAR(tbl_Kalender[[#This Row],[Datum]])</f>
        <v>2025</v>
      </c>
      <c r="C422">
        <f>DAY(tbl_Kalender[[#This Row],[Datum]])</f>
        <v>24</v>
      </c>
      <c r="D422" t="str">
        <f>TEXT(tbl_Kalender[[#This Row],[Datum]],"TTTT")</f>
        <v>Montag</v>
      </c>
      <c r="E422">
        <f>WEEKDAY(tbl_Kalender[[#This Row],[Datum]],2)</f>
        <v>1</v>
      </c>
      <c r="F422">
        <f>MONTH(tbl_Kalender[[#This Row],[Datum]])</f>
        <v>2</v>
      </c>
      <c r="G422" t="str">
        <f>TEXT(tbl_Kalender[[#This Row],[Datum]],"MMMM")</f>
        <v>Februar</v>
      </c>
      <c r="H422">
        <f>ROUNDUP(tbl_Kalender[[#This Row],[Monat]]/3,0)</f>
        <v>1</v>
      </c>
      <c r="I422" t="str">
        <f>"Q "&amp;tbl_Kalender[[#This Row],[Quartal]]</f>
        <v>Q 1</v>
      </c>
      <c r="J422" t="str">
        <f>tbl_Kalender[[#This Row],[Quartal]]&amp;". Quartal"</f>
        <v>1. Quartal</v>
      </c>
      <c r="K422">
        <f>_xlfn.ISOWEEKNUM(tbl_Kalender[[#This Row],[Datum]])</f>
        <v>9</v>
      </c>
    </row>
    <row r="423" spans="1:11" x14ac:dyDescent="0.25">
      <c r="A423" s="1">
        <v>45713</v>
      </c>
      <c r="B423">
        <f>YEAR(tbl_Kalender[[#This Row],[Datum]])</f>
        <v>2025</v>
      </c>
      <c r="C423">
        <f>DAY(tbl_Kalender[[#This Row],[Datum]])</f>
        <v>25</v>
      </c>
      <c r="D423" t="str">
        <f>TEXT(tbl_Kalender[[#This Row],[Datum]],"TTTT")</f>
        <v>Dienstag</v>
      </c>
      <c r="E423">
        <f>WEEKDAY(tbl_Kalender[[#This Row],[Datum]],2)</f>
        <v>2</v>
      </c>
      <c r="F423">
        <f>MONTH(tbl_Kalender[[#This Row],[Datum]])</f>
        <v>2</v>
      </c>
      <c r="G423" t="str">
        <f>TEXT(tbl_Kalender[[#This Row],[Datum]],"MMMM")</f>
        <v>Februar</v>
      </c>
      <c r="H423">
        <f>ROUNDUP(tbl_Kalender[[#This Row],[Monat]]/3,0)</f>
        <v>1</v>
      </c>
      <c r="I423" t="str">
        <f>"Q "&amp;tbl_Kalender[[#This Row],[Quartal]]</f>
        <v>Q 1</v>
      </c>
      <c r="J423" t="str">
        <f>tbl_Kalender[[#This Row],[Quartal]]&amp;". Quartal"</f>
        <v>1. Quartal</v>
      </c>
      <c r="K423">
        <f>_xlfn.ISOWEEKNUM(tbl_Kalender[[#This Row],[Datum]])</f>
        <v>9</v>
      </c>
    </row>
    <row r="424" spans="1:11" x14ac:dyDescent="0.25">
      <c r="A424" s="1">
        <v>45714</v>
      </c>
      <c r="B424">
        <f>YEAR(tbl_Kalender[[#This Row],[Datum]])</f>
        <v>2025</v>
      </c>
      <c r="C424">
        <f>DAY(tbl_Kalender[[#This Row],[Datum]])</f>
        <v>26</v>
      </c>
      <c r="D424" t="str">
        <f>TEXT(tbl_Kalender[[#This Row],[Datum]],"TTTT")</f>
        <v>Mittwoch</v>
      </c>
      <c r="E424">
        <f>WEEKDAY(tbl_Kalender[[#This Row],[Datum]],2)</f>
        <v>3</v>
      </c>
      <c r="F424">
        <f>MONTH(tbl_Kalender[[#This Row],[Datum]])</f>
        <v>2</v>
      </c>
      <c r="G424" t="str">
        <f>TEXT(tbl_Kalender[[#This Row],[Datum]],"MMMM")</f>
        <v>Februar</v>
      </c>
      <c r="H424">
        <f>ROUNDUP(tbl_Kalender[[#This Row],[Monat]]/3,0)</f>
        <v>1</v>
      </c>
      <c r="I424" t="str">
        <f>"Q "&amp;tbl_Kalender[[#This Row],[Quartal]]</f>
        <v>Q 1</v>
      </c>
      <c r="J424" t="str">
        <f>tbl_Kalender[[#This Row],[Quartal]]&amp;". Quartal"</f>
        <v>1. Quartal</v>
      </c>
      <c r="K424">
        <f>_xlfn.ISOWEEKNUM(tbl_Kalender[[#This Row],[Datum]])</f>
        <v>9</v>
      </c>
    </row>
    <row r="425" spans="1:11" x14ac:dyDescent="0.25">
      <c r="A425" s="1">
        <v>45715</v>
      </c>
      <c r="B425">
        <f>YEAR(tbl_Kalender[[#This Row],[Datum]])</f>
        <v>2025</v>
      </c>
      <c r="C425">
        <f>DAY(tbl_Kalender[[#This Row],[Datum]])</f>
        <v>27</v>
      </c>
      <c r="D425" t="str">
        <f>TEXT(tbl_Kalender[[#This Row],[Datum]],"TTTT")</f>
        <v>Donnerstag</v>
      </c>
      <c r="E425">
        <f>WEEKDAY(tbl_Kalender[[#This Row],[Datum]],2)</f>
        <v>4</v>
      </c>
      <c r="F425">
        <f>MONTH(tbl_Kalender[[#This Row],[Datum]])</f>
        <v>2</v>
      </c>
      <c r="G425" t="str">
        <f>TEXT(tbl_Kalender[[#This Row],[Datum]],"MMMM")</f>
        <v>Februar</v>
      </c>
      <c r="H425">
        <f>ROUNDUP(tbl_Kalender[[#This Row],[Monat]]/3,0)</f>
        <v>1</v>
      </c>
      <c r="I425" t="str">
        <f>"Q "&amp;tbl_Kalender[[#This Row],[Quartal]]</f>
        <v>Q 1</v>
      </c>
      <c r="J425" t="str">
        <f>tbl_Kalender[[#This Row],[Quartal]]&amp;". Quartal"</f>
        <v>1. Quartal</v>
      </c>
      <c r="K425">
        <f>_xlfn.ISOWEEKNUM(tbl_Kalender[[#This Row],[Datum]])</f>
        <v>9</v>
      </c>
    </row>
    <row r="426" spans="1:11" x14ac:dyDescent="0.25">
      <c r="A426" s="1">
        <v>45716</v>
      </c>
      <c r="B426">
        <f>YEAR(tbl_Kalender[[#This Row],[Datum]])</f>
        <v>2025</v>
      </c>
      <c r="C426">
        <f>DAY(tbl_Kalender[[#This Row],[Datum]])</f>
        <v>28</v>
      </c>
      <c r="D426" t="str">
        <f>TEXT(tbl_Kalender[[#This Row],[Datum]],"TTTT")</f>
        <v>Freitag</v>
      </c>
      <c r="E426">
        <f>WEEKDAY(tbl_Kalender[[#This Row],[Datum]],2)</f>
        <v>5</v>
      </c>
      <c r="F426">
        <f>MONTH(tbl_Kalender[[#This Row],[Datum]])</f>
        <v>2</v>
      </c>
      <c r="G426" t="str">
        <f>TEXT(tbl_Kalender[[#This Row],[Datum]],"MMMM")</f>
        <v>Februar</v>
      </c>
      <c r="H426">
        <f>ROUNDUP(tbl_Kalender[[#This Row],[Monat]]/3,0)</f>
        <v>1</v>
      </c>
      <c r="I426" t="str">
        <f>"Q "&amp;tbl_Kalender[[#This Row],[Quartal]]</f>
        <v>Q 1</v>
      </c>
      <c r="J426" t="str">
        <f>tbl_Kalender[[#This Row],[Quartal]]&amp;". Quartal"</f>
        <v>1. Quartal</v>
      </c>
      <c r="K426">
        <f>_xlfn.ISOWEEKNUM(tbl_Kalender[[#This Row],[Datum]])</f>
        <v>9</v>
      </c>
    </row>
    <row r="427" spans="1:11" x14ac:dyDescent="0.25">
      <c r="A427" s="1">
        <v>45717</v>
      </c>
      <c r="B427">
        <f>YEAR(tbl_Kalender[[#This Row],[Datum]])</f>
        <v>2025</v>
      </c>
      <c r="C427">
        <f>DAY(tbl_Kalender[[#This Row],[Datum]])</f>
        <v>1</v>
      </c>
      <c r="D427" t="str">
        <f>TEXT(tbl_Kalender[[#This Row],[Datum]],"TTTT")</f>
        <v>Samstag</v>
      </c>
      <c r="E427">
        <f>WEEKDAY(tbl_Kalender[[#This Row],[Datum]],2)</f>
        <v>6</v>
      </c>
      <c r="F427">
        <f>MONTH(tbl_Kalender[[#This Row],[Datum]])</f>
        <v>3</v>
      </c>
      <c r="G427" t="str">
        <f>TEXT(tbl_Kalender[[#This Row],[Datum]],"MMMM")</f>
        <v>März</v>
      </c>
      <c r="H427">
        <f>ROUNDUP(tbl_Kalender[[#This Row],[Monat]]/3,0)</f>
        <v>1</v>
      </c>
      <c r="I427" t="str">
        <f>"Q "&amp;tbl_Kalender[[#This Row],[Quartal]]</f>
        <v>Q 1</v>
      </c>
      <c r="J427" t="str">
        <f>tbl_Kalender[[#This Row],[Quartal]]&amp;". Quartal"</f>
        <v>1. Quartal</v>
      </c>
      <c r="K427">
        <f>_xlfn.ISOWEEKNUM(tbl_Kalender[[#This Row],[Datum]])</f>
        <v>9</v>
      </c>
    </row>
    <row r="428" spans="1:11" x14ac:dyDescent="0.25">
      <c r="A428" s="1">
        <v>45718</v>
      </c>
      <c r="B428">
        <f>YEAR(tbl_Kalender[[#This Row],[Datum]])</f>
        <v>2025</v>
      </c>
      <c r="C428">
        <f>DAY(tbl_Kalender[[#This Row],[Datum]])</f>
        <v>2</v>
      </c>
      <c r="D428" t="str">
        <f>TEXT(tbl_Kalender[[#This Row],[Datum]],"TTTT")</f>
        <v>Sonntag</v>
      </c>
      <c r="E428">
        <f>WEEKDAY(tbl_Kalender[[#This Row],[Datum]],2)</f>
        <v>7</v>
      </c>
      <c r="F428">
        <f>MONTH(tbl_Kalender[[#This Row],[Datum]])</f>
        <v>3</v>
      </c>
      <c r="G428" t="str">
        <f>TEXT(tbl_Kalender[[#This Row],[Datum]],"MMMM")</f>
        <v>März</v>
      </c>
      <c r="H428">
        <f>ROUNDUP(tbl_Kalender[[#This Row],[Monat]]/3,0)</f>
        <v>1</v>
      </c>
      <c r="I428" t="str">
        <f>"Q "&amp;tbl_Kalender[[#This Row],[Quartal]]</f>
        <v>Q 1</v>
      </c>
      <c r="J428" t="str">
        <f>tbl_Kalender[[#This Row],[Quartal]]&amp;". Quartal"</f>
        <v>1. Quartal</v>
      </c>
      <c r="K428">
        <f>_xlfn.ISOWEEKNUM(tbl_Kalender[[#This Row],[Datum]])</f>
        <v>9</v>
      </c>
    </row>
    <row r="429" spans="1:11" x14ac:dyDescent="0.25">
      <c r="A429" s="1">
        <v>45719</v>
      </c>
      <c r="B429">
        <f>YEAR(tbl_Kalender[[#This Row],[Datum]])</f>
        <v>2025</v>
      </c>
      <c r="C429">
        <f>DAY(tbl_Kalender[[#This Row],[Datum]])</f>
        <v>3</v>
      </c>
      <c r="D429" t="str">
        <f>TEXT(tbl_Kalender[[#This Row],[Datum]],"TTTT")</f>
        <v>Montag</v>
      </c>
      <c r="E429">
        <f>WEEKDAY(tbl_Kalender[[#This Row],[Datum]],2)</f>
        <v>1</v>
      </c>
      <c r="F429">
        <f>MONTH(tbl_Kalender[[#This Row],[Datum]])</f>
        <v>3</v>
      </c>
      <c r="G429" t="str">
        <f>TEXT(tbl_Kalender[[#This Row],[Datum]],"MMMM")</f>
        <v>März</v>
      </c>
      <c r="H429">
        <f>ROUNDUP(tbl_Kalender[[#This Row],[Monat]]/3,0)</f>
        <v>1</v>
      </c>
      <c r="I429" t="str">
        <f>"Q "&amp;tbl_Kalender[[#This Row],[Quartal]]</f>
        <v>Q 1</v>
      </c>
      <c r="J429" t="str">
        <f>tbl_Kalender[[#This Row],[Quartal]]&amp;". Quartal"</f>
        <v>1. Quartal</v>
      </c>
      <c r="K429">
        <f>_xlfn.ISOWEEKNUM(tbl_Kalender[[#This Row],[Datum]])</f>
        <v>10</v>
      </c>
    </row>
    <row r="430" spans="1:11" x14ac:dyDescent="0.25">
      <c r="A430" s="1">
        <v>45720</v>
      </c>
      <c r="B430">
        <f>YEAR(tbl_Kalender[[#This Row],[Datum]])</f>
        <v>2025</v>
      </c>
      <c r="C430">
        <f>DAY(tbl_Kalender[[#This Row],[Datum]])</f>
        <v>4</v>
      </c>
      <c r="D430" t="str">
        <f>TEXT(tbl_Kalender[[#This Row],[Datum]],"TTTT")</f>
        <v>Dienstag</v>
      </c>
      <c r="E430">
        <f>WEEKDAY(tbl_Kalender[[#This Row],[Datum]],2)</f>
        <v>2</v>
      </c>
      <c r="F430">
        <f>MONTH(tbl_Kalender[[#This Row],[Datum]])</f>
        <v>3</v>
      </c>
      <c r="G430" t="str">
        <f>TEXT(tbl_Kalender[[#This Row],[Datum]],"MMMM")</f>
        <v>März</v>
      </c>
      <c r="H430">
        <f>ROUNDUP(tbl_Kalender[[#This Row],[Monat]]/3,0)</f>
        <v>1</v>
      </c>
      <c r="I430" t="str">
        <f>"Q "&amp;tbl_Kalender[[#This Row],[Quartal]]</f>
        <v>Q 1</v>
      </c>
      <c r="J430" t="str">
        <f>tbl_Kalender[[#This Row],[Quartal]]&amp;". Quartal"</f>
        <v>1. Quartal</v>
      </c>
      <c r="K430">
        <f>_xlfn.ISOWEEKNUM(tbl_Kalender[[#This Row],[Datum]])</f>
        <v>10</v>
      </c>
    </row>
    <row r="431" spans="1:11" x14ac:dyDescent="0.25">
      <c r="A431" s="1">
        <v>45721</v>
      </c>
      <c r="B431">
        <f>YEAR(tbl_Kalender[[#This Row],[Datum]])</f>
        <v>2025</v>
      </c>
      <c r="C431">
        <f>DAY(tbl_Kalender[[#This Row],[Datum]])</f>
        <v>5</v>
      </c>
      <c r="D431" t="str">
        <f>TEXT(tbl_Kalender[[#This Row],[Datum]],"TTTT")</f>
        <v>Mittwoch</v>
      </c>
      <c r="E431">
        <f>WEEKDAY(tbl_Kalender[[#This Row],[Datum]],2)</f>
        <v>3</v>
      </c>
      <c r="F431">
        <f>MONTH(tbl_Kalender[[#This Row],[Datum]])</f>
        <v>3</v>
      </c>
      <c r="G431" t="str">
        <f>TEXT(tbl_Kalender[[#This Row],[Datum]],"MMMM")</f>
        <v>März</v>
      </c>
      <c r="H431">
        <f>ROUNDUP(tbl_Kalender[[#This Row],[Monat]]/3,0)</f>
        <v>1</v>
      </c>
      <c r="I431" t="str">
        <f>"Q "&amp;tbl_Kalender[[#This Row],[Quartal]]</f>
        <v>Q 1</v>
      </c>
      <c r="J431" t="str">
        <f>tbl_Kalender[[#This Row],[Quartal]]&amp;". Quartal"</f>
        <v>1. Quartal</v>
      </c>
      <c r="K431">
        <f>_xlfn.ISOWEEKNUM(tbl_Kalender[[#This Row],[Datum]])</f>
        <v>10</v>
      </c>
    </row>
    <row r="432" spans="1:11" x14ac:dyDescent="0.25">
      <c r="A432" s="1">
        <v>45722</v>
      </c>
      <c r="B432">
        <f>YEAR(tbl_Kalender[[#This Row],[Datum]])</f>
        <v>2025</v>
      </c>
      <c r="C432">
        <f>DAY(tbl_Kalender[[#This Row],[Datum]])</f>
        <v>6</v>
      </c>
      <c r="D432" t="str">
        <f>TEXT(tbl_Kalender[[#This Row],[Datum]],"TTTT")</f>
        <v>Donnerstag</v>
      </c>
      <c r="E432">
        <f>WEEKDAY(tbl_Kalender[[#This Row],[Datum]],2)</f>
        <v>4</v>
      </c>
      <c r="F432">
        <f>MONTH(tbl_Kalender[[#This Row],[Datum]])</f>
        <v>3</v>
      </c>
      <c r="G432" t="str">
        <f>TEXT(tbl_Kalender[[#This Row],[Datum]],"MMMM")</f>
        <v>März</v>
      </c>
      <c r="H432">
        <f>ROUNDUP(tbl_Kalender[[#This Row],[Monat]]/3,0)</f>
        <v>1</v>
      </c>
      <c r="I432" t="str">
        <f>"Q "&amp;tbl_Kalender[[#This Row],[Quartal]]</f>
        <v>Q 1</v>
      </c>
      <c r="J432" t="str">
        <f>tbl_Kalender[[#This Row],[Quartal]]&amp;". Quartal"</f>
        <v>1. Quartal</v>
      </c>
      <c r="K432">
        <f>_xlfn.ISOWEEKNUM(tbl_Kalender[[#This Row],[Datum]])</f>
        <v>10</v>
      </c>
    </row>
    <row r="433" spans="1:11" x14ac:dyDescent="0.25">
      <c r="A433" s="1">
        <v>45723</v>
      </c>
      <c r="B433">
        <f>YEAR(tbl_Kalender[[#This Row],[Datum]])</f>
        <v>2025</v>
      </c>
      <c r="C433">
        <f>DAY(tbl_Kalender[[#This Row],[Datum]])</f>
        <v>7</v>
      </c>
      <c r="D433" t="str">
        <f>TEXT(tbl_Kalender[[#This Row],[Datum]],"TTTT")</f>
        <v>Freitag</v>
      </c>
      <c r="E433">
        <f>WEEKDAY(tbl_Kalender[[#This Row],[Datum]],2)</f>
        <v>5</v>
      </c>
      <c r="F433">
        <f>MONTH(tbl_Kalender[[#This Row],[Datum]])</f>
        <v>3</v>
      </c>
      <c r="G433" t="str">
        <f>TEXT(tbl_Kalender[[#This Row],[Datum]],"MMMM")</f>
        <v>März</v>
      </c>
      <c r="H433">
        <f>ROUNDUP(tbl_Kalender[[#This Row],[Monat]]/3,0)</f>
        <v>1</v>
      </c>
      <c r="I433" t="str">
        <f>"Q "&amp;tbl_Kalender[[#This Row],[Quartal]]</f>
        <v>Q 1</v>
      </c>
      <c r="J433" t="str">
        <f>tbl_Kalender[[#This Row],[Quartal]]&amp;". Quartal"</f>
        <v>1. Quartal</v>
      </c>
      <c r="K433">
        <f>_xlfn.ISOWEEKNUM(tbl_Kalender[[#This Row],[Datum]])</f>
        <v>10</v>
      </c>
    </row>
    <row r="434" spans="1:11" x14ac:dyDescent="0.25">
      <c r="A434" s="1">
        <v>45724</v>
      </c>
      <c r="B434">
        <f>YEAR(tbl_Kalender[[#This Row],[Datum]])</f>
        <v>2025</v>
      </c>
      <c r="C434">
        <f>DAY(tbl_Kalender[[#This Row],[Datum]])</f>
        <v>8</v>
      </c>
      <c r="D434" t="str">
        <f>TEXT(tbl_Kalender[[#This Row],[Datum]],"TTTT")</f>
        <v>Samstag</v>
      </c>
      <c r="E434">
        <f>WEEKDAY(tbl_Kalender[[#This Row],[Datum]],2)</f>
        <v>6</v>
      </c>
      <c r="F434">
        <f>MONTH(tbl_Kalender[[#This Row],[Datum]])</f>
        <v>3</v>
      </c>
      <c r="G434" t="str">
        <f>TEXT(tbl_Kalender[[#This Row],[Datum]],"MMMM")</f>
        <v>März</v>
      </c>
      <c r="H434">
        <f>ROUNDUP(tbl_Kalender[[#This Row],[Monat]]/3,0)</f>
        <v>1</v>
      </c>
      <c r="I434" t="str">
        <f>"Q "&amp;tbl_Kalender[[#This Row],[Quartal]]</f>
        <v>Q 1</v>
      </c>
      <c r="J434" t="str">
        <f>tbl_Kalender[[#This Row],[Quartal]]&amp;". Quartal"</f>
        <v>1. Quartal</v>
      </c>
      <c r="K434">
        <f>_xlfn.ISOWEEKNUM(tbl_Kalender[[#This Row],[Datum]])</f>
        <v>10</v>
      </c>
    </row>
    <row r="435" spans="1:11" x14ac:dyDescent="0.25">
      <c r="A435" s="1">
        <v>45725</v>
      </c>
      <c r="B435">
        <f>YEAR(tbl_Kalender[[#This Row],[Datum]])</f>
        <v>2025</v>
      </c>
      <c r="C435">
        <f>DAY(tbl_Kalender[[#This Row],[Datum]])</f>
        <v>9</v>
      </c>
      <c r="D435" t="str">
        <f>TEXT(tbl_Kalender[[#This Row],[Datum]],"TTTT")</f>
        <v>Sonntag</v>
      </c>
      <c r="E435">
        <f>WEEKDAY(tbl_Kalender[[#This Row],[Datum]],2)</f>
        <v>7</v>
      </c>
      <c r="F435">
        <f>MONTH(tbl_Kalender[[#This Row],[Datum]])</f>
        <v>3</v>
      </c>
      <c r="G435" t="str">
        <f>TEXT(tbl_Kalender[[#This Row],[Datum]],"MMMM")</f>
        <v>März</v>
      </c>
      <c r="H435">
        <f>ROUNDUP(tbl_Kalender[[#This Row],[Monat]]/3,0)</f>
        <v>1</v>
      </c>
      <c r="I435" t="str">
        <f>"Q "&amp;tbl_Kalender[[#This Row],[Quartal]]</f>
        <v>Q 1</v>
      </c>
      <c r="J435" t="str">
        <f>tbl_Kalender[[#This Row],[Quartal]]&amp;". Quartal"</f>
        <v>1. Quartal</v>
      </c>
      <c r="K435">
        <f>_xlfn.ISOWEEKNUM(tbl_Kalender[[#This Row],[Datum]])</f>
        <v>10</v>
      </c>
    </row>
    <row r="436" spans="1:11" x14ac:dyDescent="0.25">
      <c r="A436" s="1">
        <v>45726</v>
      </c>
      <c r="B436">
        <f>YEAR(tbl_Kalender[[#This Row],[Datum]])</f>
        <v>2025</v>
      </c>
      <c r="C436">
        <f>DAY(tbl_Kalender[[#This Row],[Datum]])</f>
        <v>10</v>
      </c>
      <c r="D436" t="str">
        <f>TEXT(tbl_Kalender[[#This Row],[Datum]],"TTTT")</f>
        <v>Montag</v>
      </c>
      <c r="E436">
        <f>WEEKDAY(tbl_Kalender[[#This Row],[Datum]],2)</f>
        <v>1</v>
      </c>
      <c r="F436">
        <f>MONTH(tbl_Kalender[[#This Row],[Datum]])</f>
        <v>3</v>
      </c>
      <c r="G436" t="str">
        <f>TEXT(tbl_Kalender[[#This Row],[Datum]],"MMMM")</f>
        <v>März</v>
      </c>
      <c r="H436">
        <f>ROUNDUP(tbl_Kalender[[#This Row],[Monat]]/3,0)</f>
        <v>1</v>
      </c>
      <c r="I436" t="str">
        <f>"Q "&amp;tbl_Kalender[[#This Row],[Quartal]]</f>
        <v>Q 1</v>
      </c>
      <c r="J436" t="str">
        <f>tbl_Kalender[[#This Row],[Quartal]]&amp;". Quartal"</f>
        <v>1. Quartal</v>
      </c>
      <c r="K436">
        <f>_xlfn.ISOWEEKNUM(tbl_Kalender[[#This Row],[Datum]])</f>
        <v>11</v>
      </c>
    </row>
    <row r="437" spans="1:11" x14ac:dyDescent="0.25">
      <c r="A437" s="1">
        <v>45727</v>
      </c>
      <c r="B437">
        <f>YEAR(tbl_Kalender[[#This Row],[Datum]])</f>
        <v>2025</v>
      </c>
      <c r="C437">
        <f>DAY(tbl_Kalender[[#This Row],[Datum]])</f>
        <v>11</v>
      </c>
      <c r="D437" t="str">
        <f>TEXT(tbl_Kalender[[#This Row],[Datum]],"TTTT")</f>
        <v>Dienstag</v>
      </c>
      <c r="E437">
        <f>WEEKDAY(tbl_Kalender[[#This Row],[Datum]],2)</f>
        <v>2</v>
      </c>
      <c r="F437">
        <f>MONTH(tbl_Kalender[[#This Row],[Datum]])</f>
        <v>3</v>
      </c>
      <c r="G437" t="str">
        <f>TEXT(tbl_Kalender[[#This Row],[Datum]],"MMMM")</f>
        <v>März</v>
      </c>
      <c r="H437">
        <f>ROUNDUP(tbl_Kalender[[#This Row],[Monat]]/3,0)</f>
        <v>1</v>
      </c>
      <c r="I437" t="str">
        <f>"Q "&amp;tbl_Kalender[[#This Row],[Quartal]]</f>
        <v>Q 1</v>
      </c>
      <c r="J437" t="str">
        <f>tbl_Kalender[[#This Row],[Quartal]]&amp;". Quartal"</f>
        <v>1. Quartal</v>
      </c>
      <c r="K437">
        <f>_xlfn.ISOWEEKNUM(tbl_Kalender[[#This Row],[Datum]])</f>
        <v>11</v>
      </c>
    </row>
    <row r="438" spans="1:11" x14ac:dyDescent="0.25">
      <c r="A438" s="1">
        <v>45728</v>
      </c>
      <c r="B438">
        <f>YEAR(tbl_Kalender[[#This Row],[Datum]])</f>
        <v>2025</v>
      </c>
      <c r="C438">
        <f>DAY(tbl_Kalender[[#This Row],[Datum]])</f>
        <v>12</v>
      </c>
      <c r="D438" t="str">
        <f>TEXT(tbl_Kalender[[#This Row],[Datum]],"TTTT")</f>
        <v>Mittwoch</v>
      </c>
      <c r="E438">
        <f>WEEKDAY(tbl_Kalender[[#This Row],[Datum]],2)</f>
        <v>3</v>
      </c>
      <c r="F438">
        <f>MONTH(tbl_Kalender[[#This Row],[Datum]])</f>
        <v>3</v>
      </c>
      <c r="G438" t="str">
        <f>TEXT(tbl_Kalender[[#This Row],[Datum]],"MMMM")</f>
        <v>März</v>
      </c>
      <c r="H438">
        <f>ROUNDUP(tbl_Kalender[[#This Row],[Monat]]/3,0)</f>
        <v>1</v>
      </c>
      <c r="I438" t="str">
        <f>"Q "&amp;tbl_Kalender[[#This Row],[Quartal]]</f>
        <v>Q 1</v>
      </c>
      <c r="J438" t="str">
        <f>tbl_Kalender[[#This Row],[Quartal]]&amp;". Quartal"</f>
        <v>1. Quartal</v>
      </c>
      <c r="K438">
        <f>_xlfn.ISOWEEKNUM(tbl_Kalender[[#This Row],[Datum]])</f>
        <v>11</v>
      </c>
    </row>
    <row r="439" spans="1:11" x14ac:dyDescent="0.25">
      <c r="A439" s="1">
        <v>45729</v>
      </c>
      <c r="B439">
        <f>YEAR(tbl_Kalender[[#This Row],[Datum]])</f>
        <v>2025</v>
      </c>
      <c r="C439">
        <f>DAY(tbl_Kalender[[#This Row],[Datum]])</f>
        <v>13</v>
      </c>
      <c r="D439" t="str">
        <f>TEXT(tbl_Kalender[[#This Row],[Datum]],"TTTT")</f>
        <v>Donnerstag</v>
      </c>
      <c r="E439">
        <f>WEEKDAY(tbl_Kalender[[#This Row],[Datum]],2)</f>
        <v>4</v>
      </c>
      <c r="F439">
        <f>MONTH(tbl_Kalender[[#This Row],[Datum]])</f>
        <v>3</v>
      </c>
      <c r="G439" t="str">
        <f>TEXT(tbl_Kalender[[#This Row],[Datum]],"MMMM")</f>
        <v>März</v>
      </c>
      <c r="H439">
        <f>ROUNDUP(tbl_Kalender[[#This Row],[Monat]]/3,0)</f>
        <v>1</v>
      </c>
      <c r="I439" t="str">
        <f>"Q "&amp;tbl_Kalender[[#This Row],[Quartal]]</f>
        <v>Q 1</v>
      </c>
      <c r="J439" t="str">
        <f>tbl_Kalender[[#This Row],[Quartal]]&amp;". Quartal"</f>
        <v>1. Quartal</v>
      </c>
      <c r="K439">
        <f>_xlfn.ISOWEEKNUM(tbl_Kalender[[#This Row],[Datum]])</f>
        <v>11</v>
      </c>
    </row>
    <row r="440" spans="1:11" x14ac:dyDescent="0.25">
      <c r="A440" s="1">
        <v>45730</v>
      </c>
      <c r="B440">
        <f>YEAR(tbl_Kalender[[#This Row],[Datum]])</f>
        <v>2025</v>
      </c>
      <c r="C440">
        <f>DAY(tbl_Kalender[[#This Row],[Datum]])</f>
        <v>14</v>
      </c>
      <c r="D440" t="str">
        <f>TEXT(tbl_Kalender[[#This Row],[Datum]],"TTTT")</f>
        <v>Freitag</v>
      </c>
      <c r="E440">
        <f>WEEKDAY(tbl_Kalender[[#This Row],[Datum]],2)</f>
        <v>5</v>
      </c>
      <c r="F440">
        <f>MONTH(tbl_Kalender[[#This Row],[Datum]])</f>
        <v>3</v>
      </c>
      <c r="G440" t="str">
        <f>TEXT(tbl_Kalender[[#This Row],[Datum]],"MMMM")</f>
        <v>März</v>
      </c>
      <c r="H440">
        <f>ROUNDUP(tbl_Kalender[[#This Row],[Monat]]/3,0)</f>
        <v>1</v>
      </c>
      <c r="I440" t="str">
        <f>"Q "&amp;tbl_Kalender[[#This Row],[Quartal]]</f>
        <v>Q 1</v>
      </c>
      <c r="J440" t="str">
        <f>tbl_Kalender[[#This Row],[Quartal]]&amp;". Quartal"</f>
        <v>1. Quartal</v>
      </c>
      <c r="K440">
        <f>_xlfn.ISOWEEKNUM(tbl_Kalender[[#This Row],[Datum]])</f>
        <v>11</v>
      </c>
    </row>
    <row r="441" spans="1:11" x14ac:dyDescent="0.25">
      <c r="A441" s="1">
        <v>45731</v>
      </c>
      <c r="B441">
        <f>YEAR(tbl_Kalender[[#This Row],[Datum]])</f>
        <v>2025</v>
      </c>
      <c r="C441">
        <f>DAY(tbl_Kalender[[#This Row],[Datum]])</f>
        <v>15</v>
      </c>
      <c r="D441" t="str">
        <f>TEXT(tbl_Kalender[[#This Row],[Datum]],"TTTT")</f>
        <v>Samstag</v>
      </c>
      <c r="E441">
        <f>WEEKDAY(tbl_Kalender[[#This Row],[Datum]],2)</f>
        <v>6</v>
      </c>
      <c r="F441">
        <f>MONTH(tbl_Kalender[[#This Row],[Datum]])</f>
        <v>3</v>
      </c>
      <c r="G441" t="str">
        <f>TEXT(tbl_Kalender[[#This Row],[Datum]],"MMMM")</f>
        <v>März</v>
      </c>
      <c r="H441">
        <f>ROUNDUP(tbl_Kalender[[#This Row],[Monat]]/3,0)</f>
        <v>1</v>
      </c>
      <c r="I441" t="str">
        <f>"Q "&amp;tbl_Kalender[[#This Row],[Quartal]]</f>
        <v>Q 1</v>
      </c>
      <c r="J441" t="str">
        <f>tbl_Kalender[[#This Row],[Quartal]]&amp;". Quartal"</f>
        <v>1. Quartal</v>
      </c>
      <c r="K441">
        <f>_xlfn.ISOWEEKNUM(tbl_Kalender[[#This Row],[Datum]])</f>
        <v>11</v>
      </c>
    </row>
    <row r="442" spans="1:11" x14ac:dyDescent="0.25">
      <c r="A442" s="1">
        <v>45732</v>
      </c>
      <c r="B442">
        <f>YEAR(tbl_Kalender[[#This Row],[Datum]])</f>
        <v>2025</v>
      </c>
      <c r="C442">
        <f>DAY(tbl_Kalender[[#This Row],[Datum]])</f>
        <v>16</v>
      </c>
      <c r="D442" t="str">
        <f>TEXT(tbl_Kalender[[#This Row],[Datum]],"TTTT")</f>
        <v>Sonntag</v>
      </c>
      <c r="E442">
        <f>WEEKDAY(tbl_Kalender[[#This Row],[Datum]],2)</f>
        <v>7</v>
      </c>
      <c r="F442">
        <f>MONTH(tbl_Kalender[[#This Row],[Datum]])</f>
        <v>3</v>
      </c>
      <c r="G442" t="str">
        <f>TEXT(tbl_Kalender[[#This Row],[Datum]],"MMMM")</f>
        <v>März</v>
      </c>
      <c r="H442">
        <f>ROUNDUP(tbl_Kalender[[#This Row],[Monat]]/3,0)</f>
        <v>1</v>
      </c>
      <c r="I442" t="str">
        <f>"Q "&amp;tbl_Kalender[[#This Row],[Quartal]]</f>
        <v>Q 1</v>
      </c>
      <c r="J442" t="str">
        <f>tbl_Kalender[[#This Row],[Quartal]]&amp;". Quartal"</f>
        <v>1. Quartal</v>
      </c>
      <c r="K442">
        <f>_xlfn.ISOWEEKNUM(tbl_Kalender[[#This Row],[Datum]])</f>
        <v>11</v>
      </c>
    </row>
    <row r="443" spans="1:11" x14ac:dyDescent="0.25">
      <c r="A443" s="1">
        <v>45733</v>
      </c>
      <c r="B443">
        <f>YEAR(tbl_Kalender[[#This Row],[Datum]])</f>
        <v>2025</v>
      </c>
      <c r="C443">
        <f>DAY(tbl_Kalender[[#This Row],[Datum]])</f>
        <v>17</v>
      </c>
      <c r="D443" t="str">
        <f>TEXT(tbl_Kalender[[#This Row],[Datum]],"TTTT")</f>
        <v>Montag</v>
      </c>
      <c r="E443">
        <f>WEEKDAY(tbl_Kalender[[#This Row],[Datum]],2)</f>
        <v>1</v>
      </c>
      <c r="F443">
        <f>MONTH(tbl_Kalender[[#This Row],[Datum]])</f>
        <v>3</v>
      </c>
      <c r="G443" t="str">
        <f>TEXT(tbl_Kalender[[#This Row],[Datum]],"MMMM")</f>
        <v>März</v>
      </c>
      <c r="H443">
        <f>ROUNDUP(tbl_Kalender[[#This Row],[Monat]]/3,0)</f>
        <v>1</v>
      </c>
      <c r="I443" t="str">
        <f>"Q "&amp;tbl_Kalender[[#This Row],[Quartal]]</f>
        <v>Q 1</v>
      </c>
      <c r="J443" t="str">
        <f>tbl_Kalender[[#This Row],[Quartal]]&amp;". Quartal"</f>
        <v>1. Quartal</v>
      </c>
      <c r="K443">
        <f>_xlfn.ISOWEEKNUM(tbl_Kalender[[#This Row],[Datum]])</f>
        <v>12</v>
      </c>
    </row>
    <row r="444" spans="1:11" x14ac:dyDescent="0.25">
      <c r="A444" s="1">
        <v>45734</v>
      </c>
      <c r="B444">
        <f>YEAR(tbl_Kalender[[#This Row],[Datum]])</f>
        <v>2025</v>
      </c>
      <c r="C444">
        <f>DAY(tbl_Kalender[[#This Row],[Datum]])</f>
        <v>18</v>
      </c>
      <c r="D444" t="str">
        <f>TEXT(tbl_Kalender[[#This Row],[Datum]],"TTTT")</f>
        <v>Dienstag</v>
      </c>
      <c r="E444">
        <f>WEEKDAY(tbl_Kalender[[#This Row],[Datum]],2)</f>
        <v>2</v>
      </c>
      <c r="F444">
        <f>MONTH(tbl_Kalender[[#This Row],[Datum]])</f>
        <v>3</v>
      </c>
      <c r="G444" t="str">
        <f>TEXT(tbl_Kalender[[#This Row],[Datum]],"MMMM")</f>
        <v>März</v>
      </c>
      <c r="H444">
        <f>ROUNDUP(tbl_Kalender[[#This Row],[Monat]]/3,0)</f>
        <v>1</v>
      </c>
      <c r="I444" t="str">
        <f>"Q "&amp;tbl_Kalender[[#This Row],[Quartal]]</f>
        <v>Q 1</v>
      </c>
      <c r="J444" t="str">
        <f>tbl_Kalender[[#This Row],[Quartal]]&amp;". Quartal"</f>
        <v>1. Quartal</v>
      </c>
      <c r="K444">
        <f>_xlfn.ISOWEEKNUM(tbl_Kalender[[#This Row],[Datum]])</f>
        <v>12</v>
      </c>
    </row>
    <row r="445" spans="1:11" x14ac:dyDescent="0.25">
      <c r="A445" s="1">
        <v>45735</v>
      </c>
      <c r="B445">
        <f>YEAR(tbl_Kalender[[#This Row],[Datum]])</f>
        <v>2025</v>
      </c>
      <c r="C445">
        <f>DAY(tbl_Kalender[[#This Row],[Datum]])</f>
        <v>19</v>
      </c>
      <c r="D445" t="str">
        <f>TEXT(tbl_Kalender[[#This Row],[Datum]],"TTTT")</f>
        <v>Mittwoch</v>
      </c>
      <c r="E445">
        <f>WEEKDAY(tbl_Kalender[[#This Row],[Datum]],2)</f>
        <v>3</v>
      </c>
      <c r="F445">
        <f>MONTH(tbl_Kalender[[#This Row],[Datum]])</f>
        <v>3</v>
      </c>
      <c r="G445" t="str">
        <f>TEXT(tbl_Kalender[[#This Row],[Datum]],"MMMM")</f>
        <v>März</v>
      </c>
      <c r="H445">
        <f>ROUNDUP(tbl_Kalender[[#This Row],[Monat]]/3,0)</f>
        <v>1</v>
      </c>
      <c r="I445" t="str">
        <f>"Q "&amp;tbl_Kalender[[#This Row],[Quartal]]</f>
        <v>Q 1</v>
      </c>
      <c r="J445" t="str">
        <f>tbl_Kalender[[#This Row],[Quartal]]&amp;". Quartal"</f>
        <v>1. Quartal</v>
      </c>
      <c r="K445">
        <f>_xlfn.ISOWEEKNUM(tbl_Kalender[[#This Row],[Datum]])</f>
        <v>12</v>
      </c>
    </row>
    <row r="446" spans="1:11" x14ac:dyDescent="0.25">
      <c r="A446" s="1">
        <v>45736</v>
      </c>
      <c r="B446">
        <f>YEAR(tbl_Kalender[[#This Row],[Datum]])</f>
        <v>2025</v>
      </c>
      <c r="C446">
        <f>DAY(tbl_Kalender[[#This Row],[Datum]])</f>
        <v>20</v>
      </c>
      <c r="D446" t="str">
        <f>TEXT(tbl_Kalender[[#This Row],[Datum]],"TTTT")</f>
        <v>Donnerstag</v>
      </c>
      <c r="E446">
        <f>WEEKDAY(tbl_Kalender[[#This Row],[Datum]],2)</f>
        <v>4</v>
      </c>
      <c r="F446">
        <f>MONTH(tbl_Kalender[[#This Row],[Datum]])</f>
        <v>3</v>
      </c>
      <c r="G446" t="str">
        <f>TEXT(tbl_Kalender[[#This Row],[Datum]],"MMMM")</f>
        <v>März</v>
      </c>
      <c r="H446">
        <f>ROUNDUP(tbl_Kalender[[#This Row],[Monat]]/3,0)</f>
        <v>1</v>
      </c>
      <c r="I446" t="str">
        <f>"Q "&amp;tbl_Kalender[[#This Row],[Quartal]]</f>
        <v>Q 1</v>
      </c>
      <c r="J446" t="str">
        <f>tbl_Kalender[[#This Row],[Quartal]]&amp;". Quartal"</f>
        <v>1. Quartal</v>
      </c>
      <c r="K446">
        <f>_xlfn.ISOWEEKNUM(tbl_Kalender[[#This Row],[Datum]])</f>
        <v>12</v>
      </c>
    </row>
    <row r="447" spans="1:11" x14ac:dyDescent="0.25">
      <c r="A447" s="1">
        <v>45737</v>
      </c>
      <c r="B447">
        <f>YEAR(tbl_Kalender[[#This Row],[Datum]])</f>
        <v>2025</v>
      </c>
      <c r="C447">
        <f>DAY(tbl_Kalender[[#This Row],[Datum]])</f>
        <v>21</v>
      </c>
      <c r="D447" t="str">
        <f>TEXT(tbl_Kalender[[#This Row],[Datum]],"TTTT")</f>
        <v>Freitag</v>
      </c>
      <c r="E447">
        <f>WEEKDAY(tbl_Kalender[[#This Row],[Datum]],2)</f>
        <v>5</v>
      </c>
      <c r="F447">
        <f>MONTH(tbl_Kalender[[#This Row],[Datum]])</f>
        <v>3</v>
      </c>
      <c r="G447" t="str">
        <f>TEXT(tbl_Kalender[[#This Row],[Datum]],"MMMM")</f>
        <v>März</v>
      </c>
      <c r="H447">
        <f>ROUNDUP(tbl_Kalender[[#This Row],[Monat]]/3,0)</f>
        <v>1</v>
      </c>
      <c r="I447" t="str">
        <f>"Q "&amp;tbl_Kalender[[#This Row],[Quartal]]</f>
        <v>Q 1</v>
      </c>
      <c r="J447" t="str">
        <f>tbl_Kalender[[#This Row],[Quartal]]&amp;". Quartal"</f>
        <v>1. Quartal</v>
      </c>
      <c r="K447">
        <f>_xlfn.ISOWEEKNUM(tbl_Kalender[[#This Row],[Datum]])</f>
        <v>12</v>
      </c>
    </row>
    <row r="448" spans="1:11" x14ac:dyDescent="0.25">
      <c r="A448" s="1">
        <v>45738</v>
      </c>
      <c r="B448">
        <f>YEAR(tbl_Kalender[[#This Row],[Datum]])</f>
        <v>2025</v>
      </c>
      <c r="C448">
        <f>DAY(tbl_Kalender[[#This Row],[Datum]])</f>
        <v>22</v>
      </c>
      <c r="D448" t="str">
        <f>TEXT(tbl_Kalender[[#This Row],[Datum]],"TTTT")</f>
        <v>Samstag</v>
      </c>
      <c r="E448">
        <f>WEEKDAY(tbl_Kalender[[#This Row],[Datum]],2)</f>
        <v>6</v>
      </c>
      <c r="F448">
        <f>MONTH(tbl_Kalender[[#This Row],[Datum]])</f>
        <v>3</v>
      </c>
      <c r="G448" t="str">
        <f>TEXT(tbl_Kalender[[#This Row],[Datum]],"MMMM")</f>
        <v>März</v>
      </c>
      <c r="H448">
        <f>ROUNDUP(tbl_Kalender[[#This Row],[Monat]]/3,0)</f>
        <v>1</v>
      </c>
      <c r="I448" t="str">
        <f>"Q "&amp;tbl_Kalender[[#This Row],[Quartal]]</f>
        <v>Q 1</v>
      </c>
      <c r="J448" t="str">
        <f>tbl_Kalender[[#This Row],[Quartal]]&amp;". Quartal"</f>
        <v>1. Quartal</v>
      </c>
      <c r="K448">
        <f>_xlfn.ISOWEEKNUM(tbl_Kalender[[#This Row],[Datum]])</f>
        <v>12</v>
      </c>
    </row>
    <row r="449" spans="1:11" x14ac:dyDescent="0.25">
      <c r="A449" s="1">
        <v>45739</v>
      </c>
      <c r="B449">
        <f>YEAR(tbl_Kalender[[#This Row],[Datum]])</f>
        <v>2025</v>
      </c>
      <c r="C449">
        <f>DAY(tbl_Kalender[[#This Row],[Datum]])</f>
        <v>23</v>
      </c>
      <c r="D449" t="str">
        <f>TEXT(tbl_Kalender[[#This Row],[Datum]],"TTTT")</f>
        <v>Sonntag</v>
      </c>
      <c r="E449">
        <f>WEEKDAY(tbl_Kalender[[#This Row],[Datum]],2)</f>
        <v>7</v>
      </c>
      <c r="F449">
        <f>MONTH(tbl_Kalender[[#This Row],[Datum]])</f>
        <v>3</v>
      </c>
      <c r="G449" t="str">
        <f>TEXT(tbl_Kalender[[#This Row],[Datum]],"MMMM")</f>
        <v>März</v>
      </c>
      <c r="H449">
        <f>ROUNDUP(tbl_Kalender[[#This Row],[Monat]]/3,0)</f>
        <v>1</v>
      </c>
      <c r="I449" t="str">
        <f>"Q "&amp;tbl_Kalender[[#This Row],[Quartal]]</f>
        <v>Q 1</v>
      </c>
      <c r="J449" t="str">
        <f>tbl_Kalender[[#This Row],[Quartal]]&amp;". Quartal"</f>
        <v>1. Quartal</v>
      </c>
      <c r="K449">
        <f>_xlfn.ISOWEEKNUM(tbl_Kalender[[#This Row],[Datum]])</f>
        <v>12</v>
      </c>
    </row>
    <row r="450" spans="1:11" x14ac:dyDescent="0.25">
      <c r="A450" s="1">
        <v>45740</v>
      </c>
      <c r="B450">
        <f>YEAR(tbl_Kalender[[#This Row],[Datum]])</f>
        <v>2025</v>
      </c>
      <c r="C450">
        <f>DAY(tbl_Kalender[[#This Row],[Datum]])</f>
        <v>24</v>
      </c>
      <c r="D450" t="str">
        <f>TEXT(tbl_Kalender[[#This Row],[Datum]],"TTTT")</f>
        <v>Montag</v>
      </c>
      <c r="E450">
        <f>WEEKDAY(tbl_Kalender[[#This Row],[Datum]],2)</f>
        <v>1</v>
      </c>
      <c r="F450">
        <f>MONTH(tbl_Kalender[[#This Row],[Datum]])</f>
        <v>3</v>
      </c>
      <c r="G450" t="str">
        <f>TEXT(tbl_Kalender[[#This Row],[Datum]],"MMMM")</f>
        <v>März</v>
      </c>
      <c r="H450">
        <f>ROUNDUP(tbl_Kalender[[#This Row],[Monat]]/3,0)</f>
        <v>1</v>
      </c>
      <c r="I450" t="str">
        <f>"Q "&amp;tbl_Kalender[[#This Row],[Quartal]]</f>
        <v>Q 1</v>
      </c>
      <c r="J450" t="str">
        <f>tbl_Kalender[[#This Row],[Quartal]]&amp;". Quartal"</f>
        <v>1. Quartal</v>
      </c>
      <c r="K450">
        <f>_xlfn.ISOWEEKNUM(tbl_Kalender[[#This Row],[Datum]])</f>
        <v>13</v>
      </c>
    </row>
    <row r="451" spans="1:11" x14ac:dyDescent="0.25">
      <c r="A451" s="1">
        <v>45741</v>
      </c>
      <c r="B451">
        <f>YEAR(tbl_Kalender[[#This Row],[Datum]])</f>
        <v>2025</v>
      </c>
      <c r="C451">
        <f>DAY(tbl_Kalender[[#This Row],[Datum]])</f>
        <v>25</v>
      </c>
      <c r="D451" t="str">
        <f>TEXT(tbl_Kalender[[#This Row],[Datum]],"TTTT")</f>
        <v>Dienstag</v>
      </c>
      <c r="E451">
        <f>WEEKDAY(tbl_Kalender[[#This Row],[Datum]],2)</f>
        <v>2</v>
      </c>
      <c r="F451">
        <f>MONTH(tbl_Kalender[[#This Row],[Datum]])</f>
        <v>3</v>
      </c>
      <c r="G451" t="str">
        <f>TEXT(tbl_Kalender[[#This Row],[Datum]],"MMMM")</f>
        <v>März</v>
      </c>
      <c r="H451">
        <f>ROUNDUP(tbl_Kalender[[#This Row],[Monat]]/3,0)</f>
        <v>1</v>
      </c>
      <c r="I451" t="str">
        <f>"Q "&amp;tbl_Kalender[[#This Row],[Quartal]]</f>
        <v>Q 1</v>
      </c>
      <c r="J451" t="str">
        <f>tbl_Kalender[[#This Row],[Quartal]]&amp;". Quartal"</f>
        <v>1. Quartal</v>
      </c>
      <c r="K451">
        <f>_xlfn.ISOWEEKNUM(tbl_Kalender[[#This Row],[Datum]])</f>
        <v>13</v>
      </c>
    </row>
    <row r="452" spans="1:11" x14ac:dyDescent="0.25">
      <c r="A452" s="1">
        <v>45742</v>
      </c>
      <c r="B452">
        <f>YEAR(tbl_Kalender[[#This Row],[Datum]])</f>
        <v>2025</v>
      </c>
      <c r="C452">
        <f>DAY(tbl_Kalender[[#This Row],[Datum]])</f>
        <v>26</v>
      </c>
      <c r="D452" t="str">
        <f>TEXT(tbl_Kalender[[#This Row],[Datum]],"TTTT")</f>
        <v>Mittwoch</v>
      </c>
      <c r="E452">
        <f>WEEKDAY(tbl_Kalender[[#This Row],[Datum]],2)</f>
        <v>3</v>
      </c>
      <c r="F452">
        <f>MONTH(tbl_Kalender[[#This Row],[Datum]])</f>
        <v>3</v>
      </c>
      <c r="G452" t="str">
        <f>TEXT(tbl_Kalender[[#This Row],[Datum]],"MMMM")</f>
        <v>März</v>
      </c>
      <c r="H452">
        <f>ROUNDUP(tbl_Kalender[[#This Row],[Monat]]/3,0)</f>
        <v>1</v>
      </c>
      <c r="I452" t="str">
        <f>"Q "&amp;tbl_Kalender[[#This Row],[Quartal]]</f>
        <v>Q 1</v>
      </c>
      <c r="J452" t="str">
        <f>tbl_Kalender[[#This Row],[Quartal]]&amp;". Quartal"</f>
        <v>1. Quartal</v>
      </c>
      <c r="K452">
        <f>_xlfn.ISOWEEKNUM(tbl_Kalender[[#This Row],[Datum]])</f>
        <v>13</v>
      </c>
    </row>
    <row r="453" spans="1:11" x14ac:dyDescent="0.25">
      <c r="A453" s="1">
        <v>45743</v>
      </c>
      <c r="B453">
        <f>YEAR(tbl_Kalender[[#This Row],[Datum]])</f>
        <v>2025</v>
      </c>
      <c r="C453">
        <f>DAY(tbl_Kalender[[#This Row],[Datum]])</f>
        <v>27</v>
      </c>
      <c r="D453" t="str">
        <f>TEXT(tbl_Kalender[[#This Row],[Datum]],"TTTT")</f>
        <v>Donnerstag</v>
      </c>
      <c r="E453">
        <f>WEEKDAY(tbl_Kalender[[#This Row],[Datum]],2)</f>
        <v>4</v>
      </c>
      <c r="F453">
        <f>MONTH(tbl_Kalender[[#This Row],[Datum]])</f>
        <v>3</v>
      </c>
      <c r="G453" t="str">
        <f>TEXT(tbl_Kalender[[#This Row],[Datum]],"MMMM")</f>
        <v>März</v>
      </c>
      <c r="H453">
        <f>ROUNDUP(tbl_Kalender[[#This Row],[Monat]]/3,0)</f>
        <v>1</v>
      </c>
      <c r="I453" t="str">
        <f>"Q "&amp;tbl_Kalender[[#This Row],[Quartal]]</f>
        <v>Q 1</v>
      </c>
      <c r="J453" t="str">
        <f>tbl_Kalender[[#This Row],[Quartal]]&amp;". Quartal"</f>
        <v>1. Quartal</v>
      </c>
      <c r="K453">
        <f>_xlfn.ISOWEEKNUM(tbl_Kalender[[#This Row],[Datum]])</f>
        <v>13</v>
      </c>
    </row>
    <row r="454" spans="1:11" x14ac:dyDescent="0.25">
      <c r="A454" s="1">
        <v>45744</v>
      </c>
      <c r="B454">
        <f>YEAR(tbl_Kalender[[#This Row],[Datum]])</f>
        <v>2025</v>
      </c>
      <c r="C454">
        <f>DAY(tbl_Kalender[[#This Row],[Datum]])</f>
        <v>28</v>
      </c>
      <c r="D454" t="str">
        <f>TEXT(tbl_Kalender[[#This Row],[Datum]],"TTTT")</f>
        <v>Freitag</v>
      </c>
      <c r="E454">
        <f>WEEKDAY(tbl_Kalender[[#This Row],[Datum]],2)</f>
        <v>5</v>
      </c>
      <c r="F454">
        <f>MONTH(tbl_Kalender[[#This Row],[Datum]])</f>
        <v>3</v>
      </c>
      <c r="G454" t="str">
        <f>TEXT(tbl_Kalender[[#This Row],[Datum]],"MMMM")</f>
        <v>März</v>
      </c>
      <c r="H454">
        <f>ROUNDUP(tbl_Kalender[[#This Row],[Monat]]/3,0)</f>
        <v>1</v>
      </c>
      <c r="I454" t="str">
        <f>"Q "&amp;tbl_Kalender[[#This Row],[Quartal]]</f>
        <v>Q 1</v>
      </c>
      <c r="J454" t="str">
        <f>tbl_Kalender[[#This Row],[Quartal]]&amp;". Quartal"</f>
        <v>1. Quartal</v>
      </c>
      <c r="K454">
        <f>_xlfn.ISOWEEKNUM(tbl_Kalender[[#This Row],[Datum]])</f>
        <v>13</v>
      </c>
    </row>
    <row r="455" spans="1:11" x14ac:dyDescent="0.25">
      <c r="A455" s="1">
        <v>45745</v>
      </c>
      <c r="B455">
        <f>YEAR(tbl_Kalender[[#This Row],[Datum]])</f>
        <v>2025</v>
      </c>
      <c r="C455">
        <f>DAY(tbl_Kalender[[#This Row],[Datum]])</f>
        <v>29</v>
      </c>
      <c r="D455" t="str">
        <f>TEXT(tbl_Kalender[[#This Row],[Datum]],"TTTT")</f>
        <v>Samstag</v>
      </c>
      <c r="E455">
        <f>WEEKDAY(tbl_Kalender[[#This Row],[Datum]],2)</f>
        <v>6</v>
      </c>
      <c r="F455">
        <f>MONTH(tbl_Kalender[[#This Row],[Datum]])</f>
        <v>3</v>
      </c>
      <c r="G455" t="str">
        <f>TEXT(tbl_Kalender[[#This Row],[Datum]],"MMMM")</f>
        <v>März</v>
      </c>
      <c r="H455">
        <f>ROUNDUP(tbl_Kalender[[#This Row],[Monat]]/3,0)</f>
        <v>1</v>
      </c>
      <c r="I455" t="str">
        <f>"Q "&amp;tbl_Kalender[[#This Row],[Quartal]]</f>
        <v>Q 1</v>
      </c>
      <c r="J455" t="str">
        <f>tbl_Kalender[[#This Row],[Quartal]]&amp;". Quartal"</f>
        <v>1. Quartal</v>
      </c>
      <c r="K455">
        <f>_xlfn.ISOWEEKNUM(tbl_Kalender[[#This Row],[Datum]])</f>
        <v>13</v>
      </c>
    </row>
    <row r="456" spans="1:11" x14ac:dyDescent="0.25">
      <c r="A456" s="1">
        <v>45746</v>
      </c>
      <c r="B456">
        <f>YEAR(tbl_Kalender[[#This Row],[Datum]])</f>
        <v>2025</v>
      </c>
      <c r="C456">
        <f>DAY(tbl_Kalender[[#This Row],[Datum]])</f>
        <v>30</v>
      </c>
      <c r="D456" t="str">
        <f>TEXT(tbl_Kalender[[#This Row],[Datum]],"TTTT")</f>
        <v>Sonntag</v>
      </c>
      <c r="E456">
        <f>WEEKDAY(tbl_Kalender[[#This Row],[Datum]],2)</f>
        <v>7</v>
      </c>
      <c r="F456">
        <f>MONTH(tbl_Kalender[[#This Row],[Datum]])</f>
        <v>3</v>
      </c>
      <c r="G456" t="str">
        <f>TEXT(tbl_Kalender[[#This Row],[Datum]],"MMMM")</f>
        <v>März</v>
      </c>
      <c r="H456">
        <f>ROUNDUP(tbl_Kalender[[#This Row],[Monat]]/3,0)</f>
        <v>1</v>
      </c>
      <c r="I456" t="str">
        <f>"Q "&amp;tbl_Kalender[[#This Row],[Quartal]]</f>
        <v>Q 1</v>
      </c>
      <c r="J456" t="str">
        <f>tbl_Kalender[[#This Row],[Quartal]]&amp;". Quartal"</f>
        <v>1. Quartal</v>
      </c>
      <c r="K456">
        <f>_xlfn.ISOWEEKNUM(tbl_Kalender[[#This Row],[Datum]])</f>
        <v>13</v>
      </c>
    </row>
    <row r="457" spans="1:11" x14ac:dyDescent="0.25">
      <c r="A457" s="1">
        <v>45747</v>
      </c>
      <c r="B457">
        <f>YEAR(tbl_Kalender[[#This Row],[Datum]])</f>
        <v>2025</v>
      </c>
      <c r="C457">
        <f>DAY(tbl_Kalender[[#This Row],[Datum]])</f>
        <v>31</v>
      </c>
      <c r="D457" t="str">
        <f>TEXT(tbl_Kalender[[#This Row],[Datum]],"TTTT")</f>
        <v>Montag</v>
      </c>
      <c r="E457">
        <f>WEEKDAY(tbl_Kalender[[#This Row],[Datum]],2)</f>
        <v>1</v>
      </c>
      <c r="F457">
        <f>MONTH(tbl_Kalender[[#This Row],[Datum]])</f>
        <v>3</v>
      </c>
      <c r="G457" t="str">
        <f>TEXT(tbl_Kalender[[#This Row],[Datum]],"MMMM")</f>
        <v>März</v>
      </c>
      <c r="H457">
        <f>ROUNDUP(tbl_Kalender[[#This Row],[Monat]]/3,0)</f>
        <v>1</v>
      </c>
      <c r="I457" t="str">
        <f>"Q "&amp;tbl_Kalender[[#This Row],[Quartal]]</f>
        <v>Q 1</v>
      </c>
      <c r="J457" t="str">
        <f>tbl_Kalender[[#This Row],[Quartal]]&amp;". Quartal"</f>
        <v>1. Quartal</v>
      </c>
      <c r="K457">
        <f>_xlfn.ISOWEEKNUM(tbl_Kalender[[#This Row],[Datum]])</f>
        <v>14</v>
      </c>
    </row>
    <row r="458" spans="1:11" x14ac:dyDescent="0.25">
      <c r="A458" s="1">
        <v>45748</v>
      </c>
      <c r="B458">
        <f>YEAR(tbl_Kalender[[#This Row],[Datum]])</f>
        <v>2025</v>
      </c>
      <c r="C458">
        <f>DAY(tbl_Kalender[[#This Row],[Datum]])</f>
        <v>1</v>
      </c>
      <c r="D458" t="str">
        <f>TEXT(tbl_Kalender[[#This Row],[Datum]],"TTTT")</f>
        <v>Dienstag</v>
      </c>
      <c r="E458">
        <f>WEEKDAY(tbl_Kalender[[#This Row],[Datum]],2)</f>
        <v>2</v>
      </c>
      <c r="F458">
        <f>MONTH(tbl_Kalender[[#This Row],[Datum]])</f>
        <v>4</v>
      </c>
      <c r="G458" t="str">
        <f>TEXT(tbl_Kalender[[#This Row],[Datum]],"MMMM")</f>
        <v>April</v>
      </c>
      <c r="H458">
        <f>ROUNDUP(tbl_Kalender[[#This Row],[Monat]]/3,0)</f>
        <v>2</v>
      </c>
      <c r="I458" t="str">
        <f>"Q "&amp;tbl_Kalender[[#This Row],[Quartal]]</f>
        <v>Q 2</v>
      </c>
      <c r="J458" t="str">
        <f>tbl_Kalender[[#This Row],[Quartal]]&amp;". Quartal"</f>
        <v>2. Quartal</v>
      </c>
      <c r="K458">
        <f>_xlfn.ISOWEEKNUM(tbl_Kalender[[#This Row],[Datum]])</f>
        <v>14</v>
      </c>
    </row>
    <row r="459" spans="1:11" x14ac:dyDescent="0.25">
      <c r="A459" s="1">
        <v>45749</v>
      </c>
      <c r="B459">
        <f>YEAR(tbl_Kalender[[#This Row],[Datum]])</f>
        <v>2025</v>
      </c>
      <c r="C459">
        <f>DAY(tbl_Kalender[[#This Row],[Datum]])</f>
        <v>2</v>
      </c>
      <c r="D459" t="str">
        <f>TEXT(tbl_Kalender[[#This Row],[Datum]],"TTTT")</f>
        <v>Mittwoch</v>
      </c>
      <c r="E459">
        <f>WEEKDAY(tbl_Kalender[[#This Row],[Datum]],2)</f>
        <v>3</v>
      </c>
      <c r="F459">
        <f>MONTH(tbl_Kalender[[#This Row],[Datum]])</f>
        <v>4</v>
      </c>
      <c r="G459" t="str">
        <f>TEXT(tbl_Kalender[[#This Row],[Datum]],"MMMM")</f>
        <v>April</v>
      </c>
      <c r="H459">
        <f>ROUNDUP(tbl_Kalender[[#This Row],[Monat]]/3,0)</f>
        <v>2</v>
      </c>
      <c r="I459" t="str">
        <f>"Q "&amp;tbl_Kalender[[#This Row],[Quartal]]</f>
        <v>Q 2</v>
      </c>
      <c r="J459" t="str">
        <f>tbl_Kalender[[#This Row],[Quartal]]&amp;". Quartal"</f>
        <v>2. Quartal</v>
      </c>
      <c r="K459">
        <f>_xlfn.ISOWEEKNUM(tbl_Kalender[[#This Row],[Datum]])</f>
        <v>14</v>
      </c>
    </row>
    <row r="460" spans="1:11" x14ac:dyDescent="0.25">
      <c r="A460" s="1">
        <v>45750</v>
      </c>
      <c r="B460">
        <f>YEAR(tbl_Kalender[[#This Row],[Datum]])</f>
        <v>2025</v>
      </c>
      <c r="C460">
        <f>DAY(tbl_Kalender[[#This Row],[Datum]])</f>
        <v>3</v>
      </c>
      <c r="D460" t="str">
        <f>TEXT(tbl_Kalender[[#This Row],[Datum]],"TTTT")</f>
        <v>Donnerstag</v>
      </c>
      <c r="E460">
        <f>WEEKDAY(tbl_Kalender[[#This Row],[Datum]],2)</f>
        <v>4</v>
      </c>
      <c r="F460">
        <f>MONTH(tbl_Kalender[[#This Row],[Datum]])</f>
        <v>4</v>
      </c>
      <c r="G460" t="str">
        <f>TEXT(tbl_Kalender[[#This Row],[Datum]],"MMMM")</f>
        <v>April</v>
      </c>
      <c r="H460">
        <f>ROUNDUP(tbl_Kalender[[#This Row],[Monat]]/3,0)</f>
        <v>2</v>
      </c>
      <c r="I460" t="str">
        <f>"Q "&amp;tbl_Kalender[[#This Row],[Quartal]]</f>
        <v>Q 2</v>
      </c>
      <c r="J460" t="str">
        <f>tbl_Kalender[[#This Row],[Quartal]]&amp;". Quartal"</f>
        <v>2. Quartal</v>
      </c>
      <c r="K460">
        <f>_xlfn.ISOWEEKNUM(tbl_Kalender[[#This Row],[Datum]])</f>
        <v>14</v>
      </c>
    </row>
    <row r="461" spans="1:11" x14ac:dyDescent="0.25">
      <c r="A461" s="1">
        <v>45751</v>
      </c>
      <c r="B461">
        <f>YEAR(tbl_Kalender[[#This Row],[Datum]])</f>
        <v>2025</v>
      </c>
      <c r="C461">
        <f>DAY(tbl_Kalender[[#This Row],[Datum]])</f>
        <v>4</v>
      </c>
      <c r="D461" t="str">
        <f>TEXT(tbl_Kalender[[#This Row],[Datum]],"TTTT")</f>
        <v>Freitag</v>
      </c>
      <c r="E461">
        <f>WEEKDAY(tbl_Kalender[[#This Row],[Datum]],2)</f>
        <v>5</v>
      </c>
      <c r="F461">
        <f>MONTH(tbl_Kalender[[#This Row],[Datum]])</f>
        <v>4</v>
      </c>
      <c r="G461" t="str">
        <f>TEXT(tbl_Kalender[[#This Row],[Datum]],"MMMM")</f>
        <v>April</v>
      </c>
      <c r="H461">
        <f>ROUNDUP(tbl_Kalender[[#This Row],[Monat]]/3,0)</f>
        <v>2</v>
      </c>
      <c r="I461" t="str">
        <f>"Q "&amp;tbl_Kalender[[#This Row],[Quartal]]</f>
        <v>Q 2</v>
      </c>
      <c r="J461" t="str">
        <f>tbl_Kalender[[#This Row],[Quartal]]&amp;". Quartal"</f>
        <v>2. Quartal</v>
      </c>
      <c r="K461">
        <f>_xlfn.ISOWEEKNUM(tbl_Kalender[[#This Row],[Datum]])</f>
        <v>14</v>
      </c>
    </row>
    <row r="462" spans="1:11" x14ac:dyDescent="0.25">
      <c r="A462" s="1">
        <v>45752</v>
      </c>
      <c r="B462">
        <f>YEAR(tbl_Kalender[[#This Row],[Datum]])</f>
        <v>2025</v>
      </c>
      <c r="C462">
        <f>DAY(tbl_Kalender[[#This Row],[Datum]])</f>
        <v>5</v>
      </c>
      <c r="D462" t="str">
        <f>TEXT(tbl_Kalender[[#This Row],[Datum]],"TTTT")</f>
        <v>Samstag</v>
      </c>
      <c r="E462">
        <f>WEEKDAY(tbl_Kalender[[#This Row],[Datum]],2)</f>
        <v>6</v>
      </c>
      <c r="F462">
        <f>MONTH(tbl_Kalender[[#This Row],[Datum]])</f>
        <v>4</v>
      </c>
      <c r="G462" t="str">
        <f>TEXT(tbl_Kalender[[#This Row],[Datum]],"MMMM")</f>
        <v>April</v>
      </c>
      <c r="H462">
        <f>ROUNDUP(tbl_Kalender[[#This Row],[Monat]]/3,0)</f>
        <v>2</v>
      </c>
      <c r="I462" t="str">
        <f>"Q "&amp;tbl_Kalender[[#This Row],[Quartal]]</f>
        <v>Q 2</v>
      </c>
      <c r="J462" t="str">
        <f>tbl_Kalender[[#This Row],[Quartal]]&amp;". Quartal"</f>
        <v>2. Quartal</v>
      </c>
      <c r="K462">
        <f>_xlfn.ISOWEEKNUM(tbl_Kalender[[#This Row],[Datum]])</f>
        <v>14</v>
      </c>
    </row>
    <row r="463" spans="1:11" x14ac:dyDescent="0.25">
      <c r="A463" s="1">
        <v>45753</v>
      </c>
      <c r="B463">
        <f>YEAR(tbl_Kalender[[#This Row],[Datum]])</f>
        <v>2025</v>
      </c>
      <c r="C463">
        <f>DAY(tbl_Kalender[[#This Row],[Datum]])</f>
        <v>6</v>
      </c>
      <c r="D463" t="str">
        <f>TEXT(tbl_Kalender[[#This Row],[Datum]],"TTTT")</f>
        <v>Sonntag</v>
      </c>
      <c r="E463">
        <f>WEEKDAY(tbl_Kalender[[#This Row],[Datum]],2)</f>
        <v>7</v>
      </c>
      <c r="F463">
        <f>MONTH(tbl_Kalender[[#This Row],[Datum]])</f>
        <v>4</v>
      </c>
      <c r="G463" t="str">
        <f>TEXT(tbl_Kalender[[#This Row],[Datum]],"MMMM")</f>
        <v>April</v>
      </c>
      <c r="H463">
        <f>ROUNDUP(tbl_Kalender[[#This Row],[Monat]]/3,0)</f>
        <v>2</v>
      </c>
      <c r="I463" t="str">
        <f>"Q "&amp;tbl_Kalender[[#This Row],[Quartal]]</f>
        <v>Q 2</v>
      </c>
      <c r="J463" t="str">
        <f>tbl_Kalender[[#This Row],[Quartal]]&amp;". Quartal"</f>
        <v>2. Quartal</v>
      </c>
      <c r="K463">
        <f>_xlfn.ISOWEEKNUM(tbl_Kalender[[#This Row],[Datum]])</f>
        <v>14</v>
      </c>
    </row>
    <row r="464" spans="1:11" x14ac:dyDescent="0.25">
      <c r="A464" s="1">
        <v>45754</v>
      </c>
      <c r="B464">
        <f>YEAR(tbl_Kalender[[#This Row],[Datum]])</f>
        <v>2025</v>
      </c>
      <c r="C464">
        <f>DAY(tbl_Kalender[[#This Row],[Datum]])</f>
        <v>7</v>
      </c>
      <c r="D464" t="str">
        <f>TEXT(tbl_Kalender[[#This Row],[Datum]],"TTTT")</f>
        <v>Montag</v>
      </c>
      <c r="E464">
        <f>WEEKDAY(tbl_Kalender[[#This Row],[Datum]],2)</f>
        <v>1</v>
      </c>
      <c r="F464">
        <f>MONTH(tbl_Kalender[[#This Row],[Datum]])</f>
        <v>4</v>
      </c>
      <c r="G464" t="str">
        <f>TEXT(tbl_Kalender[[#This Row],[Datum]],"MMMM")</f>
        <v>April</v>
      </c>
      <c r="H464">
        <f>ROUNDUP(tbl_Kalender[[#This Row],[Monat]]/3,0)</f>
        <v>2</v>
      </c>
      <c r="I464" t="str">
        <f>"Q "&amp;tbl_Kalender[[#This Row],[Quartal]]</f>
        <v>Q 2</v>
      </c>
      <c r="J464" t="str">
        <f>tbl_Kalender[[#This Row],[Quartal]]&amp;". Quartal"</f>
        <v>2. Quartal</v>
      </c>
      <c r="K464">
        <f>_xlfn.ISOWEEKNUM(tbl_Kalender[[#This Row],[Datum]])</f>
        <v>15</v>
      </c>
    </row>
    <row r="465" spans="1:11" x14ac:dyDescent="0.25">
      <c r="A465" s="1">
        <v>45755</v>
      </c>
      <c r="B465">
        <f>YEAR(tbl_Kalender[[#This Row],[Datum]])</f>
        <v>2025</v>
      </c>
      <c r="C465">
        <f>DAY(tbl_Kalender[[#This Row],[Datum]])</f>
        <v>8</v>
      </c>
      <c r="D465" t="str">
        <f>TEXT(tbl_Kalender[[#This Row],[Datum]],"TTTT")</f>
        <v>Dienstag</v>
      </c>
      <c r="E465">
        <f>WEEKDAY(tbl_Kalender[[#This Row],[Datum]],2)</f>
        <v>2</v>
      </c>
      <c r="F465">
        <f>MONTH(tbl_Kalender[[#This Row],[Datum]])</f>
        <v>4</v>
      </c>
      <c r="G465" t="str">
        <f>TEXT(tbl_Kalender[[#This Row],[Datum]],"MMMM")</f>
        <v>April</v>
      </c>
      <c r="H465">
        <f>ROUNDUP(tbl_Kalender[[#This Row],[Monat]]/3,0)</f>
        <v>2</v>
      </c>
      <c r="I465" t="str">
        <f>"Q "&amp;tbl_Kalender[[#This Row],[Quartal]]</f>
        <v>Q 2</v>
      </c>
      <c r="J465" t="str">
        <f>tbl_Kalender[[#This Row],[Quartal]]&amp;". Quartal"</f>
        <v>2. Quartal</v>
      </c>
      <c r="K465">
        <f>_xlfn.ISOWEEKNUM(tbl_Kalender[[#This Row],[Datum]])</f>
        <v>15</v>
      </c>
    </row>
    <row r="466" spans="1:11" x14ac:dyDescent="0.25">
      <c r="A466" s="1">
        <v>45756</v>
      </c>
      <c r="B466">
        <f>YEAR(tbl_Kalender[[#This Row],[Datum]])</f>
        <v>2025</v>
      </c>
      <c r="C466">
        <f>DAY(tbl_Kalender[[#This Row],[Datum]])</f>
        <v>9</v>
      </c>
      <c r="D466" t="str">
        <f>TEXT(tbl_Kalender[[#This Row],[Datum]],"TTTT")</f>
        <v>Mittwoch</v>
      </c>
      <c r="E466">
        <f>WEEKDAY(tbl_Kalender[[#This Row],[Datum]],2)</f>
        <v>3</v>
      </c>
      <c r="F466">
        <f>MONTH(tbl_Kalender[[#This Row],[Datum]])</f>
        <v>4</v>
      </c>
      <c r="G466" t="str">
        <f>TEXT(tbl_Kalender[[#This Row],[Datum]],"MMMM")</f>
        <v>April</v>
      </c>
      <c r="H466">
        <f>ROUNDUP(tbl_Kalender[[#This Row],[Monat]]/3,0)</f>
        <v>2</v>
      </c>
      <c r="I466" t="str">
        <f>"Q "&amp;tbl_Kalender[[#This Row],[Quartal]]</f>
        <v>Q 2</v>
      </c>
      <c r="J466" t="str">
        <f>tbl_Kalender[[#This Row],[Quartal]]&amp;". Quartal"</f>
        <v>2. Quartal</v>
      </c>
      <c r="K466">
        <f>_xlfn.ISOWEEKNUM(tbl_Kalender[[#This Row],[Datum]])</f>
        <v>15</v>
      </c>
    </row>
    <row r="467" spans="1:11" x14ac:dyDescent="0.25">
      <c r="A467" s="1">
        <v>45757</v>
      </c>
      <c r="B467">
        <f>YEAR(tbl_Kalender[[#This Row],[Datum]])</f>
        <v>2025</v>
      </c>
      <c r="C467">
        <f>DAY(tbl_Kalender[[#This Row],[Datum]])</f>
        <v>10</v>
      </c>
      <c r="D467" t="str">
        <f>TEXT(tbl_Kalender[[#This Row],[Datum]],"TTTT")</f>
        <v>Donnerstag</v>
      </c>
      <c r="E467">
        <f>WEEKDAY(tbl_Kalender[[#This Row],[Datum]],2)</f>
        <v>4</v>
      </c>
      <c r="F467">
        <f>MONTH(tbl_Kalender[[#This Row],[Datum]])</f>
        <v>4</v>
      </c>
      <c r="G467" t="str">
        <f>TEXT(tbl_Kalender[[#This Row],[Datum]],"MMMM")</f>
        <v>April</v>
      </c>
      <c r="H467">
        <f>ROUNDUP(tbl_Kalender[[#This Row],[Monat]]/3,0)</f>
        <v>2</v>
      </c>
      <c r="I467" t="str">
        <f>"Q "&amp;tbl_Kalender[[#This Row],[Quartal]]</f>
        <v>Q 2</v>
      </c>
      <c r="J467" t="str">
        <f>tbl_Kalender[[#This Row],[Quartal]]&amp;". Quartal"</f>
        <v>2. Quartal</v>
      </c>
      <c r="K467">
        <f>_xlfn.ISOWEEKNUM(tbl_Kalender[[#This Row],[Datum]])</f>
        <v>15</v>
      </c>
    </row>
    <row r="468" spans="1:11" x14ac:dyDescent="0.25">
      <c r="A468" s="1">
        <v>45758</v>
      </c>
      <c r="B468">
        <f>YEAR(tbl_Kalender[[#This Row],[Datum]])</f>
        <v>2025</v>
      </c>
      <c r="C468">
        <f>DAY(tbl_Kalender[[#This Row],[Datum]])</f>
        <v>11</v>
      </c>
      <c r="D468" t="str">
        <f>TEXT(tbl_Kalender[[#This Row],[Datum]],"TTTT")</f>
        <v>Freitag</v>
      </c>
      <c r="E468">
        <f>WEEKDAY(tbl_Kalender[[#This Row],[Datum]],2)</f>
        <v>5</v>
      </c>
      <c r="F468">
        <f>MONTH(tbl_Kalender[[#This Row],[Datum]])</f>
        <v>4</v>
      </c>
      <c r="G468" t="str">
        <f>TEXT(tbl_Kalender[[#This Row],[Datum]],"MMMM")</f>
        <v>April</v>
      </c>
      <c r="H468">
        <f>ROUNDUP(tbl_Kalender[[#This Row],[Monat]]/3,0)</f>
        <v>2</v>
      </c>
      <c r="I468" t="str">
        <f>"Q "&amp;tbl_Kalender[[#This Row],[Quartal]]</f>
        <v>Q 2</v>
      </c>
      <c r="J468" t="str">
        <f>tbl_Kalender[[#This Row],[Quartal]]&amp;". Quartal"</f>
        <v>2. Quartal</v>
      </c>
      <c r="K468">
        <f>_xlfn.ISOWEEKNUM(tbl_Kalender[[#This Row],[Datum]])</f>
        <v>15</v>
      </c>
    </row>
    <row r="469" spans="1:11" x14ac:dyDescent="0.25">
      <c r="A469" s="1">
        <v>45759</v>
      </c>
      <c r="B469">
        <f>YEAR(tbl_Kalender[[#This Row],[Datum]])</f>
        <v>2025</v>
      </c>
      <c r="C469">
        <f>DAY(tbl_Kalender[[#This Row],[Datum]])</f>
        <v>12</v>
      </c>
      <c r="D469" t="str">
        <f>TEXT(tbl_Kalender[[#This Row],[Datum]],"TTTT")</f>
        <v>Samstag</v>
      </c>
      <c r="E469">
        <f>WEEKDAY(tbl_Kalender[[#This Row],[Datum]],2)</f>
        <v>6</v>
      </c>
      <c r="F469">
        <f>MONTH(tbl_Kalender[[#This Row],[Datum]])</f>
        <v>4</v>
      </c>
      <c r="G469" t="str">
        <f>TEXT(tbl_Kalender[[#This Row],[Datum]],"MMMM")</f>
        <v>April</v>
      </c>
      <c r="H469">
        <f>ROUNDUP(tbl_Kalender[[#This Row],[Monat]]/3,0)</f>
        <v>2</v>
      </c>
      <c r="I469" t="str">
        <f>"Q "&amp;tbl_Kalender[[#This Row],[Quartal]]</f>
        <v>Q 2</v>
      </c>
      <c r="J469" t="str">
        <f>tbl_Kalender[[#This Row],[Quartal]]&amp;". Quartal"</f>
        <v>2. Quartal</v>
      </c>
      <c r="K469">
        <f>_xlfn.ISOWEEKNUM(tbl_Kalender[[#This Row],[Datum]])</f>
        <v>15</v>
      </c>
    </row>
    <row r="470" spans="1:11" x14ac:dyDescent="0.25">
      <c r="A470" s="1">
        <v>45760</v>
      </c>
      <c r="B470">
        <f>YEAR(tbl_Kalender[[#This Row],[Datum]])</f>
        <v>2025</v>
      </c>
      <c r="C470">
        <f>DAY(tbl_Kalender[[#This Row],[Datum]])</f>
        <v>13</v>
      </c>
      <c r="D470" t="str">
        <f>TEXT(tbl_Kalender[[#This Row],[Datum]],"TTTT")</f>
        <v>Sonntag</v>
      </c>
      <c r="E470">
        <f>WEEKDAY(tbl_Kalender[[#This Row],[Datum]],2)</f>
        <v>7</v>
      </c>
      <c r="F470">
        <f>MONTH(tbl_Kalender[[#This Row],[Datum]])</f>
        <v>4</v>
      </c>
      <c r="G470" t="str">
        <f>TEXT(tbl_Kalender[[#This Row],[Datum]],"MMMM")</f>
        <v>April</v>
      </c>
      <c r="H470">
        <f>ROUNDUP(tbl_Kalender[[#This Row],[Monat]]/3,0)</f>
        <v>2</v>
      </c>
      <c r="I470" t="str">
        <f>"Q "&amp;tbl_Kalender[[#This Row],[Quartal]]</f>
        <v>Q 2</v>
      </c>
      <c r="J470" t="str">
        <f>tbl_Kalender[[#This Row],[Quartal]]&amp;". Quartal"</f>
        <v>2. Quartal</v>
      </c>
      <c r="K470">
        <f>_xlfn.ISOWEEKNUM(tbl_Kalender[[#This Row],[Datum]])</f>
        <v>15</v>
      </c>
    </row>
    <row r="471" spans="1:11" x14ac:dyDescent="0.25">
      <c r="A471" s="1">
        <v>45761</v>
      </c>
      <c r="B471">
        <f>YEAR(tbl_Kalender[[#This Row],[Datum]])</f>
        <v>2025</v>
      </c>
      <c r="C471">
        <f>DAY(tbl_Kalender[[#This Row],[Datum]])</f>
        <v>14</v>
      </c>
      <c r="D471" t="str">
        <f>TEXT(tbl_Kalender[[#This Row],[Datum]],"TTTT")</f>
        <v>Montag</v>
      </c>
      <c r="E471">
        <f>WEEKDAY(tbl_Kalender[[#This Row],[Datum]],2)</f>
        <v>1</v>
      </c>
      <c r="F471">
        <f>MONTH(tbl_Kalender[[#This Row],[Datum]])</f>
        <v>4</v>
      </c>
      <c r="G471" t="str">
        <f>TEXT(tbl_Kalender[[#This Row],[Datum]],"MMMM")</f>
        <v>April</v>
      </c>
      <c r="H471">
        <f>ROUNDUP(tbl_Kalender[[#This Row],[Monat]]/3,0)</f>
        <v>2</v>
      </c>
      <c r="I471" t="str">
        <f>"Q "&amp;tbl_Kalender[[#This Row],[Quartal]]</f>
        <v>Q 2</v>
      </c>
      <c r="J471" t="str">
        <f>tbl_Kalender[[#This Row],[Quartal]]&amp;". Quartal"</f>
        <v>2. Quartal</v>
      </c>
      <c r="K471">
        <f>_xlfn.ISOWEEKNUM(tbl_Kalender[[#This Row],[Datum]])</f>
        <v>16</v>
      </c>
    </row>
    <row r="472" spans="1:11" x14ac:dyDescent="0.25">
      <c r="A472" s="1">
        <v>45762</v>
      </c>
      <c r="B472">
        <f>YEAR(tbl_Kalender[[#This Row],[Datum]])</f>
        <v>2025</v>
      </c>
      <c r="C472">
        <f>DAY(tbl_Kalender[[#This Row],[Datum]])</f>
        <v>15</v>
      </c>
      <c r="D472" t="str">
        <f>TEXT(tbl_Kalender[[#This Row],[Datum]],"TTTT")</f>
        <v>Dienstag</v>
      </c>
      <c r="E472">
        <f>WEEKDAY(tbl_Kalender[[#This Row],[Datum]],2)</f>
        <v>2</v>
      </c>
      <c r="F472">
        <f>MONTH(tbl_Kalender[[#This Row],[Datum]])</f>
        <v>4</v>
      </c>
      <c r="G472" t="str">
        <f>TEXT(tbl_Kalender[[#This Row],[Datum]],"MMMM")</f>
        <v>April</v>
      </c>
      <c r="H472">
        <f>ROUNDUP(tbl_Kalender[[#This Row],[Monat]]/3,0)</f>
        <v>2</v>
      </c>
      <c r="I472" t="str">
        <f>"Q "&amp;tbl_Kalender[[#This Row],[Quartal]]</f>
        <v>Q 2</v>
      </c>
      <c r="J472" t="str">
        <f>tbl_Kalender[[#This Row],[Quartal]]&amp;". Quartal"</f>
        <v>2. Quartal</v>
      </c>
      <c r="K472">
        <f>_xlfn.ISOWEEKNUM(tbl_Kalender[[#This Row],[Datum]])</f>
        <v>16</v>
      </c>
    </row>
    <row r="473" spans="1:11" x14ac:dyDescent="0.25">
      <c r="A473" s="1">
        <v>45763</v>
      </c>
      <c r="B473">
        <f>YEAR(tbl_Kalender[[#This Row],[Datum]])</f>
        <v>2025</v>
      </c>
      <c r="C473">
        <f>DAY(tbl_Kalender[[#This Row],[Datum]])</f>
        <v>16</v>
      </c>
      <c r="D473" t="str">
        <f>TEXT(tbl_Kalender[[#This Row],[Datum]],"TTTT")</f>
        <v>Mittwoch</v>
      </c>
      <c r="E473">
        <f>WEEKDAY(tbl_Kalender[[#This Row],[Datum]],2)</f>
        <v>3</v>
      </c>
      <c r="F473">
        <f>MONTH(tbl_Kalender[[#This Row],[Datum]])</f>
        <v>4</v>
      </c>
      <c r="G473" t="str">
        <f>TEXT(tbl_Kalender[[#This Row],[Datum]],"MMMM")</f>
        <v>April</v>
      </c>
      <c r="H473">
        <f>ROUNDUP(tbl_Kalender[[#This Row],[Monat]]/3,0)</f>
        <v>2</v>
      </c>
      <c r="I473" t="str">
        <f>"Q "&amp;tbl_Kalender[[#This Row],[Quartal]]</f>
        <v>Q 2</v>
      </c>
      <c r="J473" t="str">
        <f>tbl_Kalender[[#This Row],[Quartal]]&amp;". Quartal"</f>
        <v>2. Quartal</v>
      </c>
      <c r="K473">
        <f>_xlfn.ISOWEEKNUM(tbl_Kalender[[#This Row],[Datum]])</f>
        <v>16</v>
      </c>
    </row>
    <row r="474" spans="1:11" x14ac:dyDescent="0.25">
      <c r="A474" s="1">
        <v>45764</v>
      </c>
      <c r="B474">
        <f>YEAR(tbl_Kalender[[#This Row],[Datum]])</f>
        <v>2025</v>
      </c>
      <c r="C474">
        <f>DAY(tbl_Kalender[[#This Row],[Datum]])</f>
        <v>17</v>
      </c>
      <c r="D474" t="str">
        <f>TEXT(tbl_Kalender[[#This Row],[Datum]],"TTTT")</f>
        <v>Donnerstag</v>
      </c>
      <c r="E474">
        <f>WEEKDAY(tbl_Kalender[[#This Row],[Datum]],2)</f>
        <v>4</v>
      </c>
      <c r="F474">
        <f>MONTH(tbl_Kalender[[#This Row],[Datum]])</f>
        <v>4</v>
      </c>
      <c r="G474" t="str">
        <f>TEXT(tbl_Kalender[[#This Row],[Datum]],"MMMM")</f>
        <v>April</v>
      </c>
      <c r="H474">
        <f>ROUNDUP(tbl_Kalender[[#This Row],[Monat]]/3,0)</f>
        <v>2</v>
      </c>
      <c r="I474" t="str">
        <f>"Q "&amp;tbl_Kalender[[#This Row],[Quartal]]</f>
        <v>Q 2</v>
      </c>
      <c r="J474" t="str">
        <f>tbl_Kalender[[#This Row],[Quartal]]&amp;". Quartal"</f>
        <v>2. Quartal</v>
      </c>
      <c r="K474">
        <f>_xlfn.ISOWEEKNUM(tbl_Kalender[[#This Row],[Datum]])</f>
        <v>16</v>
      </c>
    </row>
    <row r="475" spans="1:11" x14ac:dyDescent="0.25">
      <c r="A475" s="1">
        <v>45765</v>
      </c>
      <c r="B475">
        <f>YEAR(tbl_Kalender[[#This Row],[Datum]])</f>
        <v>2025</v>
      </c>
      <c r="C475">
        <f>DAY(tbl_Kalender[[#This Row],[Datum]])</f>
        <v>18</v>
      </c>
      <c r="D475" t="str">
        <f>TEXT(tbl_Kalender[[#This Row],[Datum]],"TTTT")</f>
        <v>Freitag</v>
      </c>
      <c r="E475">
        <f>WEEKDAY(tbl_Kalender[[#This Row],[Datum]],2)</f>
        <v>5</v>
      </c>
      <c r="F475">
        <f>MONTH(tbl_Kalender[[#This Row],[Datum]])</f>
        <v>4</v>
      </c>
      <c r="G475" t="str">
        <f>TEXT(tbl_Kalender[[#This Row],[Datum]],"MMMM")</f>
        <v>April</v>
      </c>
      <c r="H475">
        <f>ROUNDUP(tbl_Kalender[[#This Row],[Monat]]/3,0)</f>
        <v>2</v>
      </c>
      <c r="I475" t="str">
        <f>"Q "&amp;tbl_Kalender[[#This Row],[Quartal]]</f>
        <v>Q 2</v>
      </c>
      <c r="J475" t="str">
        <f>tbl_Kalender[[#This Row],[Quartal]]&amp;". Quartal"</f>
        <v>2. Quartal</v>
      </c>
      <c r="K475">
        <f>_xlfn.ISOWEEKNUM(tbl_Kalender[[#This Row],[Datum]])</f>
        <v>16</v>
      </c>
    </row>
    <row r="476" spans="1:11" x14ac:dyDescent="0.25">
      <c r="A476" s="1">
        <v>45766</v>
      </c>
      <c r="B476">
        <f>YEAR(tbl_Kalender[[#This Row],[Datum]])</f>
        <v>2025</v>
      </c>
      <c r="C476">
        <f>DAY(tbl_Kalender[[#This Row],[Datum]])</f>
        <v>19</v>
      </c>
      <c r="D476" t="str">
        <f>TEXT(tbl_Kalender[[#This Row],[Datum]],"TTTT")</f>
        <v>Samstag</v>
      </c>
      <c r="E476">
        <f>WEEKDAY(tbl_Kalender[[#This Row],[Datum]],2)</f>
        <v>6</v>
      </c>
      <c r="F476">
        <f>MONTH(tbl_Kalender[[#This Row],[Datum]])</f>
        <v>4</v>
      </c>
      <c r="G476" t="str">
        <f>TEXT(tbl_Kalender[[#This Row],[Datum]],"MMMM")</f>
        <v>April</v>
      </c>
      <c r="H476">
        <f>ROUNDUP(tbl_Kalender[[#This Row],[Monat]]/3,0)</f>
        <v>2</v>
      </c>
      <c r="I476" t="str">
        <f>"Q "&amp;tbl_Kalender[[#This Row],[Quartal]]</f>
        <v>Q 2</v>
      </c>
      <c r="J476" t="str">
        <f>tbl_Kalender[[#This Row],[Quartal]]&amp;". Quartal"</f>
        <v>2. Quartal</v>
      </c>
      <c r="K476">
        <f>_xlfn.ISOWEEKNUM(tbl_Kalender[[#This Row],[Datum]])</f>
        <v>16</v>
      </c>
    </row>
    <row r="477" spans="1:11" x14ac:dyDescent="0.25">
      <c r="A477" s="1">
        <v>45767</v>
      </c>
      <c r="B477">
        <f>YEAR(tbl_Kalender[[#This Row],[Datum]])</f>
        <v>2025</v>
      </c>
      <c r="C477">
        <f>DAY(tbl_Kalender[[#This Row],[Datum]])</f>
        <v>20</v>
      </c>
      <c r="D477" t="str">
        <f>TEXT(tbl_Kalender[[#This Row],[Datum]],"TTTT")</f>
        <v>Sonntag</v>
      </c>
      <c r="E477">
        <f>WEEKDAY(tbl_Kalender[[#This Row],[Datum]],2)</f>
        <v>7</v>
      </c>
      <c r="F477">
        <f>MONTH(tbl_Kalender[[#This Row],[Datum]])</f>
        <v>4</v>
      </c>
      <c r="G477" t="str">
        <f>TEXT(tbl_Kalender[[#This Row],[Datum]],"MMMM")</f>
        <v>April</v>
      </c>
      <c r="H477">
        <f>ROUNDUP(tbl_Kalender[[#This Row],[Monat]]/3,0)</f>
        <v>2</v>
      </c>
      <c r="I477" t="str">
        <f>"Q "&amp;tbl_Kalender[[#This Row],[Quartal]]</f>
        <v>Q 2</v>
      </c>
      <c r="J477" t="str">
        <f>tbl_Kalender[[#This Row],[Quartal]]&amp;". Quartal"</f>
        <v>2. Quartal</v>
      </c>
      <c r="K477">
        <f>_xlfn.ISOWEEKNUM(tbl_Kalender[[#This Row],[Datum]])</f>
        <v>16</v>
      </c>
    </row>
    <row r="478" spans="1:11" x14ac:dyDescent="0.25">
      <c r="A478" s="1">
        <v>45768</v>
      </c>
      <c r="B478">
        <f>YEAR(tbl_Kalender[[#This Row],[Datum]])</f>
        <v>2025</v>
      </c>
      <c r="C478">
        <f>DAY(tbl_Kalender[[#This Row],[Datum]])</f>
        <v>21</v>
      </c>
      <c r="D478" t="str">
        <f>TEXT(tbl_Kalender[[#This Row],[Datum]],"TTTT")</f>
        <v>Montag</v>
      </c>
      <c r="E478">
        <f>WEEKDAY(tbl_Kalender[[#This Row],[Datum]],2)</f>
        <v>1</v>
      </c>
      <c r="F478">
        <f>MONTH(tbl_Kalender[[#This Row],[Datum]])</f>
        <v>4</v>
      </c>
      <c r="G478" t="str">
        <f>TEXT(tbl_Kalender[[#This Row],[Datum]],"MMMM")</f>
        <v>April</v>
      </c>
      <c r="H478">
        <f>ROUNDUP(tbl_Kalender[[#This Row],[Monat]]/3,0)</f>
        <v>2</v>
      </c>
      <c r="I478" t="str">
        <f>"Q "&amp;tbl_Kalender[[#This Row],[Quartal]]</f>
        <v>Q 2</v>
      </c>
      <c r="J478" t="str">
        <f>tbl_Kalender[[#This Row],[Quartal]]&amp;". Quartal"</f>
        <v>2. Quartal</v>
      </c>
      <c r="K478">
        <f>_xlfn.ISOWEEKNUM(tbl_Kalender[[#This Row],[Datum]])</f>
        <v>17</v>
      </c>
    </row>
    <row r="479" spans="1:11" x14ac:dyDescent="0.25">
      <c r="A479" s="1">
        <v>45769</v>
      </c>
      <c r="B479">
        <f>YEAR(tbl_Kalender[[#This Row],[Datum]])</f>
        <v>2025</v>
      </c>
      <c r="C479">
        <f>DAY(tbl_Kalender[[#This Row],[Datum]])</f>
        <v>22</v>
      </c>
      <c r="D479" t="str">
        <f>TEXT(tbl_Kalender[[#This Row],[Datum]],"TTTT")</f>
        <v>Dienstag</v>
      </c>
      <c r="E479">
        <f>WEEKDAY(tbl_Kalender[[#This Row],[Datum]],2)</f>
        <v>2</v>
      </c>
      <c r="F479">
        <f>MONTH(tbl_Kalender[[#This Row],[Datum]])</f>
        <v>4</v>
      </c>
      <c r="G479" t="str">
        <f>TEXT(tbl_Kalender[[#This Row],[Datum]],"MMMM")</f>
        <v>April</v>
      </c>
      <c r="H479">
        <f>ROUNDUP(tbl_Kalender[[#This Row],[Monat]]/3,0)</f>
        <v>2</v>
      </c>
      <c r="I479" t="str">
        <f>"Q "&amp;tbl_Kalender[[#This Row],[Quartal]]</f>
        <v>Q 2</v>
      </c>
      <c r="J479" t="str">
        <f>tbl_Kalender[[#This Row],[Quartal]]&amp;". Quartal"</f>
        <v>2. Quartal</v>
      </c>
      <c r="K479">
        <f>_xlfn.ISOWEEKNUM(tbl_Kalender[[#This Row],[Datum]])</f>
        <v>17</v>
      </c>
    </row>
    <row r="480" spans="1:11" x14ac:dyDescent="0.25">
      <c r="A480" s="1">
        <v>45770</v>
      </c>
      <c r="B480">
        <f>YEAR(tbl_Kalender[[#This Row],[Datum]])</f>
        <v>2025</v>
      </c>
      <c r="C480">
        <f>DAY(tbl_Kalender[[#This Row],[Datum]])</f>
        <v>23</v>
      </c>
      <c r="D480" t="str">
        <f>TEXT(tbl_Kalender[[#This Row],[Datum]],"TTTT")</f>
        <v>Mittwoch</v>
      </c>
      <c r="E480">
        <f>WEEKDAY(tbl_Kalender[[#This Row],[Datum]],2)</f>
        <v>3</v>
      </c>
      <c r="F480">
        <f>MONTH(tbl_Kalender[[#This Row],[Datum]])</f>
        <v>4</v>
      </c>
      <c r="G480" t="str">
        <f>TEXT(tbl_Kalender[[#This Row],[Datum]],"MMMM")</f>
        <v>April</v>
      </c>
      <c r="H480">
        <f>ROUNDUP(tbl_Kalender[[#This Row],[Monat]]/3,0)</f>
        <v>2</v>
      </c>
      <c r="I480" t="str">
        <f>"Q "&amp;tbl_Kalender[[#This Row],[Quartal]]</f>
        <v>Q 2</v>
      </c>
      <c r="J480" t="str">
        <f>tbl_Kalender[[#This Row],[Quartal]]&amp;". Quartal"</f>
        <v>2. Quartal</v>
      </c>
      <c r="K480">
        <f>_xlfn.ISOWEEKNUM(tbl_Kalender[[#This Row],[Datum]])</f>
        <v>17</v>
      </c>
    </row>
    <row r="481" spans="1:11" x14ac:dyDescent="0.25">
      <c r="A481" s="1">
        <v>45771</v>
      </c>
      <c r="B481">
        <f>YEAR(tbl_Kalender[[#This Row],[Datum]])</f>
        <v>2025</v>
      </c>
      <c r="C481">
        <f>DAY(tbl_Kalender[[#This Row],[Datum]])</f>
        <v>24</v>
      </c>
      <c r="D481" t="str">
        <f>TEXT(tbl_Kalender[[#This Row],[Datum]],"TTTT")</f>
        <v>Donnerstag</v>
      </c>
      <c r="E481">
        <f>WEEKDAY(tbl_Kalender[[#This Row],[Datum]],2)</f>
        <v>4</v>
      </c>
      <c r="F481">
        <f>MONTH(tbl_Kalender[[#This Row],[Datum]])</f>
        <v>4</v>
      </c>
      <c r="G481" t="str">
        <f>TEXT(tbl_Kalender[[#This Row],[Datum]],"MMMM")</f>
        <v>April</v>
      </c>
      <c r="H481">
        <f>ROUNDUP(tbl_Kalender[[#This Row],[Monat]]/3,0)</f>
        <v>2</v>
      </c>
      <c r="I481" t="str">
        <f>"Q "&amp;tbl_Kalender[[#This Row],[Quartal]]</f>
        <v>Q 2</v>
      </c>
      <c r="J481" t="str">
        <f>tbl_Kalender[[#This Row],[Quartal]]&amp;". Quartal"</f>
        <v>2. Quartal</v>
      </c>
      <c r="K481">
        <f>_xlfn.ISOWEEKNUM(tbl_Kalender[[#This Row],[Datum]])</f>
        <v>17</v>
      </c>
    </row>
    <row r="482" spans="1:11" x14ac:dyDescent="0.25">
      <c r="A482" s="1">
        <v>45772</v>
      </c>
      <c r="B482">
        <f>YEAR(tbl_Kalender[[#This Row],[Datum]])</f>
        <v>2025</v>
      </c>
      <c r="C482">
        <f>DAY(tbl_Kalender[[#This Row],[Datum]])</f>
        <v>25</v>
      </c>
      <c r="D482" t="str">
        <f>TEXT(tbl_Kalender[[#This Row],[Datum]],"TTTT")</f>
        <v>Freitag</v>
      </c>
      <c r="E482">
        <f>WEEKDAY(tbl_Kalender[[#This Row],[Datum]],2)</f>
        <v>5</v>
      </c>
      <c r="F482">
        <f>MONTH(tbl_Kalender[[#This Row],[Datum]])</f>
        <v>4</v>
      </c>
      <c r="G482" t="str">
        <f>TEXT(tbl_Kalender[[#This Row],[Datum]],"MMMM")</f>
        <v>April</v>
      </c>
      <c r="H482">
        <f>ROUNDUP(tbl_Kalender[[#This Row],[Monat]]/3,0)</f>
        <v>2</v>
      </c>
      <c r="I482" t="str">
        <f>"Q "&amp;tbl_Kalender[[#This Row],[Quartal]]</f>
        <v>Q 2</v>
      </c>
      <c r="J482" t="str">
        <f>tbl_Kalender[[#This Row],[Quartal]]&amp;". Quartal"</f>
        <v>2. Quartal</v>
      </c>
      <c r="K482">
        <f>_xlfn.ISOWEEKNUM(tbl_Kalender[[#This Row],[Datum]])</f>
        <v>17</v>
      </c>
    </row>
    <row r="483" spans="1:11" x14ac:dyDescent="0.25">
      <c r="A483" s="1">
        <v>45773</v>
      </c>
      <c r="B483">
        <f>YEAR(tbl_Kalender[[#This Row],[Datum]])</f>
        <v>2025</v>
      </c>
      <c r="C483">
        <f>DAY(tbl_Kalender[[#This Row],[Datum]])</f>
        <v>26</v>
      </c>
      <c r="D483" t="str">
        <f>TEXT(tbl_Kalender[[#This Row],[Datum]],"TTTT")</f>
        <v>Samstag</v>
      </c>
      <c r="E483">
        <f>WEEKDAY(tbl_Kalender[[#This Row],[Datum]],2)</f>
        <v>6</v>
      </c>
      <c r="F483">
        <f>MONTH(tbl_Kalender[[#This Row],[Datum]])</f>
        <v>4</v>
      </c>
      <c r="G483" t="str">
        <f>TEXT(tbl_Kalender[[#This Row],[Datum]],"MMMM")</f>
        <v>April</v>
      </c>
      <c r="H483">
        <f>ROUNDUP(tbl_Kalender[[#This Row],[Monat]]/3,0)</f>
        <v>2</v>
      </c>
      <c r="I483" t="str">
        <f>"Q "&amp;tbl_Kalender[[#This Row],[Quartal]]</f>
        <v>Q 2</v>
      </c>
      <c r="J483" t="str">
        <f>tbl_Kalender[[#This Row],[Quartal]]&amp;". Quartal"</f>
        <v>2. Quartal</v>
      </c>
      <c r="K483">
        <f>_xlfn.ISOWEEKNUM(tbl_Kalender[[#This Row],[Datum]])</f>
        <v>17</v>
      </c>
    </row>
    <row r="484" spans="1:11" x14ac:dyDescent="0.25">
      <c r="A484" s="1">
        <v>45774</v>
      </c>
      <c r="B484">
        <f>YEAR(tbl_Kalender[[#This Row],[Datum]])</f>
        <v>2025</v>
      </c>
      <c r="C484">
        <f>DAY(tbl_Kalender[[#This Row],[Datum]])</f>
        <v>27</v>
      </c>
      <c r="D484" t="str">
        <f>TEXT(tbl_Kalender[[#This Row],[Datum]],"TTTT")</f>
        <v>Sonntag</v>
      </c>
      <c r="E484">
        <f>WEEKDAY(tbl_Kalender[[#This Row],[Datum]],2)</f>
        <v>7</v>
      </c>
      <c r="F484">
        <f>MONTH(tbl_Kalender[[#This Row],[Datum]])</f>
        <v>4</v>
      </c>
      <c r="G484" t="str">
        <f>TEXT(tbl_Kalender[[#This Row],[Datum]],"MMMM")</f>
        <v>April</v>
      </c>
      <c r="H484">
        <f>ROUNDUP(tbl_Kalender[[#This Row],[Monat]]/3,0)</f>
        <v>2</v>
      </c>
      <c r="I484" t="str">
        <f>"Q "&amp;tbl_Kalender[[#This Row],[Quartal]]</f>
        <v>Q 2</v>
      </c>
      <c r="J484" t="str">
        <f>tbl_Kalender[[#This Row],[Quartal]]&amp;". Quartal"</f>
        <v>2. Quartal</v>
      </c>
      <c r="K484">
        <f>_xlfn.ISOWEEKNUM(tbl_Kalender[[#This Row],[Datum]])</f>
        <v>17</v>
      </c>
    </row>
    <row r="485" spans="1:11" x14ac:dyDescent="0.25">
      <c r="A485" s="1">
        <v>45775</v>
      </c>
      <c r="B485">
        <f>YEAR(tbl_Kalender[[#This Row],[Datum]])</f>
        <v>2025</v>
      </c>
      <c r="C485">
        <f>DAY(tbl_Kalender[[#This Row],[Datum]])</f>
        <v>28</v>
      </c>
      <c r="D485" t="str">
        <f>TEXT(tbl_Kalender[[#This Row],[Datum]],"TTTT")</f>
        <v>Montag</v>
      </c>
      <c r="E485">
        <f>WEEKDAY(tbl_Kalender[[#This Row],[Datum]],2)</f>
        <v>1</v>
      </c>
      <c r="F485">
        <f>MONTH(tbl_Kalender[[#This Row],[Datum]])</f>
        <v>4</v>
      </c>
      <c r="G485" t="str">
        <f>TEXT(tbl_Kalender[[#This Row],[Datum]],"MMMM")</f>
        <v>April</v>
      </c>
      <c r="H485">
        <f>ROUNDUP(tbl_Kalender[[#This Row],[Monat]]/3,0)</f>
        <v>2</v>
      </c>
      <c r="I485" t="str">
        <f>"Q "&amp;tbl_Kalender[[#This Row],[Quartal]]</f>
        <v>Q 2</v>
      </c>
      <c r="J485" t="str">
        <f>tbl_Kalender[[#This Row],[Quartal]]&amp;". Quartal"</f>
        <v>2. Quartal</v>
      </c>
      <c r="K485">
        <f>_xlfn.ISOWEEKNUM(tbl_Kalender[[#This Row],[Datum]])</f>
        <v>18</v>
      </c>
    </row>
    <row r="486" spans="1:11" x14ac:dyDescent="0.25">
      <c r="A486" s="1">
        <v>45776</v>
      </c>
      <c r="B486">
        <f>YEAR(tbl_Kalender[[#This Row],[Datum]])</f>
        <v>2025</v>
      </c>
      <c r="C486">
        <f>DAY(tbl_Kalender[[#This Row],[Datum]])</f>
        <v>29</v>
      </c>
      <c r="D486" t="str">
        <f>TEXT(tbl_Kalender[[#This Row],[Datum]],"TTTT")</f>
        <v>Dienstag</v>
      </c>
      <c r="E486">
        <f>WEEKDAY(tbl_Kalender[[#This Row],[Datum]],2)</f>
        <v>2</v>
      </c>
      <c r="F486">
        <f>MONTH(tbl_Kalender[[#This Row],[Datum]])</f>
        <v>4</v>
      </c>
      <c r="G486" t="str">
        <f>TEXT(tbl_Kalender[[#This Row],[Datum]],"MMMM")</f>
        <v>April</v>
      </c>
      <c r="H486">
        <f>ROUNDUP(tbl_Kalender[[#This Row],[Monat]]/3,0)</f>
        <v>2</v>
      </c>
      <c r="I486" t="str">
        <f>"Q "&amp;tbl_Kalender[[#This Row],[Quartal]]</f>
        <v>Q 2</v>
      </c>
      <c r="J486" t="str">
        <f>tbl_Kalender[[#This Row],[Quartal]]&amp;". Quartal"</f>
        <v>2. Quartal</v>
      </c>
      <c r="K486">
        <f>_xlfn.ISOWEEKNUM(tbl_Kalender[[#This Row],[Datum]])</f>
        <v>18</v>
      </c>
    </row>
    <row r="487" spans="1:11" x14ac:dyDescent="0.25">
      <c r="A487" s="1">
        <v>45777</v>
      </c>
      <c r="B487">
        <f>YEAR(tbl_Kalender[[#This Row],[Datum]])</f>
        <v>2025</v>
      </c>
      <c r="C487">
        <f>DAY(tbl_Kalender[[#This Row],[Datum]])</f>
        <v>30</v>
      </c>
      <c r="D487" t="str">
        <f>TEXT(tbl_Kalender[[#This Row],[Datum]],"TTTT")</f>
        <v>Mittwoch</v>
      </c>
      <c r="E487">
        <f>WEEKDAY(tbl_Kalender[[#This Row],[Datum]],2)</f>
        <v>3</v>
      </c>
      <c r="F487">
        <f>MONTH(tbl_Kalender[[#This Row],[Datum]])</f>
        <v>4</v>
      </c>
      <c r="G487" t="str">
        <f>TEXT(tbl_Kalender[[#This Row],[Datum]],"MMMM")</f>
        <v>April</v>
      </c>
      <c r="H487">
        <f>ROUNDUP(tbl_Kalender[[#This Row],[Monat]]/3,0)</f>
        <v>2</v>
      </c>
      <c r="I487" t="str">
        <f>"Q "&amp;tbl_Kalender[[#This Row],[Quartal]]</f>
        <v>Q 2</v>
      </c>
      <c r="J487" t="str">
        <f>tbl_Kalender[[#This Row],[Quartal]]&amp;". Quartal"</f>
        <v>2. Quartal</v>
      </c>
      <c r="K487">
        <f>_xlfn.ISOWEEKNUM(tbl_Kalender[[#This Row],[Datum]])</f>
        <v>18</v>
      </c>
    </row>
    <row r="488" spans="1:11" x14ac:dyDescent="0.25">
      <c r="A488" s="1">
        <v>45778</v>
      </c>
      <c r="B488">
        <f>YEAR(tbl_Kalender[[#This Row],[Datum]])</f>
        <v>2025</v>
      </c>
      <c r="C488">
        <f>DAY(tbl_Kalender[[#This Row],[Datum]])</f>
        <v>1</v>
      </c>
      <c r="D488" t="str">
        <f>TEXT(tbl_Kalender[[#This Row],[Datum]],"TTTT")</f>
        <v>Donnerstag</v>
      </c>
      <c r="E488">
        <f>WEEKDAY(tbl_Kalender[[#This Row],[Datum]],2)</f>
        <v>4</v>
      </c>
      <c r="F488">
        <f>MONTH(tbl_Kalender[[#This Row],[Datum]])</f>
        <v>5</v>
      </c>
      <c r="G488" t="str">
        <f>TEXT(tbl_Kalender[[#This Row],[Datum]],"MMMM")</f>
        <v>Mai</v>
      </c>
      <c r="H488">
        <f>ROUNDUP(tbl_Kalender[[#This Row],[Monat]]/3,0)</f>
        <v>2</v>
      </c>
      <c r="I488" t="str">
        <f>"Q "&amp;tbl_Kalender[[#This Row],[Quartal]]</f>
        <v>Q 2</v>
      </c>
      <c r="J488" t="str">
        <f>tbl_Kalender[[#This Row],[Quartal]]&amp;". Quartal"</f>
        <v>2. Quartal</v>
      </c>
      <c r="K488">
        <f>_xlfn.ISOWEEKNUM(tbl_Kalender[[#This Row],[Datum]])</f>
        <v>18</v>
      </c>
    </row>
    <row r="489" spans="1:11" x14ac:dyDescent="0.25">
      <c r="A489" s="1">
        <v>45779</v>
      </c>
      <c r="B489">
        <f>YEAR(tbl_Kalender[[#This Row],[Datum]])</f>
        <v>2025</v>
      </c>
      <c r="C489">
        <f>DAY(tbl_Kalender[[#This Row],[Datum]])</f>
        <v>2</v>
      </c>
      <c r="D489" t="str">
        <f>TEXT(tbl_Kalender[[#This Row],[Datum]],"TTTT")</f>
        <v>Freitag</v>
      </c>
      <c r="E489">
        <f>WEEKDAY(tbl_Kalender[[#This Row],[Datum]],2)</f>
        <v>5</v>
      </c>
      <c r="F489">
        <f>MONTH(tbl_Kalender[[#This Row],[Datum]])</f>
        <v>5</v>
      </c>
      <c r="G489" t="str">
        <f>TEXT(tbl_Kalender[[#This Row],[Datum]],"MMMM")</f>
        <v>Mai</v>
      </c>
      <c r="H489">
        <f>ROUNDUP(tbl_Kalender[[#This Row],[Monat]]/3,0)</f>
        <v>2</v>
      </c>
      <c r="I489" t="str">
        <f>"Q "&amp;tbl_Kalender[[#This Row],[Quartal]]</f>
        <v>Q 2</v>
      </c>
      <c r="J489" t="str">
        <f>tbl_Kalender[[#This Row],[Quartal]]&amp;". Quartal"</f>
        <v>2. Quartal</v>
      </c>
      <c r="K489">
        <f>_xlfn.ISOWEEKNUM(tbl_Kalender[[#This Row],[Datum]])</f>
        <v>18</v>
      </c>
    </row>
    <row r="490" spans="1:11" x14ac:dyDescent="0.25">
      <c r="A490" s="1">
        <v>45780</v>
      </c>
      <c r="B490">
        <f>YEAR(tbl_Kalender[[#This Row],[Datum]])</f>
        <v>2025</v>
      </c>
      <c r="C490">
        <f>DAY(tbl_Kalender[[#This Row],[Datum]])</f>
        <v>3</v>
      </c>
      <c r="D490" t="str">
        <f>TEXT(tbl_Kalender[[#This Row],[Datum]],"TTTT")</f>
        <v>Samstag</v>
      </c>
      <c r="E490">
        <f>WEEKDAY(tbl_Kalender[[#This Row],[Datum]],2)</f>
        <v>6</v>
      </c>
      <c r="F490">
        <f>MONTH(tbl_Kalender[[#This Row],[Datum]])</f>
        <v>5</v>
      </c>
      <c r="G490" t="str">
        <f>TEXT(tbl_Kalender[[#This Row],[Datum]],"MMMM")</f>
        <v>Mai</v>
      </c>
      <c r="H490">
        <f>ROUNDUP(tbl_Kalender[[#This Row],[Monat]]/3,0)</f>
        <v>2</v>
      </c>
      <c r="I490" t="str">
        <f>"Q "&amp;tbl_Kalender[[#This Row],[Quartal]]</f>
        <v>Q 2</v>
      </c>
      <c r="J490" t="str">
        <f>tbl_Kalender[[#This Row],[Quartal]]&amp;". Quartal"</f>
        <v>2. Quartal</v>
      </c>
      <c r="K490">
        <f>_xlfn.ISOWEEKNUM(tbl_Kalender[[#This Row],[Datum]])</f>
        <v>18</v>
      </c>
    </row>
    <row r="491" spans="1:11" x14ac:dyDescent="0.25">
      <c r="A491" s="1">
        <v>45781</v>
      </c>
      <c r="B491">
        <f>YEAR(tbl_Kalender[[#This Row],[Datum]])</f>
        <v>2025</v>
      </c>
      <c r="C491">
        <f>DAY(tbl_Kalender[[#This Row],[Datum]])</f>
        <v>4</v>
      </c>
      <c r="D491" t="str">
        <f>TEXT(tbl_Kalender[[#This Row],[Datum]],"TTTT")</f>
        <v>Sonntag</v>
      </c>
      <c r="E491">
        <f>WEEKDAY(tbl_Kalender[[#This Row],[Datum]],2)</f>
        <v>7</v>
      </c>
      <c r="F491">
        <f>MONTH(tbl_Kalender[[#This Row],[Datum]])</f>
        <v>5</v>
      </c>
      <c r="G491" t="str">
        <f>TEXT(tbl_Kalender[[#This Row],[Datum]],"MMMM")</f>
        <v>Mai</v>
      </c>
      <c r="H491">
        <f>ROUNDUP(tbl_Kalender[[#This Row],[Monat]]/3,0)</f>
        <v>2</v>
      </c>
      <c r="I491" t="str">
        <f>"Q "&amp;tbl_Kalender[[#This Row],[Quartal]]</f>
        <v>Q 2</v>
      </c>
      <c r="J491" t="str">
        <f>tbl_Kalender[[#This Row],[Quartal]]&amp;". Quartal"</f>
        <v>2. Quartal</v>
      </c>
      <c r="K491">
        <f>_xlfn.ISOWEEKNUM(tbl_Kalender[[#This Row],[Datum]])</f>
        <v>18</v>
      </c>
    </row>
    <row r="492" spans="1:11" x14ac:dyDescent="0.25">
      <c r="A492" s="1">
        <v>45782</v>
      </c>
      <c r="B492">
        <f>YEAR(tbl_Kalender[[#This Row],[Datum]])</f>
        <v>2025</v>
      </c>
      <c r="C492">
        <f>DAY(tbl_Kalender[[#This Row],[Datum]])</f>
        <v>5</v>
      </c>
      <c r="D492" t="str">
        <f>TEXT(tbl_Kalender[[#This Row],[Datum]],"TTTT")</f>
        <v>Montag</v>
      </c>
      <c r="E492">
        <f>WEEKDAY(tbl_Kalender[[#This Row],[Datum]],2)</f>
        <v>1</v>
      </c>
      <c r="F492">
        <f>MONTH(tbl_Kalender[[#This Row],[Datum]])</f>
        <v>5</v>
      </c>
      <c r="G492" t="str">
        <f>TEXT(tbl_Kalender[[#This Row],[Datum]],"MMMM")</f>
        <v>Mai</v>
      </c>
      <c r="H492">
        <f>ROUNDUP(tbl_Kalender[[#This Row],[Monat]]/3,0)</f>
        <v>2</v>
      </c>
      <c r="I492" t="str">
        <f>"Q "&amp;tbl_Kalender[[#This Row],[Quartal]]</f>
        <v>Q 2</v>
      </c>
      <c r="J492" t="str">
        <f>tbl_Kalender[[#This Row],[Quartal]]&amp;". Quartal"</f>
        <v>2. Quartal</v>
      </c>
      <c r="K492">
        <f>_xlfn.ISOWEEKNUM(tbl_Kalender[[#This Row],[Datum]])</f>
        <v>19</v>
      </c>
    </row>
    <row r="493" spans="1:11" x14ac:dyDescent="0.25">
      <c r="A493" s="1">
        <v>45783</v>
      </c>
      <c r="B493">
        <f>YEAR(tbl_Kalender[[#This Row],[Datum]])</f>
        <v>2025</v>
      </c>
      <c r="C493">
        <f>DAY(tbl_Kalender[[#This Row],[Datum]])</f>
        <v>6</v>
      </c>
      <c r="D493" t="str">
        <f>TEXT(tbl_Kalender[[#This Row],[Datum]],"TTTT")</f>
        <v>Dienstag</v>
      </c>
      <c r="E493">
        <f>WEEKDAY(tbl_Kalender[[#This Row],[Datum]],2)</f>
        <v>2</v>
      </c>
      <c r="F493">
        <f>MONTH(tbl_Kalender[[#This Row],[Datum]])</f>
        <v>5</v>
      </c>
      <c r="G493" t="str">
        <f>TEXT(tbl_Kalender[[#This Row],[Datum]],"MMMM")</f>
        <v>Mai</v>
      </c>
      <c r="H493">
        <f>ROUNDUP(tbl_Kalender[[#This Row],[Monat]]/3,0)</f>
        <v>2</v>
      </c>
      <c r="I493" t="str">
        <f>"Q "&amp;tbl_Kalender[[#This Row],[Quartal]]</f>
        <v>Q 2</v>
      </c>
      <c r="J493" t="str">
        <f>tbl_Kalender[[#This Row],[Quartal]]&amp;". Quartal"</f>
        <v>2. Quartal</v>
      </c>
      <c r="K493">
        <f>_xlfn.ISOWEEKNUM(tbl_Kalender[[#This Row],[Datum]])</f>
        <v>19</v>
      </c>
    </row>
    <row r="494" spans="1:11" x14ac:dyDescent="0.25">
      <c r="A494" s="1">
        <v>45784</v>
      </c>
      <c r="B494">
        <f>YEAR(tbl_Kalender[[#This Row],[Datum]])</f>
        <v>2025</v>
      </c>
      <c r="C494">
        <f>DAY(tbl_Kalender[[#This Row],[Datum]])</f>
        <v>7</v>
      </c>
      <c r="D494" t="str">
        <f>TEXT(tbl_Kalender[[#This Row],[Datum]],"TTTT")</f>
        <v>Mittwoch</v>
      </c>
      <c r="E494">
        <f>WEEKDAY(tbl_Kalender[[#This Row],[Datum]],2)</f>
        <v>3</v>
      </c>
      <c r="F494">
        <f>MONTH(tbl_Kalender[[#This Row],[Datum]])</f>
        <v>5</v>
      </c>
      <c r="G494" t="str">
        <f>TEXT(tbl_Kalender[[#This Row],[Datum]],"MMMM")</f>
        <v>Mai</v>
      </c>
      <c r="H494">
        <f>ROUNDUP(tbl_Kalender[[#This Row],[Monat]]/3,0)</f>
        <v>2</v>
      </c>
      <c r="I494" t="str">
        <f>"Q "&amp;tbl_Kalender[[#This Row],[Quartal]]</f>
        <v>Q 2</v>
      </c>
      <c r="J494" t="str">
        <f>tbl_Kalender[[#This Row],[Quartal]]&amp;". Quartal"</f>
        <v>2. Quartal</v>
      </c>
      <c r="K494">
        <f>_xlfn.ISOWEEKNUM(tbl_Kalender[[#This Row],[Datum]])</f>
        <v>19</v>
      </c>
    </row>
    <row r="495" spans="1:11" x14ac:dyDescent="0.25">
      <c r="A495" s="1">
        <v>45785</v>
      </c>
      <c r="B495">
        <f>YEAR(tbl_Kalender[[#This Row],[Datum]])</f>
        <v>2025</v>
      </c>
      <c r="C495">
        <f>DAY(tbl_Kalender[[#This Row],[Datum]])</f>
        <v>8</v>
      </c>
      <c r="D495" t="str">
        <f>TEXT(tbl_Kalender[[#This Row],[Datum]],"TTTT")</f>
        <v>Donnerstag</v>
      </c>
      <c r="E495">
        <f>WEEKDAY(tbl_Kalender[[#This Row],[Datum]],2)</f>
        <v>4</v>
      </c>
      <c r="F495">
        <f>MONTH(tbl_Kalender[[#This Row],[Datum]])</f>
        <v>5</v>
      </c>
      <c r="G495" t="str">
        <f>TEXT(tbl_Kalender[[#This Row],[Datum]],"MMMM")</f>
        <v>Mai</v>
      </c>
      <c r="H495">
        <f>ROUNDUP(tbl_Kalender[[#This Row],[Monat]]/3,0)</f>
        <v>2</v>
      </c>
      <c r="I495" t="str">
        <f>"Q "&amp;tbl_Kalender[[#This Row],[Quartal]]</f>
        <v>Q 2</v>
      </c>
      <c r="J495" t="str">
        <f>tbl_Kalender[[#This Row],[Quartal]]&amp;". Quartal"</f>
        <v>2. Quartal</v>
      </c>
      <c r="K495">
        <f>_xlfn.ISOWEEKNUM(tbl_Kalender[[#This Row],[Datum]])</f>
        <v>19</v>
      </c>
    </row>
    <row r="496" spans="1:11" x14ac:dyDescent="0.25">
      <c r="A496" s="1">
        <v>45786</v>
      </c>
      <c r="B496">
        <f>YEAR(tbl_Kalender[[#This Row],[Datum]])</f>
        <v>2025</v>
      </c>
      <c r="C496">
        <f>DAY(tbl_Kalender[[#This Row],[Datum]])</f>
        <v>9</v>
      </c>
      <c r="D496" t="str">
        <f>TEXT(tbl_Kalender[[#This Row],[Datum]],"TTTT")</f>
        <v>Freitag</v>
      </c>
      <c r="E496">
        <f>WEEKDAY(tbl_Kalender[[#This Row],[Datum]],2)</f>
        <v>5</v>
      </c>
      <c r="F496">
        <f>MONTH(tbl_Kalender[[#This Row],[Datum]])</f>
        <v>5</v>
      </c>
      <c r="G496" t="str">
        <f>TEXT(tbl_Kalender[[#This Row],[Datum]],"MMMM")</f>
        <v>Mai</v>
      </c>
      <c r="H496">
        <f>ROUNDUP(tbl_Kalender[[#This Row],[Monat]]/3,0)</f>
        <v>2</v>
      </c>
      <c r="I496" t="str">
        <f>"Q "&amp;tbl_Kalender[[#This Row],[Quartal]]</f>
        <v>Q 2</v>
      </c>
      <c r="J496" t="str">
        <f>tbl_Kalender[[#This Row],[Quartal]]&amp;". Quartal"</f>
        <v>2. Quartal</v>
      </c>
      <c r="K496">
        <f>_xlfn.ISOWEEKNUM(tbl_Kalender[[#This Row],[Datum]])</f>
        <v>19</v>
      </c>
    </row>
    <row r="497" spans="1:11" x14ac:dyDescent="0.25">
      <c r="A497" s="1">
        <v>45787</v>
      </c>
      <c r="B497">
        <f>YEAR(tbl_Kalender[[#This Row],[Datum]])</f>
        <v>2025</v>
      </c>
      <c r="C497">
        <f>DAY(tbl_Kalender[[#This Row],[Datum]])</f>
        <v>10</v>
      </c>
      <c r="D497" t="str">
        <f>TEXT(tbl_Kalender[[#This Row],[Datum]],"TTTT")</f>
        <v>Samstag</v>
      </c>
      <c r="E497">
        <f>WEEKDAY(tbl_Kalender[[#This Row],[Datum]],2)</f>
        <v>6</v>
      </c>
      <c r="F497">
        <f>MONTH(tbl_Kalender[[#This Row],[Datum]])</f>
        <v>5</v>
      </c>
      <c r="G497" t="str">
        <f>TEXT(tbl_Kalender[[#This Row],[Datum]],"MMMM")</f>
        <v>Mai</v>
      </c>
      <c r="H497">
        <f>ROUNDUP(tbl_Kalender[[#This Row],[Monat]]/3,0)</f>
        <v>2</v>
      </c>
      <c r="I497" t="str">
        <f>"Q "&amp;tbl_Kalender[[#This Row],[Quartal]]</f>
        <v>Q 2</v>
      </c>
      <c r="J497" t="str">
        <f>tbl_Kalender[[#This Row],[Quartal]]&amp;". Quartal"</f>
        <v>2. Quartal</v>
      </c>
      <c r="K497">
        <f>_xlfn.ISOWEEKNUM(tbl_Kalender[[#This Row],[Datum]])</f>
        <v>19</v>
      </c>
    </row>
    <row r="498" spans="1:11" x14ac:dyDescent="0.25">
      <c r="A498" s="1">
        <v>45788</v>
      </c>
      <c r="B498">
        <f>YEAR(tbl_Kalender[[#This Row],[Datum]])</f>
        <v>2025</v>
      </c>
      <c r="C498">
        <f>DAY(tbl_Kalender[[#This Row],[Datum]])</f>
        <v>11</v>
      </c>
      <c r="D498" t="str">
        <f>TEXT(tbl_Kalender[[#This Row],[Datum]],"TTTT")</f>
        <v>Sonntag</v>
      </c>
      <c r="E498">
        <f>WEEKDAY(tbl_Kalender[[#This Row],[Datum]],2)</f>
        <v>7</v>
      </c>
      <c r="F498">
        <f>MONTH(tbl_Kalender[[#This Row],[Datum]])</f>
        <v>5</v>
      </c>
      <c r="G498" t="str">
        <f>TEXT(tbl_Kalender[[#This Row],[Datum]],"MMMM")</f>
        <v>Mai</v>
      </c>
      <c r="H498">
        <f>ROUNDUP(tbl_Kalender[[#This Row],[Monat]]/3,0)</f>
        <v>2</v>
      </c>
      <c r="I498" t="str">
        <f>"Q "&amp;tbl_Kalender[[#This Row],[Quartal]]</f>
        <v>Q 2</v>
      </c>
      <c r="J498" t="str">
        <f>tbl_Kalender[[#This Row],[Quartal]]&amp;". Quartal"</f>
        <v>2. Quartal</v>
      </c>
      <c r="K498">
        <f>_xlfn.ISOWEEKNUM(tbl_Kalender[[#This Row],[Datum]])</f>
        <v>19</v>
      </c>
    </row>
    <row r="499" spans="1:11" x14ac:dyDescent="0.25">
      <c r="A499" s="1">
        <v>45789</v>
      </c>
      <c r="B499">
        <f>YEAR(tbl_Kalender[[#This Row],[Datum]])</f>
        <v>2025</v>
      </c>
      <c r="C499">
        <f>DAY(tbl_Kalender[[#This Row],[Datum]])</f>
        <v>12</v>
      </c>
      <c r="D499" t="str">
        <f>TEXT(tbl_Kalender[[#This Row],[Datum]],"TTTT")</f>
        <v>Montag</v>
      </c>
      <c r="E499">
        <f>WEEKDAY(tbl_Kalender[[#This Row],[Datum]],2)</f>
        <v>1</v>
      </c>
      <c r="F499">
        <f>MONTH(tbl_Kalender[[#This Row],[Datum]])</f>
        <v>5</v>
      </c>
      <c r="G499" t="str">
        <f>TEXT(tbl_Kalender[[#This Row],[Datum]],"MMMM")</f>
        <v>Mai</v>
      </c>
      <c r="H499">
        <f>ROUNDUP(tbl_Kalender[[#This Row],[Monat]]/3,0)</f>
        <v>2</v>
      </c>
      <c r="I499" t="str">
        <f>"Q "&amp;tbl_Kalender[[#This Row],[Quartal]]</f>
        <v>Q 2</v>
      </c>
      <c r="J499" t="str">
        <f>tbl_Kalender[[#This Row],[Quartal]]&amp;". Quartal"</f>
        <v>2. Quartal</v>
      </c>
      <c r="K499">
        <f>_xlfn.ISOWEEKNUM(tbl_Kalender[[#This Row],[Datum]])</f>
        <v>20</v>
      </c>
    </row>
    <row r="500" spans="1:11" x14ac:dyDescent="0.25">
      <c r="A500" s="1">
        <v>45790</v>
      </c>
      <c r="B500">
        <f>YEAR(tbl_Kalender[[#This Row],[Datum]])</f>
        <v>2025</v>
      </c>
      <c r="C500">
        <f>DAY(tbl_Kalender[[#This Row],[Datum]])</f>
        <v>13</v>
      </c>
      <c r="D500" t="str">
        <f>TEXT(tbl_Kalender[[#This Row],[Datum]],"TTTT")</f>
        <v>Dienstag</v>
      </c>
      <c r="E500">
        <f>WEEKDAY(tbl_Kalender[[#This Row],[Datum]],2)</f>
        <v>2</v>
      </c>
      <c r="F500">
        <f>MONTH(tbl_Kalender[[#This Row],[Datum]])</f>
        <v>5</v>
      </c>
      <c r="G500" t="str">
        <f>TEXT(tbl_Kalender[[#This Row],[Datum]],"MMMM")</f>
        <v>Mai</v>
      </c>
      <c r="H500">
        <f>ROUNDUP(tbl_Kalender[[#This Row],[Monat]]/3,0)</f>
        <v>2</v>
      </c>
      <c r="I500" t="str">
        <f>"Q "&amp;tbl_Kalender[[#This Row],[Quartal]]</f>
        <v>Q 2</v>
      </c>
      <c r="J500" t="str">
        <f>tbl_Kalender[[#This Row],[Quartal]]&amp;". Quartal"</f>
        <v>2. Quartal</v>
      </c>
      <c r="K500">
        <f>_xlfn.ISOWEEKNUM(tbl_Kalender[[#This Row],[Datum]])</f>
        <v>20</v>
      </c>
    </row>
    <row r="501" spans="1:11" x14ac:dyDescent="0.25">
      <c r="A501" s="1">
        <v>45791</v>
      </c>
      <c r="B501">
        <f>YEAR(tbl_Kalender[[#This Row],[Datum]])</f>
        <v>2025</v>
      </c>
      <c r="C501">
        <f>DAY(tbl_Kalender[[#This Row],[Datum]])</f>
        <v>14</v>
      </c>
      <c r="D501" t="str">
        <f>TEXT(tbl_Kalender[[#This Row],[Datum]],"TTTT")</f>
        <v>Mittwoch</v>
      </c>
      <c r="E501">
        <f>WEEKDAY(tbl_Kalender[[#This Row],[Datum]],2)</f>
        <v>3</v>
      </c>
      <c r="F501">
        <f>MONTH(tbl_Kalender[[#This Row],[Datum]])</f>
        <v>5</v>
      </c>
      <c r="G501" t="str">
        <f>TEXT(tbl_Kalender[[#This Row],[Datum]],"MMMM")</f>
        <v>Mai</v>
      </c>
      <c r="H501">
        <f>ROUNDUP(tbl_Kalender[[#This Row],[Monat]]/3,0)</f>
        <v>2</v>
      </c>
      <c r="I501" t="str">
        <f>"Q "&amp;tbl_Kalender[[#This Row],[Quartal]]</f>
        <v>Q 2</v>
      </c>
      <c r="J501" t="str">
        <f>tbl_Kalender[[#This Row],[Quartal]]&amp;". Quartal"</f>
        <v>2. Quartal</v>
      </c>
      <c r="K501">
        <f>_xlfn.ISOWEEKNUM(tbl_Kalender[[#This Row],[Datum]])</f>
        <v>20</v>
      </c>
    </row>
    <row r="502" spans="1:11" x14ac:dyDescent="0.25">
      <c r="A502" s="1">
        <v>45792</v>
      </c>
      <c r="B502">
        <f>YEAR(tbl_Kalender[[#This Row],[Datum]])</f>
        <v>2025</v>
      </c>
      <c r="C502">
        <f>DAY(tbl_Kalender[[#This Row],[Datum]])</f>
        <v>15</v>
      </c>
      <c r="D502" t="str">
        <f>TEXT(tbl_Kalender[[#This Row],[Datum]],"TTTT")</f>
        <v>Donnerstag</v>
      </c>
      <c r="E502">
        <f>WEEKDAY(tbl_Kalender[[#This Row],[Datum]],2)</f>
        <v>4</v>
      </c>
      <c r="F502">
        <f>MONTH(tbl_Kalender[[#This Row],[Datum]])</f>
        <v>5</v>
      </c>
      <c r="G502" t="str">
        <f>TEXT(tbl_Kalender[[#This Row],[Datum]],"MMMM")</f>
        <v>Mai</v>
      </c>
      <c r="H502">
        <f>ROUNDUP(tbl_Kalender[[#This Row],[Monat]]/3,0)</f>
        <v>2</v>
      </c>
      <c r="I502" t="str">
        <f>"Q "&amp;tbl_Kalender[[#This Row],[Quartal]]</f>
        <v>Q 2</v>
      </c>
      <c r="J502" t="str">
        <f>tbl_Kalender[[#This Row],[Quartal]]&amp;". Quartal"</f>
        <v>2. Quartal</v>
      </c>
      <c r="K502">
        <f>_xlfn.ISOWEEKNUM(tbl_Kalender[[#This Row],[Datum]])</f>
        <v>20</v>
      </c>
    </row>
    <row r="503" spans="1:11" x14ac:dyDescent="0.25">
      <c r="A503" s="1">
        <v>45793</v>
      </c>
      <c r="B503">
        <f>YEAR(tbl_Kalender[[#This Row],[Datum]])</f>
        <v>2025</v>
      </c>
      <c r="C503">
        <f>DAY(tbl_Kalender[[#This Row],[Datum]])</f>
        <v>16</v>
      </c>
      <c r="D503" t="str">
        <f>TEXT(tbl_Kalender[[#This Row],[Datum]],"TTTT")</f>
        <v>Freitag</v>
      </c>
      <c r="E503">
        <f>WEEKDAY(tbl_Kalender[[#This Row],[Datum]],2)</f>
        <v>5</v>
      </c>
      <c r="F503">
        <f>MONTH(tbl_Kalender[[#This Row],[Datum]])</f>
        <v>5</v>
      </c>
      <c r="G503" t="str">
        <f>TEXT(tbl_Kalender[[#This Row],[Datum]],"MMMM")</f>
        <v>Mai</v>
      </c>
      <c r="H503">
        <f>ROUNDUP(tbl_Kalender[[#This Row],[Monat]]/3,0)</f>
        <v>2</v>
      </c>
      <c r="I503" t="str">
        <f>"Q "&amp;tbl_Kalender[[#This Row],[Quartal]]</f>
        <v>Q 2</v>
      </c>
      <c r="J503" t="str">
        <f>tbl_Kalender[[#This Row],[Quartal]]&amp;". Quartal"</f>
        <v>2. Quartal</v>
      </c>
      <c r="K503">
        <f>_xlfn.ISOWEEKNUM(tbl_Kalender[[#This Row],[Datum]])</f>
        <v>20</v>
      </c>
    </row>
    <row r="504" spans="1:11" x14ac:dyDescent="0.25">
      <c r="A504" s="1">
        <v>45794</v>
      </c>
      <c r="B504">
        <f>YEAR(tbl_Kalender[[#This Row],[Datum]])</f>
        <v>2025</v>
      </c>
      <c r="C504">
        <f>DAY(tbl_Kalender[[#This Row],[Datum]])</f>
        <v>17</v>
      </c>
      <c r="D504" t="str">
        <f>TEXT(tbl_Kalender[[#This Row],[Datum]],"TTTT")</f>
        <v>Samstag</v>
      </c>
      <c r="E504">
        <f>WEEKDAY(tbl_Kalender[[#This Row],[Datum]],2)</f>
        <v>6</v>
      </c>
      <c r="F504">
        <f>MONTH(tbl_Kalender[[#This Row],[Datum]])</f>
        <v>5</v>
      </c>
      <c r="G504" t="str">
        <f>TEXT(tbl_Kalender[[#This Row],[Datum]],"MMMM")</f>
        <v>Mai</v>
      </c>
      <c r="H504">
        <f>ROUNDUP(tbl_Kalender[[#This Row],[Monat]]/3,0)</f>
        <v>2</v>
      </c>
      <c r="I504" t="str">
        <f>"Q "&amp;tbl_Kalender[[#This Row],[Quartal]]</f>
        <v>Q 2</v>
      </c>
      <c r="J504" t="str">
        <f>tbl_Kalender[[#This Row],[Quartal]]&amp;". Quartal"</f>
        <v>2. Quartal</v>
      </c>
      <c r="K504">
        <f>_xlfn.ISOWEEKNUM(tbl_Kalender[[#This Row],[Datum]])</f>
        <v>20</v>
      </c>
    </row>
    <row r="505" spans="1:11" x14ac:dyDescent="0.25">
      <c r="A505" s="1">
        <v>45795</v>
      </c>
      <c r="B505">
        <f>YEAR(tbl_Kalender[[#This Row],[Datum]])</f>
        <v>2025</v>
      </c>
      <c r="C505">
        <f>DAY(tbl_Kalender[[#This Row],[Datum]])</f>
        <v>18</v>
      </c>
      <c r="D505" t="str">
        <f>TEXT(tbl_Kalender[[#This Row],[Datum]],"TTTT")</f>
        <v>Sonntag</v>
      </c>
      <c r="E505">
        <f>WEEKDAY(tbl_Kalender[[#This Row],[Datum]],2)</f>
        <v>7</v>
      </c>
      <c r="F505">
        <f>MONTH(tbl_Kalender[[#This Row],[Datum]])</f>
        <v>5</v>
      </c>
      <c r="G505" t="str">
        <f>TEXT(tbl_Kalender[[#This Row],[Datum]],"MMMM")</f>
        <v>Mai</v>
      </c>
      <c r="H505">
        <f>ROUNDUP(tbl_Kalender[[#This Row],[Monat]]/3,0)</f>
        <v>2</v>
      </c>
      <c r="I505" t="str">
        <f>"Q "&amp;tbl_Kalender[[#This Row],[Quartal]]</f>
        <v>Q 2</v>
      </c>
      <c r="J505" t="str">
        <f>tbl_Kalender[[#This Row],[Quartal]]&amp;". Quartal"</f>
        <v>2. Quartal</v>
      </c>
      <c r="K505">
        <f>_xlfn.ISOWEEKNUM(tbl_Kalender[[#This Row],[Datum]])</f>
        <v>20</v>
      </c>
    </row>
    <row r="506" spans="1:11" x14ac:dyDescent="0.25">
      <c r="A506" s="1">
        <v>45796</v>
      </c>
      <c r="B506">
        <f>YEAR(tbl_Kalender[[#This Row],[Datum]])</f>
        <v>2025</v>
      </c>
      <c r="C506">
        <f>DAY(tbl_Kalender[[#This Row],[Datum]])</f>
        <v>19</v>
      </c>
      <c r="D506" t="str">
        <f>TEXT(tbl_Kalender[[#This Row],[Datum]],"TTTT")</f>
        <v>Montag</v>
      </c>
      <c r="E506">
        <f>WEEKDAY(tbl_Kalender[[#This Row],[Datum]],2)</f>
        <v>1</v>
      </c>
      <c r="F506">
        <f>MONTH(tbl_Kalender[[#This Row],[Datum]])</f>
        <v>5</v>
      </c>
      <c r="G506" t="str">
        <f>TEXT(tbl_Kalender[[#This Row],[Datum]],"MMMM")</f>
        <v>Mai</v>
      </c>
      <c r="H506">
        <f>ROUNDUP(tbl_Kalender[[#This Row],[Monat]]/3,0)</f>
        <v>2</v>
      </c>
      <c r="I506" t="str">
        <f>"Q "&amp;tbl_Kalender[[#This Row],[Quartal]]</f>
        <v>Q 2</v>
      </c>
      <c r="J506" t="str">
        <f>tbl_Kalender[[#This Row],[Quartal]]&amp;". Quartal"</f>
        <v>2. Quartal</v>
      </c>
      <c r="K506">
        <f>_xlfn.ISOWEEKNUM(tbl_Kalender[[#This Row],[Datum]])</f>
        <v>21</v>
      </c>
    </row>
    <row r="507" spans="1:11" x14ac:dyDescent="0.25">
      <c r="A507" s="1">
        <v>45797</v>
      </c>
      <c r="B507">
        <f>YEAR(tbl_Kalender[[#This Row],[Datum]])</f>
        <v>2025</v>
      </c>
      <c r="C507">
        <f>DAY(tbl_Kalender[[#This Row],[Datum]])</f>
        <v>20</v>
      </c>
      <c r="D507" t="str">
        <f>TEXT(tbl_Kalender[[#This Row],[Datum]],"TTTT")</f>
        <v>Dienstag</v>
      </c>
      <c r="E507">
        <f>WEEKDAY(tbl_Kalender[[#This Row],[Datum]],2)</f>
        <v>2</v>
      </c>
      <c r="F507">
        <f>MONTH(tbl_Kalender[[#This Row],[Datum]])</f>
        <v>5</v>
      </c>
      <c r="G507" t="str">
        <f>TEXT(tbl_Kalender[[#This Row],[Datum]],"MMMM")</f>
        <v>Mai</v>
      </c>
      <c r="H507">
        <f>ROUNDUP(tbl_Kalender[[#This Row],[Monat]]/3,0)</f>
        <v>2</v>
      </c>
      <c r="I507" t="str">
        <f>"Q "&amp;tbl_Kalender[[#This Row],[Quartal]]</f>
        <v>Q 2</v>
      </c>
      <c r="J507" t="str">
        <f>tbl_Kalender[[#This Row],[Quartal]]&amp;". Quartal"</f>
        <v>2. Quartal</v>
      </c>
      <c r="K507">
        <f>_xlfn.ISOWEEKNUM(tbl_Kalender[[#This Row],[Datum]])</f>
        <v>21</v>
      </c>
    </row>
    <row r="508" spans="1:11" x14ac:dyDescent="0.25">
      <c r="A508" s="1">
        <v>45798</v>
      </c>
      <c r="B508">
        <f>YEAR(tbl_Kalender[[#This Row],[Datum]])</f>
        <v>2025</v>
      </c>
      <c r="C508">
        <f>DAY(tbl_Kalender[[#This Row],[Datum]])</f>
        <v>21</v>
      </c>
      <c r="D508" t="str">
        <f>TEXT(tbl_Kalender[[#This Row],[Datum]],"TTTT")</f>
        <v>Mittwoch</v>
      </c>
      <c r="E508">
        <f>WEEKDAY(tbl_Kalender[[#This Row],[Datum]],2)</f>
        <v>3</v>
      </c>
      <c r="F508">
        <f>MONTH(tbl_Kalender[[#This Row],[Datum]])</f>
        <v>5</v>
      </c>
      <c r="G508" t="str">
        <f>TEXT(tbl_Kalender[[#This Row],[Datum]],"MMMM")</f>
        <v>Mai</v>
      </c>
      <c r="H508">
        <f>ROUNDUP(tbl_Kalender[[#This Row],[Monat]]/3,0)</f>
        <v>2</v>
      </c>
      <c r="I508" t="str">
        <f>"Q "&amp;tbl_Kalender[[#This Row],[Quartal]]</f>
        <v>Q 2</v>
      </c>
      <c r="J508" t="str">
        <f>tbl_Kalender[[#This Row],[Quartal]]&amp;". Quartal"</f>
        <v>2. Quartal</v>
      </c>
      <c r="K508">
        <f>_xlfn.ISOWEEKNUM(tbl_Kalender[[#This Row],[Datum]])</f>
        <v>21</v>
      </c>
    </row>
    <row r="509" spans="1:11" x14ac:dyDescent="0.25">
      <c r="A509" s="1">
        <v>45799</v>
      </c>
      <c r="B509">
        <f>YEAR(tbl_Kalender[[#This Row],[Datum]])</f>
        <v>2025</v>
      </c>
      <c r="C509">
        <f>DAY(tbl_Kalender[[#This Row],[Datum]])</f>
        <v>22</v>
      </c>
      <c r="D509" t="str">
        <f>TEXT(tbl_Kalender[[#This Row],[Datum]],"TTTT")</f>
        <v>Donnerstag</v>
      </c>
      <c r="E509">
        <f>WEEKDAY(tbl_Kalender[[#This Row],[Datum]],2)</f>
        <v>4</v>
      </c>
      <c r="F509">
        <f>MONTH(tbl_Kalender[[#This Row],[Datum]])</f>
        <v>5</v>
      </c>
      <c r="G509" t="str">
        <f>TEXT(tbl_Kalender[[#This Row],[Datum]],"MMMM")</f>
        <v>Mai</v>
      </c>
      <c r="H509">
        <f>ROUNDUP(tbl_Kalender[[#This Row],[Monat]]/3,0)</f>
        <v>2</v>
      </c>
      <c r="I509" t="str">
        <f>"Q "&amp;tbl_Kalender[[#This Row],[Quartal]]</f>
        <v>Q 2</v>
      </c>
      <c r="J509" t="str">
        <f>tbl_Kalender[[#This Row],[Quartal]]&amp;". Quartal"</f>
        <v>2. Quartal</v>
      </c>
      <c r="K509">
        <f>_xlfn.ISOWEEKNUM(tbl_Kalender[[#This Row],[Datum]])</f>
        <v>21</v>
      </c>
    </row>
    <row r="510" spans="1:11" x14ac:dyDescent="0.25">
      <c r="A510" s="1">
        <v>45800</v>
      </c>
      <c r="B510">
        <f>YEAR(tbl_Kalender[[#This Row],[Datum]])</f>
        <v>2025</v>
      </c>
      <c r="C510">
        <f>DAY(tbl_Kalender[[#This Row],[Datum]])</f>
        <v>23</v>
      </c>
      <c r="D510" t="str">
        <f>TEXT(tbl_Kalender[[#This Row],[Datum]],"TTTT")</f>
        <v>Freitag</v>
      </c>
      <c r="E510">
        <f>WEEKDAY(tbl_Kalender[[#This Row],[Datum]],2)</f>
        <v>5</v>
      </c>
      <c r="F510">
        <f>MONTH(tbl_Kalender[[#This Row],[Datum]])</f>
        <v>5</v>
      </c>
      <c r="G510" t="str">
        <f>TEXT(tbl_Kalender[[#This Row],[Datum]],"MMMM")</f>
        <v>Mai</v>
      </c>
      <c r="H510">
        <f>ROUNDUP(tbl_Kalender[[#This Row],[Monat]]/3,0)</f>
        <v>2</v>
      </c>
      <c r="I510" t="str">
        <f>"Q "&amp;tbl_Kalender[[#This Row],[Quartal]]</f>
        <v>Q 2</v>
      </c>
      <c r="J510" t="str">
        <f>tbl_Kalender[[#This Row],[Quartal]]&amp;". Quartal"</f>
        <v>2. Quartal</v>
      </c>
      <c r="K510">
        <f>_xlfn.ISOWEEKNUM(tbl_Kalender[[#This Row],[Datum]])</f>
        <v>21</v>
      </c>
    </row>
    <row r="511" spans="1:11" x14ac:dyDescent="0.25">
      <c r="A511" s="1">
        <v>45801</v>
      </c>
      <c r="B511">
        <f>YEAR(tbl_Kalender[[#This Row],[Datum]])</f>
        <v>2025</v>
      </c>
      <c r="C511">
        <f>DAY(tbl_Kalender[[#This Row],[Datum]])</f>
        <v>24</v>
      </c>
      <c r="D511" t="str">
        <f>TEXT(tbl_Kalender[[#This Row],[Datum]],"TTTT")</f>
        <v>Samstag</v>
      </c>
      <c r="E511">
        <f>WEEKDAY(tbl_Kalender[[#This Row],[Datum]],2)</f>
        <v>6</v>
      </c>
      <c r="F511">
        <f>MONTH(tbl_Kalender[[#This Row],[Datum]])</f>
        <v>5</v>
      </c>
      <c r="G511" t="str">
        <f>TEXT(tbl_Kalender[[#This Row],[Datum]],"MMMM")</f>
        <v>Mai</v>
      </c>
      <c r="H511">
        <f>ROUNDUP(tbl_Kalender[[#This Row],[Monat]]/3,0)</f>
        <v>2</v>
      </c>
      <c r="I511" t="str">
        <f>"Q "&amp;tbl_Kalender[[#This Row],[Quartal]]</f>
        <v>Q 2</v>
      </c>
      <c r="J511" t="str">
        <f>tbl_Kalender[[#This Row],[Quartal]]&amp;". Quartal"</f>
        <v>2. Quartal</v>
      </c>
      <c r="K511">
        <f>_xlfn.ISOWEEKNUM(tbl_Kalender[[#This Row],[Datum]])</f>
        <v>21</v>
      </c>
    </row>
    <row r="512" spans="1:11" x14ac:dyDescent="0.25">
      <c r="A512" s="1">
        <v>45802</v>
      </c>
      <c r="B512">
        <f>YEAR(tbl_Kalender[[#This Row],[Datum]])</f>
        <v>2025</v>
      </c>
      <c r="C512">
        <f>DAY(tbl_Kalender[[#This Row],[Datum]])</f>
        <v>25</v>
      </c>
      <c r="D512" t="str">
        <f>TEXT(tbl_Kalender[[#This Row],[Datum]],"TTTT")</f>
        <v>Sonntag</v>
      </c>
      <c r="E512">
        <f>WEEKDAY(tbl_Kalender[[#This Row],[Datum]],2)</f>
        <v>7</v>
      </c>
      <c r="F512">
        <f>MONTH(tbl_Kalender[[#This Row],[Datum]])</f>
        <v>5</v>
      </c>
      <c r="G512" t="str">
        <f>TEXT(tbl_Kalender[[#This Row],[Datum]],"MMMM")</f>
        <v>Mai</v>
      </c>
      <c r="H512">
        <f>ROUNDUP(tbl_Kalender[[#This Row],[Monat]]/3,0)</f>
        <v>2</v>
      </c>
      <c r="I512" t="str">
        <f>"Q "&amp;tbl_Kalender[[#This Row],[Quartal]]</f>
        <v>Q 2</v>
      </c>
      <c r="J512" t="str">
        <f>tbl_Kalender[[#This Row],[Quartal]]&amp;". Quartal"</f>
        <v>2. Quartal</v>
      </c>
      <c r="K512">
        <f>_xlfn.ISOWEEKNUM(tbl_Kalender[[#This Row],[Datum]])</f>
        <v>21</v>
      </c>
    </row>
    <row r="513" spans="1:11" x14ac:dyDescent="0.25">
      <c r="A513" s="1">
        <v>45803</v>
      </c>
      <c r="B513">
        <f>YEAR(tbl_Kalender[[#This Row],[Datum]])</f>
        <v>2025</v>
      </c>
      <c r="C513">
        <f>DAY(tbl_Kalender[[#This Row],[Datum]])</f>
        <v>26</v>
      </c>
      <c r="D513" t="str">
        <f>TEXT(tbl_Kalender[[#This Row],[Datum]],"TTTT")</f>
        <v>Montag</v>
      </c>
      <c r="E513">
        <f>WEEKDAY(tbl_Kalender[[#This Row],[Datum]],2)</f>
        <v>1</v>
      </c>
      <c r="F513">
        <f>MONTH(tbl_Kalender[[#This Row],[Datum]])</f>
        <v>5</v>
      </c>
      <c r="G513" t="str">
        <f>TEXT(tbl_Kalender[[#This Row],[Datum]],"MMMM")</f>
        <v>Mai</v>
      </c>
      <c r="H513">
        <f>ROUNDUP(tbl_Kalender[[#This Row],[Monat]]/3,0)</f>
        <v>2</v>
      </c>
      <c r="I513" t="str">
        <f>"Q "&amp;tbl_Kalender[[#This Row],[Quartal]]</f>
        <v>Q 2</v>
      </c>
      <c r="J513" t="str">
        <f>tbl_Kalender[[#This Row],[Quartal]]&amp;". Quartal"</f>
        <v>2. Quartal</v>
      </c>
      <c r="K513">
        <f>_xlfn.ISOWEEKNUM(tbl_Kalender[[#This Row],[Datum]])</f>
        <v>22</v>
      </c>
    </row>
    <row r="514" spans="1:11" x14ac:dyDescent="0.25">
      <c r="A514" s="1">
        <v>45804</v>
      </c>
      <c r="B514">
        <f>YEAR(tbl_Kalender[[#This Row],[Datum]])</f>
        <v>2025</v>
      </c>
      <c r="C514">
        <f>DAY(tbl_Kalender[[#This Row],[Datum]])</f>
        <v>27</v>
      </c>
      <c r="D514" t="str">
        <f>TEXT(tbl_Kalender[[#This Row],[Datum]],"TTTT")</f>
        <v>Dienstag</v>
      </c>
      <c r="E514">
        <f>WEEKDAY(tbl_Kalender[[#This Row],[Datum]],2)</f>
        <v>2</v>
      </c>
      <c r="F514">
        <f>MONTH(tbl_Kalender[[#This Row],[Datum]])</f>
        <v>5</v>
      </c>
      <c r="G514" t="str">
        <f>TEXT(tbl_Kalender[[#This Row],[Datum]],"MMMM")</f>
        <v>Mai</v>
      </c>
      <c r="H514">
        <f>ROUNDUP(tbl_Kalender[[#This Row],[Monat]]/3,0)</f>
        <v>2</v>
      </c>
      <c r="I514" t="str">
        <f>"Q "&amp;tbl_Kalender[[#This Row],[Quartal]]</f>
        <v>Q 2</v>
      </c>
      <c r="J514" t="str">
        <f>tbl_Kalender[[#This Row],[Quartal]]&amp;". Quartal"</f>
        <v>2. Quartal</v>
      </c>
      <c r="K514">
        <f>_xlfn.ISOWEEKNUM(tbl_Kalender[[#This Row],[Datum]])</f>
        <v>22</v>
      </c>
    </row>
    <row r="515" spans="1:11" x14ac:dyDescent="0.25">
      <c r="A515" s="1">
        <v>45805</v>
      </c>
      <c r="B515">
        <f>YEAR(tbl_Kalender[[#This Row],[Datum]])</f>
        <v>2025</v>
      </c>
      <c r="C515">
        <f>DAY(tbl_Kalender[[#This Row],[Datum]])</f>
        <v>28</v>
      </c>
      <c r="D515" t="str">
        <f>TEXT(tbl_Kalender[[#This Row],[Datum]],"TTTT")</f>
        <v>Mittwoch</v>
      </c>
      <c r="E515">
        <f>WEEKDAY(tbl_Kalender[[#This Row],[Datum]],2)</f>
        <v>3</v>
      </c>
      <c r="F515">
        <f>MONTH(tbl_Kalender[[#This Row],[Datum]])</f>
        <v>5</v>
      </c>
      <c r="G515" t="str">
        <f>TEXT(tbl_Kalender[[#This Row],[Datum]],"MMMM")</f>
        <v>Mai</v>
      </c>
      <c r="H515">
        <f>ROUNDUP(tbl_Kalender[[#This Row],[Monat]]/3,0)</f>
        <v>2</v>
      </c>
      <c r="I515" t="str">
        <f>"Q "&amp;tbl_Kalender[[#This Row],[Quartal]]</f>
        <v>Q 2</v>
      </c>
      <c r="J515" t="str">
        <f>tbl_Kalender[[#This Row],[Quartal]]&amp;". Quartal"</f>
        <v>2. Quartal</v>
      </c>
      <c r="K515">
        <f>_xlfn.ISOWEEKNUM(tbl_Kalender[[#This Row],[Datum]])</f>
        <v>22</v>
      </c>
    </row>
    <row r="516" spans="1:11" x14ac:dyDescent="0.25">
      <c r="A516" s="1">
        <v>45806</v>
      </c>
      <c r="B516">
        <f>YEAR(tbl_Kalender[[#This Row],[Datum]])</f>
        <v>2025</v>
      </c>
      <c r="C516">
        <f>DAY(tbl_Kalender[[#This Row],[Datum]])</f>
        <v>29</v>
      </c>
      <c r="D516" t="str">
        <f>TEXT(tbl_Kalender[[#This Row],[Datum]],"TTTT")</f>
        <v>Donnerstag</v>
      </c>
      <c r="E516">
        <f>WEEKDAY(tbl_Kalender[[#This Row],[Datum]],2)</f>
        <v>4</v>
      </c>
      <c r="F516">
        <f>MONTH(tbl_Kalender[[#This Row],[Datum]])</f>
        <v>5</v>
      </c>
      <c r="G516" t="str">
        <f>TEXT(tbl_Kalender[[#This Row],[Datum]],"MMMM")</f>
        <v>Mai</v>
      </c>
      <c r="H516">
        <f>ROUNDUP(tbl_Kalender[[#This Row],[Monat]]/3,0)</f>
        <v>2</v>
      </c>
      <c r="I516" t="str">
        <f>"Q "&amp;tbl_Kalender[[#This Row],[Quartal]]</f>
        <v>Q 2</v>
      </c>
      <c r="J516" t="str">
        <f>tbl_Kalender[[#This Row],[Quartal]]&amp;". Quartal"</f>
        <v>2. Quartal</v>
      </c>
      <c r="K516">
        <f>_xlfn.ISOWEEKNUM(tbl_Kalender[[#This Row],[Datum]])</f>
        <v>22</v>
      </c>
    </row>
    <row r="517" spans="1:11" x14ac:dyDescent="0.25">
      <c r="A517" s="1">
        <v>45807</v>
      </c>
      <c r="B517">
        <f>YEAR(tbl_Kalender[[#This Row],[Datum]])</f>
        <v>2025</v>
      </c>
      <c r="C517">
        <f>DAY(tbl_Kalender[[#This Row],[Datum]])</f>
        <v>30</v>
      </c>
      <c r="D517" t="str">
        <f>TEXT(tbl_Kalender[[#This Row],[Datum]],"TTTT")</f>
        <v>Freitag</v>
      </c>
      <c r="E517">
        <f>WEEKDAY(tbl_Kalender[[#This Row],[Datum]],2)</f>
        <v>5</v>
      </c>
      <c r="F517">
        <f>MONTH(tbl_Kalender[[#This Row],[Datum]])</f>
        <v>5</v>
      </c>
      <c r="G517" t="str">
        <f>TEXT(tbl_Kalender[[#This Row],[Datum]],"MMMM")</f>
        <v>Mai</v>
      </c>
      <c r="H517">
        <f>ROUNDUP(tbl_Kalender[[#This Row],[Monat]]/3,0)</f>
        <v>2</v>
      </c>
      <c r="I517" t="str">
        <f>"Q "&amp;tbl_Kalender[[#This Row],[Quartal]]</f>
        <v>Q 2</v>
      </c>
      <c r="J517" t="str">
        <f>tbl_Kalender[[#This Row],[Quartal]]&amp;". Quartal"</f>
        <v>2. Quartal</v>
      </c>
      <c r="K517">
        <f>_xlfn.ISOWEEKNUM(tbl_Kalender[[#This Row],[Datum]])</f>
        <v>22</v>
      </c>
    </row>
    <row r="518" spans="1:11" x14ac:dyDescent="0.25">
      <c r="A518" s="1">
        <v>45808</v>
      </c>
      <c r="B518">
        <f>YEAR(tbl_Kalender[[#This Row],[Datum]])</f>
        <v>2025</v>
      </c>
      <c r="C518">
        <f>DAY(tbl_Kalender[[#This Row],[Datum]])</f>
        <v>31</v>
      </c>
      <c r="D518" t="str">
        <f>TEXT(tbl_Kalender[[#This Row],[Datum]],"TTTT")</f>
        <v>Samstag</v>
      </c>
      <c r="E518">
        <f>WEEKDAY(tbl_Kalender[[#This Row],[Datum]],2)</f>
        <v>6</v>
      </c>
      <c r="F518">
        <f>MONTH(tbl_Kalender[[#This Row],[Datum]])</f>
        <v>5</v>
      </c>
      <c r="G518" t="str">
        <f>TEXT(tbl_Kalender[[#This Row],[Datum]],"MMMM")</f>
        <v>Mai</v>
      </c>
      <c r="H518">
        <f>ROUNDUP(tbl_Kalender[[#This Row],[Monat]]/3,0)</f>
        <v>2</v>
      </c>
      <c r="I518" t="str">
        <f>"Q "&amp;tbl_Kalender[[#This Row],[Quartal]]</f>
        <v>Q 2</v>
      </c>
      <c r="J518" t="str">
        <f>tbl_Kalender[[#This Row],[Quartal]]&amp;". Quartal"</f>
        <v>2. Quartal</v>
      </c>
      <c r="K518">
        <f>_xlfn.ISOWEEKNUM(tbl_Kalender[[#This Row],[Datum]])</f>
        <v>22</v>
      </c>
    </row>
    <row r="519" spans="1:11" x14ac:dyDescent="0.25">
      <c r="A519" s="1">
        <v>45809</v>
      </c>
      <c r="B519">
        <f>YEAR(tbl_Kalender[[#This Row],[Datum]])</f>
        <v>2025</v>
      </c>
      <c r="C519">
        <f>DAY(tbl_Kalender[[#This Row],[Datum]])</f>
        <v>1</v>
      </c>
      <c r="D519" t="str">
        <f>TEXT(tbl_Kalender[[#This Row],[Datum]],"TTTT")</f>
        <v>Sonntag</v>
      </c>
      <c r="E519">
        <f>WEEKDAY(tbl_Kalender[[#This Row],[Datum]],2)</f>
        <v>7</v>
      </c>
      <c r="F519">
        <f>MONTH(tbl_Kalender[[#This Row],[Datum]])</f>
        <v>6</v>
      </c>
      <c r="G519" t="str">
        <f>TEXT(tbl_Kalender[[#This Row],[Datum]],"MMMM")</f>
        <v>Juni</v>
      </c>
      <c r="H519">
        <f>ROUNDUP(tbl_Kalender[[#This Row],[Monat]]/3,0)</f>
        <v>2</v>
      </c>
      <c r="I519" t="str">
        <f>"Q "&amp;tbl_Kalender[[#This Row],[Quartal]]</f>
        <v>Q 2</v>
      </c>
      <c r="J519" t="str">
        <f>tbl_Kalender[[#This Row],[Quartal]]&amp;". Quartal"</f>
        <v>2. Quartal</v>
      </c>
      <c r="K519">
        <f>_xlfn.ISOWEEKNUM(tbl_Kalender[[#This Row],[Datum]])</f>
        <v>22</v>
      </c>
    </row>
    <row r="520" spans="1:11" x14ac:dyDescent="0.25">
      <c r="A520" s="1">
        <v>45810</v>
      </c>
      <c r="B520">
        <f>YEAR(tbl_Kalender[[#This Row],[Datum]])</f>
        <v>2025</v>
      </c>
      <c r="C520">
        <f>DAY(tbl_Kalender[[#This Row],[Datum]])</f>
        <v>2</v>
      </c>
      <c r="D520" t="str">
        <f>TEXT(tbl_Kalender[[#This Row],[Datum]],"TTTT")</f>
        <v>Montag</v>
      </c>
      <c r="E520">
        <f>WEEKDAY(tbl_Kalender[[#This Row],[Datum]],2)</f>
        <v>1</v>
      </c>
      <c r="F520">
        <f>MONTH(tbl_Kalender[[#This Row],[Datum]])</f>
        <v>6</v>
      </c>
      <c r="G520" t="str">
        <f>TEXT(tbl_Kalender[[#This Row],[Datum]],"MMMM")</f>
        <v>Juni</v>
      </c>
      <c r="H520">
        <f>ROUNDUP(tbl_Kalender[[#This Row],[Monat]]/3,0)</f>
        <v>2</v>
      </c>
      <c r="I520" t="str">
        <f>"Q "&amp;tbl_Kalender[[#This Row],[Quartal]]</f>
        <v>Q 2</v>
      </c>
      <c r="J520" t="str">
        <f>tbl_Kalender[[#This Row],[Quartal]]&amp;". Quartal"</f>
        <v>2. Quartal</v>
      </c>
      <c r="K520">
        <f>_xlfn.ISOWEEKNUM(tbl_Kalender[[#This Row],[Datum]])</f>
        <v>23</v>
      </c>
    </row>
    <row r="521" spans="1:11" x14ac:dyDescent="0.25">
      <c r="A521" s="1">
        <v>45811</v>
      </c>
      <c r="B521">
        <f>YEAR(tbl_Kalender[[#This Row],[Datum]])</f>
        <v>2025</v>
      </c>
      <c r="C521">
        <f>DAY(tbl_Kalender[[#This Row],[Datum]])</f>
        <v>3</v>
      </c>
      <c r="D521" t="str">
        <f>TEXT(tbl_Kalender[[#This Row],[Datum]],"TTTT")</f>
        <v>Dienstag</v>
      </c>
      <c r="E521">
        <f>WEEKDAY(tbl_Kalender[[#This Row],[Datum]],2)</f>
        <v>2</v>
      </c>
      <c r="F521">
        <f>MONTH(tbl_Kalender[[#This Row],[Datum]])</f>
        <v>6</v>
      </c>
      <c r="G521" t="str">
        <f>TEXT(tbl_Kalender[[#This Row],[Datum]],"MMMM")</f>
        <v>Juni</v>
      </c>
      <c r="H521">
        <f>ROUNDUP(tbl_Kalender[[#This Row],[Monat]]/3,0)</f>
        <v>2</v>
      </c>
      <c r="I521" t="str">
        <f>"Q "&amp;tbl_Kalender[[#This Row],[Quartal]]</f>
        <v>Q 2</v>
      </c>
      <c r="J521" t="str">
        <f>tbl_Kalender[[#This Row],[Quartal]]&amp;". Quartal"</f>
        <v>2. Quartal</v>
      </c>
      <c r="K521">
        <f>_xlfn.ISOWEEKNUM(tbl_Kalender[[#This Row],[Datum]])</f>
        <v>23</v>
      </c>
    </row>
    <row r="522" spans="1:11" x14ac:dyDescent="0.25">
      <c r="A522" s="1">
        <v>45812</v>
      </c>
      <c r="B522">
        <f>YEAR(tbl_Kalender[[#This Row],[Datum]])</f>
        <v>2025</v>
      </c>
      <c r="C522">
        <f>DAY(tbl_Kalender[[#This Row],[Datum]])</f>
        <v>4</v>
      </c>
      <c r="D522" t="str">
        <f>TEXT(tbl_Kalender[[#This Row],[Datum]],"TTTT")</f>
        <v>Mittwoch</v>
      </c>
      <c r="E522">
        <f>WEEKDAY(tbl_Kalender[[#This Row],[Datum]],2)</f>
        <v>3</v>
      </c>
      <c r="F522">
        <f>MONTH(tbl_Kalender[[#This Row],[Datum]])</f>
        <v>6</v>
      </c>
      <c r="G522" t="str">
        <f>TEXT(tbl_Kalender[[#This Row],[Datum]],"MMMM")</f>
        <v>Juni</v>
      </c>
      <c r="H522">
        <f>ROUNDUP(tbl_Kalender[[#This Row],[Monat]]/3,0)</f>
        <v>2</v>
      </c>
      <c r="I522" t="str">
        <f>"Q "&amp;tbl_Kalender[[#This Row],[Quartal]]</f>
        <v>Q 2</v>
      </c>
      <c r="J522" t="str">
        <f>tbl_Kalender[[#This Row],[Quartal]]&amp;". Quartal"</f>
        <v>2. Quartal</v>
      </c>
      <c r="K522">
        <f>_xlfn.ISOWEEKNUM(tbl_Kalender[[#This Row],[Datum]])</f>
        <v>23</v>
      </c>
    </row>
    <row r="523" spans="1:11" x14ac:dyDescent="0.25">
      <c r="A523" s="1">
        <v>45813</v>
      </c>
      <c r="B523">
        <f>YEAR(tbl_Kalender[[#This Row],[Datum]])</f>
        <v>2025</v>
      </c>
      <c r="C523">
        <f>DAY(tbl_Kalender[[#This Row],[Datum]])</f>
        <v>5</v>
      </c>
      <c r="D523" t="str">
        <f>TEXT(tbl_Kalender[[#This Row],[Datum]],"TTTT")</f>
        <v>Donnerstag</v>
      </c>
      <c r="E523">
        <f>WEEKDAY(tbl_Kalender[[#This Row],[Datum]],2)</f>
        <v>4</v>
      </c>
      <c r="F523">
        <f>MONTH(tbl_Kalender[[#This Row],[Datum]])</f>
        <v>6</v>
      </c>
      <c r="G523" t="str">
        <f>TEXT(tbl_Kalender[[#This Row],[Datum]],"MMMM")</f>
        <v>Juni</v>
      </c>
      <c r="H523">
        <f>ROUNDUP(tbl_Kalender[[#This Row],[Monat]]/3,0)</f>
        <v>2</v>
      </c>
      <c r="I523" t="str">
        <f>"Q "&amp;tbl_Kalender[[#This Row],[Quartal]]</f>
        <v>Q 2</v>
      </c>
      <c r="J523" t="str">
        <f>tbl_Kalender[[#This Row],[Quartal]]&amp;". Quartal"</f>
        <v>2. Quartal</v>
      </c>
      <c r="K523">
        <f>_xlfn.ISOWEEKNUM(tbl_Kalender[[#This Row],[Datum]])</f>
        <v>23</v>
      </c>
    </row>
    <row r="524" spans="1:11" x14ac:dyDescent="0.25">
      <c r="A524" s="1">
        <v>45814</v>
      </c>
      <c r="B524">
        <f>YEAR(tbl_Kalender[[#This Row],[Datum]])</f>
        <v>2025</v>
      </c>
      <c r="C524">
        <f>DAY(tbl_Kalender[[#This Row],[Datum]])</f>
        <v>6</v>
      </c>
      <c r="D524" t="str">
        <f>TEXT(tbl_Kalender[[#This Row],[Datum]],"TTTT")</f>
        <v>Freitag</v>
      </c>
      <c r="E524">
        <f>WEEKDAY(tbl_Kalender[[#This Row],[Datum]],2)</f>
        <v>5</v>
      </c>
      <c r="F524">
        <f>MONTH(tbl_Kalender[[#This Row],[Datum]])</f>
        <v>6</v>
      </c>
      <c r="G524" t="str">
        <f>TEXT(tbl_Kalender[[#This Row],[Datum]],"MMMM")</f>
        <v>Juni</v>
      </c>
      <c r="H524">
        <f>ROUNDUP(tbl_Kalender[[#This Row],[Monat]]/3,0)</f>
        <v>2</v>
      </c>
      <c r="I524" t="str">
        <f>"Q "&amp;tbl_Kalender[[#This Row],[Quartal]]</f>
        <v>Q 2</v>
      </c>
      <c r="J524" t="str">
        <f>tbl_Kalender[[#This Row],[Quartal]]&amp;". Quartal"</f>
        <v>2. Quartal</v>
      </c>
      <c r="K524">
        <f>_xlfn.ISOWEEKNUM(tbl_Kalender[[#This Row],[Datum]])</f>
        <v>23</v>
      </c>
    </row>
    <row r="525" spans="1:11" x14ac:dyDescent="0.25">
      <c r="A525" s="1">
        <v>45815</v>
      </c>
      <c r="B525">
        <f>YEAR(tbl_Kalender[[#This Row],[Datum]])</f>
        <v>2025</v>
      </c>
      <c r="C525">
        <f>DAY(tbl_Kalender[[#This Row],[Datum]])</f>
        <v>7</v>
      </c>
      <c r="D525" t="str">
        <f>TEXT(tbl_Kalender[[#This Row],[Datum]],"TTTT")</f>
        <v>Samstag</v>
      </c>
      <c r="E525">
        <f>WEEKDAY(tbl_Kalender[[#This Row],[Datum]],2)</f>
        <v>6</v>
      </c>
      <c r="F525">
        <f>MONTH(tbl_Kalender[[#This Row],[Datum]])</f>
        <v>6</v>
      </c>
      <c r="G525" t="str">
        <f>TEXT(tbl_Kalender[[#This Row],[Datum]],"MMMM")</f>
        <v>Juni</v>
      </c>
      <c r="H525">
        <f>ROUNDUP(tbl_Kalender[[#This Row],[Monat]]/3,0)</f>
        <v>2</v>
      </c>
      <c r="I525" t="str">
        <f>"Q "&amp;tbl_Kalender[[#This Row],[Quartal]]</f>
        <v>Q 2</v>
      </c>
      <c r="J525" t="str">
        <f>tbl_Kalender[[#This Row],[Quartal]]&amp;". Quartal"</f>
        <v>2. Quartal</v>
      </c>
      <c r="K525">
        <f>_xlfn.ISOWEEKNUM(tbl_Kalender[[#This Row],[Datum]])</f>
        <v>23</v>
      </c>
    </row>
    <row r="526" spans="1:11" x14ac:dyDescent="0.25">
      <c r="A526" s="1">
        <v>45816</v>
      </c>
      <c r="B526">
        <f>YEAR(tbl_Kalender[[#This Row],[Datum]])</f>
        <v>2025</v>
      </c>
      <c r="C526">
        <f>DAY(tbl_Kalender[[#This Row],[Datum]])</f>
        <v>8</v>
      </c>
      <c r="D526" t="str">
        <f>TEXT(tbl_Kalender[[#This Row],[Datum]],"TTTT")</f>
        <v>Sonntag</v>
      </c>
      <c r="E526">
        <f>WEEKDAY(tbl_Kalender[[#This Row],[Datum]],2)</f>
        <v>7</v>
      </c>
      <c r="F526">
        <f>MONTH(tbl_Kalender[[#This Row],[Datum]])</f>
        <v>6</v>
      </c>
      <c r="G526" t="str">
        <f>TEXT(tbl_Kalender[[#This Row],[Datum]],"MMMM")</f>
        <v>Juni</v>
      </c>
      <c r="H526">
        <f>ROUNDUP(tbl_Kalender[[#This Row],[Monat]]/3,0)</f>
        <v>2</v>
      </c>
      <c r="I526" t="str">
        <f>"Q "&amp;tbl_Kalender[[#This Row],[Quartal]]</f>
        <v>Q 2</v>
      </c>
      <c r="J526" t="str">
        <f>tbl_Kalender[[#This Row],[Quartal]]&amp;". Quartal"</f>
        <v>2. Quartal</v>
      </c>
      <c r="K526">
        <f>_xlfn.ISOWEEKNUM(tbl_Kalender[[#This Row],[Datum]])</f>
        <v>23</v>
      </c>
    </row>
    <row r="527" spans="1:11" x14ac:dyDescent="0.25">
      <c r="A527" s="1">
        <v>45817</v>
      </c>
      <c r="B527">
        <f>YEAR(tbl_Kalender[[#This Row],[Datum]])</f>
        <v>2025</v>
      </c>
      <c r="C527">
        <f>DAY(tbl_Kalender[[#This Row],[Datum]])</f>
        <v>9</v>
      </c>
      <c r="D527" t="str">
        <f>TEXT(tbl_Kalender[[#This Row],[Datum]],"TTTT")</f>
        <v>Montag</v>
      </c>
      <c r="E527">
        <f>WEEKDAY(tbl_Kalender[[#This Row],[Datum]],2)</f>
        <v>1</v>
      </c>
      <c r="F527">
        <f>MONTH(tbl_Kalender[[#This Row],[Datum]])</f>
        <v>6</v>
      </c>
      <c r="G527" t="str">
        <f>TEXT(tbl_Kalender[[#This Row],[Datum]],"MMMM")</f>
        <v>Juni</v>
      </c>
      <c r="H527">
        <f>ROUNDUP(tbl_Kalender[[#This Row],[Monat]]/3,0)</f>
        <v>2</v>
      </c>
      <c r="I527" t="str">
        <f>"Q "&amp;tbl_Kalender[[#This Row],[Quartal]]</f>
        <v>Q 2</v>
      </c>
      <c r="J527" t="str">
        <f>tbl_Kalender[[#This Row],[Quartal]]&amp;". Quartal"</f>
        <v>2. Quartal</v>
      </c>
      <c r="K527">
        <f>_xlfn.ISOWEEKNUM(tbl_Kalender[[#This Row],[Datum]])</f>
        <v>24</v>
      </c>
    </row>
    <row r="528" spans="1:11" x14ac:dyDescent="0.25">
      <c r="A528" s="1">
        <v>45818</v>
      </c>
      <c r="B528">
        <f>YEAR(tbl_Kalender[[#This Row],[Datum]])</f>
        <v>2025</v>
      </c>
      <c r="C528">
        <f>DAY(tbl_Kalender[[#This Row],[Datum]])</f>
        <v>10</v>
      </c>
      <c r="D528" t="str">
        <f>TEXT(tbl_Kalender[[#This Row],[Datum]],"TTTT")</f>
        <v>Dienstag</v>
      </c>
      <c r="E528">
        <f>WEEKDAY(tbl_Kalender[[#This Row],[Datum]],2)</f>
        <v>2</v>
      </c>
      <c r="F528">
        <f>MONTH(tbl_Kalender[[#This Row],[Datum]])</f>
        <v>6</v>
      </c>
      <c r="G528" t="str">
        <f>TEXT(tbl_Kalender[[#This Row],[Datum]],"MMMM")</f>
        <v>Juni</v>
      </c>
      <c r="H528">
        <f>ROUNDUP(tbl_Kalender[[#This Row],[Monat]]/3,0)</f>
        <v>2</v>
      </c>
      <c r="I528" t="str">
        <f>"Q "&amp;tbl_Kalender[[#This Row],[Quartal]]</f>
        <v>Q 2</v>
      </c>
      <c r="J528" t="str">
        <f>tbl_Kalender[[#This Row],[Quartal]]&amp;". Quartal"</f>
        <v>2. Quartal</v>
      </c>
      <c r="K528">
        <f>_xlfn.ISOWEEKNUM(tbl_Kalender[[#This Row],[Datum]])</f>
        <v>24</v>
      </c>
    </row>
    <row r="529" spans="1:11" x14ac:dyDescent="0.25">
      <c r="A529" s="1">
        <v>45819</v>
      </c>
      <c r="B529">
        <f>YEAR(tbl_Kalender[[#This Row],[Datum]])</f>
        <v>2025</v>
      </c>
      <c r="C529">
        <f>DAY(tbl_Kalender[[#This Row],[Datum]])</f>
        <v>11</v>
      </c>
      <c r="D529" t="str">
        <f>TEXT(tbl_Kalender[[#This Row],[Datum]],"TTTT")</f>
        <v>Mittwoch</v>
      </c>
      <c r="E529">
        <f>WEEKDAY(tbl_Kalender[[#This Row],[Datum]],2)</f>
        <v>3</v>
      </c>
      <c r="F529">
        <f>MONTH(tbl_Kalender[[#This Row],[Datum]])</f>
        <v>6</v>
      </c>
      <c r="G529" t="str">
        <f>TEXT(tbl_Kalender[[#This Row],[Datum]],"MMMM")</f>
        <v>Juni</v>
      </c>
      <c r="H529">
        <f>ROUNDUP(tbl_Kalender[[#This Row],[Monat]]/3,0)</f>
        <v>2</v>
      </c>
      <c r="I529" t="str">
        <f>"Q "&amp;tbl_Kalender[[#This Row],[Quartal]]</f>
        <v>Q 2</v>
      </c>
      <c r="J529" t="str">
        <f>tbl_Kalender[[#This Row],[Quartal]]&amp;". Quartal"</f>
        <v>2. Quartal</v>
      </c>
      <c r="K529">
        <f>_xlfn.ISOWEEKNUM(tbl_Kalender[[#This Row],[Datum]])</f>
        <v>24</v>
      </c>
    </row>
    <row r="530" spans="1:11" x14ac:dyDescent="0.25">
      <c r="A530" s="1">
        <v>45820</v>
      </c>
      <c r="B530">
        <f>YEAR(tbl_Kalender[[#This Row],[Datum]])</f>
        <v>2025</v>
      </c>
      <c r="C530">
        <f>DAY(tbl_Kalender[[#This Row],[Datum]])</f>
        <v>12</v>
      </c>
      <c r="D530" t="str">
        <f>TEXT(tbl_Kalender[[#This Row],[Datum]],"TTTT")</f>
        <v>Donnerstag</v>
      </c>
      <c r="E530">
        <f>WEEKDAY(tbl_Kalender[[#This Row],[Datum]],2)</f>
        <v>4</v>
      </c>
      <c r="F530">
        <f>MONTH(tbl_Kalender[[#This Row],[Datum]])</f>
        <v>6</v>
      </c>
      <c r="G530" t="str">
        <f>TEXT(tbl_Kalender[[#This Row],[Datum]],"MMMM")</f>
        <v>Juni</v>
      </c>
      <c r="H530">
        <f>ROUNDUP(tbl_Kalender[[#This Row],[Monat]]/3,0)</f>
        <v>2</v>
      </c>
      <c r="I530" t="str">
        <f>"Q "&amp;tbl_Kalender[[#This Row],[Quartal]]</f>
        <v>Q 2</v>
      </c>
      <c r="J530" t="str">
        <f>tbl_Kalender[[#This Row],[Quartal]]&amp;". Quartal"</f>
        <v>2. Quartal</v>
      </c>
      <c r="K530">
        <f>_xlfn.ISOWEEKNUM(tbl_Kalender[[#This Row],[Datum]])</f>
        <v>24</v>
      </c>
    </row>
    <row r="531" spans="1:11" x14ac:dyDescent="0.25">
      <c r="A531" s="1">
        <v>45821</v>
      </c>
      <c r="B531">
        <f>YEAR(tbl_Kalender[[#This Row],[Datum]])</f>
        <v>2025</v>
      </c>
      <c r="C531">
        <f>DAY(tbl_Kalender[[#This Row],[Datum]])</f>
        <v>13</v>
      </c>
      <c r="D531" t="str">
        <f>TEXT(tbl_Kalender[[#This Row],[Datum]],"TTTT")</f>
        <v>Freitag</v>
      </c>
      <c r="E531">
        <f>WEEKDAY(tbl_Kalender[[#This Row],[Datum]],2)</f>
        <v>5</v>
      </c>
      <c r="F531">
        <f>MONTH(tbl_Kalender[[#This Row],[Datum]])</f>
        <v>6</v>
      </c>
      <c r="G531" t="str">
        <f>TEXT(tbl_Kalender[[#This Row],[Datum]],"MMMM")</f>
        <v>Juni</v>
      </c>
      <c r="H531">
        <f>ROUNDUP(tbl_Kalender[[#This Row],[Monat]]/3,0)</f>
        <v>2</v>
      </c>
      <c r="I531" t="str">
        <f>"Q "&amp;tbl_Kalender[[#This Row],[Quartal]]</f>
        <v>Q 2</v>
      </c>
      <c r="J531" t="str">
        <f>tbl_Kalender[[#This Row],[Quartal]]&amp;". Quartal"</f>
        <v>2. Quartal</v>
      </c>
      <c r="K531">
        <f>_xlfn.ISOWEEKNUM(tbl_Kalender[[#This Row],[Datum]])</f>
        <v>24</v>
      </c>
    </row>
    <row r="532" spans="1:11" x14ac:dyDescent="0.25">
      <c r="A532" s="1">
        <v>45822</v>
      </c>
      <c r="B532">
        <f>YEAR(tbl_Kalender[[#This Row],[Datum]])</f>
        <v>2025</v>
      </c>
      <c r="C532">
        <f>DAY(tbl_Kalender[[#This Row],[Datum]])</f>
        <v>14</v>
      </c>
      <c r="D532" t="str">
        <f>TEXT(tbl_Kalender[[#This Row],[Datum]],"TTTT")</f>
        <v>Samstag</v>
      </c>
      <c r="E532">
        <f>WEEKDAY(tbl_Kalender[[#This Row],[Datum]],2)</f>
        <v>6</v>
      </c>
      <c r="F532">
        <f>MONTH(tbl_Kalender[[#This Row],[Datum]])</f>
        <v>6</v>
      </c>
      <c r="G532" t="str">
        <f>TEXT(tbl_Kalender[[#This Row],[Datum]],"MMMM")</f>
        <v>Juni</v>
      </c>
      <c r="H532">
        <f>ROUNDUP(tbl_Kalender[[#This Row],[Monat]]/3,0)</f>
        <v>2</v>
      </c>
      <c r="I532" t="str">
        <f>"Q "&amp;tbl_Kalender[[#This Row],[Quartal]]</f>
        <v>Q 2</v>
      </c>
      <c r="J532" t="str">
        <f>tbl_Kalender[[#This Row],[Quartal]]&amp;". Quartal"</f>
        <v>2. Quartal</v>
      </c>
      <c r="K532">
        <f>_xlfn.ISOWEEKNUM(tbl_Kalender[[#This Row],[Datum]])</f>
        <v>24</v>
      </c>
    </row>
    <row r="533" spans="1:11" x14ac:dyDescent="0.25">
      <c r="A533" s="1">
        <v>45823</v>
      </c>
      <c r="B533">
        <f>YEAR(tbl_Kalender[[#This Row],[Datum]])</f>
        <v>2025</v>
      </c>
      <c r="C533">
        <f>DAY(tbl_Kalender[[#This Row],[Datum]])</f>
        <v>15</v>
      </c>
      <c r="D533" t="str">
        <f>TEXT(tbl_Kalender[[#This Row],[Datum]],"TTTT")</f>
        <v>Sonntag</v>
      </c>
      <c r="E533">
        <f>WEEKDAY(tbl_Kalender[[#This Row],[Datum]],2)</f>
        <v>7</v>
      </c>
      <c r="F533">
        <f>MONTH(tbl_Kalender[[#This Row],[Datum]])</f>
        <v>6</v>
      </c>
      <c r="G533" t="str">
        <f>TEXT(tbl_Kalender[[#This Row],[Datum]],"MMMM")</f>
        <v>Juni</v>
      </c>
      <c r="H533">
        <f>ROUNDUP(tbl_Kalender[[#This Row],[Monat]]/3,0)</f>
        <v>2</v>
      </c>
      <c r="I533" t="str">
        <f>"Q "&amp;tbl_Kalender[[#This Row],[Quartal]]</f>
        <v>Q 2</v>
      </c>
      <c r="J533" t="str">
        <f>tbl_Kalender[[#This Row],[Quartal]]&amp;". Quartal"</f>
        <v>2. Quartal</v>
      </c>
      <c r="K533">
        <f>_xlfn.ISOWEEKNUM(tbl_Kalender[[#This Row],[Datum]])</f>
        <v>24</v>
      </c>
    </row>
    <row r="534" spans="1:11" x14ac:dyDescent="0.25">
      <c r="A534" s="1">
        <v>45824</v>
      </c>
      <c r="B534">
        <f>YEAR(tbl_Kalender[[#This Row],[Datum]])</f>
        <v>2025</v>
      </c>
      <c r="C534">
        <f>DAY(tbl_Kalender[[#This Row],[Datum]])</f>
        <v>16</v>
      </c>
      <c r="D534" t="str">
        <f>TEXT(tbl_Kalender[[#This Row],[Datum]],"TTTT")</f>
        <v>Montag</v>
      </c>
      <c r="E534">
        <f>WEEKDAY(tbl_Kalender[[#This Row],[Datum]],2)</f>
        <v>1</v>
      </c>
      <c r="F534">
        <f>MONTH(tbl_Kalender[[#This Row],[Datum]])</f>
        <v>6</v>
      </c>
      <c r="G534" t="str">
        <f>TEXT(tbl_Kalender[[#This Row],[Datum]],"MMMM")</f>
        <v>Juni</v>
      </c>
      <c r="H534">
        <f>ROUNDUP(tbl_Kalender[[#This Row],[Monat]]/3,0)</f>
        <v>2</v>
      </c>
      <c r="I534" t="str">
        <f>"Q "&amp;tbl_Kalender[[#This Row],[Quartal]]</f>
        <v>Q 2</v>
      </c>
      <c r="J534" t="str">
        <f>tbl_Kalender[[#This Row],[Quartal]]&amp;". Quartal"</f>
        <v>2. Quartal</v>
      </c>
      <c r="K534">
        <f>_xlfn.ISOWEEKNUM(tbl_Kalender[[#This Row],[Datum]])</f>
        <v>25</v>
      </c>
    </row>
    <row r="535" spans="1:11" x14ac:dyDescent="0.25">
      <c r="A535" s="1">
        <v>45825</v>
      </c>
      <c r="B535">
        <f>YEAR(tbl_Kalender[[#This Row],[Datum]])</f>
        <v>2025</v>
      </c>
      <c r="C535">
        <f>DAY(tbl_Kalender[[#This Row],[Datum]])</f>
        <v>17</v>
      </c>
      <c r="D535" t="str">
        <f>TEXT(tbl_Kalender[[#This Row],[Datum]],"TTTT")</f>
        <v>Dienstag</v>
      </c>
      <c r="E535">
        <f>WEEKDAY(tbl_Kalender[[#This Row],[Datum]],2)</f>
        <v>2</v>
      </c>
      <c r="F535">
        <f>MONTH(tbl_Kalender[[#This Row],[Datum]])</f>
        <v>6</v>
      </c>
      <c r="G535" t="str">
        <f>TEXT(tbl_Kalender[[#This Row],[Datum]],"MMMM")</f>
        <v>Juni</v>
      </c>
      <c r="H535">
        <f>ROUNDUP(tbl_Kalender[[#This Row],[Monat]]/3,0)</f>
        <v>2</v>
      </c>
      <c r="I535" t="str">
        <f>"Q "&amp;tbl_Kalender[[#This Row],[Quartal]]</f>
        <v>Q 2</v>
      </c>
      <c r="J535" t="str">
        <f>tbl_Kalender[[#This Row],[Quartal]]&amp;". Quartal"</f>
        <v>2. Quartal</v>
      </c>
      <c r="K535">
        <f>_xlfn.ISOWEEKNUM(tbl_Kalender[[#This Row],[Datum]])</f>
        <v>25</v>
      </c>
    </row>
    <row r="536" spans="1:11" x14ac:dyDescent="0.25">
      <c r="A536" s="1">
        <v>45826</v>
      </c>
      <c r="B536">
        <f>YEAR(tbl_Kalender[[#This Row],[Datum]])</f>
        <v>2025</v>
      </c>
      <c r="C536">
        <f>DAY(tbl_Kalender[[#This Row],[Datum]])</f>
        <v>18</v>
      </c>
      <c r="D536" t="str">
        <f>TEXT(tbl_Kalender[[#This Row],[Datum]],"TTTT")</f>
        <v>Mittwoch</v>
      </c>
      <c r="E536">
        <f>WEEKDAY(tbl_Kalender[[#This Row],[Datum]],2)</f>
        <v>3</v>
      </c>
      <c r="F536">
        <f>MONTH(tbl_Kalender[[#This Row],[Datum]])</f>
        <v>6</v>
      </c>
      <c r="G536" t="str">
        <f>TEXT(tbl_Kalender[[#This Row],[Datum]],"MMMM")</f>
        <v>Juni</v>
      </c>
      <c r="H536">
        <f>ROUNDUP(tbl_Kalender[[#This Row],[Monat]]/3,0)</f>
        <v>2</v>
      </c>
      <c r="I536" t="str">
        <f>"Q "&amp;tbl_Kalender[[#This Row],[Quartal]]</f>
        <v>Q 2</v>
      </c>
      <c r="J536" t="str">
        <f>tbl_Kalender[[#This Row],[Quartal]]&amp;". Quartal"</f>
        <v>2. Quartal</v>
      </c>
      <c r="K536">
        <f>_xlfn.ISOWEEKNUM(tbl_Kalender[[#This Row],[Datum]])</f>
        <v>25</v>
      </c>
    </row>
    <row r="537" spans="1:11" x14ac:dyDescent="0.25">
      <c r="A537" s="1">
        <v>45827</v>
      </c>
      <c r="B537">
        <f>YEAR(tbl_Kalender[[#This Row],[Datum]])</f>
        <v>2025</v>
      </c>
      <c r="C537">
        <f>DAY(tbl_Kalender[[#This Row],[Datum]])</f>
        <v>19</v>
      </c>
      <c r="D537" t="str">
        <f>TEXT(tbl_Kalender[[#This Row],[Datum]],"TTTT")</f>
        <v>Donnerstag</v>
      </c>
      <c r="E537">
        <f>WEEKDAY(tbl_Kalender[[#This Row],[Datum]],2)</f>
        <v>4</v>
      </c>
      <c r="F537">
        <f>MONTH(tbl_Kalender[[#This Row],[Datum]])</f>
        <v>6</v>
      </c>
      <c r="G537" t="str">
        <f>TEXT(tbl_Kalender[[#This Row],[Datum]],"MMMM")</f>
        <v>Juni</v>
      </c>
      <c r="H537">
        <f>ROUNDUP(tbl_Kalender[[#This Row],[Monat]]/3,0)</f>
        <v>2</v>
      </c>
      <c r="I537" t="str">
        <f>"Q "&amp;tbl_Kalender[[#This Row],[Quartal]]</f>
        <v>Q 2</v>
      </c>
      <c r="J537" t="str">
        <f>tbl_Kalender[[#This Row],[Quartal]]&amp;". Quartal"</f>
        <v>2. Quartal</v>
      </c>
      <c r="K537">
        <f>_xlfn.ISOWEEKNUM(tbl_Kalender[[#This Row],[Datum]])</f>
        <v>25</v>
      </c>
    </row>
    <row r="538" spans="1:11" x14ac:dyDescent="0.25">
      <c r="A538" s="1">
        <v>45828</v>
      </c>
      <c r="B538">
        <f>YEAR(tbl_Kalender[[#This Row],[Datum]])</f>
        <v>2025</v>
      </c>
      <c r="C538">
        <f>DAY(tbl_Kalender[[#This Row],[Datum]])</f>
        <v>20</v>
      </c>
      <c r="D538" t="str">
        <f>TEXT(tbl_Kalender[[#This Row],[Datum]],"TTTT")</f>
        <v>Freitag</v>
      </c>
      <c r="E538">
        <f>WEEKDAY(tbl_Kalender[[#This Row],[Datum]],2)</f>
        <v>5</v>
      </c>
      <c r="F538">
        <f>MONTH(tbl_Kalender[[#This Row],[Datum]])</f>
        <v>6</v>
      </c>
      <c r="G538" t="str">
        <f>TEXT(tbl_Kalender[[#This Row],[Datum]],"MMMM")</f>
        <v>Juni</v>
      </c>
      <c r="H538">
        <f>ROUNDUP(tbl_Kalender[[#This Row],[Monat]]/3,0)</f>
        <v>2</v>
      </c>
      <c r="I538" t="str">
        <f>"Q "&amp;tbl_Kalender[[#This Row],[Quartal]]</f>
        <v>Q 2</v>
      </c>
      <c r="J538" t="str">
        <f>tbl_Kalender[[#This Row],[Quartal]]&amp;". Quartal"</f>
        <v>2. Quartal</v>
      </c>
      <c r="K538">
        <f>_xlfn.ISOWEEKNUM(tbl_Kalender[[#This Row],[Datum]])</f>
        <v>25</v>
      </c>
    </row>
    <row r="539" spans="1:11" x14ac:dyDescent="0.25">
      <c r="A539" s="1">
        <v>45829</v>
      </c>
      <c r="B539">
        <f>YEAR(tbl_Kalender[[#This Row],[Datum]])</f>
        <v>2025</v>
      </c>
      <c r="C539">
        <f>DAY(tbl_Kalender[[#This Row],[Datum]])</f>
        <v>21</v>
      </c>
      <c r="D539" t="str">
        <f>TEXT(tbl_Kalender[[#This Row],[Datum]],"TTTT")</f>
        <v>Samstag</v>
      </c>
      <c r="E539">
        <f>WEEKDAY(tbl_Kalender[[#This Row],[Datum]],2)</f>
        <v>6</v>
      </c>
      <c r="F539">
        <f>MONTH(tbl_Kalender[[#This Row],[Datum]])</f>
        <v>6</v>
      </c>
      <c r="G539" t="str">
        <f>TEXT(tbl_Kalender[[#This Row],[Datum]],"MMMM")</f>
        <v>Juni</v>
      </c>
      <c r="H539">
        <f>ROUNDUP(tbl_Kalender[[#This Row],[Monat]]/3,0)</f>
        <v>2</v>
      </c>
      <c r="I539" t="str">
        <f>"Q "&amp;tbl_Kalender[[#This Row],[Quartal]]</f>
        <v>Q 2</v>
      </c>
      <c r="J539" t="str">
        <f>tbl_Kalender[[#This Row],[Quartal]]&amp;". Quartal"</f>
        <v>2. Quartal</v>
      </c>
      <c r="K539">
        <f>_xlfn.ISOWEEKNUM(tbl_Kalender[[#This Row],[Datum]])</f>
        <v>25</v>
      </c>
    </row>
    <row r="540" spans="1:11" x14ac:dyDescent="0.25">
      <c r="A540" s="1">
        <v>45830</v>
      </c>
      <c r="B540">
        <f>YEAR(tbl_Kalender[[#This Row],[Datum]])</f>
        <v>2025</v>
      </c>
      <c r="C540">
        <f>DAY(tbl_Kalender[[#This Row],[Datum]])</f>
        <v>22</v>
      </c>
      <c r="D540" t="str">
        <f>TEXT(tbl_Kalender[[#This Row],[Datum]],"TTTT")</f>
        <v>Sonntag</v>
      </c>
      <c r="E540">
        <f>WEEKDAY(tbl_Kalender[[#This Row],[Datum]],2)</f>
        <v>7</v>
      </c>
      <c r="F540">
        <f>MONTH(tbl_Kalender[[#This Row],[Datum]])</f>
        <v>6</v>
      </c>
      <c r="G540" t="str">
        <f>TEXT(tbl_Kalender[[#This Row],[Datum]],"MMMM")</f>
        <v>Juni</v>
      </c>
      <c r="H540">
        <f>ROUNDUP(tbl_Kalender[[#This Row],[Monat]]/3,0)</f>
        <v>2</v>
      </c>
      <c r="I540" t="str">
        <f>"Q "&amp;tbl_Kalender[[#This Row],[Quartal]]</f>
        <v>Q 2</v>
      </c>
      <c r="J540" t="str">
        <f>tbl_Kalender[[#This Row],[Quartal]]&amp;". Quartal"</f>
        <v>2. Quartal</v>
      </c>
      <c r="K540">
        <f>_xlfn.ISOWEEKNUM(tbl_Kalender[[#This Row],[Datum]])</f>
        <v>25</v>
      </c>
    </row>
    <row r="541" spans="1:11" x14ac:dyDescent="0.25">
      <c r="A541" s="1">
        <v>45831</v>
      </c>
      <c r="B541">
        <f>YEAR(tbl_Kalender[[#This Row],[Datum]])</f>
        <v>2025</v>
      </c>
      <c r="C541">
        <f>DAY(tbl_Kalender[[#This Row],[Datum]])</f>
        <v>23</v>
      </c>
      <c r="D541" t="str">
        <f>TEXT(tbl_Kalender[[#This Row],[Datum]],"TTTT")</f>
        <v>Montag</v>
      </c>
      <c r="E541">
        <f>WEEKDAY(tbl_Kalender[[#This Row],[Datum]],2)</f>
        <v>1</v>
      </c>
      <c r="F541">
        <f>MONTH(tbl_Kalender[[#This Row],[Datum]])</f>
        <v>6</v>
      </c>
      <c r="G541" t="str">
        <f>TEXT(tbl_Kalender[[#This Row],[Datum]],"MMMM")</f>
        <v>Juni</v>
      </c>
      <c r="H541">
        <f>ROUNDUP(tbl_Kalender[[#This Row],[Monat]]/3,0)</f>
        <v>2</v>
      </c>
      <c r="I541" t="str">
        <f>"Q "&amp;tbl_Kalender[[#This Row],[Quartal]]</f>
        <v>Q 2</v>
      </c>
      <c r="J541" t="str">
        <f>tbl_Kalender[[#This Row],[Quartal]]&amp;". Quartal"</f>
        <v>2. Quartal</v>
      </c>
      <c r="K541">
        <f>_xlfn.ISOWEEKNUM(tbl_Kalender[[#This Row],[Datum]])</f>
        <v>26</v>
      </c>
    </row>
    <row r="542" spans="1:11" x14ac:dyDescent="0.25">
      <c r="A542" s="1">
        <v>45832</v>
      </c>
      <c r="B542">
        <f>YEAR(tbl_Kalender[[#This Row],[Datum]])</f>
        <v>2025</v>
      </c>
      <c r="C542">
        <f>DAY(tbl_Kalender[[#This Row],[Datum]])</f>
        <v>24</v>
      </c>
      <c r="D542" t="str">
        <f>TEXT(tbl_Kalender[[#This Row],[Datum]],"TTTT")</f>
        <v>Dienstag</v>
      </c>
      <c r="E542">
        <f>WEEKDAY(tbl_Kalender[[#This Row],[Datum]],2)</f>
        <v>2</v>
      </c>
      <c r="F542">
        <f>MONTH(tbl_Kalender[[#This Row],[Datum]])</f>
        <v>6</v>
      </c>
      <c r="G542" t="str">
        <f>TEXT(tbl_Kalender[[#This Row],[Datum]],"MMMM")</f>
        <v>Juni</v>
      </c>
      <c r="H542">
        <f>ROUNDUP(tbl_Kalender[[#This Row],[Monat]]/3,0)</f>
        <v>2</v>
      </c>
      <c r="I542" t="str">
        <f>"Q "&amp;tbl_Kalender[[#This Row],[Quartal]]</f>
        <v>Q 2</v>
      </c>
      <c r="J542" t="str">
        <f>tbl_Kalender[[#This Row],[Quartal]]&amp;". Quartal"</f>
        <v>2. Quartal</v>
      </c>
      <c r="K542">
        <f>_xlfn.ISOWEEKNUM(tbl_Kalender[[#This Row],[Datum]])</f>
        <v>26</v>
      </c>
    </row>
    <row r="543" spans="1:11" x14ac:dyDescent="0.25">
      <c r="A543" s="1">
        <v>45833</v>
      </c>
      <c r="B543">
        <f>YEAR(tbl_Kalender[[#This Row],[Datum]])</f>
        <v>2025</v>
      </c>
      <c r="C543">
        <f>DAY(tbl_Kalender[[#This Row],[Datum]])</f>
        <v>25</v>
      </c>
      <c r="D543" t="str">
        <f>TEXT(tbl_Kalender[[#This Row],[Datum]],"TTTT")</f>
        <v>Mittwoch</v>
      </c>
      <c r="E543">
        <f>WEEKDAY(tbl_Kalender[[#This Row],[Datum]],2)</f>
        <v>3</v>
      </c>
      <c r="F543">
        <f>MONTH(tbl_Kalender[[#This Row],[Datum]])</f>
        <v>6</v>
      </c>
      <c r="G543" t="str">
        <f>TEXT(tbl_Kalender[[#This Row],[Datum]],"MMMM")</f>
        <v>Juni</v>
      </c>
      <c r="H543">
        <f>ROUNDUP(tbl_Kalender[[#This Row],[Monat]]/3,0)</f>
        <v>2</v>
      </c>
      <c r="I543" t="str">
        <f>"Q "&amp;tbl_Kalender[[#This Row],[Quartal]]</f>
        <v>Q 2</v>
      </c>
      <c r="J543" t="str">
        <f>tbl_Kalender[[#This Row],[Quartal]]&amp;". Quartal"</f>
        <v>2. Quartal</v>
      </c>
      <c r="K543">
        <f>_xlfn.ISOWEEKNUM(tbl_Kalender[[#This Row],[Datum]])</f>
        <v>26</v>
      </c>
    </row>
    <row r="544" spans="1:11" x14ac:dyDescent="0.25">
      <c r="A544" s="1">
        <v>45834</v>
      </c>
      <c r="B544">
        <f>YEAR(tbl_Kalender[[#This Row],[Datum]])</f>
        <v>2025</v>
      </c>
      <c r="C544">
        <f>DAY(tbl_Kalender[[#This Row],[Datum]])</f>
        <v>26</v>
      </c>
      <c r="D544" t="str">
        <f>TEXT(tbl_Kalender[[#This Row],[Datum]],"TTTT")</f>
        <v>Donnerstag</v>
      </c>
      <c r="E544">
        <f>WEEKDAY(tbl_Kalender[[#This Row],[Datum]],2)</f>
        <v>4</v>
      </c>
      <c r="F544">
        <f>MONTH(tbl_Kalender[[#This Row],[Datum]])</f>
        <v>6</v>
      </c>
      <c r="G544" t="str">
        <f>TEXT(tbl_Kalender[[#This Row],[Datum]],"MMMM")</f>
        <v>Juni</v>
      </c>
      <c r="H544">
        <f>ROUNDUP(tbl_Kalender[[#This Row],[Monat]]/3,0)</f>
        <v>2</v>
      </c>
      <c r="I544" t="str">
        <f>"Q "&amp;tbl_Kalender[[#This Row],[Quartal]]</f>
        <v>Q 2</v>
      </c>
      <c r="J544" t="str">
        <f>tbl_Kalender[[#This Row],[Quartal]]&amp;". Quartal"</f>
        <v>2. Quartal</v>
      </c>
      <c r="K544">
        <f>_xlfn.ISOWEEKNUM(tbl_Kalender[[#This Row],[Datum]])</f>
        <v>26</v>
      </c>
    </row>
    <row r="545" spans="1:11" x14ac:dyDescent="0.25">
      <c r="A545" s="1">
        <v>45835</v>
      </c>
      <c r="B545">
        <f>YEAR(tbl_Kalender[[#This Row],[Datum]])</f>
        <v>2025</v>
      </c>
      <c r="C545">
        <f>DAY(tbl_Kalender[[#This Row],[Datum]])</f>
        <v>27</v>
      </c>
      <c r="D545" t="str">
        <f>TEXT(tbl_Kalender[[#This Row],[Datum]],"TTTT")</f>
        <v>Freitag</v>
      </c>
      <c r="E545">
        <f>WEEKDAY(tbl_Kalender[[#This Row],[Datum]],2)</f>
        <v>5</v>
      </c>
      <c r="F545">
        <f>MONTH(tbl_Kalender[[#This Row],[Datum]])</f>
        <v>6</v>
      </c>
      <c r="G545" t="str">
        <f>TEXT(tbl_Kalender[[#This Row],[Datum]],"MMMM")</f>
        <v>Juni</v>
      </c>
      <c r="H545">
        <f>ROUNDUP(tbl_Kalender[[#This Row],[Monat]]/3,0)</f>
        <v>2</v>
      </c>
      <c r="I545" t="str">
        <f>"Q "&amp;tbl_Kalender[[#This Row],[Quartal]]</f>
        <v>Q 2</v>
      </c>
      <c r="J545" t="str">
        <f>tbl_Kalender[[#This Row],[Quartal]]&amp;". Quartal"</f>
        <v>2. Quartal</v>
      </c>
      <c r="K545">
        <f>_xlfn.ISOWEEKNUM(tbl_Kalender[[#This Row],[Datum]])</f>
        <v>26</v>
      </c>
    </row>
    <row r="546" spans="1:11" x14ac:dyDescent="0.25">
      <c r="A546" s="1">
        <v>45836</v>
      </c>
      <c r="B546">
        <f>YEAR(tbl_Kalender[[#This Row],[Datum]])</f>
        <v>2025</v>
      </c>
      <c r="C546">
        <f>DAY(tbl_Kalender[[#This Row],[Datum]])</f>
        <v>28</v>
      </c>
      <c r="D546" t="str">
        <f>TEXT(tbl_Kalender[[#This Row],[Datum]],"TTTT")</f>
        <v>Samstag</v>
      </c>
      <c r="E546">
        <f>WEEKDAY(tbl_Kalender[[#This Row],[Datum]],2)</f>
        <v>6</v>
      </c>
      <c r="F546">
        <f>MONTH(tbl_Kalender[[#This Row],[Datum]])</f>
        <v>6</v>
      </c>
      <c r="G546" t="str">
        <f>TEXT(tbl_Kalender[[#This Row],[Datum]],"MMMM")</f>
        <v>Juni</v>
      </c>
      <c r="H546">
        <f>ROUNDUP(tbl_Kalender[[#This Row],[Monat]]/3,0)</f>
        <v>2</v>
      </c>
      <c r="I546" t="str">
        <f>"Q "&amp;tbl_Kalender[[#This Row],[Quartal]]</f>
        <v>Q 2</v>
      </c>
      <c r="J546" t="str">
        <f>tbl_Kalender[[#This Row],[Quartal]]&amp;". Quartal"</f>
        <v>2. Quartal</v>
      </c>
      <c r="K546">
        <f>_xlfn.ISOWEEKNUM(tbl_Kalender[[#This Row],[Datum]])</f>
        <v>26</v>
      </c>
    </row>
    <row r="547" spans="1:11" x14ac:dyDescent="0.25">
      <c r="A547" s="1">
        <v>45837</v>
      </c>
      <c r="B547">
        <f>YEAR(tbl_Kalender[[#This Row],[Datum]])</f>
        <v>2025</v>
      </c>
      <c r="C547">
        <f>DAY(tbl_Kalender[[#This Row],[Datum]])</f>
        <v>29</v>
      </c>
      <c r="D547" t="str">
        <f>TEXT(tbl_Kalender[[#This Row],[Datum]],"TTTT")</f>
        <v>Sonntag</v>
      </c>
      <c r="E547">
        <f>WEEKDAY(tbl_Kalender[[#This Row],[Datum]],2)</f>
        <v>7</v>
      </c>
      <c r="F547">
        <f>MONTH(tbl_Kalender[[#This Row],[Datum]])</f>
        <v>6</v>
      </c>
      <c r="G547" t="str">
        <f>TEXT(tbl_Kalender[[#This Row],[Datum]],"MMMM")</f>
        <v>Juni</v>
      </c>
      <c r="H547">
        <f>ROUNDUP(tbl_Kalender[[#This Row],[Monat]]/3,0)</f>
        <v>2</v>
      </c>
      <c r="I547" t="str">
        <f>"Q "&amp;tbl_Kalender[[#This Row],[Quartal]]</f>
        <v>Q 2</v>
      </c>
      <c r="J547" t="str">
        <f>tbl_Kalender[[#This Row],[Quartal]]&amp;". Quartal"</f>
        <v>2. Quartal</v>
      </c>
      <c r="K547">
        <f>_xlfn.ISOWEEKNUM(tbl_Kalender[[#This Row],[Datum]])</f>
        <v>26</v>
      </c>
    </row>
    <row r="548" spans="1:11" x14ac:dyDescent="0.25">
      <c r="A548" s="1">
        <v>45838</v>
      </c>
      <c r="B548">
        <f>YEAR(tbl_Kalender[[#This Row],[Datum]])</f>
        <v>2025</v>
      </c>
      <c r="C548">
        <f>DAY(tbl_Kalender[[#This Row],[Datum]])</f>
        <v>30</v>
      </c>
      <c r="D548" t="str">
        <f>TEXT(tbl_Kalender[[#This Row],[Datum]],"TTTT")</f>
        <v>Montag</v>
      </c>
      <c r="E548">
        <f>WEEKDAY(tbl_Kalender[[#This Row],[Datum]],2)</f>
        <v>1</v>
      </c>
      <c r="F548">
        <f>MONTH(tbl_Kalender[[#This Row],[Datum]])</f>
        <v>6</v>
      </c>
      <c r="G548" t="str">
        <f>TEXT(tbl_Kalender[[#This Row],[Datum]],"MMMM")</f>
        <v>Juni</v>
      </c>
      <c r="H548">
        <f>ROUNDUP(tbl_Kalender[[#This Row],[Monat]]/3,0)</f>
        <v>2</v>
      </c>
      <c r="I548" t="str">
        <f>"Q "&amp;tbl_Kalender[[#This Row],[Quartal]]</f>
        <v>Q 2</v>
      </c>
      <c r="J548" t="str">
        <f>tbl_Kalender[[#This Row],[Quartal]]&amp;". Quartal"</f>
        <v>2. Quartal</v>
      </c>
      <c r="K548">
        <f>_xlfn.ISOWEEKNUM(tbl_Kalender[[#This Row],[Datum]])</f>
        <v>27</v>
      </c>
    </row>
    <row r="549" spans="1:11" x14ac:dyDescent="0.25">
      <c r="A549" s="1">
        <v>45839</v>
      </c>
      <c r="B549">
        <f>YEAR(tbl_Kalender[[#This Row],[Datum]])</f>
        <v>2025</v>
      </c>
      <c r="C549">
        <f>DAY(tbl_Kalender[[#This Row],[Datum]])</f>
        <v>1</v>
      </c>
      <c r="D549" t="str">
        <f>TEXT(tbl_Kalender[[#This Row],[Datum]],"TTTT")</f>
        <v>Dienstag</v>
      </c>
      <c r="E549">
        <f>WEEKDAY(tbl_Kalender[[#This Row],[Datum]],2)</f>
        <v>2</v>
      </c>
      <c r="F549">
        <f>MONTH(tbl_Kalender[[#This Row],[Datum]])</f>
        <v>7</v>
      </c>
      <c r="G549" t="str">
        <f>TEXT(tbl_Kalender[[#This Row],[Datum]],"MMMM")</f>
        <v>Juli</v>
      </c>
      <c r="H549">
        <f>ROUNDUP(tbl_Kalender[[#This Row],[Monat]]/3,0)</f>
        <v>3</v>
      </c>
      <c r="I549" t="str">
        <f>"Q "&amp;tbl_Kalender[[#This Row],[Quartal]]</f>
        <v>Q 3</v>
      </c>
      <c r="J549" t="str">
        <f>tbl_Kalender[[#This Row],[Quartal]]&amp;". Quartal"</f>
        <v>3. Quartal</v>
      </c>
      <c r="K549">
        <f>_xlfn.ISOWEEKNUM(tbl_Kalender[[#This Row],[Datum]])</f>
        <v>27</v>
      </c>
    </row>
    <row r="550" spans="1:11" x14ac:dyDescent="0.25">
      <c r="A550" s="1">
        <v>45840</v>
      </c>
      <c r="B550">
        <f>YEAR(tbl_Kalender[[#This Row],[Datum]])</f>
        <v>2025</v>
      </c>
      <c r="C550">
        <f>DAY(tbl_Kalender[[#This Row],[Datum]])</f>
        <v>2</v>
      </c>
      <c r="D550" t="str">
        <f>TEXT(tbl_Kalender[[#This Row],[Datum]],"TTTT")</f>
        <v>Mittwoch</v>
      </c>
      <c r="E550">
        <f>WEEKDAY(tbl_Kalender[[#This Row],[Datum]],2)</f>
        <v>3</v>
      </c>
      <c r="F550">
        <f>MONTH(tbl_Kalender[[#This Row],[Datum]])</f>
        <v>7</v>
      </c>
      <c r="G550" t="str">
        <f>TEXT(tbl_Kalender[[#This Row],[Datum]],"MMMM")</f>
        <v>Juli</v>
      </c>
      <c r="H550">
        <f>ROUNDUP(tbl_Kalender[[#This Row],[Monat]]/3,0)</f>
        <v>3</v>
      </c>
      <c r="I550" t="str">
        <f>"Q "&amp;tbl_Kalender[[#This Row],[Quartal]]</f>
        <v>Q 3</v>
      </c>
      <c r="J550" t="str">
        <f>tbl_Kalender[[#This Row],[Quartal]]&amp;". Quartal"</f>
        <v>3. Quartal</v>
      </c>
      <c r="K550">
        <f>_xlfn.ISOWEEKNUM(tbl_Kalender[[#This Row],[Datum]])</f>
        <v>27</v>
      </c>
    </row>
    <row r="551" spans="1:11" x14ac:dyDescent="0.25">
      <c r="A551" s="1">
        <v>45841</v>
      </c>
      <c r="B551">
        <f>YEAR(tbl_Kalender[[#This Row],[Datum]])</f>
        <v>2025</v>
      </c>
      <c r="C551">
        <f>DAY(tbl_Kalender[[#This Row],[Datum]])</f>
        <v>3</v>
      </c>
      <c r="D551" t="str">
        <f>TEXT(tbl_Kalender[[#This Row],[Datum]],"TTTT")</f>
        <v>Donnerstag</v>
      </c>
      <c r="E551">
        <f>WEEKDAY(tbl_Kalender[[#This Row],[Datum]],2)</f>
        <v>4</v>
      </c>
      <c r="F551">
        <f>MONTH(tbl_Kalender[[#This Row],[Datum]])</f>
        <v>7</v>
      </c>
      <c r="G551" t="str">
        <f>TEXT(tbl_Kalender[[#This Row],[Datum]],"MMMM")</f>
        <v>Juli</v>
      </c>
      <c r="H551">
        <f>ROUNDUP(tbl_Kalender[[#This Row],[Monat]]/3,0)</f>
        <v>3</v>
      </c>
      <c r="I551" t="str">
        <f>"Q "&amp;tbl_Kalender[[#This Row],[Quartal]]</f>
        <v>Q 3</v>
      </c>
      <c r="J551" t="str">
        <f>tbl_Kalender[[#This Row],[Quartal]]&amp;". Quartal"</f>
        <v>3. Quartal</v>
      </c>
      <c r="K551">
        <f>_xlfn.ISOWEEKNUM(tbl_Kalender[[#This Row],[Datum]])</f>
        <v>27</v>
      </c>
    </row>
    <row r="552" spans="1:11" x14ac:dyDescent="0.25">
      <c r="A552" s="1">
        <v>45842</v>
      </c>
      <c r="B552">
        <f>YEAR(tbl_Kalender[[#This Row],[Datum]])</f>
        <v>2025</v>
      </c>
      <c r="C552">
        <f>DAY(tbl_Kalender[[#This Row],[Datum]])</f>
        <v>4</v>
      </c>
      <c r="D552" t="str">
        <f>TEXT(tbl_Kalender[[#This Row],[Datum]],"TTTT")</f>
        <v>Freitag</v>
      </c>
      <c r="E552">
        <f>WEEKDAY(tbl_Kalender[[#This Row],[Datum]],2)</f>
        <v>5</v>
      </c>
      <c r="F552">
        <f>MONTH(tbl_Kalender[[#This Row],[Datum]])</f>
        <v>7</v>
      </c>
      <c r="G552" t="str">
        <f>TEXT(tbl_Kalender[[#This Row],[Datum]],"MMMM")</f>
        <v>Juli</v>
      </c>
      <c r="H552">
        <f>ROUNDUP(tbl_Kalender[[#This Row],[Monat]]/3,0)</f>
        <v>3</v>
      </c>
      <c r="I552" t="str">
        <f>"Q "&amp;tbl_Kalender[[#This Row],[Quartal]]</f>
        <v>Q 3</v>
      </c>
      <c r="J552" t="str">
        <f>tbl_Kalender[[#This Row],[Quartal]]&amp;". Quartal"</f>
        <v>3. Quartal</v>
      </c>
      <c r="K552">
        <f>_xlfn.ISOWEEKNUM(tbl_Kalender[[#This Row],[Datum]])</f>
        <v>27</v>
      </c>
    </row>
    <row r="553" spans="1:11" x14ac:dyDescent="0.25">
      <c r="A553" s="1">
        <v>45843</v>
      </c>
      <c r="B553">
        <f>YEAR(tbl_Kalender[[#This Row],[Datum]])</f>
        <v>2025</v>
      </c>
      <c r="C553">
        <f>DAY(tbl_Kalender[[#This Row],[Datum]])</f>
        <v>5</v>
      </c>
      <c r="D553" t="str">
        <f>TEXT(tbl_Kalender[[#This Row],[Datum]],"TTTT")</f>
        <v>Samstag</v>
      </c>
      <c r="E553">
        <f>WEEKDAY(tbl_Kalender[[#This Row],[Datum]],2)</f>
        <v>6</v>
      </c>
      <c r="F553">
        <f>MONTH(tbl_Kalender[[#This Row],[Datum]])</f>
        <v>7</v>
      </c>
      <c r="G553" t="str">
        <f>TEXT(tbl_Kalender[[#This Row],[Datum]],"MMMM")</f>
        <v>Juli</v>
      </c>
      <c r="H553">
        <f>ROUNDUP(tbl_Kalender[[#This Row],[Monat]]/3,0)</f>
        <v>3</v>
      </c>
      <c r="I553" t="str">
        <f>"Q "&amp;tbl_Kalender[[#This Row],[Quartal]]</f>
        <v>Q 3</v>
      </c>
      <c r="J553" t="str">
        <f>tbl_Kalender[[#This Row],[Quartal]]&amp;". Quartal"</f>
        <v>3. Quartal</v>
      </c>
      <c r="K553">
        <f>_xlfn.ISOWEEKNUM(tbl_Kalender[[#This Row],[Datum]])</f>
        <v>27</v>
      </c>
    </row>
    <row r="554" spans="1:11" x14ac:dyDescent="0.25">
      <c r="A554" s="1">
        <v>45844</v>
      </c>
      <c r="B554">
        <f>YEAR(tbl_Kalender[[#This Row],[Datum]])</f>
        <v>2025</v>
      </c>
      <c r="C554">
        <f>DAY(tbl_Kalender[[#This Row],[Datum]])</f>
        <v>6</v>
      </c>
      <c r="D554" t="str">
        <f>TEXT(tbl_Kalender[[#This Row],[Datum]],"TTTT")</f>
        <v>Sonntag</v>
      </c>
      <c r="E554">
        <f>WEEKDAY(tbl_Kalender[[#This Row],[Datum]],2)</f>
        <v>7</v>
      </c>
      <c r="F554">
        <f>MONTH(tbl_Kalender[[#This Row],[Datum]])</f>
        <v>7</v>
      </c>
      <c r="G554" t="str">
        <f>TEXT(tbl_Kalender[[#This Row],[Datum]],"MMMM")</f>
        <v>Juli</v>
      </c>
      <c r="H554">
        <f>ROUNDUP(tbl_Kalender[[#This Row],[Monat]]/3,0)</f>
        <v>3</v>
      </c>
      <c r="I554" t="str">
        <f>"Q "&amp;tbl_Kalender[[#This Row],[Quartal]]</f>
        <v>Q 3</v>
      </c>
      <c r="J554" t="str">
        <f>tbl_Kalender[[#This Row],[Quartal]]&amp;". Quartal"</f>
        <v>3. Quartal</v>
      </c>
      <c r="K554">
        <f>_xlfn.ISOWEEKNUM(tbl_Kalender[[#This Row],[Datum]])</f>
        <v>27</v>
      </c>
    </row>
    <row r="555" spans="1:11" x14ac:dyDescent="0.25">
      <c r="A555" s="1">
        <v>45845</v>
      </c>
      <c r="B555">
        <f>YEAR(tbl_Kalender[[#This Row],[Datum]])</f>
        <v>2025</v>
      </c>
      <c r="C555">
        <f>DAY(tbl_Kalender[[#This Row],[Datum]])</f>
        <v>7</v>
      </c>
      <c r="D555" t="str">
        <f>TEXT(tbl_Kalender[[#This Row],[Datum]],"TTTT")</f>
        <v>Montag</v>
      </c>
      <c r="E555">
        <f>WEEKDAY(tbl_Kalender[[#This Row],[Datum]],2)</f>
        <v>1</v>
      </c>
      <c r="F555">
        <f>MONTH(tbl_Kalender[[#This Row],[Datum]])</f>
        <v>7</v>
      </c>
      <c r="G555" t="str">
        <f>TEXT(tbl_Kalender[[#This Row],[Datum]],"MMMM")</f>
        <v>Juli</v>
      </c>
      <c r="H555">
        <f>ROUNDUP(tbl_Kalender[[#This Row],[Monat]]/3,0)</f>
        <v>3</v>
      </c>
      <c r="I555" t="str">
        <f>"Q "&amp;tbl_Kalender[[#This Row],[Quartal]]</f>
        <v>Q 3</v>
      </c>
      <c r="J555" t="str">
        <f>tbl_Kalender[[#This Row],[Quartal]]&amp;". Quartal"</f>
        <v>3. Quartal</v>
      </c>
      <c r="K555">
        <f>_xlfn.ISOWEEKNUM(tbl_Kalender[[#This Row],[Datum]])</f>
        <v>28</v>
      </c>
    </row>
    <row r="556" spans="1:11" x14ac:dyDescent="0.25">
      <c r="A556" s="1">
        <v>45846</v>
      </c>
      <c r="B556">
        <f>YEAR(tbl_Kalender[[#This Row],[Datum]])</f>
        <v>2025</v>
      </c>
      <c r="C556">
        <f>DAY(tbl_Kalender[[#This Row],[Datum]])</f>
        <v>8</v>
      </c>
      <c r="D556" t="str">
        <f>TEXT(tbl_Kalender[[#This Row],[Datum]],"TTTT")</f>
        <v>Dienstag</v>
      </c>
      <c r="E556">
        <f>WEEKDAY(tbl_Kalender[[#This Row],[Datum]],2)</f>
        <v>2</v>
      </c>
      <c r="F556">
        <f>MONTH(tbl_Kalender[[#This Row],[Datum]])</f>
        <v>7</v>
      </c>
      <c r="G556" t="str">
        <f>TEXT(tbl_Kalender[[#This Row],[Datum]],"MMMM")</f>
        <v>Juli</v>
      </c>
      <c r="H556">
        <f>ROUNDUP(tbl_Kalender[[#This Row],[Monat]]/3,0)</f>
        <v>3</v>
      </c>
      <c r="I556" t="str">
        <f>"Q "&amp;tbl_Kalender[[#This Row],[Quartal]]</f>
        <v>Q 3</v>
      </c>
      <c r="J556" t="str">
        <f>tbl_Kalender[[#This Row],[Quartal]]&amp;". Quartal"</f>
        <v>3. Quartal</v>
      </c>
      <c r="K556">
        <f>_xlfn.ISOWEEKNUM(tbl_Kalender[[#This Row],[Datum]])</f>
        <v>28</v>
      </c>
    </row>
    <row r="557" spans="1:11" x14ac:dyDescent="0.25">
      <c r="A557" s="1">
        <v>45847</v>
      </c>
      <c r="B557">
        <f>YEAR(tbl_Kalender[[#This Row],[Datum]])</f>
        <v>2025</v>
      </c>
      <c r="C557">
        <f>DAY(tbl_Kalender[[#This Row],[Datum]])</f>
        <v>9</v>
      </c>
      <c r="D557" t="str">
        <f>TEXT(tbl_Kalender[[#This Row],[Datum]],"TTTT")</f>
        <v>Mittwoch</v>
      </c>
      <c r="E557">
        <f>WEEKDAY(tbl_Kalender[[#This Row],[Datum]],2)</f>
        <v>3</v>
      </c>
      <c r="F557">
        <f>MONTH(tbl_Kalender[[#This Row],[Datum]])</f>
        <v>7</v>
      </c>
      <c r="G557" t="str">
        <f>TEXT(tbl_Kalender[[#This Row],[Datum]],"MMMM")</f>
        <v>Juli</v>
      </c>
      <c r="H557">
        <f>ROUNDUP(tbl_Kalender[[#This Row],[Monat]]/3,0)</f>
        <v>3</v>
      </c>
      <c r="I557" t="str">
        <f>"Q "&amp;tbl_Kalender[[#This Row],[Quartal]]</f>
        <v>Q 3</v>
      </c>
      <c r="J557" t="str">
        <f>tbl_Kalender[[#This Row],[Quartal]]&amp;". Quartal"</f>
        <v>3. Quartal</v>
      </c>
      <c r="K557">
        <f>_xlfn.ISOWEEKNUM(tbl_Kalender[[#This Row],[Datum]])</f>
        <v>28</v>
      </c>
    </row>
    <row r="558" spans="1:11" x14ac:dyDescent="0.25">
      <c r="A558" s="1">
        <v>45848</v>
      </c>
      <c r="B558">
        <f>YEAR(tbl_Kalender[[#This Row],[Datum]])</f>
        <v>2025</v>
      </c>
      <c r="C558">
        <f>DAY(tbl_Kalender[[#This Row],[Datum]])</f>
        <v>10</v>
      </c>
      <c r="D558" t="str">
        <f>TEXT(tbl_Kalender[[#This Row],[Datum]],"TTTT")</f>
        <v>Donnerstag</v>
      </c>
      <c r="E558">
        <f>WEEKDAY(tbl_Kalender[[#This Row],[Datum]],2)</f>
        <v>4</v>
      </c>
      <c r="F558">
        <f>MONTH(tbl_Kalender[[#This Row],[Datum]])</f>
        <v>7</v>
      </c>
      <c r="G558" t="str">
        <f>TEXT(tbl_Kalender[[#This Row],[Datum]],"MMMM")</f>
        <v>Juli</v>
      </c>
      <c r="H558">
        <f>ROUNDUP(tbl_Kalender[[#This Row],[Monat]]/3,0)</f>
        <v>3</v>
      </c>
      <c r="I558" t="str">
        <f>"Q "&amp;tbl_Kalender[[#This Row],[Quartal]]</f>
        <v>Q 3</v>
      </c>
      <c r="J558" t="str">
        <f>tbl_Kalender[[#This Row],[Quartal]]&amp;". Quartal"</f>
        <v>3. Quartal</v>
      </c>
      <c r="K558">
        <f>_xlfn.ISOWEEKNUM(tbl_Kalender[[#This Row],[Datum]])</f>
        <v>28</v>
      </c>
    </row>
    <row r="559" spans="1:11" x14ac:dyDescent="0.25">
      <c r="A559" s="1">
        <v>45849</v>
      </c>
      <c r="B559">
        <f>YEAR(tbl_Kalender[[#This Row],[Datum]])</f>
        <v>2025</v>
      </c>
      <c r="C559">
        <f>DAY(tbl_Kalender[[#This Row],[Datum]])</f>
        <v>11</v>
      </c>
      <c r="D559" t="str">
        <f>TEXT(tbl_Kalender[[#This Row],[Datum]],"TTTT")</f>
        <v>Freitag</v>
      </c>
      <c r="E559">
        <f>WEEKDAY(tbl_Kalender[[#This Row],[Datum]],2)</f>
        <v>5</v>
      </c>
      <c r="F559">
        <f>MONTH(tbl_Kalender[[#This Row],[Datum]])</f>
        <v>7</v>
      </c>
      <c r="G559" t="str">
        <f>TEXT(tbl_Kalender[[#This Row],[Datum]],"MMMM")</f>
        <v>Juli</v>
      </c>
      <c r="H559">
        <f>ROUNDUP(tbl_Kalender[[#This Row],[Monat]]/3,0)</f>
        <v>3</v>
      </c>
      <c r="I559" t="str">
        <f>"Q "&amp;tbl_Kalender[[#This Row],[Quartal]]</f>
        <v>Q 3</v>
      </c>
      <c r="J559" t="str">
        <f>tbl_Kalender[[#This Row],[Quartal]]&amp;". Quartal"</f>
        <v>3. Quartal</v>
      </c>
      <c r="K559">
        <f>_xlfn.ISOWEEKNUM(tbl_Kalender[[#This Row],[Datum]])</f>
        <v>28</v>
      </c>
    </row>
    <row r="560" spans="1:11" x14ac:dyDescent="0.25">
      <c r="A560" s="1">
        <v>45850</v>
      </c>
      <c r="B560">
        <f>YEAR(tbl_Kalender[[#This Row],[Datum]])</f>
        <v>2025</v>
      </c>
      <c r="C560">
        <f>DAY(tbl_Kalender[[#This Row],[Datum]])</f>
        <v>12</v>
      </c>
      <c r="D560" t="str">
        <f>TEXT(tbl_Kalender[[#This Row],[Datum]],"TTTT")</f>
        <v>Samstag</v>
      </c>
      <c r="E560">
        <f>WEEKDAY(tbl_Kalender[[#This Row],[Datum]],2)</f>
        <v>6</v>
      </c>
      <c r="F560">
        <f>MONTH(tbl_Kalender[[#This Row],[Datum]])</f>
        <v>7</v>
      </c>
      <c r="G560" t="str">
        <f>TEXT(tbl_Kalender[[#This Row],[Datum]],"MMMM")</f>
        <v>Juli</v>
      </c>
      <c r="H560">
        <f>ROUNDUP(tbl_Kalender[[#This Row],[Monat]]/3,0)</f>
        <v>3</v>
      </c>
      <c r="I560" t="str">
        <f>"Q "&amp;tbl_Kalender[[#This Row],[Quartal]]</f>
        <v>Q 3</v>
      </c>
      <c r="J560" t="str">
        <f>tbl_Kalender[[#This Row],[Quartal]]&amp;". Quartal"</f>
        <v>3. Quartal</v>
      </c>
      <c r="K560">
        <f>_xlfn.ISOWEEKNUM(tbl_Kalender[[#This Row],[Datum]])</f>
        <v>28</v>
      </c>
    </row>
    <row r="561" spans="1:11" x14ac:dyDescent="0.25">
      <c r="A561" s="1">
        <v>45851</v>
      </c>
      <c r="B561">
        <f>YEAR(tbl_Kalender[[#This Row],[Datum]])</f>
        <v>2025</v>
      </c>
      <c r="C561">
        <f>DAY(tbl_Kalender[[#This Row],[Datum]])</f>
        <v>13</v>
      </c>
      <c r="D561" t="str">
        <f>TEXT(tbl_Kalender[[#This Row],[Datum]],"TTTT")</f>
        <v>Sonntag</v>
      </c>
      <c r="E561">
        <f>WEEKDAY(tbl_Kalender[[#This Row],[Datum]],2)</f>
        <v>7</v>
      </c>
      <c r="F561">
        <f>MONTH(tbl_Kalender[[#This Row],[Datum]])</f>
        <v>7</v>
      </c>
      <c r="G561" t="str">
        <f>TEXT(tbl_Kalender[[#This Row],[Datum]],"MMMM")</f>
        <v>Juli</v>
      </c>
      <c r="H561">
        <f>ROUNDUP(tbl_Kalender[[#This Row],[Monat]]/3,0)</f>
        <v>3</v>
      </c>
      <c r="I561" t="str">
        <f>"Q "&amp;tbl_Kalender[[#This Row],[Quartal]]</f>
        <v>Q 3</v>
      </c>
      <c r="J561" t="str">
        <f>tbl_Kalender[[#This Row],[Quartal]]&amp;". Quartal"</f>
        <v>3. Quartal</v>
      </c>
      <c r="K561">
        <f>_xlfn.ISOWEEKNUM(tbl_Kalender[[#This Row],[Datum]])</f>
        <v>28</v>
      </c>
    </row>
    <row r="562" spans="1:11" x14ac:dyDescent="0.25">
      <c r="A562" s="1">
        <v>45852</v>
      </c>
      <c r="B562">
        <f>YEAR(tbl_Kalender[[#This Row],[Datum]])</f>
        <v>2025</v>
      </c>
      <c r="C562">
        <f>DAY(tbl_Kalender[[#This Row],[Datum]])</f>
        <v>14</v>
      </c>
      <c r="D562" t="str">
        <f>TEXT(tbl_Kalender[[#This Row],[Datum]],"TTTT")</f>
        <v>Montag</v>
      </c>
      <c r="E562">
        <f>WEEKDAY(tbl_Kalender[[#This Row],[Datum]],2)</f>
        <v>1</v>
      </c>
      <c r="F562">
        <f>MONTH(tbl_Kalender[[#This Row],[Datum]])</f>
        <v>7</v>
      </c>
      <c r="G562" t="str">
        <f>TEXT(tbl_Kalender[[#This Row],[Datum]],"MMMM")</f>
        <v>Juli</v>
      </c>
      <c r="H562">
        <f>ROUNDUP(tbl_Kalender[[#This Row],[Monat]]/3,0)</f>
        <v>3</v>
      </c>
      <c r="I562" t="str">
        <f>"Q "&amp;tbl_Kalender[[#This Row],[Quartal]]</f>
        <v>Q 3</v>
      </c>
      <c r="J562" t="str">
        <f>tbl_Kalender[[#This Row],[Quartal]]&amp;". Quartal"</f>
        <v>3. Quartal</v>
      </c>
      <c r="K562">
        <f>_xlfn.ISOWEEKNUM(tbl_Kalender[[#This Row],[Datum]])</f>
        <v>29</v>
      </c>
    </row>
    <row r="563" spans="1:11" x14ac:dyDescent="0.25">
      <c r="A563" s="1">
        <v>45853</v>
      </c>
      <c r="B563">
        <f>YEAR(tbl_Kalender[[#This Row],[Datum]])</f>
        <v>2025</v>
      </c>
      <c r="C563">
        <f>DAY(tbl_Kalender[[#This Row],[Datum]])</f>
        <v>15</v>
      </c>
      <c r="D563" t="str">
        <f>TEXT(tbl_Kalender[[#This Row],[Datum]],"TTTT")</f>
        <v>Dienstag</v>
      </c>
      <c r="E563">
        <f>WEEKDAY(tbl_Kalender[[#This Row],[Datum]],2)</f>
        <v>2</v>
      </c>
      <c r="F563">
        <f>MONTH(tbl_Kalender[[#This Row],[Datum]])</f>
        <v>7</v>
      </c>
      <c r="G563" t="str">
        <f>TEXT(tbl_Kalender[[#This Row],[Datum]],"MMMM")</f>
        <v>Juli</v>
      </c>
      <c r="H563">
        <f>ROUNDUP(tbl_Kalender[[#This Row],[Monat]]/3,0)</f>
        <v>3</v>
      </c>
      <c r="I563" t="str">
        <f>"Q "&amp;tbl_Kalender[[#This Row],[Quartal]]</f>
        <v>Q 3</v>
      </c>
      <c r="J563" t="str">
        <f>tbl_Kalender[[#This Row],[Quartal]]&amp;". Quartal"</f>
        <v>3. Quartal</v>
      </c>
      <c r="K563">
        <f>_xlfn.ISOWEEKNUM(tbl_Kalender[[#This Row],[Datum]])</f>
        <v>29</v>
      </c>
    </row>
    <row r="564" spans="1:11" x14ac:dyDescent="0.25">
      <c r="A564" s="1">
        <v>45854</v>
      </c>
      <c r="B564">
        <f>YEAR(tbl_Kalender[[#This Row],[Datum]])</f>
        <v>2025</v>
      </c>
      <c r="C564">
        <f>DAY(tbl_Kalender[[#This Row],[Datum]])</f>
        <v>16</v>
      </c>
      <c r="D564" t="str">
        <f>TEXT(tbl_Kalender[[#This Row],[Datum]],"TTTT")</f>
        <v>Mittwoch</v>
      </c>
      <c r="E564">
        <f>WEEKDAY(tbl_Kalender[[#This Row],[Datum]],2)</f>
        <v>3</v>
      </c>
      <c r="F564">
        <f>MONTH(tbl_Kalender[[#This Row],[Datum]])</f>
        <v>7</v>
      </c>
      <c r="G564" t="str">
        <f>TEXT(tbl_Kalender[[#This Row],[Datum]],"MMMM")</f>
        <v>Juli</v>
      </c>
      <c r="H564">
        <f>ROUNDUP(tbl_Kalender[[#This Row],[Monat]]/3,0)</f>
        <v>3</v>
      </c>
      <c r="I564" t="str">
        <f>"Q "&amp;tbl_Kalender[[#This Row],[Quartal]]</f>
        <v>Q 3</v>
      </c>
      <c r="J564" t="str">
        <f>tbl_Kalender[[#This Row],[Quartal]]&amp;". Quartal"</f>
        <v>3. Quartal</v>
      </c>
      <c r="K564">
        <f>_xlfn.ISOWEEKNUM(tbl_Kalender[[#This Row],[Datum]])</f>
        <v>29</v>
      </c>
    </row>
    <row r="565" spans="1:11" x14ac:dyDescent="0.25">
      <c r="A565" s="1">
        <v>45855</v>
      </c>
      <c r="B565">
        <f>YEAR(tbl_Kalender[[#This Row],[Datum]])</f>
        <v>2025</v>
      </c>
      <c r="C565">
        <f>DAY(tbl_Kalender[[#This Row],[Datum]])</f>
        <v>17</v>
      </c>
      <c r="D565" t="str">
        <f>TEXT(tbl_Kalender[[#This Row],[Datum]],"TTTT")</f>
        <v>Donnerstag</v>
      </c>
      <c r="E565">
        <f>WEEKDAY(tbl_Kalender[[#This Row],[Datum]],2)</f>
        <v>4</v>
      </c>
      <c r="F565">
        <f>MONTH(tbl_Kalender[[#This Row],[Datum]])</f>
        <v>7</v>
      </c>
      <c r="G565" t="str">
        <f>TEXT(tbl_Kalender[[#This Row],[Datum]],"MMMM")</f>
        <v>Juli</v>
      </c>
      <c r="H565">
        <f>ROUNDUP(tbl_Kalender[[#This Row],[Monat]]/3,0)</f>
        <v>3</v>
      </c>
      <c r="I565" t="str">
        <f>"Q "&amp;tbl_Kalender[[#This Row],[Quartal]]</f>
        <v>Q 3</v>
      </c>
      <c r="J565" t="str">
        <f>tbl_Kalender[[#This Row],[Quartal]]&amp;". Quartal"</f>
        <v>3. Quartal</v>
      </c>
      <c r="K565">
        <f>_xlfn.ISOWEEKNUM(tbl_Kalender[[#This Row],[Datum]])</f>
        <v>29</v>
      </c>
    </row>
    <row r="566" spans="1:11" x14ac:dyDescent="0.25">
      <c r="A566" s="1">
        <v>45856</v>
      </c>
      <c r="B566">
        <f>YEAR(tbl_Kalender[[#This Row],[Datum]])</f>
        <v>2025</v>
      </c>
      <c r="C566">
        <f>DAY(tbl_Kalender[[#This Row],[Datum]])</f>
        <v>18</v>
      </c>
      <c r="D566" t="str">
        <f>TEXT(tbl_Kalender[[#This Row],[Datum]],"TTTT")</f>
        <v>Freitag</v>
      </c>
      <c r="E566">
        <f>WEEKDAY(tbl_Kalender[[#This Row],[Datum]],2)</f>
        <v>5</v>
      </c>
      <c r="F566">
        <f>MONTH(tbl_Kalender[[#This Row],[Datum]])</f>
        <v>7</v>
      </c>
      <c r="G566" t="str">
        <f>TEXT(tbl_Kalender[[#This Row],[Datum]],"MMMM")</f>
        <v>Juli</v>
      </c>
      <c r="H566">
        <f>ROUNDUP(tbl_Kalender[[#This Row],[Monat]]/3,0)</f>
        <v>3</v>
      </c>
      <c r="I566" t="str">
        <f>"Q "&amp;tbl_Kalender[[#This Row],[Quartal]]</f>
        <v>Q 3</v>
      </c>
      <c r="J566" t="str">
        <f>tbl_Kalender[[#This Row],[Quartal]]&amp;". Quartal"</f>
        <v>3. Quartal</v>
      </c>
      <c r="K566">
        <f>_xlfn.ISOWEEKNUM(tbl_Kalender[[#This Row],[Datum]])</f>
        <v>29</v>
      </c>
    </row>
    <row r="567" spans="1:11" x14ac:dyDescent="0.25">
      <c r="A567" s="1">
        <v>45857</v>
      </c>
      <c r="B567">
        <f>YEAR(tbl_Kalender[[#This Row],[Datum]])</f>
        <v>2025</v>
      </c>
      <c r="C567">
        <f>DAY(tbl_Kalender[[#This Row],[Datum]])</f>
        <v>19</v>
      </c>
      <c r="D567" t="str">
        <f>TEXT(tbl_Kalender[[#This Row],[Datum]],"TTTT")</f>
        <v>Samstag</v>
      </c>
      <c r="E567">
        <f>WEEKDAY(tbl_Kalender[[#This Row],[Datum]],2)</f>
        <v>6</v>
      </c>
      <c r="F567">
        <f>MONTH(tbl_Kalender[[#This Row],[Datum]])</f>
        <v>7</v>
      </c>
      <c r="G567" t="str">
        <f>TEXT(tbl_Kalender[[#This Row],[Datum]],"MMMM")</f>
        <v>Juli</v>
      </c>
      <c r="H567">
        <f>ROUNDUP(tbl_Kalender[[#This Row],[Monat]]/3,0)</f>
        <v>3</v>
      </c>
      <c r="I567" t="str">
        <f>"Q "&amp;tbl_Kalender[[#This Row],[Quartal]]</f>
        <v>Q 3</v>
      </c>
      <c r="J567" t="str">
        <f>tbl_Kalender[[#This Row],[Quartal]]&amp;". Quartal"</f>
        <v>3. Quartal</v>
      </c>
      <c r="K567">
        <f>_xlfn.ISOWEEKNUM(tbl_Kalender[[#This Row],[Datum]])</f>
        <v>29</v>
      </c>
    </row>
    <row r="568" spans="1:11" x14ac:dyDescent="0.25">
      <c r="A568" s="1">
        <v>45858</v>
      </c>
      <c r="B568">
        <f>YEAR(tbl_Kalender[[#This Row],[Datum]])</f>
        <v>2025</v>
      </c>
      <c r="C568">
        <f>DAY(tbl_Kalender[[#This Row],[Datum]])</f>
        <v>20</v>
      </c>
      <c r="D568" t="str">
        <f>TEXT(tbl_Kalender[[#This Row],[Datum]],"TTTT")</f>
        <v>Sonntag</v>
      </c>
      <c r="E568">
        <f>WEEKDAY(tbl_Kalender[[#This Row],[Datum]],2)</f>
        <v>7</v>
      </c>
      <c r="F568">
        <f>MONTH(tbl_Kalender[[#This Row],[Datum]])</f>
        <v>7</v>
      </c>
      <c r="G568" t="str">
        <f>TEXT(tbl_Kalender[[#This Row],[Datum]],"MMMM")</f>
        <v>Juli</v>
      </c>
      <c r="H568">
        <f>ROUNDUP(tbl_Kalender[[#This Row],[Monat]]/3,0)</f>
        <v>3</v>
      </c>
      <c r="I568" t="str">
        <f>"Q "&amp;tbl_Kalender[[#This Row],[Quartal]]</f>
        <v>Q 3</v>
      </c>
      <c r="J568" t="str">
        <f>tbl_Kalender[[#This Row],[Quartal]]&amp;". Quartal"</f>
        <v>3. Quartal</v>
      </c>
      <c r="K568">
        <f>_xlfn.ISOWEEKNUM(tbl_Kalender[[#This Row],[Datum]])</f>
        <v>29</v>
      </c>
    </row>
    <row r="569" spans="1:11" x14ac:dyDescent="0.25">
      <c r="A569" s="1">
        <v>45859</v>
      </c>
      <c r="B569">
        <f>YEAR(tbl_Kalender[[#This Row],[Datum]])</f>
        <v>2025</v>
      </c>
      <c r="C569">
        <f>DAY(tbl_Kalender[[#This Row],[Datum]])</f>
        <v>21</v>
      </c>
      <c r="D569" t="str">
        <f>TEXT(tbl_Kalender[[#This Row],[Datum]],"TTTT")</f>
        <v>Montag</v>
      </c>
      <c r="E569">
        <f>WEEKDAY(tbl_Kalender[[#This Row],[Datum]],2)</f>
        <v>1</v>
      </c>
      <c r="F569">
        <f>MONTH(tbl_Kalender[[#This Row],[Datum]])</f>
        <v>7</v>
      </c>
      <c r="G569" t="str">
        <f>TEXT(tbl_Kalender[[#This Row],[Datum]],"MMMM")</f>
        <v>Juli</v>
      </c>
      <c r="H569">
        <f>ROUNDUP(tbl_Kalender[[#This Row],[Monat]]/3,0)</f>
        <v>3</v>
      </c>
      <c r="I569" t="str">
        <f>"Q "&amp;tbl_Kalender[[#This Row],[Quartal]]</f>
        <v>Q 3</v>
      </c>
      <c r="J569" t="str">
        <f>tbl_Kalender[[#This Row],[Quartal]]&amp;". Quartal"</f>
        <v>3. Quartal</v>
      </c>
      <c r="K569">
        <f>_xlfn.ISOWEEKNUM(tbl_Kalender[[#This Row],[Datum]])</f>
        <v>30</v>
      </c>
    </row>
    <row r="570" spans="1:11" x14ac:dyDescent="0.25">
      <c r="A570" s="1">
        <v>45860</v>
      </c>
      <c r="B570">
        <f>YEAR(tbl_Kalender[[#This Row],[Datum]])</f>
        <v>2025</v>
      </c>
      <c r="C570">
        <f>DAY(tbl_Kalender[[#This Row],[Datum]])</f>
        <v>22</v>
      </c>
      <c r="D570" t="str">
        <f>TEXT(tbl_Kalender[[#This Row],[Datum]],"TTTT")</f>
        <v>Dienstag</v>
      </c>
      <c r="E570">
        <f>WEEKDAY(tbl_Kalender[[#This Row],[Datum]],2)</f>
        <v>2</v>
      </c>
      <c r="F570">
        <f>MONTH(tbl_Kalender[[#This Row],[Datum]])</f>
        <v>7</v>
      </c>
      <c r="G570" t="str">
        <f>TEXT(tbl_Kalender[[#This Row],[Datum]],"MMMM")</f>
        <v>Juli</v>
      </c>
      <c r="H570">
        <f>ROUNDUP(tbl_Kalender[[#This Row],[Monat]]/3,0)</f>
        <v>3</v>
      </c>
      <c r="I570" t="str">
        <f>"Q "&amp;tbl_Kalender[[#This Row],[Quartal]]</f>
        <v>Q 3</v>
      </c>
      <c r="J570" t="str">
        <f>tbl_Kalender[[#This Row],[Quartal]]&amp;". Quartal"</f>
        <v>3. Quartal</v>
      </c>
      <c r="K570">
        <f>_xlfn.ISOWEEKNUM(tbl_Kalender[[#This Row],[Datum]])</f>
        <v>30</v>
      </c>
    </row>
    <row r="571" spans="1:11" x14ac:dyDescent="0.25">
      <c r="A571" s="1">
        <v>45861</v>
      </c>
      <c r="B571">
        <f>YEAR(tbl_Kalender[[#This Row],[Datum]])</f>
        <v>2025</v>
      </c>
      <c r="C571">
        <f>DAY(tbl_Kalender[[#This Row],[Datum]])</f>
        <v>23</v>
      </c>
      <c r="D571" t="str">
        <f>TEXT(tbl_Kalender[[#This Row],[Datum]],"TTTT")</f>
        <v>Mittwoch</v>
      </c>
      <c r="E571">
        <f>WEEKDAY(tbl_Kalender[[#This Row],[Datum]],2)</f>
        <v>3</v>
      </c>
      <c r="F571">
        <f>MONTH(tbl_Kalender[[#This Row],[Datum]])</f>
        <v>7</v>
      </c>
      <c r="G571" t="str">
        <f>TEXT(tbl_Kalender[[#This Row],[Datum]],"MMMM")</f>
        <v>Juli</v>
      </c>
      <c r="H571">
        <f>ROUNDUP(tbl_Kalender[[#This Row],[Monat]]/3,0)</f>
        <v>3</v>
      </c>
      <c r="I571" t="str">
        <f>"Q "&amp;tbl_Kalender[[#This Row],[Quartal]]</f>
        <v>Q 3</v>
      </c>
      <c r="J571" t="str">
        <f>tbl_Kalender[[#This Row],[Quartal]]&amp;". Quartal"</f>
        <v>3. Quartal</v>
      </c>
      <c r="K571">
        <f>_xlfn.ISOWEEKNUM(tbl_Kalender[[#This Row],[Datum]])</f>
        <v>30</v>
      </c>
    </row>
    <row r="572" spans="1:11" x14ac:dyDescent="0.25">
      <c r="A572" s="1">
        <v>45862</v>
      </c>
      <c r="B572">
        <f>YEAR(tbl_Kalender[[#This Row],[Datum]])</f>
        <v>2025</v>
      </c>
      <c r="C572">
        <f>DAY(tbl_Kalender[[#This Row],[Datum]])</f>
        <v>24</v>
      </c>
      <c r="D572" t="str">
        <f>TEXT(tbl_Kalender[[#This Row],[Datum]],"TTTT")</f>
        <v>Donnerstag</v>
      </c>
      <c r="E572">
        <f>WEEKDAY(tbl_Kalender[[#This Row],[Datum]],2)</f>
        <v>4</v>
      </c>
      <c r="F572">
        <f>MONTH(tbl_Kalender[[#This Row],[Datum]])</f>
        <v>7</v>
      </c>
      <c r="G572" t="str">
        <f>TEXT(tbl_Kalender[[#This Row],[Datum]],"MMMM")</f>
        <v>Juli</v>
      </c>
      <c r="H572">
        <f>ROUNDUP(tbl_Kalender[[#This Row],[Monat]]/3,0)</f>
        <v>3</v>
      </c>
      <c r="I572" t="str">
        <f>"Q "&amp;tbl_Kalender[[#This Row],[Quartal]]</f>
        <v>Q 3</v>
      </c>
      <c r="J572" t="str">
        <f>tbl_Kalender[[#This Row],[Quartal]]&amp;". Quartal"</f>
        <v>3. Quartal</v>
      </c>
      <c r="K572">
        <f>_xlfn.ISOWEEKNUM(tbl_Kalender[[#This Row],[Datum]])</f>
        <v>30</v>
      </c>
    </row>
    <row r="573" spans="1:11" x14ac:dyDescent="0.25">
      <c r="A573" s="1">
        <v>45863</v>
      </c>
      <c r="B573">
        <f>YEAR(tbl_Kalender[[#This Row],[Datum]])</f>
        <v>2025</v>
      </c>
      <c r="C573">
        <f>DAY(tbl_Kalender[[#This Row],[Datum]])</f>
        <v>25</v>
      </c>
      <c r="D573" t="str">
        <f>TEXT(tbl_Kalender[[#This Row],[Datum]],"TTTT")</f>
        <v>Freitag</v>
      </c>
      <c r="E573">
        <f>WEEKDAY(tbl_Kalender[[#This Row],[Datum]],2)</f>
        <v>5</v>
      </c>
      <c r="F573">
        <f>MONTH(tbl_Kalender[[#This Row],[Datum]])</f>
        <v>7</v>
      </c>
      <c r="G573" t="str">
        <f>TEXT(tbl_Kalender[[#This Row],[Datum]],"MMMM")</f>
        <v>Juli</v>
      </c>
      <c r="H573">
        <f>ROUNDUP(tbl_Kalender[[#This Row],[Monat]]/3,0)</f>
        <v>3</v>
      </c>
      <c r="I573" t="str">
        <f>"Q "&amp;tbl_Kalender[[#This Row],[Quartal]]</f>
        <v>Q 3</v>
      </c>
      <c r="J573" t="str">
        <f>tbl_Kalender[[#This Row],[Quartal]]&amp;". Quartal"</f>
        <v>3. Quartal</v>
      </c>
      <c r="K573">
        <f>_xlfn.ISOWEEKNUM(tbl_Kalender[[#This Row],[Datum]])</f>
        <v>30</v>
      </c>
    </row>
    <row r="574" spans="1:11" x14ac:dyDescent="0.25">
      <c r="A574" s="1">
        <v>45864</v>
      </c>
      <c r="B574">
        <f>YEAR(tbl_Kalender[[#This Row],[Datum]])</f>
        <v>2025</v>
      </c>
      <c r="C574">
        <f>DAY(tbl_Kalender[[#This Row],[Datum]])</f>
        <v>26</v>
      </c>
      <c r="D574" t="str">
        <f>TEXT(tbl_Kalender[[#This Row],[Datum]],"TTTT")</f>
        <v>Samstag</v>
      </c>
      <c r="E574">
        <f>WEEKDAY(tbl_Kalender[[#This Row],[Datum]],2)</f>
        <v>6</v>
      </c>
      <c r="F574">
        <f>MONTH(tbl_Kalender[[#This Row],[Datum]])</f>
        <v>7</v>
      </c>
      <c r="G574" t="str">
        <f>TEXT(tbl_Kalender[[#This Row],[Datum]],"MMMM")</f>
        <v>Juli</v>
      </c>
      <c r="H574">
        <f>ROUNDUP(tbl_Kalender[[#This Row],[Monat]]/3,0)</f>
        <v>3</v>
      </c>
      <c r="I574" t="str">
        <f>"Q "&amp;tbl_Kalender[[#This Row],[Quartal]]</f>
        <v>Q 3</v>
      </c>
      <c r="J574" t="str">
        <f>tbl_Kalender[[#This Row],[Quartal]]&amp;". Quartal"</f>
        <v>3. Quartal</v>
      </c>
      <c r="K574">
        <f>_xlfn.ISOWEEKNUM(tbl_Kalender[[#This Row],[Datum]])</f>
        <v>30</v>
      </c>
    </row>
    <row r="575" spans="1:11" x14ac:dyDescent="0.25">
      <c r="A575" s="1">
        <v>45865</v>
      </c>
      <c r="B575">
        <f>YEAR(tbl_Kalender[[#This Row],[Datum]])</f>
        <v>2025</v>
      </c>
      <c r="C575">
        <f>DAY(tbl_Kalender[[#This Row],[Datum]])</f>
        <v>27</v>
      </c>
      <c r="D575" t="str">
        <f>TEXT(tbl_Kalender[[#This Row],[Datum]],"TTTT")</f>
        <v>Sonntag</v>
      </c>
      <c r="E575">
        <f>WEEKDAY(tbl_Kalender[[#This Row],[Datum]],2)</f>
        <v>7</v>
      </c>
      <c r="F575">
        <f>MONTH(tbl_Kalender[[#This Row],[Datum]])</f>
        <v>7</v>
      </c>
      <c r="G575" t="str">
        <f>TEXT(tbl_Kalender[[#This Row],[Datum]],"MMMM")</f>
        <v>Juli</v>
      </c>
      <c r="H575">
        <f>ROUNDUP(tbl_Kalender[[#This Row],[Monat]]/3,0)</f>
        <v>3</v>
      </c>
      <c r="I575" t="str">
        <f>"Q "&amp;tbl_Kalender[[#This Row],[Quartal]]</f>
        <v>Q 3</v>
      </c>
      <c r="J575" t="str">
        <f>tbl_Kalender[[#This Row],[Quartal]]&amp;". Quartal"</f>
        <v>3. Quartal</v>
      </c>
      <c r="K575">
        <f>_xlfn.ISOWEEKNUM(tbl_Kalender[[#This Row],[Datum]])</f>
        <v>30</v>
      </c>
    </row>
    <row r="576" spans="1:11" x14ac:dyDescent="0.25">
      <c r="A576" s="1">
        <v>45866</v>
      </c>
      <c r="B576">
        <f>YEAR(tbl_Kalender[[#This Row],[Datum]])</f>
        <v>2025</v>
      </c>
      <c r="C576">
        <f>DAY(tbl_Kalender[[#This Row],[Datum]])</f>
        <v>28</v>
      </c>
      <c r="D576" t="str">
        <f>TEXT(tbl_Kalender[[#This Row],[Datum]],"TTTT")</f>
        <v>Montag</v>
      </c>
      <c r="E576">
        <f>WEEKDAY(tbl_Kalender[[#This Row],[Datum]],2)</f>
        <v>1</v>
      </c>
      <c r="F576">
        <f>MONTH(tbl_Kalender[[#This Row],[Datum]])</f>
        <v>7</v>
      </c>
      <c r="G576" t="str">
        <f>TEXT(tbl_Kalender[[#This Row],[Datum]],"MMMM")</f>
        <v>Juli</v>
      </c>
      <c r="H576">
        <f>ROUNDUP(tbl_Kalender[[#This Row],[Monat]]/3,0)</f>
        <v>3</v>
      </c>
      <c r="I576" t="str">
        <f>"Q "&amp;tbl_Kalender[[#This Row],[Quartal]]</f>
        <v>Q 3</v>
      </c>
      <c r="J576" t="str">
        <f>tbl_Kalender[[#This Row],[Quartal]]&amp;". Quartal"</f>
        <v>3. Quartal</v>
      </c>
      <c r="K576">
        <f>_xlfn.ISOWEEKNUM(tbl_Kalender[[#This Row],[Datum]])</f>
        <v>31</v>
      </c>
    </row>
    <row r="577" spans="1:11" x14ac:dyDescent="0.25">
      <c r="A577" s="1">
        <v>45867</v>
      </c>
      <c r="B577">
        <f>YEAR(tbl_Kalender[[#This Row],[Datum]])</f>
        <v>2025</v>
      </c>
      <c r="C577">
        <f>DAY(tbl_Kalender[[#This Row],[Datum]])</f>
        <v>29</v>
      </c>
      <c r="D577" t="str">
        <f>TEXT(tbl_Kalender[[#This Row],[Datum]],"TTTT")</f>
        <v>Dienstag</v>
      </c>
      <c r="E577">
        <f>WEEKDAY(tbl_Kalender[[#This Row],[Datum]],2)</f>
        <v>2</v>
      </c>
      <c r="F577">
        <f>MONTH(tbl_Kalender[[#This Row],[Datum]])</f>
        <v>7</v>
      </c>
      <c r="G577" t="str">
        <f>TEXT(tbl_Kalender[[#This Row],[Datum]],"MMMM")</f>
        <v>Juli</v>
      </c>
      <c r="H577">
        <f>ROUNDUP(tbl_Kalender[[#This Row],[Monat]]/3,0)</f>
        <v>3</v>
      </c>
      <c r="I577" t="str">
        <f>"Q "&amp;tbl_Kalender[[#This Row],[Quartal]]</f>
        <v>Q 3</v>
      </c>
      <c r="J577" t="str">
        <f>tbl_Kalender[[#This Row],[Quartal]]&amp;". Quartal"</f>
        <v>3. Quartal</v>
      </c>
      <c r="K577">
        <f>_xlfn.ISOWEEKNUM(tbl_Kalender[[#This Row],[Datum]])</f>
        <v>31</v>
      </c>
    </row>
    <row r="578" spans="1:11" x14ac:dyDescent="0.25">
      <c r="A578" s="1">
        <v>45868</v>
      </c>
      <c r="B578">
        <f>YEAR(tbl_Kalender[[#This Row],[Datum]])</f>
        <v>2025</v>
      </c>
      <c r="C578">
        <f>DAY(tbl_Kalender[[#This Row],[Datum]])</f>
        <v>30</v>
      </c>
      <c r="D578" t="str">
        <f>TEXT(tbl_Kalender[[#This Row],[Datum]],"TTTT")</f>
        <v>Mittwoch</v>
      </c>
      <c r="E578">
        <f>WEEKDAY(tbl_Kalender[[#This Row],[Datum]],2)</f>
        <v>3</v>
      </c>
      <c r="F578">
        <f>MONTH(tbl_Kalender[[#This Row],[Datum]])</f>
        <v>7</v>
      </c>
      <c r="G578" t="str">
        <f>TEXT(tbl_Kalender[[#This Row],[Datum]],"MMMM")</f>
        <v>Juli</v>
      </c>
      <c r="H578">
        <f>ROUNDUP(tbl_Kalender[[#This Row],[Monat]]/3,0)</f>
        <v>3</v>
      </c>
      <c r="I578" t="str">
        <f>"Q "&amp;tbl_Kalender[[#This Row],[Quartal]]</f>
        <v>Q 3</v>
      </c>
      <c r="J578" t="str">
        <f>tbl_Kalender[[#This Row],[Quartal]]&amp;". Quartal"</f>
        <v>3. Quartal</v>
      </c>
      <c r="K578">
        <f>_xlfn.ISOWEEKNUM(tbl_Kalender[[#This Row],[Datum]])</f>
        <v>31</v>
      </c>
    </row>
    <row r="579" spans="1:11" x14ac:dyDescent="0.25">
      <c r="A579" s="1">
        <v>45869</v>
      </c>
      <c r="B579">
        <f>YEAR(tbl_Kalender[[#This Row],[Datum]])</f>
        <v>2025</v>
      </c>
      <c r="C579">
        <f>DAY(tbl_Kalender[[#This Row],[Datum]])</f>
        <v>31</v>
      </c>
      <c r="D579" t="str">
        <f>TEXT(tbl_Kalender[[#This Row],[Datum]],"TTTT")</f>
        <v>Donnerstag</v>
      </c>
      <c r="E579">
        <f>WEEKDAY(tbl_Kalender[[#This Row],[Datum]],2)</f>
        <v>4</v>
      </c>
      <c r="F579">
        <f>MONTH(tbl_Kalender[[#This Row],[Datum]])</f>
        <v>7</v>
      </c>
      <c r="G579" t="str">
        <f>TEXT(tbl_Kalender[[#This Row],[Datum]],"MMMM")</f>
        <v>Juli</v>
      </c>
      <c r="H579">
        <f>ROUNDUP(tbl_Kalender[[#This Row],[Monat]]/3,0)</f>
        <v>3</v>
      </c>
      <c r="I579" t="str">
        <f>"Q "&amp;tbl_Kalender[[#This Row],[Quartal]]</f>
        <v>Q 3</v>
      </c>
      <c r="J579" t="str">
        <f>tbl_Kalender[[#This Row],[Quartal]]&amp;". Quartal"</f>
        <v>3. Quartal</v>
      </c>
      <c r="K579">
        <f>_xlfn.ISOWEEKNUM(tbl_Kalender[[#This Row],[Datum]])</f>
        <v>31</v>
      </c>
    </row>
    <row r="580" spans="1:11" x14ac:dyDescent="0.25">
      <c r="A580" s="1">
        <v>45870</v>
      </c>
      <c r="B580">
        <f>YEAR(tbl_Kalender[[#This Row],[Datum]])</f>
        <v>2025</v>
      </c>
      <c r="C580">
        <f>DAY(tbl_Kalender[[#This Row],[Datum]])</f>
        <v>1</v>
      </c>
      <c r="D580" t="str">
        <f>TEXT(tbl_Kalender[[#This Row],[Datum]],"TTTT")</f>
        <v>Freitag</v>
      </c>
      <c r="E580">
        <f>WEEKDAY(tbl_Kalender[[#This Row],[Datum]],2)</f>
        <v>5</v>
      </c>
      <c r="F580">
        <f>MONTH(tbl_Kalender[[#This Row],[Datum]])</f>
        <v>8</v>
      </c>
      <c r="G580" t="str">
        <f>TEXT(tbl_Kalender[[#This Row],[Datum]],"MMMM")</f>
        <v>August</v>
      </c>
      <c r="H580">
        <f>ROUNDUP(tbl_Kalender[[#This Row],[Monat]]/3,0)</f>
        <v>3</v>
      </c>
      <c r="I580" t="str">
        <f>"Q "&amp;tbl_Kalender[[#This Row],[Quartal]]</f>
        <v>Q 3</v>
      </c>
      <c r="J580" t="str">
        <f>tbl_Kalender[[#This Row],[Quartal]]&amp;". Quartal"</f>
        <v>3. Quartal</v>
      </c>
      <c r="K580">
        <f>_xlfn.ISOWEEKNUM(tbl_Kalender[[#This Row],[Datum]])</f>
        <v>31</v>
      </c>
    </row>
    <row r="581" spans="1:11" x14ac:dyDescent="0.25">
      <c r="A581" s="1">
        <v>45871</v>
      </c>
      <c r="B581">
        <f>YEAR(tbl_Kalender[[#This Row],[Datum]])</f>
        <v>2025</v>
      </c>
      <c r="C581">
        <f>DAY(tbl_Kalender[[#This Row],[Datum]])</f>
        <v>2</v>
      </c>
      <c r="D581" t="str">
        <f>TEXT(tbl_Kalender[[#This Row],[Datum]],"TTTT")</f>
        <v>Samstag</v>
      </c>
      <c r="E581">
        <f>WEEKDAY(tbl_Kalender[[#This Row],[Datum]],2)</f>
        <v>6</v>
      </c>
      <c r="F581">
        <f>MONTH(tbl_Kalender[[#This Row],[Datum]])</f>
        <v>8</v>
      </c>
      <c r="G581" t="str">
        <f>TEXT(tbl_Kalender[[#This Row],[Datum]],"MMMM")</f>
        <v>August</v>
      </c>
      <c r="H581">
        <f>ROUNDUP(tbl_Kalender[[#This Row],[Monat]]/3,0)</f>
        <v>3</v>
      </c>
      <c r="I581" t="str">
        <f>"Q "&amp;tbl_Kalender[[#This Row],[Quartal]]</f>
        <v>Q 3</v>
      </c>
      <c r="J581" t="str">
        <f>tbl_Kalender[[#This Row],[Quartal]]&amp;". Quartal"</f>
        <v>3. Quartal</v>
      </c>
      <c r="K581">
        <f>_xlfn.ISOWEEKNUM(tbl_Kalender[[#This Row],[Datum]])</f>
        <v>31</v>
      </c>
    </row>
    <row r="582" spans="1:11" x14ac:dyDescent="0.25">
      <c r="A582" s="1">
        <v>45872</v>
      </c>
      <c r="B582">
        <f>YEAR(tbl_Kalender[[#This Row],[Datum]])</f>
        <v>2025</v>
      </c>
      <c r="C582">
        <f>DAY(tbl_Kalender[[#This Row],[Datum]])</f>
        <v>3</v>
      </c>
      <c r="D582" t="str">
        <f>TEXT(tbl_Kalender[[#This Row],[Datum]],"TTTT")</f>
        <v>Sonntag</v>
      </c>
      <c r="E582">
        <f>WEEKDAY(tbl_Kalender[[#This Row],[Datum]],2)</f>
        <v>7</v>
      </c>
      <c r="F582">
        <f>MONTH(tbl_Kalender[[#This Row],[Datum]])</f>
        <v>8</v>
      </c>
      <c r="G582" t="str">
        <f>TEXT(tbl_Kalender[[#This Row],[Datum]],"MMMM")</f>
        <v>August</v>
      </c>
      <c r="H582">
        <f>ROUNDUP(tbl_Kalender[[#This Row],[Monat]]/3,0)</f>
        <v>3</v>
      </c>
      <c r="I582" t="str">
        <f>"Q "&amp;tbl_Kalender[[#This Row],[Quartal]]</f>
        <v>Q 3</v>
      </c>
      <c r="J582" t="str">
        <f>tbl_Kalender[[#This Row],[Quartal]]&amp;". Quartal"</f>
        <v>3. Quartal</v>
      </c>
      <c r="K582">
        <f>_xlfn.ISOWEEKNUM(tbl_Kalender[[#This Row],[Datum]])</f>
        <v>31</v>
      </c>
    </row>
    <row r="583" spans="1:11" x14ac:dyDescent="0.25">
      <c r="A583" s="1">
        <v>45873</v>
      </c>
      <c r="B583">
        <f>YEAR(tbl_Kalender[[#This Row],[Datum]])</f>
        <v>2025</v>
      </c>
      <c r="C583">
        <f>DAY(tbl_Kalender[[#This Row],[Datum]])</f>
        <v>4</v>
      </c>
      <c r="D583" t="str">
        <f>TEXT(tbl_Kalender[[#This Row],[Datum]],"TTTT")</f>
        <v>Montag</v>
      </c>
      <c r="E583">
        <f>WEEKDAY(tbl_Kalender[[#This Row],[Datum]],2)</f>
        <v>1</v>
      </c>
      <c r="F583">
        <f>MONTH(tbl_Kalender[[#This Row],[Datum]])</f>
        <v>8</v>
      </c>
      <c r="G583" t="str">
        <f>TEXT(tbl_Kalender[[#This Row],[Datum]],"MMMM")</f>
        <v>August</v>
      </c>
      <c r="H583">
        <f>ROUNDUP(tbl_Kalender[[#This Row],[Monat]]/3,0)</f>
        <v>3</v>
      </c>
      <c r="I583" t="str">
        <f>"Q "&amp;tbl_Kalender[[#This Row],[Quartal]]</f>
        <v>Q 3</v>
      </c>
      <c r="J583" t="str">
        <f>tbl_Kalender[[#This Row],[Quartal]]&amp;". Quartal"</f>
        <v>3. Quartal</v>
      </c>
      <c r="K583">
        <f>_xlfn.ISOWEEKNUM(tbl_Kalender[[#This Row],[Datum]])</f>
        <v>32</v>
      </c>
    </row>
    <row r="584" spans="1:11" x14ac:dyDescent="0.25">
      <c r="A584" s="1">
        <v>45874</v>
      </c>
      <c r="B584">
        <f>YEAR(tbl_Kalender[[#This Row],[Datum]])</f>
        <v>2025</v>
      </c>
      <c r="C584">
        <f>DAY(tbl_Kalender[[#This Row],[Datum]])</f>
        <v>5</v>
      </c>
      <c r="D584" t="str">
        <f>TEXT(tbl_Kalender[[#This Row],[Datum]],"TTTT")</f>
        <v>Dienstag</v>
      </c>
      <c r="E584">
        <f>WEEKDAY(tbl_Kalender[[#This Row],[Datum]],2)</f>
        <v>2</v>
      </c>
      <c r="F584">
        <f>MONTH(tbl_Kalender[[#This Row],[Datum]])</f>
        <v>8</v>
      </c>
      <c r="G584" t="str">
        <f>TEXT(tbl_Kalender[[#This Row],[Datum]],"MMMM")</f>
        <v>August</v>
      </c>
      <c r="H584">
        <f>ROUNDUP(tbl_Kalender[[#This Row],[Monat]]/3,0)</f>
        <v>3</v>
      </c>
      <c r="I584" t="str">
        <f>"Q "&amp;tbl_Kalender[[#This Row],[Quartal]]</f>
        <v>Q 3</v>
      </c>
      <c r="J584" t="str">
        <f>tbl_Kalender[[#This Row],[Quartal]]&amp;". Quartal"</f>
        <v>3. Quartal</v>
      </c>
      <c r="K584">
        <f>_xlfn.ISOWEEKNUM(tbl_Kalender[[#This Row],[Datum]])</f>
        <v>32</v>
      </c>
    </row>
    <row r="585" spans="1:11" x14ac:dyDescent="0.25">
      <c r="A585" s="1">
        <v>45875</v>
      </c>
      <c r="B585">
        <f>YEAR(tbl_Kalender[[#This Row],[Datum]])</f>
        <v>2025</v>
      </c>
      <c r="C585">
        <f>DAY(tbl_Kalender[[#This Row],[Datum]])</f>
        <v>6</v>
      </c>
      <c r="D585" t="str">
        <f>TEXT(tbl_Kalender[[#This Row],[Datum]],"TTTT")</f>
        <v>Mittwoch</v>
      </c>
      <c r="E585">
        <f>WEEKDAY(tbl_Kalender[[#This Row],[Datum]],2)</f>
        <v>3</v>
      </c>
      <c r="F585">
        <f>MONTH(tbl_Kalender[[#This Row],[Datum]])</f>
        <v>8</v>
      </c>
      <c r="G585" t="str">
        <f>TEXT(tbl_Kalender[[#This Row],[Datum]],"MMMM")</f>
        <v>August</v>
      </c>
      <c r="H585">
        <f>ROUNDUP(tbl_Kalender[[#This Row],[Monat]]/3,0)</f>
        <v>3</v>
      </c>
      <c r="I585" t="str">
        <f>"Q "&amp;tbl_Kalender[[#This Row],[Quartal]]</f>
        <v>Q 3</v>
      </c>
      <c r="J585" t="str">
        <f>tbl_Kalender[[#This Row],[Quartal]]&amp;". Quartal"</f>
        <v>3. Quartal</v>
      </c>
      <c r="K585">
        <f>_xlfn.ISOWEEKNUM(tbl_Kalender[[#This Row],[Datum]])</f>
        <v>32</v>
      </c>
    </row>
    <row r="586" spans="1:11" x14ac:dyDescent="0.25">
      <c r="A586" s="1">
        <v>45876</v>
      </c>
      <c r="B586">
        <f>YEAR(tbl_Kalender[[#This Row],[Datum]])</f>
        <v>2025</v>
      </c>
      <c r="C586">
        <f>DAY(tbl_Kalender[[#This Row],[Datum]])</f>
        <v>7</v>
      </c>
      <c r="D586" t="str">
        <f>TEXT(tbl_Kalender[[#This Row],[Datum]],"TTTT")</f>
        <v>Donnerstag</v>
      </c>
      <c r="E586">
        <f>WEEKDAY(tbl_Kalender[[#This Row],[Datum]],2)</f>
        <v>4</v>
      </c>
      <c r="F586">
        <f>MONTH(tbl_Kalender[[#This Row],[Datum]])</f>
        <v>8</v>
      </c>
      <c r="G586" t="str">
        <f>TEXT(tbl_Kalender[[#This Row],[Datum]],"MMMM")</f>
        <v>August</v>
      </c>
      <c r="H586">
        <f>ROUNDUP(tbl_Kalender[[#This Row],[Monat]]/3,0)</f>
        <v>3</v>
      </c>
      <c r="I586" t="str">
        <f>"Q "&amp;tbl_Kalender[[#This Row],[Quartal]]</f>
        <v>Q 3</v>
      </c>
      <c r="J586" t="str">
        <f>tbl_Kalender[[#This Row],[Quartal]]&amp;". Quartal"</f>
        <v>3. Quartal</v>
      </c>
      <c r="K586">
        <f>_xlfn.ISOWEEKNUM(tbl_Kalender[[#This Row],[Datum]])</f>
        <v>32</v>
      </c>
    </row>
    <row r="587" spans="1:11" x14ac:dyDescent="0.25">
      <c r="A587" s="1">
        <v>45877</v>
      </c>
      <c r="B587">
        <f>YEAR(tbl_Kalender[[#This Row],[Datum]])</f>
        <v>2025</v>
      </c>
      <c r="C587">
        <f>DAY(tbl_Kalender[[#This Row],[Datum]])</f>
        <v>8</v>
      </c>
      <c r="D587" t="str">
        <f>TEXT(tbl_Kalender[[#This Row],[Datum]],"TTTT")</f>
        <v>Freitag</v>
      </c>
      <c r="E587">
        <f>WEEKDAY(tbl_Kalender[[#This Row],[Datum]],2)</f>
        <v>5</v>
      </c>
      <c r="F587">
        <f>MONTH(tbl_Kalender[[#This Row],[Datum]])</f>
        <v>8</v>
      </c>
      <c r="G587" t="str">
        <f>TEXT(tbl_Kalender[[#This Row],[Datum]],"MMMM")</f>
        <v>August</v>
      </c>
      <c r="H587">
        <f>ROUNDUP(tbl_Kalender[[#This Row],[Monat]]/3,0)</f>
        <v>3</v>
      </c>
      <c r="I587" t="str">
        <f>"Q "&amp;tbl_Kalender[[#This Row],[Quartal]]</f>
        <v>Q 3</v>
      </c>
      <c r="J587" t="str">
        <f>tbl_Kalender[[#This Row],[Quartal]]&amp;". Quartal"</f>
        <v>3. Quartal</v>
      </c>
      <c r="K587">
        <f>_xlfn.ISOWEEKNUM(tbl_Kalender[[#This Row],[Datum]])</f>
        <v>32</v>
      </c>
    </row>
    <row r="588" spans="1:11" x14ac:dyDescent="0.25">
      <c r="A588" s="1">
        <v>45878</v>
      </c>
      <c r="B588">
        <f>YEAR(tbl_Kalender[[#This Row],[Datum]])</f>
        <v>2025</v>
      </c>
      <c r="C588">
        <f>DAY(tbl_Kalender[[#This Row],[Datum]])</f>
        <v>9</v>
      </c>
      <c r="D588" t="str">
        <f>TEXT(tbl_Kalender[[#This Row],[Datum]],"TTTT")</f>
        <v>Samstag</v>
      </c>
      <c r="E588">
        <f>WEEKDAY(tbl_Kalender[[#This Row],[Datum]],2)</f>
        <v>6</v>
      </c>
      <c r="F588">
        <f>MONTH(tbl_Kalender[[#This Row],[Datum]])</f>
        <v>8</v>
      </c>
      <c r="G588" t="str">
        <f>TEXT(tbl_Kalender[[#This Row],[Datum]],"MMMM")</f>
        <v>August</v>
      </c>
      <c r="H588">
        <f>ROUNDUP(tbl_Kalender[[#This Row],[Monat]]/3,0)</f>
        <v>3</v>
      </c>
      <c r="I588" t="str">
        <f>"Q "&amp;tbl_Kalender[[#This Row],[Quartal]]</f>
        <v>Q 3</v>
      </c>
      <c r="J588" t="str">
        <f>tbl_Kalender[[#This Row],[Quartal]]&amp;". Quartal"</f>
        <v>3. Quartal</v>
      </c>
      <c r="K588">
        <f>_xlfn.ISOWEEKNUM(tbl_Kalender[[#This Row],[Datum]])</f>
        <v>32</v>
      </c>
    </row>
    <row r="589" spans="1:11" x14ac:dyDescent="0.25">
      <c r="A589" s="1">
        <v>45879</v>
      </c>
      <c r="B589">
        <f>YEAR(tbl_Kalender[[#This Row],[Datum]])</f>
        <v>2025</v>
      </c>
      <c r="C589">
        <f>DAY(tbl_Kalender[[#This Row],[Datum]])</f>
        <v>10</v>
      </c>
      <c r="D589" t="str">
        <f>TEXT(tbl_Kalender[[#This Row],[Datum]],"TTTT")</f>
        <v>Sonntag</v>
      </c>
      <c r="E589">
        <f>WEEKDAY(tbl_Kalender[[#This Row],[Datum]],2)</f>
        <v>7</v>
      </c>
      <c r="F589">
        <f>MONTH(tbl_Kalender[[#This Row],[Datum]])</f>
        <v>8</v>
      </c>
      <c r="G589" t="str">
        <f>TEXT(tbl_Kalender[[#This Row],[Datum]],"MMMM")</f>
        <v>August</v>
      </c>
      <c r="H589">
        <f>ROUNDUP(tbl_Kalender[[#This Row],[Monat]]/3,0)</f>
        <v>3</v>
      </c>
      <c r="I589" t="str">
        <f>"Q "&amp;tbl_Kalender[[#This Row],[Quartal]]</f>
        <v>Q 3</v>
      </c>
      <c r="J589" t="str">
        <f>tbl_Kalender[[#This Row],[Quartal]]&amp;". Quartal"</f>
        <v>3. Quartal</v>
      </c>
      <c r="K589">
        <f>_xlfn.ISOWEEKNUM(tbl_Kalender[[#This Row],[Datum]])</f>
        <v>32</v>
      </c>
    </row>
    <row r="590" spans="1:11" x14ac:dyDescent="0.25">
      <c r="A590" s="1">
        <v>45880</v>
      </c>
      <c r="B590">
        <f>YEAR(tbl_Kalender[[#This Row],[Datum]])</f>
        <v>2025</v>
      </c>
      <c r="C590">
        <f>DAY(tbl_Kalender[[#This Row],[Datum]])</f>
        <v>11</v>
      </c>
      <c r="D590" t="str">
        <f>TEXT(tbl_Kalender[[#This Row],[Datum]],"TTTT")</f>
        <v>Montag</v>
      </c>
      <c r="E590">
        <f>WEEKDAY(tbl_Kalender[[#This Row],[Datum]],2)</f>
        <v>1</v>
      </c>
      <c r="F590">
        <f>MONTH(tbl_Kalender[[#This Row],[Datum]])</f>
        <v>8</v>
      </c>
      <c r="G590" t="str">
        <f>TEXT(tbl_Kalender[[#This Row],[Datum]],"MMMM")</f>
        <v>August</v>
      </c>
      <c r="H590">
        <f>ROUNDUP(tbl_Kalender[[#This Row],[Monat]]/3,0)</f>
        <v>3</v>
      </c>
      <c r="I590" t="str">
        <f>"Q "&amp;tbl_Kalender[[#This Row],[Quartal]]</f>
        <v>Q 3</v>
      </c>
      <c r="J590" t="str">
        <f>tbl_Kalender[[#This Row],[Quartal]]&amp;". Quartal"</f>
        <v>3. Quartal</v>
      </c>
      <c r="K590">
        <f>_xlfn.ISOWEEKNUM(tbl_Kalender[[#This Row],[Datum]])</f>
        <v>33</v>
      </c>
    </row>
    <row r="591" spans="1:11" x14ac:dyDescent="0.25">
      <c r="A591" s="1">
        <v>45881</v>
      </c>
      <c r="B591">
        <f>YEAR(tbl_Kalender[[#This Row],[Datum]])</f>
        <v>2025</v>
      </c>
      <c r="C591">
        <f>DAY(tbl_Kalender[[#This Row],[Datum]])</f>
        <v>12</v>
      </c>
      <c r="D591" t="str">
        <f>TEXT(tbl_Kalender[[#This Row],[Datum]],"TTTT")</f>
        <v>Dienstag</v>
      </c>
      <c r="E591">
        <f>WEEKDAY(tbl_Kalender[[#This Row],[Datum]],2)</f>
        <v>2</v>
      </c>
      <c r="F591">
        <f>MONTH(tbl_Kalender[[#This Row],[Datum]])</f>
        <v>8</v>
      </c>
      <c r="G591" t="str">
        <f>TEXT(tbl_Kalender[[#This Row],[Datum]],"MMMM")</f>
        <v>August</v>
      </c>
      <c r="H591">
        <f>ROUNDUP(tbl_Kalender[[#This Row],[Monat]]/3,0)</f>
        <v>3</v>
      </c>
      <c r="I591" t="str">
        <f>"Q "&amp;tbl_Kalender[[#This Row],[Quartal]]</f>
        <v>Q 3</v>
      </c>
      <c r="J591" t="str">
        <f>tbl_Kalender[[#This Row],[Quartal]]&amp;". Quartal"</f>
        <v>3. Quartal</v>
      </c>
      <c r="K591">
        <f>_xlfn.ISOWEEKNUM(tbl_Kalender[[#This Row],[Datum]])</f>
        <v>33</v>
      </c>
    </row>
    <row r="592" spans="1:11" x14ac:dyDescent="0.25">
      <c r="A592" s="1">
        <v>45882</v>
      </c>
      <c r="B592">
        <f>YEAR(tbl_Kalender[[#This Row],[Datum]])</f>
        <v>2025</v>
      </c>
      <c r="C592">
        <f>DAY(tbl_Kalender[[#This Row],[Datum]])</f>
        <v>13</v>
      </c>
      <c r="D592" t="str">
        <f>TEXT(tbl_Kalender[[#This Row],[Datum]],"TTTT")</f>
        <v>Mittwoch</v>
      </c>
      <c r="E592">
        <f>WEEKDAY(tbl_Kalender[[#This Row],[Datum]],2)</f>
        <v>3</v>
      </c>
      <c r="F592">
        <f>MONTH(tbl_Kalender[[#This Row],[Datum]])</f>
        <v>8</v>
      </c>
      <c r="G592" t="str">
        <f>TEXT(tbl_Kalender[[#This Row],[Datum]],"MMMM")</f>
        <v>August</v>
      </c>
      <c r="H592">
        <f>ROUNDUP(tbl_Kalender[[#This Row],[Monat]]/3,0)</f>
        <v>3</v>
      </c>
      <c r="I592" t="str">
        <f>"Q "&amp;tbl_Kalender[[#This Row],[Quartal]]</f>
        <v>Q 3</v>
      </c>
      <c r="J592" t="str">
        <f>tbl_Kalender[[#This Row],[Quartal]]&amp;". Quartal"</f>
        <v>3. Quartal</v>
      </c>
      <c r="K592">
        <f>_xlfn.ISOWEEKNUM(tbl_Kalender[[#This Row],[Datum]])</f>
        <v>33</v>
      </c>
    </row>
    <row r="593" spans="1:11" x14ac:dyDescent="0.25">
      <c r="A593" s="1">
        <v>45883</v>
      </c>
      <c r="B593">
        <f>YEAR(tbl_Kalender[[#This Row],[Datum]])</f>
        <v>2025</v>
      </c>
      <c r="C593">
        <f>DAY(tbl_Kalender[[#This Row],[Datum]])</f>
        <v>14</v>
      </c>
      <c r="D593" t="str">
        <f>TEXT(tbl_Kalender[[#This Row],[Datum]],"TTTT")</f>
        <v>Donnerstag</v>
      </c>
      <c r="E593">
        <f>WEEKDAY(tbl_Kalender[[#This Row],[Datum]],2)</f>
        <v>4</v>
      </c>
      <c r="F593">
        <f>MONTH(tbl_Kalender[[#This Row],[Datum]])</f>
        <v>8</v>
      </c>
      <c r="G593" t="str">
        <f>TEXT(tbl_Kalender[[#This Row],[Datum]],"MMMM")</f>
        <v>August</v>
      </c>
      <c r="H593">
        <f>ROUNDUP(tbl_Kalender[[#This Row],[Monat]]/3,0)</f>
        <v>3</v>
      </c>
      <c r="I593" t="str">
        <f>"Q "&amp;tbl_Kalender[[#This Row],[Quartal]]</f>
        <v>Q 3</v>
      </c>
      <c r="J593" t="str">
        <f>tbl_Kalender[[#This Row],[Quartal]]&amp;". Quartal"</f>
        <v>3. Quartal</v>
      </c>
      <c r="K593">
        <f>_xlfn.ISOWEEKNUM(tbl_Kalender[[#This Row],[Datum]])</f>
        <v>33</v>
      </c>
    </row>
    <row r="594" spans="1:11" x14ac:dyDescent="0.25">
      <c r="A594" s="1">
        <v>45884</v>
      </c>
      <c r="B594">
        <f>YEAR(tbl_Kalender[[#This Row],[Datum]])</f>
        <v>2025</v>
      </c>
      <c r="C594">
        <f>DAY(tbl_Kalender[[#This Row],[Datum]])</f>
        <v>15</v>
      </c>
      <c r="D594" t="str">
        <f>TEXT(tbl_Kalender[[#This Row],[Datum]],"TTTT")</f>
        <v>Freitag</v>
      </c>
      <c r="E594">
        <f>WEEKDAY(tbl_Kalender[[#This Row],[Datum]],2)</f>
        <v>5</v>
      </c>
      <c r="F594">
        <f>MONTH(tbl_Kalender[[#This Row],[Datum]])</f>
        <v>8</v>
      </c>
      <c r="G594" t="str">
        <f>TEXT(tbl_Kalender[[#This Row],[Datum]],"MMMM")</f>
        <v>August</v>
      </c>
      <c r="H594">
        <f>ROUNDUP(tbl_Kalender[[#This Row],[Monat]]/3,0)</f>
        <v>3</v>
      </c>
      <c r="I594" t="str">
        <f>"Q "&amp;tbl_Kalender[[#This Row],[Quartal]]</f>
        <v>Q 3</v>
      </c>
      <c r="J594" t="str">
        <f>tbl_Kalender[[#This Row],[Quartal]]&amp;". Quartal"</f>
        <v>3. Quartal</v>
      </c>
      <c r="K594">
        <f>_xlfn.ISOWEEKNUM(tbl_Kalender[[#This Row],[Datum]])</f>
        <v>33</v>
      </c>
    </row>
    <row r="595" spans="1:11" x14ac:dyDescent="0.25">
      <c r="A595" s="1">
        <v>45885</v>
      </c>
      <c r="B595">
        <f>YEAR(tbl_Kalender[[#This Row],[Datum]])</f>
        <v>2025</v>
      </c>
      <c r="C595">
        <f>DAY(tbl_Kalender[[#This Row],[Datum]])</f>
        <v>16</v>
      </c>
      <c r="D595" t="str">
        <f>TEXT(tbl_Kalender[[#This Row],[Datum]],"TTTT")</f>
        <v>Samstag</v>
      </c>
      <c r="E595">
        <f>WEEKDAY(tbl_Kalender[[#This Row],[Datum]],2)</f>
        <v>6</v>
      </c>
      <c r="F595">
        <f>MONTH(tbl_Kalender[[#This Row],[Datum]])</f>
        <v>8</v>
      </c>
      <c r="G595" t="str">
        <f>TEXT(tbl_Kalender[[#This Row],[Datum]],"MMMM")</f>
        <v>August</v>
      </c>
      <c r="H595">
        <f>ROUNDUP(tbl_Kalender[[#This Row],[Monat]]/3,0)</f>
        <v>3</v>
      </c>
      <c r="I595" t="str">
        <f>"Q "&amp;tbl_Kalender[[#This Row],[Quartal]]</f>
        <v>Q 3</v>
      </c>
      <c r="J595" t="str">
        <f>tbl_Kalender[[#This Row],[Quartal]]&amp;". Quartal"</f>
        <v>3. Quartal</v>
      </c>
      <c r="K595">
        <f>_xlfn.ISOWEEKNUM(tbl_Kalender[[#This Row],[Datum]])</f>
        <v>33</v>
      </c>
    </row>
    <row r="596" spans="1:11" x14ac:dyDescent="0.25">
      <c r="A596" s="1">
        <v>45886</v>
      </c>
      <c r="B596">
        <f>YEAR(tbl_Kalender[[#This Row],[Datum]])</f>
        <v>2025</v>
      </c>
      <c r="C596">
        <f>DAY(tbl_Kalender[[#This Row],[Datum]])</f>
        <v>17</v>
      </c>
      <c r="D596" t="str">
        <f>TEXT(tbl_Kalender[[#This Row],[Datum]],"TTTT")</f>
        <v>Sonntag</v>
      </c>
      <c r="E596">
        <f>WEEKDAY(tbl_Kalender[[#This Row],[Datum]],2)</f>
        <v>7</v>
      </c>
      <c r="F596">
        <f>MONTH(tbl_Kalender[[#This Row],[Datum]])</f>
        <v>8</v>
      </c>
      <c r="G596" t="str">
        <f>TEXT(tbl_Kalender[[#This Row],[Datum]],"MMMM")</f>
        <v>August</v>
      </c>
      <c r="H596">
        <f>ROUNDUP(tbl_Kalender[[#This Row],[Monat]]/3,0)</f>
        <v>3</v>
      </c>
      <c r="I596" t="str">
        <f>"Q "&amp;tbl_Kalender[[#This Row],[Quartal]]</f>
        <v>Q 3</v>
      </c>
      <c r="J596" t="str">
        <f>tbl_Kalender[[#This Row],[Quartal]]&amp;". Quartal"</f>
        <v>3. Quartal</v>
      </c>
      <c r="K596">
        <f>_xlfn.ISOWEEKNUM(tbl_Kalender[[#This Row],[Datum]])</f>
        <v>33</v>
      </c>
    </row>
    <row r="597" spans="1:11" x14ac:dyDescent="0.25">
      <c r="A597" s="1">
        <v>45887</v>
      </c>
      <c r="B597">
        <f>YEAR(tbl_Kalender[[#This Row],[Datum]])</f>
        <v>2025</v>
      </c>
      <c r="C597">
        <f>DAY(tbl_Kalender[[#This Row],[Datum]])</f>
        <v>18</v>
      </c>
      <c r="D597" t="str">
        <f>TEXT(tbl_Kalender[[#This Row],[Datum]],"TTTT")</f>
        <v>Montag</v>
      </c>
      <c r="E597">
        <f>WEEKDAY(tbl_Kalender[[#This Row],[Datum]],2)</f>
        <v>1</v>
      </c>
      <c r="F597">
        <f>MONTH(tbl_Kalender[[#This Row],[Datum]])</f>
        <v>8</v>
      </c>
      <c r="G597" t="str">
        <f>TEXT(tbl_Kalender[[#This Row],[Datum]],"MMMM")</f>
        <v>August</v>
      </c>
      <c r="H597">
        <f>ROUNDUP(tbl_Kalender[[#This Row],[Monat]]/3,0)</f>
        <v>3</v>
      </c>
      <c r="I597" t="str">
        <f>"Q "&amp;tbl_Kalender[[#This Row],[Quartal]]</f>
        <v>Q 3</v>
      </c>
      <c r="J597" t="str">
        <f>tbl_Kalender[[#This Row],[Quartal]]&amp;". Quartal"</f>
        <v>3. Quartal</v>
      </c>
      <c r="K597">
        <f>_xlfn.ISOWEEKNUM(tbl_Kalender[[#This Row],[Datum]])</f>
        <v>34</v>
      </c>
    </row>
    <row r="598" spans="1:11" x14ac:dyDescent="0.25">
      <c r="A598" s="1">
        <v>45888</v>
      </c>
      <c r="B598">
        <f>YEAR(tbl_Kalender[[#This Row],[Datum]])</f>
        <v>2025</v>
      </c>
      <c r="C598">
        <f>DAY(tbl_Kalender[[#This Row],[Datum]])</f>
        <v>19</v>
      </c>
      <c r="D598" t="str">
        <f>TEXT(tbl_Kalender[[#This Row],[Datum]],"TTTT")</f>
        <v>Dienstag</v>
      </c>
      <c r="E598">
        <f>WEEKDAY(tbl_Kalender[[#This Row],[Datum]],2)</f>
        <v>2</v>
      </c>
      <c r="F598">
        <f>MONTH(tbl_Kalender[[#This Row],[Datum]])</f>
        <v>8</v>
      </c>
      <c r="G598" t="str">
        <f>TEXT(tbl_Kalender[[#This Row],[Datum]],"MMMM")</f>
        <v>August</v>
      </c>
      <c r="H598">
        <f>ROUNDUP(tbl_Kalender[[#This Row],[Monat]]/3,0)</f>
        <v>3</v>
      </c>
      <c r="I598" t="str">
        <f>"Q "&amp;tbl_Kalender[[#This Row],[Quartal]]</f>
        <v>Q 3</v>
      </c>
      <c r="J598" t="str">
        <f>tbl_Kalender[[#This Row],[Quartal]]&amp;". Quartal"</f>
        <v>3. Quartal</v>
      </c>
      <c r="K598">
        <f>_xlfn.ISOWEEKNUM(tbl_Kalender[[#This Row],[Datum]])</f>
        <v>34</v>
      </c>
    </row>
    <row r="599" spans="1:11" x14ac:dyDescent="0.25">
      <c r="A599" s="1">
        <v>45889</v>
      </c>
      <c r="B599">
        <f>YEAR(tbl_Kalender[[#This Row],[Datum]])</f>
        <v>2025</v>
      </c>
      <c r="C599">
        <f>DAY(tbl_Kalender[[#This Row],[Datum]])</f>
        <v>20</v>
      </c>
      <c r="D599" t="str">
        <f>TEXT(tbl_Kalender[[#This Row],[Datum]],"TTTT")</f>
        <v>Mittwoch</v>
      </c>
      <c r="E599">
        <f>WEEKDAY(tbl_Kalender[[#This Row],[Datum]],2)</f>
        <v>3</v>
      </c>
      <c r="F599">
        <f>MONTH(tbl_Kalender[[#This Row],[Datum]])</f>
        <v>8</v>
      </c>
      <c r="G599" t="str">
        <f>TEXT(tbl_Kalender[[#This Row],[Datum]],"MMMM")</f>
        <v>August</v>
      </c>
      <c r="H599">
        <f>ROUNDUP(tbl_Kalender[[#This Row],[Monat]]/3,0)</f>
        <v>3</v>
      </c>
      <c r="I599" t="str">
        <f>"Q "&amp;tbl_Kalender[[#This Row],[Quartal]]</f>
        <v>Q 3</v>
      </c>
      <c r="J599" t="str">
        <f>tbl_Kalender[[#This Row],[Quartal]]&amp;". Quartal"</f>
        <v>3. Quartal</v>
      </c>
      <c r="K599">
        <f>_xlfn.ISOWEEKNUM(tbl_Kalender[[#This Row],[Datum]])</f>
        <v>34</v>
      </c>
    </row>
    <row r="600" spans="1:11" x14ac:dyDescent="0.25">
      <c r="A600" s="1">
        <v>45890</v>
      </c>
      <c r="B600">
        <f>YEAR(tbl_Kalender[[#This Row],[Datum]])</f>
        <v>2025</v>
      </c>
      <c r="C600">
        <f>DAY(tbl_Kalender[[#This Row],[Datum]])</f>
        <v>21</v>
      </c>
      <c r="D600" t="str">
        <f>TEXT(tbl_Kalender[[#This Row],[Datum]],"TTTT")</f>
        <v>Donnerstag</v>
      </c>
      <c r="E600">
        <f>WEEKDAY(tbl_Kalender[[#This Row],[Datum]],2)</f>
        <v>4</v>
      </c>
      <c r="F600">
        <f>MONTH(tbl_Kalender[[#This Row],[Datum]])</f>
        <v>8</v>
      </c>
      <c r="G600" t="str">
        <f>TEXT(tbl_Kalender[[#This Row],[Datum]],"MMMM")</f>
        <v>August</v>
      </c>
      <c r="H600">
        <f>ROUNDUP(tbl_Kalender[[#This Row],[Monat]]/3,0)</f>
        <v>3</v>
      </c>
      <c r="I600" t="str">
        <f>"Q "&amp;tbl_Kalender[[#This Row],[Quartal]]</f>
        <v>Q 3</v>
      </c>
      <c r="J600" t="str">
        <f>tbl_Kalender[[#This Row],[Quartal]]&amp;". Quartal"</f>
        <v>3. Quartal</v>
      </c>
      <c r="K600">
        <f>_xlfn.ISOWEEKNUM(tbl_Kalender[[#This Row],[Datum]])</f>
        <v>34</v>
      </c>
    </row>
    <row r="601" spans="1:11" x14ac:dyDescent="0.25">
      <c r="A601" s="1">
        <v>45891</v>
      </c>
      <c r="B601">
        <f>YEAR(tbl_Kalender[[#This Row],[Datum]])</f>
        <v>2025</v>
      </c>
      <c r="C601">
        <f>DAY(tbl_Kalender[[#This Row],[Datum]])</f>
        <v>22</v>
      </c>
      <c r="D601" t="str">
        <f>TEXT(tbl_Kalender[[#This Row],[Datum]],"TTTT")</f>
        <v>Freitag</v>
      </c>
      <c r="E601">
        <f>WEEKDAY(tbl_Kalender[[#This Row],[Datum]],2)</f>
        <v>5</v>
      </c>
      <c r="F601">
        <f>MONTH(tbl_Kalender[[#This Row],[Datum]])</f>
        <v>8</v>
      </c>
      <c r="G601" t="str">
        <f>TEXT(tbl_Kalender[[#This Row],[Datum]],"MMMM")</f>
        <v>August</v>
      </c>
      <c r="H601">
        <f>ROUNDUP(tbl_Kalender[[#This Row],[Monat]]/3,0)</f>
        <v>3</v>
      </c>
      <c r="I601" t="str">
        <f>"Q "&amp;tbl_Kalender[[#This Row],[Quartal]]</f>
        <v>Q 3</v>
      </c>
      <c r="J601" t="str">
        <f>tbl_Kalender[[#This Row],[Quartal]]&amp;". Quartal"</f>
        <v>3. Quartal</v>
      </c>
      <c r="K601">
        <f>_xlfn.ISOWEEKNUM(tbl_Kalender[[#This Row],[Datum]])</f>
        <v>34</v>
      </c>
    </row>
    <row r="602" spans="1:11" x14ac:dyDescent="0.25">
      <c r="A602" s="1">
        <v>45892</v>
      </c>
      <c r="B602">
        <f>YEAR(tbl_Kalender[[#This Row],[Datum]])</f>
        <v>2025</v>
      </c>
      <c r="C602">
        <f>DAY(tbl_Kalender[[#This Row],[Datum]])</f>
        <v>23</v>
      </c>
      <c r="D602" t="str">
        <f>TEXT(tbl_Kalender[[#This Row],[Datum]],"TTTT")</f>
        <v>Samstag</v>
      </c>
      <c r="E602">
        <f>WEEKDAY(tbl_Kalender[[#This Row],[Datum]],2)</f>
        <v>6</v>
      </c>
      <c r="F602">
        <f>MONTH(tbl_Kalender[[#This Row],[Datum]])</f>
        <v>8</v>
      </c>
      <c r="G602" t="str">
        <f>TEXT(tbl_Kalender[[#This Row],[Datum]],"MMMM")</f>
        <v>August</v>
      </c>
      <c r="H602">
        <f>ROUNDUP(tbl_Kalender[[#This Row],[Monat]]/3,0)</f>
        <v>3</v>
      </c>
      <c r="I602" t="str">
        <f>"Q "&amp;tbl_Kalender[[#This Row],[Quartal]]</f>
        <v>Q 3</v>
      </c>
      <c r="J602" t="str">
        <f>tbl_Kalender[[#This Row],[Quartal]]&amp;". Quartal"</f>
        <v>3. Quartal</v>
      </c>
      <c r="K602">
        <f>_xlfn.ISOWEEKNUM(tbl_Kalender[[#This Row],[Datum]])</f>
        <v>34</v>
      </c>
    </row>
    <row r="603" spans="1:11" x14ac:dyDescent="0.25">
      <c r="A603" s="1">
        <v>45893</v>
      </c>
      <c r="B603">
        <f>YEAR(tbl_Kalender[[#This Row],[Datum]])</f>
        <v>2025</v>
      </c>
      <c r="C603">
        <f>DAY(tbl_Kalender[[#This Row],[Datum]])</f>
        <v>24</v>
      </c>
      <c r="D603" t="str">
        <f>TEXT(tbl_Kalender[[#This Row],[Datum]],"TTTT")</f>
        <v>Sonntag</v>
      </c>
      <c r="E603">
        <f>WEEKDAY(tbl_Kalender[[#This Row],[Datum]],2)</f>
        <v>7</v>
      </c>
      <c r="F603">
        <f>MONTH(tbl_Kalender[[#This Row],[Datum]])</f>
        <v>8</v>
      </c>
      <c r="G603" t="str">
        <f>TEXT(tbl_Kalender[[#This Row],[Datum]],"MMMM")</f>
        <v>August</v>
      </c>
      <c r="H603">
        <f>ROUNDUP(tbl_Kalender[[#This Row],[Monat]]/3,0)</f>
        <v>3</v>
      </c>
      <c r="I603" t="str">
        <f>"Q "&amp;tbl_Kalender[[#This Row],[Quartal]]</f>
        <v>Q 3</v>
      </c>
      <c r="J603" t="str">
        <f>tbl_Kalender[[#This Row],[Quartal]]&amp;". Quartal"</f>
        <v>3. Quartal</v>
      </c>
      <c r="K603">
        <f>_xlfn.ISOWEEKNUM(tbl_Kalender[[#This Row],[Datum]])</f>
        <v>34</v>
      </c>
    </row>
    <row r="604" spans="1:11" x14ac:dyDescent="0.25">
      <c r="A604" s="1">
        <v>45894</v>
      </c>
      <c r="B604">
        <f>YEAR(tbl_Kalender[[#This Row],[Datum]])</f>
        <v>2025</v>
      </c>
      <c r="C604">
        <f>DAY(tbl_Kalender[[#This Row],[Datum]])</f>
        <v>25</v>
      </c>
      <c r="D604" t="str">
        <f>TEXT(tbl_Kalender[[#This Row],[Datum]],"TTTT")</f>
        <v>Montag</v>
      </c>
      <c r="E604">
        <f>WEEKDAY(tbl_Kalender[[#This Row],[Datum]],2)</f>
        <v>1</v>
      </c>
      <c r="F604">
        <f>MONTH(tbl_Kalender[[#This Row],[Datum]])</f>
        <v>8</v>
      </c>
      <c r="G604" t="str">
        <f>TEXT(tbl_Kalender[[#This Row],[Datum]],"MMMM")</f>
        <v>August</v>
      </c>
      <c r="H604">
        <f>ROUNDUP(tbl_Kalender[[#This Row],[Monat]]/3,0)</f>
        <v>3</v>
      </c>
      <c r="I604" t="str">
        <f>"Q "&amp;tbl_Kalender[[#This Row],[Quartal]]</f>
        <v>Q 3</v>
      </c>
      <c r="J604" t="str">
        <f>tbl_Kalender[[#This Row],[Quartal]]&amp;". Quartal"</f>
        <v>3. Quartal</v>
      </c>
      <c r="K604">
        <f>_xlfn.ISOWEEKNUM(tbl_Kalender[[#This Row],[Datum]])</f>
        <v>35</v>
      </c>
    </row>
    <row r="605" spans="1:11" x14ac:dyDescent="0.25">
      <c r="A605" s="1">
        <v>45895</v>
      </c>
      <c r="B605">
        <f>YEAR(tbl_Kalender[[#This Row],[Datum]])</f>
        <v>2025</v>
      </c>
      <c r="C605">
        <f>DAY(tbl_Kalender[[#This Row],[Datum]])</f>
        <v>26</v>
      </c>
      <c r="D605" t="str">
        <f>TEXT(tbl_Kalender[[#This Row],[Datum]],"TTTT")</f>
        <v>Dienstag</v>
      </c>
      <c r="E605">
        <f>WEEKDAY(tbl_Kalender[[#This Row],[Datum]],2)</f>
        <v>2</v>
      </c>
      <c r="F605">
        <f>MONTH(tbl_Kalender[[#This Row],[Datum]])</f>
        <v>8</v>
      </c>
      <c r="G605" t="str">
        <f>TEXT(tbl_Kalender[[#This Row],[Datum]],"MMMM")</f>
        <v>August</v>
      </c>
      <c r="H605">
        <f>ROUNDUP(tbl_Kalender[[#This Row],[Monat]]/3,0)</f>
        <v>3</v>
      </c>
      <c r="I605" t="str">
        <f>"Q "&amp;tbl_Kalender[[#This Row],[Quartal]]</f>
        <v>Q 3</v>
      </c>
      <c r="J605" t="str">
        <f>tbl_Kalender[[#This Row],[Quartal]]&amp;". Quartal"</f>
        <v>3. Quartal</v>
      </c>
      <c r="K605">
        <f>_xlfn.ISOWEEKNUM(tbl_Kalender[[#This Row],[Datum]])</f>
        <v>35</v>
      </c>
    </row>
    <row r="606" spans="1:11" x14ac:dyDescent="0.25">
      <c r="A606" s="1">
        <v>45896</v>
      </c>
      <c r="B606">
        <f>YEAR(tbl_Kalender[[#This Row],[Datum]])</f>
        <v>2025</v>
      </c>
      <c r="C606">
        <f>DAY(tbl_Kalender[[#This Row],[Datum]])</f>
        <v>27</v>
      </c>
      <c r="D606" t="str">
        <f>TEXT(tbl_Kalender[[#This Row],[Datum]],"TTTT")</f>
        <v>Mittwoch</v>
      </c>
      <c r="E606">
        <f>WEEKDAY(tbl_Kalender[[#This Row],[Datum]],2)</f>
        <v>3</v>
      </c>
      <c r="F606">
        <f>MONTH(tbl_Kalender[[#This Row],[Datum]])</f>
        <v>8</v>
      </c>
      <c r="G606" t="str">
        <f>TEXT(tbl_Kalender[[#This Row],[Datum]],"MMMM")</f>
        <v>August</v>
      </c>
      <c r="H606">
        <f>ROUNDUP(tbl_Kalender[[#This Row],[Monat]]/3,0)</f>
        <v>3</v>
      </c>
      <c r="I606" t="str">
        <f>"Q "&amp;tbl_Kalender[[#This Row],[Quartal]]</f>
        <v>Q 3</v>
      </c>
      <c r="J606" t="str">
        <f>tbl_Kalender[[#This Row],[Quartal]]&amp;". Quartal"</f>
        <v>3. Quartal</v>
      </c>
      <c r="K606">
        <f>_xlfn.ISOWEEKNUM(tbl_Kalender[[#This Row],[Datum]])</f>
        <v>35</v>
      </c>
    </row>
    <row r="607" spans="1:11" x14ac:dyDescent="0.25">
      <c r="A607" s="1">
        <v>45897</v>
      </c>
      <c r="B607">
        <f>YEAR(tbl_Kalender[[#This Row],[Datum]])</f>
        <v>2025</v>
      </c>
      <c r="C607">
        <f>DAY(tbl_Kalender[[#This Row],[Datum]])</f>
        <v>28</v>
      </c>
      <c r="D607" t="str">
        <f>TEXT(tbl_Kalender[[#This Row],[Datum]],"TTTT")</f>
        <v>Donnerstag</v>
      </c>
      <c r="E607">
        <f>WEEKDAY(tbl_Kalender[[#This Row],[Datum]],2)</f>
        <v>4</v>
      </c>
      <c r="F607">
        <f>MONTH(tbl_Kalender[[#This Row],[Datum]])</f>
        <v>8</v>
      </c>
      <c r="G607" t="str">
        <f>TEXT(tbl_Kalender[[#This Row],[Datum]],"MMMM")</f>
        <v>August</v>
      </c>
      <c r="H607">
        <f>ROUNDUP(tbl_Kalender[[#This Row],[Monat]]/3,0)</f>
        <v>3</v>
      </c>
      <c r="I607" t="str">
        <f>"Q "&amp;tbl_Kalender[[#This Row],[Quartal]]</f>
        <v>Q 3</v>
      </c>
      <c r="J607" t="str">
        <f>tbl_Kalender[[#This Row],[Quartal]]&amp;". Quartal"</f>
        <v>3. Quartal</v>
      </c>
      <c r="K607">
        <f>_xlfn.ISOWEEKNUM(tbl_Kalender[[#This Row],[Datum]])</f>
        <v>35</v>
      </c>
    </row>
    <row r="608" spans="1:11" x14ac:dyDescent="0.25">
      <c r="A608" s="1">
        <v>45898</v>
      </c>
      <c r="B608">
        <f>YEAR(tbl_Kalender[[#This Row],[Datum]])</f>
        <v>2025</v>
      </c>
      <c r="C608">
        <f>DAY(tbl_Kalender[[#This Row],[Datum]])</f>
        <v>29</v>
      </c>
      <c r="D608" t="str">
        <f>TEXT(tbl_Kalender[[#This Row],[Datum]],"TTTT")</f>
        <v>Freitag</v>
      </c>
      <c r="E608">
        <f>WEEKDAY(tbl_Kalender[[#This Row],[Datum]],2)</f>
        <v>5</v>
      </c>
      <c r="F608">
        <f>MONTH(tbl_Kalender[[#This Row],[Datum]])</f>
        <v>8</v>
      </c>
      <c r="G608" t="str">
        <f>TEXT(tbl_Kalender[[#This Row],[Datum]],"MMMM")</f>
        <v>August</v>
      </c>
      <c r="H608">
        <f>ROUNDUP(tbl_Kalender[[#This Row],[Monat]]/3,0)</f>
        <v>3</v>
      </c>
      <c r="I608" t="str">
        <f>"Q "&amp;tbl_Kalender[[#This Row],[Quartal]]</f>
        <v>Q 3</v>
      </c>
      <c r="J608" t="str">
        <f>tbl_Kalender[[#This Row],[Quartal]]&amp;". Quartal"</f>
        <v>3. Quartal</v>
      </c>
      <c r="K608">
        <f>_xlfn.ISOWEEKNUM(tbl_Kalender[[#This Row],[Datum]])</f>
        <v>35</v>
      </c>
    </row>
    <row r="609" spans="1:11" x14ac:dyDescent="0.25">
      <c r="A609" s="1">
        <v>45899</v>
      </c>
      <c r="B609">
        <f>YEAR(tbl_Kalender[[#This Row],[Datum]])</f>
        <v>2025</v>
      </c>
      <c r="C609">
        <f>DAY(tbl_Kalender[[#This Row],[Datum]])</f>
        <v>30</v>
      </c>
      <c r="D609" t="str">
        <f>TEXT(tbl_Kalender[[#This Row],[Datum]],"TTTT")</f>
        <v>Samstag</v>
      </c>
      <c r="E609">
        <f>WEEKDAY(tbl_Kalender[[#This Row],[Datum]],2)</f>
        <v>6</v>
      </c>
      <c r="F609">
        <f>MONTH(tbl_Kalender[[#This Row],[Datum]])</f>
        <v>8</v>
      </c>
      <c r="G609" t="str">
        <f>TEXT(tbl_Kalender[[#This Row],[Datum]],"MMMM")</f>
        <v>August</v>
      </c>
      <c r="H609">
        <f>ROUNDUP(tbl_Kalender[[#This Row],[Monat]]/3,0)</f>
        <v>3</v>
      </c>
      <c r="I609" t="str">
        <f>"Q "&amp;tbl_Kalender[[#This Row],[Quartal]]</f>
        <v>Q 3</v>
      </c>
      <c r="J609" t="str">
        <f>tbl_Kalender[[#This Row],[Quartal]]&amp;". Quartal"</f>
        <v>3. Quartal</v>
      </c>
      <c r="K609">
        <f>_xlfn.ISOWEEKNUM(tbl_Kalender[[#This Row],[Datum]])</f>
        <v>35</v>
      </c>
    </row>
    <row r="610" spans="1:11" x14ac:dyDescent="0.25">
      <c r="A610" s="1">
        <v>45900</v>
      </c>
      <c r="B610">
        <f>YEAR(tbl_Kalender[[#This Row],[Datum]])</f>
        <v>2025</v>
      </c>
      <c r="C610">
        <f>DAY(tbl_Kalender[[#This Row],[Datum]])</f>
        <v>31</v>
      </c>
      <c r="D610" t="str">
        <f>TEXT(tbl_Kalender[[#This Row],[Datum]],"TTTT")</f>
        <v>Sonntag</v>
      </c>
      <c r="E610">
        <f>WEEKDAY(tbl_Kalender[[#This Row],[Datum]],2)</f>
        <v>7</v>
      </c>
      <c r="F610">
        <f>MONTH(tbl_Kalender[[#This Row],[Datum]])</f>
        <v>8</v>
      </c>
      <c r="G610" t="str">
        <f>TEXT(tbl_Kalender[[#This Row],[Datum]],"MMMM")</f>
        <v>August</v>
      </c>
      <c r="H610">
        <f>ROUNDUP(tbl_Kalender[[#This Row],[Monat]]/3,0)</f>
        <v>3</v>
      </c>
      <c r="I610" t="str">
        <f>"Q "&amp;tbl_Kalender[[#This Row],[Quartal]]</f>
        <v>Q 3</v>
      </c>
      <c r="J610" t="str">
        <f>tbl_Kalender[[#This Row],[Quartal]]&amp;". Quartal"</f>
        <v>3. Quartal</v>
      </c>
      <c r="K610">
        <f>_xlfn.ISOWEEKNUM(tbl_Kalender[[#This Row],[Datum]])</f>
        <v>35</v>
      </c>
    </row>
    <row r="611" spans="1:11" x14ac:dyDescent="0.25">
      <c r="A611" s="1">
        <v>45901</v>
      </c>
      <c r="B611">
        <f>YEAR(tbl_Kalender[[#This Row],[Datum]])</f>
        <v>2025</v>
      </c>
      <c r="C611">
        <f>DAY(tbl_Kalender[[#This Row],[Datum]])</f>
        <v>1</v>
      </c>
      <c r="D611" t="str">
        <f>TEXT(tbl_Kalender[[#This Row],[Datum]],"TTTT")</f>
        <v>Montag</v>
      </c>
      <c r="E611">
        <f>WEEKDAY(tbl_Kalender[[#This Row],[Datum]],2)</f>
        <v>1</v>
      </c>
      <c r="F611">
        <f>MONTH(tbl_Kalender[[#This Row],[Datum]])</f>
        <v>9</v>
      </c>
      <c r="G611" t="str">
        <f>TEXT(tbl_Kalender[[#This Row],[Datum]],"MMMM")</f>
        <v>September</v>
      </c>
      <c r="H611">
        <f>ROUNDUP(tbl_Kalender[[#This Row],[Monat]]/3,0)</f>
        <v>3</v>
      </c>
      <c r="I611" t="str">
        <f>"Q "&amp;tbl_Kalender[[#This Row],[Quartal]]</f>
        <v>Q 3</v>
      </c>
      <c r="J611" t="str">
        <f>tbl_Kalender[[#This Row],[Quartal]]&amp;". Quartal"</f>
        <v>3. Quartal</v>
      </c>
      <c r="K611">
        <f>_xlfn.ISOWEEKNUM(tbl_Kalender[[#This Row],[Datum]])</f>
        <v>36</v>
      </c>
    </row>
    <row r="612" spans="1:11" x14ac:dyDescent="0.25">
      <c r="A612" s="1">
        <v>45902</v>
      </c>
      <c r="B612">
        <f>YEAR(tbl_Kalender[[#This Row],[Datum]])</f>
        <v>2025</v>
      </c>
      <c r="C612">
        <f>DAY(tbl_Kalender[[#This Row],[Datum]])</f>
        <v>2</v>
      </c>
      <c r="D612" t="str">
        <f>TEXT(tbl_Kalender[[#This Row],[Datum]],"TTTT")</f>
        <v>Dienstag</v>
      </c>
      <c r="E612">
        <f>WEEKDAY(tbl_Kalender[[#This Row],[Datum]],2)</f>
        <v>2</v>
      </c>
      <c r="F612">
        <f>MONTH(tbl_Kalender[[#This Row],[Datum]])</f>
        <v>9</v>
      </c>
      <c r="G612" t="str">
        <f>TEXT(tbl_Kalender[[#This Row],[Datum]],"MMMM")</f>
        <v>September</v>
      </c>
      <c r="H612">
        <f>ROUNDUP(tbl_Kalender[[#This Row],[Monat]]/3,0)</f>
        <v>3</v>
      </c>
      <c r="I612" t="str">
        <f>"Q "&amp;tbl_Kalender[[#This Row],[Quartal]]</f>
        <v>Q 3</v>
      </c>
      <c r="J612" t="str">
        <f>tbl_Kalender[[#This Row],[Quartal]]&amp;". Quartal"</f>
        <v>3. Quartal</v>
      </c>
      <c r="K612">
        <f>_xlfn.ISOWEEKNUM(tbl_Kalender[[#This Row],[Datum]])</f>
        <v>36</v>
      </c>
    </row>
    <row r="613" spans="1:11" x14ac:dyDescent="0.25">
      <c r="A613" s="1">
        <v>45903</v>
      </c>
      <c r="B613">
        <f>YEAR(tbl_Kalender[[#This Row],[Datum]])</f>
        <v>2025</v>
      </c>
      <c r="C613">
        <f>DAY(tbl_Kalender[[#This Row],[Datum]])</f>
        <v>3</v>
      </c>
      <c r="D613" t="str">
        <f>TEXT(tbl_Kalender[[#This Row],[Datum]],"TTTT")</f>
        <v>Mittwoch</v>
      </c>
      <c r="E613">
        <f>WEEKDAY(tbl_Kalender[[#This Row],[Datum]],2)</f>
        <v>3</v>
      </c>
      <c r="F613">
        <f>MONTH(tbl_Kalender[[#This Row],[Datum]])</f>
        <v>9</v>
      </c>
      <c r="G613" t="str">
        <f>TEXT(tbl_Kalender[[#This Row],[Datum]],"MMMM")</f>
        <v>September</v>
      </c>
      <c r="H613">
        <f>ROUNDUP(tbl_Kalender[[#This Row],[Monat]]/3,0)</f>
        <v>3</v>
      </c>
      <c r="I613" t="str">
        <f>"Q "&amp;tbl_Kalender[[#This Row],[Quartal]]</f>
        <v>Q 3</v>
      </c>
      <c r="J613" t="str">
        <f>tbl_Kalender[[#This Row],[Quartal]]&amp;". Quartal"</f>
        <v>3. Quartal</v>
      </c>
      <c r="K613">
        <f>_xlfn.ISOWEEKNUM(tbl_Kalender[[#This Row],[Datum]])</f>
        <v>36</v>
      </c>
    </row>
    <row r="614" spans="1:11" x14ac:dyDescent="0.25">
      <c r="A614" s="1">
        <v>45904</v>
      </c>
      <c r="B614">
        <f>YEAR(tbl_Kalender[[#This Row],[Datum]])</f>
        <v>2025</v>
      </c>
      <c r="C614">
        <f>DAY(tbl_Kalender[[#This Row],[Datum]])</f>
        <v>4</v>
      </c>
      <c r="D614" t="str">
        <f>TEXT(tbl_Kalender[[#This Row],[Datum]],"TTTT")</f>
        <v>Donnerstag</v>
      </c>
      <c r="E614">
        <f>WEEKDAY(tbl_Kalender[[#This Row],[Datum]],2)</f>
        <v>4</v>
      </c>
      <c r="F614">
        <f>MONTH(tbl_Kalender[[#This Row],[Datum]])</f>
        <v>9</v>
      </c>
      <c r="G614" t="str">
        <f>TEXT(tbl_Kalender[[#This Row],[Datum]],"MMMM")</f>
        <v>September</v>
      </c>
      <c r="H614">
        <f>ROUNDUP(tbl_Kalender[[#This Row],[Monat]]/3,0)</f>
        <v>3</v>
      </c>
      <c r="I614" t="str">
        <f>"Q "&amp;tbl_Kalender[[#This Row],[Quartal]]</f>
        <v>Q 3</v>
      </c>
      <c r="J614" t="str">
        <f>tbl_Kalender[[#This Row],[Quartal]]&amp;". Quartal"</f>
        <v>3. Quartal</v>
      </c>
      <c r="K614">
        <f>_xlfn.ISOWEEKNUM(tbl_Kalender[[#This Row],[Datum]])</f>
        <v>36</v>
      </c>
    </row>
    <row r="615" spans="1:11" x14ac:dyDescent="0.25">
      <c r="A615" s="1">
        <v>45905</v>
      </c>
      <c r="B615">
        <f>YEAR(tbl_Kalender[[#This Row],[Datum]])</f>
        <v>2025</v>
      </c>
      <c r="C615">
        <f>DAY(tbl_Kalender[[#This Row],[Datum]])</f>
        <v>5</v>
      </c>
      <c r="D615" t="str">
        <f>TEXT(tbl_Kalender[[#This Row],[Datum]],"TTTT")</f>
        <v>Freitag</v>
      </c>
      <c r="E615">
        <f>WEEKDAY(tbl_Kalender[[#This Row],[Datum]],2)</f>
        <v>5</v>
      </c>
      <c r="F615">
        <f>MONTH(tbl_Kalender[[#This Row],[Datum]])</f>
        <v>9</v>
      </c>
      <c r="G615" t="str">
        <f>TEXT(tbl_Kalender[[#This Row],[Datum]],"MMMM")</f>
        <v>September</v>
      </c>
      <c r="H615">
        <f>ROUNDUP(tbl_Kalender[[#This Row],[Monat]]/3,0)</f>
        <v>3</v>
      </c>
      <c r="I615" t="str">
        <f>"Q "&amp;tbl_Kalender[[#This Row],[Quartal]]</f>
        <v>Q 3</v>
      </c>
      <c r="J615" t="str">
        <f>tbl_Kalender[[#This Row],[Quartal]]&amp;". Quartal"</f>
        <v>3. Quartal</v>
      </c>
      <c r="K615">
        <f>_xlfn.ISOWEEKNUM(tbl_Kalender[[#This Row],[Datum]])</f>
        <v>36</v>
      </c>
    </row>
    <row r="616" spans="1:11" x14ac:dyDescent="0.25">
      <c r="A616" s="1">
        <v>45906</v>
      </c>
      <c r="B616">
        <f>YEAR(tbl_Kalender[[#This Row],[Datum]])</f>
        <v>2025</v>
      </c>
      <c r="C616">
        <f>DAY(tbl_Kalender[[#This Row],[Datum]])</f>
        <v>6</v>
      </c>
      <c r="D616" t="str">
        <f>TEXT(tbl_Kalender[[#This Row],[Datum]],"TTTT")</f>
        <v>Samstag</v>
      </c>
      <c r="E616">
        <f>WEEKDAY(tbl_Kalender[[#This Row],[Datum]],2)</f>
        <v>6</v>
      </c>
      <c r="F616">
        <f>MONTH(tbl_Kalender[[#This Row],[Datum]])</f>
        <v>9</v>
      </c>
      <c r="G616" t="str">
        <f>TEXT(tbl_Kalender[[#This Row],[Datum]],"MMMM")</f>
        <v>September</v>
      </c>
      <c r="H616">
        <f>ROUNDUP(tbl_Kalender[[#This Row],[Monat]]/3,0)</f>
        <v>3</v>
      </c>
      <c r="I616" t="str">
        <f>"Q "&amp;tbl_Kalender[[#This Row],[Quartal]]</f>
        <v>Q 3</v>
      </c>
      <c r="J616" t="str">
        <f>tbl_Kalender[[#This Row],[Quartal]]&amp;". Quartal"</f>
        <v>3. Quartal</v>
      </c>
      <c r="K616">
        <f>_xlfn.ISOWEEKNUM(tbl_Kalender[[#This Row],[Datum]])</f>
        <v>36</v>
      </c>
    </row>
    <row r="617" spans="1:11" x14ac:dyDescent="0.25">
      <c r="A617" s="1">
        <v>45907</v>
      </c>
      <c r="B617">
        <f>YEAR(tbl_Kalender[[#This Row],[Datum]])</f>
        <v>2025</v>
      </c>
      <c r="C617">
        <f>DAY(tbl_Kalender[[#This Row],[Datum]])</f>
        <v>7</v>
      </c>
      <c r="D617" t="str">
        <f>TEXT(tbl_Kalender[[#This Row],[Datum]],"TTTT")</f>
        <v>Sonntag</v>
      </c>
      <c r="E617">
        <f>WEEKDAY(tbl_Kalender[[#This Row],[Datum]],2)</f>
        <v>7</v>
      </c>
      <c r="F617">
        <f>MONTH(tbl_Kalender[[#This Row],[Datum]])</f>
        <v>9</v>
      </c>
      <c r="G617" t="str">
        <f>TEXT(tbl_Kalender[[#This Row],[Datum]],"MMMM")</f>
        <v>September</v>
      </c>
      <c r="H617">
        <f>ROUNDUP(tbl_Kalender[[#This Row],[Monat]]/3,0)</f>
        <v>3</v>
      </c>
      <c r="I617" t="str">
        <f>"Q "&amp;tbl_Kalender[[#This Row],[Quartal]]</f>
        <v>Q 3</v>
      </c>
      <c r="J617" t="str">
        <f>tbl_Kalender[[#This Row],[Quartal]]&amp;". Quartal"</f>
        <v>3. Quartal</v>
      </c>
      <c r="K617">
        <f>_xlfn.ISOWEEKNUM(tbl_Kalender[[#This Row],[Datum]])</f>
        <v>36</v>
      </c>
    </row>
    <row r="618" spans="1:11" x14ac:dyDescent="0.25">
      <c r="A618" s="1">
        <v>45908</v>
      </c>
      <c r="B618">
        <f>YEAR(tbl_Kalender[[#This Row],[Datum]])</f>
        <v>2025</v>
      </c>
      <c r="C618">
        <f>DAY(tbl_Kalender[[#This Row],[Datum]])</f>
        <v>8</v>
      </c>
      <c r="D618" t="str">
        <f>TEXT(tbl_Kalender[[#This Row],[Datum]],"TTTT")</f>
        <v>Montag</v>
      </c>
      <c r="E618">
        <f>WEEKDAY(tbl_Kalender[[#This Row],[Datum]],2)</f>
        <v>1</v>
      </c>
      <c r="F618">
        <f>MONTH(tbl_Kalender[[#This Row],[Datum]])</f>
        <v>9</v>
      </c>
      <c r="G618" t="str">
        <f>TEXT(tbl_Kalender[[#This Row],[Datum]],"MMMM")</f>
        <v>September</v>
      </c>
      <c r="H618">
        <f>ROUNDUP(tbl_Kalender[[#This Row],[Monat]]/3,0)</f>
        <v>3</v>
      </c>
      <c r="I618" t="str">
        <f>"Q "&amp;tbl_Kalender[[#This Row],[Quartal]]</f>
        <v>Q 3</v>
      </c>
      <c r="J618" t="str">
        <f>tbl_Kalender[[#This Row],[Quartal]]&amp;". Quartal"</f>
        <v>3. Quartal</v>
      </c>
      <c r="K618">
        <f>_xlfn.ISOWEEKNUM(tbl_Kalender[[#This Row],[Datum]])</f>
        <v>37</v>
      </c>
    </row>
    <row r="619" spans="1:11" x14ac:dyDescent="0.25">
      <c r="A619" s="1">
        <v>45909</v>
      </c>
      <c r="B619">
        <f>YEAR(tbl_Kalender[[#This Row],[Datum]])</f>
        <v>2025</v>
      </c>
      <c r="C619">
        <f>DAY(tbl_Kalender[[#This Row],[Datum]])</f>
        <v>9</v>
      </c>
      <c r="D619" t="str">
        <f>TEXT(tbl_Kalender[[#This Row],[Datum]],"TTTT")</f>
        <v>Dienstag</v>
      </c>
      <c r="E619">
        <f>WEEKDAY(tbl_Kalender[[#This Row],[Datum]],2)</f>
        <v>2</v>
      </c>
      <c r="F619">
        <f>MONTH(tbl_Kalender[[#This Row],[Datum]])</f>
        <v>9</v>
      </c>
      <c r="G619" t="str">
        <f>TEXT(tbl_Kalender[[#This Row],[Datum]],"MMMM")</f>
        <v>September</v>
      </c>
      <c r="H619">
        <f>ROUNDUP(tbl_Kalender[[#This Row],[Monat]]/3,0)</f>
        <v>3</v>
      </c>
      <c r="I619" t="str">
        <f>"Q "&amp;tbl_Kalender[[#This Row],[Quartal]]</f>
        <v>Q 3</v>
      </c>
      <c r="J619" t="str">
        <f>tbl_Kalender[[#This Row],[Quartal]]&amp;". Quartal"</f>
        <v>3. Quartal</v>
      </c>
      <c r="K619">
        <f>_xlfn.ISOWEEKNUM(tbl_Kalender[[#This Row],[Datum]])</f>
        <v>37</v>
      </c>
    </row>
    <row r="620" spans="1:11" x14ac:dyDescent="0.25">
      <c r="A620" s="1">
        <v>45910</v>
      </c>
      <c r="B620">
        <f>YEAR(tbl_Kalender[[#This Row],[Datum]])</f>
        <v>2025</v>
      </c>
      <c r="C620">
        <f>DAY(tbl_Kalender[[#This Row],[Datum]])</f>
        <v>10</v>
      </c>
      <c r="D620" t="str">
        <f>TEXT(tbl_Kalender[[#This Row],[Datum]],"TTTT")</f>
        <v>Mittwoch</v>
      </c>
      <c r="E620">
        <f>WEEKDAY(tbl_Kalender[[#This Row],[Datum]],2)</f>
        <v>3</v>
      </c>
      <c r="F620">
        <f>MONTH(tbl_Kalender[[#This Row],[Datum]])</f>
        <v>9</v>
      </c>
      <c r="G620" t="str">
        <f>TEXT(tbl_Kalender[[#This Row],[Datum]],"MMMM")</f>
        <v>September</v>
      </c>
      <c r="H620">
        <f>ROUNDUP(tbl_Kalender[[#This Row],[Monat]]/3,0)</f>
        <v>3</v>
      </c>
      <c r="I620" t="str">
        <f>"Q "&amp;tbl_Kalender[[#This Row],[Quartal]]</f>
        <v>Q 3</v>
      </c>
      <c r="J620" t="str">
        <f>tbl_Kalender[[#This Row],[Quartal]]&amp;". Quartal"</f>
        <v>3. Quartal</v>
      </c>
      <c r="K620">
        <f>_xlfn.ISOWEEKNUM(tbl_Kalender[[#This Row],[Datum]])</f>
        <v>37</v>
      </c>
    </row>
    <row r="621" spans="1:11" x14ac:dyDescent="0.25">
      <c r="A621" s="1">
        <v>45911</v>
      </c>
      <c r="B621">
        <f>YEAR(tbl_Kalender[[#This Row],[Datum]])</f>
        <v>2025</v>
      </c>
      <c r="C621">
        <f>DAY(tbl_Kalender[[#This Row],[Datum]])</f>
        <v>11</v>
      </c>
      <c r="D621" t="str">
        <f>TEXT(tbl_Kalender[[#This Row],[Datum]],"TTTT")</f>
        <v>Donnerstag</v>
      </c>
      <c r="E621">
        <f>WEEKDAY(tbl_Kalender[[#This Row],[Datum]],2)</f>
        <v>4</v>
      </c>
      <c r="F621">
        <f>MONTH(tbl_Kalender[[#This Row],[Datum]])</f>
        <v>9</v>
      </c>
      <c r="G621" t="str">
        <f>TEXT(tbl_Kalender[[#This Row],[Datum]],"MMMM")</f>
        <v>September</v>
      </c>
      <c r="H621">
        <f>ROUNDUP(tbl_Kalender[[#This Row],[Monat]]/3,0)</f>
        <v>3</v>
      </c>
      <c r="I621" t="str">
        <f>"Q "&amp;tbl_Kalender[[#This Row],[Quartal]]</f>
        <v>Q 3</v>
      </c>
      <c r="J621" t="str">
        <f>tbl_Kalender[[#This Row],[Quartal]]&amp;". Quartal"</f>
        <v>3. Quartal</v>
      </c>
      <c r="K621">
        <f>_xlfn.ISOWEEKNUM(tbl_Kalender[[#This Row],[Datum]])</f>
        <v>37</v>
      </c>
    </row>
    <row r="622" spans="1:11" x14ac:dyDescent="0.25">
      <c r="A622" s="1">
        <v>45912</v>
      </c>
      <c r="B622">
        <f>YEAR(tbl_Kalender[[#This Row],[Datum]])</f>
        <v>2025</v>
      </c>
      <c r="C622">
        <f>DAY(tbl_Kalender[[#This Row],[Datum]])</f>
        <v>12</v>
      </c>
      <c r="D622" t="str">
        <f>TEXT(tbl_Kalender[[#This Row],[Datum]],"TTTT")</f>
        <v>Freitag</v>
      </c>
      <c r="E622">
        <f>WEEKDAY(tbl_Kalender[[#This Row],[Datum]],2)</f>
        <v>5</v>
      </c>
      <c r="F622">
        <f>MONTH(tbl_Kalender[[#This Row],[Datum]])</f>
        <v>9</v>
      </c>
      <c r="G622" t="str">
        <f>TEXT(tbl_Kalender[[#This Row],[Datum]],"MMMM")</f>
        <v>September</v>
      </c>
      <c r="H622">
        <f>ROUNDUP(tbl_Kalender[[#This Row],[Monat]]/3,0)</f>
        <v>3</v>
      </c>
      <c r="I622" t="str">
        <f>"Q "&amp;tbl_Kalender[[#This Row],[Quartal]]</f>
        <v>Q 3</v>
      </c>
      <c r="J622" t="str">
        <f>tbl_Kalender[[#This Row],[Quartal]]&amp;". Quartal"</f>
        <v>3. Quartal</v>
      </c>
      <c r="K622">
        <f>_xlfn.ISOWEEKNUM(tbl_Kalender[[#This Row],[Datum]])</f>
        <v>37</v>
      </c>
    </row>
    <row r="623" spans="1:11" x14ac:dyDescent="0.25">
      <c r="A623" s="1">
        <v>45913</v>
      </c>
      <c r="B623">
        <f>YEAR(tbl_Kalender[[#This Row],[Datum]])</f>
        <v>2025</v>
      </c>
      <c r="C623">
        <f>DAY(tbl_Kalender[[#This Row],[Datum]])</f>
        <v>13</v>
      </c>
      <c r="D623" t="str">
        <f>TEXT(tbl_Kalender[[#This Row],[Datum]],"TTTT")</f>
        <v>Samstag</v>
      </c>
      <c r="E623">
        <f>WEEKDAY(tbl_Kalender[[#This Row],[Datum]],2)</f>
        <v>6</v>
      </c>
      <c r="F623">
        <f>MONTH(tbl_Kalender[[#This Row],[Datum]])</f>
        <v>9</v>
      </c>
      <c r="G623" t="str">
        <f>TEXT(tbl_Kalender[[#This Row],[Datum]],"MMMM")</f>
        <v>September</v>
      </c>
      <c r="H623">
        <f>ROUNDUP(tbl_Kalender[[#This Row],[Monat]]/3,0)</f>
        <v>3</v>
      </c>
      <c r="I623" t="str">
        <f>"Q "&amp;tbl_Kalender[[#This Row],[Quartal]]</f>
        <v>Q 3</v>
      </c>
      <c r="J623" t="str">
        <f>tbl_Kalender[[#This Row],[Quartal]]&amp;". Quartal"</f>
        <v>3. Quartal</v>
      </c>
      <c r="K623">
        <f>_xlfn.ISOWEEKNUM(tbl_Kalender[[#This Row],[Datum]])</f>
        <v>37</v>
      </c>
    </row>
    <row r="624" spans="1:11" x14ac:dyDescent="0.25">
      <c r="A624" s="1">
        <v>45914</v>
      </c>
      <c r="B624">
        <f>YEAR(tbl_Kalender[[#This Row],[Datum]])</f>
        <v>2025</v>
      </c>
      <c r="C624">
        <f>DAY(tbl_Kalender[[#This Row],[Datum]])</f>
        <v>14</v>
      </c>
      <c r="D624" t="str">
        <f>TEXT(tbl_Kalender[[#This Row],[Datum]],"TTTT")</f>
        <v>Sonntag</v>
      </c>
      <c r="E624">
        <f>WEEKDAY(tbl_Kalender[[#This Row],[Datum]],2)</f>
        <v>7</v>
      </c>
      <c r="F624">
        <f>MONTH(tbl_Kalender[[#This Row],[Datum]])</f>
        <v>9</v>
      </c>
      <c r="G624" t="str">
        <f>TEXT(tbl_Kalender[[#This Row],[Datum]],"MMMM")</f>
        <v>September</v>
      </c>
      <c r="H624">
        <f>ROUNDUP(tbl_Kalender[[#This Row],[Monat]]/3,0)</f>
        <v>3</v>
      </c>
      <c r="I624" t="str">
        <f>"Q "&amp;tbl_Kalender[[#This Row],[Quartal]]</f>
        <v>Q 3</v>
      </c>
      <c r="J624" t="str">
        <f>tbl_Kalender[[#This Row],[Quartal]]&amp;". Quartal"</f>
        <v>3. Quartal</v>
      </c>
      <c r="K624">
        <f>_xlfn.ISOWEEKNUM(tbl_Kalender[[#This Row],[Datum]])</f>
        <v>37</v>
      </c>
    </row>
    <row r="625" spans="1:11" x14ac:dyDescent="0.25">
      <c r="A625" s="1">
        <v>45915</v>
      </c>
      <c r="B625">
        <f>YEAR(tbl_Kalender[[#This Row],[Datum]])</f>
        <v>2025</v>
      </c>
      <c r="C625">
        <f>DAY(tbl_Kalender[[#This Row],[Datum]])</f>
        <v>15</v>
      </c>
      <c r="D625" t="str">
        <f>TEXT(tbl_Kalender[[#This Row],[Datum]],"TTTT")</f>
        <v>Montag</v>
      </c>
      <c r="E625">
        <f>WEEKDAY(tbl_Kalender[[#This Row],[Datum]],2)</f>
        <v>1</v>
      </c>
      <c r="F625">
        <f>MONTH(tbl_Kalender[[#This Row],[Datum]])</f>
        <v>9</v>
      </c>
      <c r="G625" t="str">
        <f>TEXT(tbl_Kalender[[#This Row],[Datum]],"MMMM")</f>
        <v>September</v>
      </c>
      <c r="H625">
        <f>ROUNDUP(tbl_Kalender[[#This Row],[Monat]]/3,0)</f>
        <v>3</v>
      </c>
      <c r="I625" t="str">
        <f>"Q "&amp;tbl_Kalender[[#This Row],[Quartal]]</f>
        <v>Q 3</v>
      </c>
      <c r="J625" t="str">
        <f>tbl_Kalender[[#This Row],[Quartal]]&amp;". Quartal"</f>
        <v>3. Quartal</v>
      </c>
      <c r="K625">
        <f>_xlfn.ISOWEEKNUM(tbl_Kalender[[#This Row],[Datum]])</f>
        <v>38</v>
      </c>
    </row>
    <row r="626" spans="1:11" x14ac:dyDescent="0.25">
      <c r="A626" s="1">
        <v>45916</v>
      </c>
      <c r="B626">
        <f>YEAR(tbl_Kalender[[#This Row],[Datum]])</f>
        <v>2025</v>
      </c>
      <c r="C626">
        <f>DAY(tbl_Kalender[[#This Row],[Datum]])</f>
        <v>16</v>
      </c>
      <c r="D626" t="str">
        <f>TEXT(tbl_Kalender[[#This Row],[Datum]],"TTTT")</f>
        <v>Dienstag</v>
      </c>
      <c r="E626">
        <f>WEEKDAY(tbl_Kalender[[#This Row],[Datum]],2)</f>
        <v>2</v>
      </c>
      <c r="F626">
        <f>MONTH(tbl_Kalender[[#This Row],[Datum]])</f>
        <v>9</v>
      </c>
      <c r="G626" t="str">
        <f>TEXT(tbl_Kalender[[#This Row],[Datum]],"MMMM")</f>
        <v>September</v>
      </c>
      <c r="H626">
        <f>ROUNDUP(tbl_Kalender[[#This Row],[Monat]]/3,0)</f>
        <v>3</v>
      </c>
      <c r="I626" t="str">
        <f>"Q "&amp;tbl_Kalender[[#This Row],[Quartal]]</f>
        <v>Q 3</v>
      </c>
      <c r="J626" t="str">
        <f>tbl_Kalender[[#This Row],[Quartal]]&amp;". Quartal"</f>
        <v>3. Quartal</v>
      </c>
      <c r="K626">
        <f>_xlfn.ISOWEEKNUM(tbl_Kalender[[#This Row],[Datum]])</f>
        <v>38</v>
      </c>
    </row>
    <row r="627" spans="1:11" x14ac:dyDescent="0.25">
      <c r="A627" s="1">
        <v>45917</v>
      </c>
      <c r="B627">
        <f>YEAR(tbl_Kalender[[#This Row],[Datum]])</f>
        <v>2025</v>
      </c>
      <c r="C627">
        <f>DAY(tbl_Kalender[[#This Row],[Datum]])</f>
        <v>17</v>
      </c>
      <c r="D627" t="str">
        <f>TEXT(tbl_Kalender[[#This Row],[Datum]],"TTTT")</f>
        <v>Mittwoch</v>
      </c>
      <c r="E627">
        <f>WEEKDAY(tbl_Kalender[[#This Row],[Datum]],2)</f>
        <v>3</v>
      </c>
      <c r="F627">
        <f>MONTH(tbl_Kalender[[#This Row],[Datum]])</f>
        <v>9</v>
      </c>
      <c r="G627" t="str">
        <f>TEXT(tbl_Kalender[[#This Row],[Datum]],"MMMM")</f>
        <v>September</v>
      </c>
      <c r="H627">
        <f>ROUNDUP(tbl_Kalender[[#This Row],[Monat]]/3,0)</f>
        <v>3</v>
      </c>
      <c r="I627" t="str">
        <f>"Q "&amp;tbl_Kalender[[#This Row],[Quartal]]</f>
        <v>Q 3</v>
      </c>
      <c r="J627" t="str">
        <f>tbl_Kalender[[#This Row],[Quartal]]&amp;". Quartal"</f>
        <v>3. Quartal</v>
      </c>
      <c r="K627">
        <f>_xlfn.ISOWEEKNUM(tbl_Kalender[[#This Row],[Datum]])</f>
        <v>38</v>
      </c>
    </row>
    <row r="628" spans="1:11" x14ac:dyDescent="0.25">
      <c r="A628" s="1">
        <v>45918</v>
      </c>
      <c r="B628">
        <f>YEAR(tbl_Kalender[[#This Row],[Datum]])</f>
        <v>2025</v>
      </c>
      <c r="C628">
        <f>DAY(tbl_Kalender[[#This Row],[Datum]])</f>
        <v>18</v>
      </c>
      <c r="D628" t="str">
        <f>TEXT(tbl_Kalender[[#This Row],[Datum]],"TTTT")</f>
        <v>Donnerstag</v>
      </c>
      <c r="E628">
        <f>WEEKDAY(tbl_Kalender[[#This Row],[Datum]],2)</f>
        <v>4</v>
      </c>
      <c r="F628">
        <f>MONTH(tbl_Kalender[[#This Row],[Datum]])</f>
        <v>9</v>
      </c>
      <c r="G628" t="str">
        <f>TEXT(tbl_Kalender[[#This Row],[Datum]],"MMMM")</f>
        <v>September</v>
      </c>
      <c r="H628">
        <f>ROUNDUP(tbl_Kalender[[#This Row],[Monat]]/3,0)</f>
        <v>3</v>
      </c>
      <c r="I628" t="str">
        <f>"Q "&amp;tbl_Kalender[[#This Row],[Quartal]]</f>
        <v>Q 3</v>
      </c>
      <c r="J628" t="str">
        <f>tbl_Kalender[[#This Row],[Quartal]]&amp;". Quartal"</f>
        <v>3. Quartal</v>
      </c>
      <c r="K628">
        <f>_xlfn.ISOWEEKNUM(tbl_Kalender[[#This Row],[Datum]])</f>
        <v>38</v>
      </c>
    </row>
    <row r="629" spans="1:11" x14ac:dyDescent="0.25">
      <c r="A629" s="1">
        <v>45919</v>
      </c>
      <c r="B629">
        <f>YEAR(tbl_Kalender[[#This Row],[Datum]])</f>
        <v>2025</v>
      </c>
      <c r="C629">
        <f>DAY(tbl_Kalender[[#This Row],[Datum]])</f>
        <v>19</v>
      </c>
      <c r="D629" t="str">
        <f>TEXT(tbl_Kalender[[#This Row],[Datum]],"TTTT")</f>
        <v>Freitag</v>
      </c>
      <c r="E629">
        <f>WEEKDAY(tbl_Kalender[[#This Row],[Datum]],2)</f>
        <v>5</v>
      </c>
      <c r="F629">
        <f>MONTH(tbl_Kalender[[#This Row],[Datum]])</f>
        <v>9</v>
      </c>
      <c r="G629" t="str">
        <f>TEXT(tbl_Kalender[[#This Row],[Datum]],"MMMM")</f>
        <v>September</v>
      </c>
      <c r="H629">
        <f>ROUNDUP(tbl_Kalender[[#This Row],[Monat]]/3,0)</f>
        <v>3</v>
      </c>
      <c r="I629" t="str">
        <f>"Q "&amp;tbl_Kalender[[#This Row],[Quartal]]</f>
        <v>Q 3</v>
      </c>
      <c r="J629" t="str">
        <f>tbl_Kalender[[#This Row],[Quartal]]&amp;". Quartal"</f>
        <v>3. Quartal</v>
      </c>
      <c r="K629">
        <f>_xlfn.ISOWEEKNUM(tbl_Kalender[[#This Row],[Datum]])</f>
        <v>38</v>
      </c>
    </row>
    <row r="630" spans="1:11" x14ac:dyDescent="0.25">
      <c r="A630" s="1">
        <v>45920</v>
      </c>
      <c r="B630">
        <f>YEAR(tbl_Kalender[[#This Row],[Datum]])</f>
        <v>2025</v>
      </c>
      <c r="C630">
        <f>DAY(tbl_Kalender[[#This Row],[Datum]])</f>
        <v>20</v>
      </c>
      <c r="D630" t="str">
        <f>TEXT(tbl_Kalender[[#This Row],[Datum]],"TTTT")</f>
        <v>Samstag</v>
      </c>
      <c r="E630">
        <f>WEEKDAY(tbl_Kalender[[#This Row],[Datum]],2)</f>
        <v>6</v>
      </c>
      <c r="F630">
        <f>MONTH(tbl_Kalender[[#This Row],[Datum]])</f>
        <v>9</v>
      </c>
      <c r="G630" t="str">
        <f>TEXT(tbl_Kalender[[#This Row],[Datum]],"MMMM")</f>
        <v>September</v>
      </c>
      <c r="H630">
        <f>ROUNDUP(tbl_Kalender[[#This Row],[Monat]]/3,0)</f>
        <v>3</v>
      </c>
      <c r="I630" t="str">
        <f>"Q "&amp;tbl_Kalender[[#This Row],[Quartal]]</f>
        <v>Q 3</v>
      </c>
      <c r="J630" t="str">
        <f>tbl_Kalender[[#This Row],[Quartal]]&amp;". Quartal"</f>
        <v>3. Quartal</v>
      </c>
      <c r="K630">
        <f>_xlfn.ISOWEEKNUM(tbl_Kalender[[#This Row],[Datum]])</f>
        <v>38</v>
      </c>
    </row>
    <row r="631" spans="1:11" x14ac:dyDescent="0.25">
      <c r="A631" s="1">
        <v>45921</v>
      </c>
      <c r="B631">
        <f>YEAR(tbl_Kalender[[#This Row],[Datum]])</f>
        <v>2025</v>
      </c>
      <c r="C631">
        <f>DAY(tbl_Kalender[[#This Row],[Datum]])</f>
        <v>21</v>
      </c>
      <c r="D631" t="str">
        <f>TEXT(tbl_Kalender[[#This Row],[Datum]],"TTTT")</f>
        <v>Sonntag</v>
      </c>
      <c r="E631">
        <f>WEEKDAY(tbl_Kalender[[#This Row],[Datum]],2)</f>
        <v>7</v>
      </c>
      <c r="F631">
        <f>MONTH(tbl_Kalender[[#This Row],[Datum]])</f>
        <v>9</v>
      </c>
      <c r="G631" t="str">
        <f>TEXT(tbl_Kalender[[#This Row],[Datum]],"MMMM")</f>
        <v>September</v>
      </c>
      <c r="H631">
        <f>ROUNDUP(tbl_Kalender[[#This Row],[Monat]]/3,0)</f>
        <v>3</v>
      </c>
      <c r="I631" t="str">
        <f>"Q "&amp;tbl_Kalender[[#This Row],[Quartal]]</f>
        <v>Q 3</v>
      </c>
      <c r="J631" t="str">
        <f>tbl_Kalender[[#This Row],[Quartal]]&amp;". Quartal"</f>
        <v>3. Quartal</v>
      </c>
      <c r="K631">
        <f>_xlfn.ISOWEEKNUM(tbl_Kalender[[#This Row],[Datum]])</f>
        <v>38</v>
      </c>
    </row>
    <row r="632" spans="1:11" x14ac:dyDescent="0.25">
      <c r="A632" s="1">
        <v>45922</v>
      </c>
      <c r="B632">
        <f>YEAR(tbl_Kalender[[#This Row],[Datum]])</f>
        <v>2025</v>
      </c>
      <c r="C632">
        <f>DAY(tbl_Kalender[[#This Row],[Datum]])</f>
        <v>22</v>
      </c>
      <c r="D632" t="str">
        <f>TEXT(tbl_Kalender[[#This Row],[Datum]],"TTTT")</f>
        <v>Montag</v>
      </c>
      <c r="E632">
        <f>WEEKDAY(tbl_Kalender[[#This Row],[Datum]],2)</f>
        <v>1</v>
      </c>
      <c r="F632">
        <f>MONTH(tbl_Kalender[[#This Row],[Datum]])</f>
        <v>9</v>
      </c>
      <c r="G632" t="str">
        <f>TEXT(tbl_Kalender[[#This Row],[Datum]],"MMMM")</f>
        <v>September</v>
      </c>
      <c r="H632">
        <f>ROUNDUP(tbl_Kalender[[#This Row],[Monat]]/3,0)</f>
        <v>3</v>
      </c>
      <c r="I632" t="str">
        <f>"Q "&amp;tbl_Kalender[[#This Row],[Quartal]]</f>
        <v>Q 3</v>
      </c>
      <c r="J632" t="str">
        <f>tbl_Kalender[[#This Row],[Quartal]]&amp;". Quartal"</f>
        <v>3. Quartal</v>
      </c>
      <c r="K632">
        <f>_xlfn.ISOWEEKNUM(tbl_Kalender[[#This Row],[Datum]])</f>
        <v>39</v>
      </c>
    </row>
    <row r="633" spans="1:11" x14ac:dyDescent="0.25">
      <c r="A633" s="1">
        <v>45923</v>
      </c>
      <c r="B633">
        <f>YEAR(tbl_Kalender[[#This Row],[Datum]])</f>
        <v>2025</v>
      </c>
      <c r="C633">
        <f>DAY(tbl_Kalender[[#This Row],[Datum]])</f>
        <v>23</v>
      </c>
      <c r="D633" t="str">
        <f>TEXT(tbl_Kalender[[#This Row],[Datum]],"TTTT")</f>
        <v>Dienstag</v>
      </c>
      <c r="E633">
        <f>WEEKDAY(tbl_Kalender[[#This Row],[Datum]],2)</f>
        <v>2</v>
      </c>
      <c r="F633">
        <f>MONTH(tbl_Kalender[[#This Row],[Datum]])</f>
        <v>9</v>
      </c>
      <c r="G633" t="str">
        <f>TEXT(tbl_Kalender[[#This Row],[Datum]],"MMMM")</f>
        <v>September</v>
      </c>
      <c r="H633">
        <f>ROUNDUP(tbl_Kalender[[#This Row],[Monat]]/3,0)</f>
        <v>3</v>
      </c>
      <c r="I633" t="str">
        <f>"Q "&amp;tbl_Kalender[[#This Row],[Quartal]]</f>
        <v>Q 3</v>
      </c>
      <c r="J633" t="str">
        <f>tbl_Kalender[[#This Row],[Quartal]]&amp;". Quartal"</f>
        <v>3. Quartal</v>
      </c>
      <c r="K633">
        <f>_xlfn.ISOWEEKNUM(tbl_Kalender[[#This Row],[Datum]])</f>
        <v>39</v>
      </c>
    </row>
    <row r="634" spans="1:11" x14ac:dyDescent="0.25">
      <c r="A634" s="1">
        <v>45924</v>
      </c>
      <c r="B634">
        <f>YEAR(tbl_Kalender[[#This Row],[Datum]])</f>
        <v>2025</v>
      </c>
      <c r="C634">
        <f>DAY(tbl_Kalender[[#This Row],[Datum]])</f>
        <v>24</v>
      </c>
      <c r="D634" t="str">
        <f>TEXT(tbl_Kalender[[#This Row],[Datum]],"TTTT")</f>
        <v>Mittwoch</v>
      </c>
      <c r="E634">
        <f>WEEKDAY(tbl_Kalender[[#This Row],[Datum]],2)</f>
        <v>3</v>
      </c>
      <c r="F634">
        <f>MONTH(tbl_Kalender[[#This Row],[Datum]])</f>
        <v>9</v>
      </c>
      <c r="G634" t="str">
        <f>TEXT(tbl_Kalender[[#This Row],[Datum]],"MMMM")</f>
        <v>September</v>
      </c>
      <c r="H634">
        <f>ROUNDUP(tbl_Kalender[[#This Row],[Monat]]/3,0)</f>
        <v>3</v>
      </c>
      <c r="I634" t="str">
        <f>"Q "&amp;tbl_Kalender[[#This Row],[Quartal]]</f>
        <v>Q 3</v>
      </c>
      <c r="J634" t="str">
        <f>tbl_Kalender[[#This Row],[Quartal]]&amp;". Quartal"</f>
        <v>3. Quartal</v>
      </c>
      <c r="K634">
        <f>_xlfn.ISOWEEKNUM(tbl_Kalender[[#This Row],[Datum]])</f>
        <v>39</v>
      </c>
    </row>
    <row r="635" spans="1:11" x14ac:dyDescent="0.25">
      <c r="A635" s="1">
        <v>45925</v>
      </c>
      <c r="B635">
        <f>YEAR(tbl_Kalender[[#This Row],[Datum]])</f>
        <v>2025</v>
      </c>
      <c r="C635">
        <f>DAY(tbl_Kalender[[#This Row],[Datum]])</f>
        <v>25</v>
      </c>
      <c r="D635" t="str">
        <f>TEXT(tbl_Kalender[[#This Row],[Datum]],"TTTT")</f>
        <v>Donnerstag</v>
      </c>
      <c r="E635">
        <f>WEEKDAY(tbl_Kalender[[#This Row],[Datum]],2)</f>
        <v>4</v>
      </c>
      <c r="F635">
        <f>MONTH(tbl_Kalender[[#This Row],[Datum]])</f>
        <v>9</v>
      </c>
      <c r="G635" t="str">
        <f>TEXT(tbl_Kalender[[#This Row],[Datum]],"MMMM")</f>
        <v>September</v>
      </c>
      <c r="H635">
        <f>ROUNDUP(tbl_Kalender[[#This Row],[Monat]]/3,0)</f>
        <v>3</v>
      </c>
      <c r="I635" t="str">
        <f>"Q "&amp;tbl_Kalender[[#This Row],[Quartal]]</f>
        <v>Q 3</v>
      </c>
      <c r="J635" t="str">
        <f>tbl_Kalender[[#This Row],[Quartal]]&amp;". Quartal"</f>
        <v>3. Quartal</v>
      </c>
      <c r="K635">
        <f>_xlfn.ISOWEEKNUM(tbl_Kalender[[#This Row],[Datum]])</f>
        <v>39</v>
      </c>
    </row>
    <row r="636" spans="1:11" x14ac:dyDescent="0.25">
      <c r="A636" s="1">
        <v>45926</v>
      </c>
      <c r="B636">
        <f>YEAR(tbl_Kalender[[#This Row],[Datum]])</f>
        <v>2025</v>
      </c>
      <c r="C636">
        <f>DAY(tbl_Kalender[[#This Row],[Datum]])</f>
        <v>26</v>
      </c>
      <c r="D636" t="str">
        <f>TEXT(tbl_Kalender[[#This Row],[Datum]],"TTTT")</f>
        <v>Freitag</v>
      </c>
      <c r="E636">
        <f>WEEKDAY(tbl_Kalender[[#This Row],[Datum]],2)</f>
        <v>5</v>
      </c>
      <c r="F636">
        <f>MONTH(tbl_Kalender[[#This Row],[Datum]])</f>
        <v>9</v>
      </c>
      <c r="G636" t="str">
        <f>TEXT(tbl_Kalender[[#This Row],[Datum]],"MMMM")</f>
        <v>September</v>
      </c>
      <c r="H636">
        <f>ROUNDUP(tbl_Kalender[[#This Row],[Monat]]/3,0)</f>
        <v>3</v>
      </c>
      <c r="I636" t="str">
        <f>"Q "&amp;tbl_Kalender[[#This Row],[Quartal]]</f>
        <v>Q 3</v>
      </c>
      <c r="J636" t="str">
        <f>tbl_Kalender[[#This Row],[Quartal]]&amp;". Quartal"</f>
        <v>3. Quartal</v>
      </c>
      <c r="K636">
        <f>_xlfn.ISOWEEKNUM(tbl_Kalender[[#This Row],[Datum]])</f>
        <v>39</v>
      </c>
    </row>
    <row r="637" spans="1:11" x14ac:dyDescent="0.25">
      <c r="A637" s="1">
        <v>45927</v>
      </c>
      <c r="B637">
        <f>YEAR(tbl_Kalender[[#This Row],[Datum]])</f>
        <v>2025</v>
      </c>
      <c r="C637">
        <f>DAY(tbl_Kalender[[#This Row],[Datum]])</f>
        <v>27</v>
      </c>
      <c r="D637" t="str">
        <f>TEXT(tbl_Kalender[[#This Row],[Datum]],"TTTT")</f>
        <v>Samstag</v>
      </c>
      <c r="E637">
        <f>WEEKDAY(tbl_Kalender[[#This Row],[Datum]],2)</f>
        <v>6</v>
      </c>
      <c r="F637">
        <f>MONTH(tbl_Kalender[[#This Row],[Datum]])</f>
        <v>9</v>
      </c>
      <c r="G637" t="str">
        <f>TEXT(tbl_Kalender[[#This Row],[Datum]],"MMMM")</f>
        <v>September</v>
      </c>
      <c r="H637">
        <f>ROUNDUP(tbl_Kalender[[#This Row],[Monat]]/3,0)</f>
        <v>3</v>
      </c>
      <c r="I637" t="str">
        <f>"Q "&amp;tbl_Kalender[[#This Row],[Quartal]]</f>
        <v>Q 3</v>
      </c>
      <c r="J637" t="str">
        <f>tbl_Kalender[[#This Row],[Quartal]]&amp;". Quartal"</f>
        <v>3. Quartal</v>
      </c>
      <c r="K637">
        <f>_xlfn.ISOWEEKNUM(tbl_Kalender[[#This Row],[Datum]])</f>
        <v>39</v>
      </c>
    </row>
    <row r="638" spans="1:11" x14ac:dyDescent="0.25">
      <c r="A638" s="1">
        <v>45928</v>
      </c>
      <c r="B638">
        <f>YEAR(tbl_Kalender[[#This Row],[Datum]])</f>
        <v>2025</v>
      </c>
      <c r="C638">
        <f>DAY(tbl_Kalender[[#This Row],[Datum]])</f>
        <v>28</v>
      </c>
      <c r="D638" t="str">
        <f>TEXT(tbl_Kalender[[#This Row],[Datum]],"TTTT")</f>
        <v>Sonntag</v>
      </c>
      <c r="E638">
        <f>WEEKDAY(tbl_Kalender[[#This Row],[Datum]],2)</f>
        <v>7</v>
      </c>
      <c r="F638">
        <f>MONTH(tbl_Kalender[[#This Row],[Datum]])</f>
        <v>9</v>
      </c>
      <c r="G638" t="str">
        <f>TEXT(tbl_Kalender[[#This Row],[Datum]],"MMMM")</f>
        <v>September</v>
      </c>
      <c r="H638">
        <f>ROUNDUP(tbl_Kalender[[#This Row],[Monat]]/3,0)</f>
        <v>3</v>
      </c>
      <c r="I638" t="str">
        <f>"Q "&amp;tbl_Kalender[[#This Row],[Quartal]]</f>
        <v>Q 3</v>
      </c>
      <c r="J638" t="str">
        <f>tbl_Kalender[[#This Row],[Quartal]]&amp;". Quartal"</f>
        <v>3. Quartal</v>
      </c>
      <c r="K638">
        <f>_xlfn.ISOWEEKNUM(tbl_Kalender[[#This Row],[Datum]])</f>
        <v>39</v>
      </c>
    </row>
    <row r="639" spans="1:11" x14ac:dyDescent="0.25">
      <c r="A639" s="1">
        <v>45929</v>
      </c>
      <c r="B639">
        <f>YEAR(tbl_Kalender[[#This Row],[Datum]])</f>
        <v>2025</v>
      </c>
      <c r="C639">
        <f>DAY(tbl_Kalender[[#This Row],[Datum]])</f>
        <v>29</v>
      </c>
      <c r="D639" t="str">
        <f>TEXT(tbl_Kalender[[#This Row],[Datum]],"TTTT")</f>
        <v>Montag</v>
      </c>
      <c r="E639">
        <f>WEEKDAY(tbl_Kalender[[#This Row],[Datum]],2)</f>
        <v>1</v>
      </c>
      <c r="F639">
        <f>MONTH(tbl_Kalender[[#This Row],[Datum]])</f>
        <v>9</v>
      </c>
      <c r="G639" t="str">
        <f>TEXT(tbl_Kalender[[#This Row],[Datum]],"MMMM")</f>
        <v>September</v>
      </c>
      <c r="H639">
        <f>ROUNDUP(tbl_Kalender[[#This Row],[Monat]]/3,0)</f>
        <v>3</v>
      </c>
      <c r="I639" t="str">
        <f>"Q "&amp;tbl_Kalender[[#This Row],[Quartal]]</f>
        <v>Q 3</v>
      </c>
      <c r="J639" t="str">
        <f>tbl_Kalender[[#This Row],[Quartal]]&amp;". Quartal"</f>
        <v>3. Quartal</v>
      </c>
      <c r="K639">
        <f>_xlfn.ISOWEEKNUM(tbl_Kalender[[#This Row],[Datum]])</f>
        <v>40</v>
      </c>
    </row>
    <row r="640" spans="1:11" x14ac:dyDescent="0.25">
      <c r="A640" s="1">
        <v>45930</v>
      </c>
      <c r="B640">
        <f>YEAR(tbl_Kalender[[#This Row],[Datum]])</f>
        <v>2025</v>
      </c>
      <c r="C640">
        <f>DAY(tbl_Kalender[[#This Row],[Datum]])</f>
        <v>30</v>
      </c>
      <c r="D640" t="str">
        <f>TEXT(tbl_Kalender[[#This Row],[Datum]],"TTTT")</f>
        <v>Dienstag</v>
      </c>
      <c r="E640">
        <f>WEEKDAY(tbl_Kalender[[#This Row],[Datum]],2)</f>
        <v>2</v>
      </c>
      <c r="F640">
        <f>MONTH(tbl_Kalender[[#This Row],[Datum]])</f>
        <v>9</v>
      </c>
      <c r="G640" t="str">
        <f>TEXT(tbl_Kalender[[#This Row],[Datum]],"MMMM")</f>
        <v>September</v>
      </c>
      <c r="H640">
        <f>ROUNDUP(tbl_Kalender[[#This Row],[Monat]]/3,0)</f>
        <v>3</v>
      </c>
      <c r="I640" t="str">
        <f>"Q "&amp;tbl_Kalender[[#This Row],[Quartal]]</f>
        <v>Q 3</v>
      </c>
      <c r="J640" t="str">
        <f>tbl_Kalender[[#This Row],[Quartal]]&amp;". Quartal"</f>
        <v>3. Quartal</v>
      </c>
      <c r="K640">
        <f>_xlfn.ISOWEEKNUM(tbl_Kalender[[#This Row],[Datum]])</f>
        <v>40</v>
      </c>
    </row>
    <row r="641" spans="1:11" x14ac:dyDescent="0.25">
      <c r="A641" s="1">
        <v>45931</v>
      </c>
      <c r="B641">
        <f>YEAR(tbl_Kalender[[#This Row],[Datum]])</f>
        <v>2025</v>
      </c>
      <c r="C641">
        <f>DAY(tbl_Kalender[[#This Row],[Datum]])</f>
        <v>1</v>
      </c>
      <c r="D641" t="str">
        <f>TEXT(tbl_Kalender[[#This Row],[Datum]],"TTTT")</f>
        <v>Mittwoch</v>
      </c>
      <c r="E641">
        <f>WEEKDAY(tbl_Kalender[[#This Row],[Datum]],2)</f>
        <v>3</v>
      </c>
      <c r="F641">
        <f>MONTH(tbl_Kalender[[#This Row],[Datum]])</f>
        <v>10</v>
      </c>
      <c r="G641" t="str">
        <f>TEXT(tbl_Kalender[[#This Row],[Datum]],"MMMM")</f>
        <v>Oktober</v>
      </c>
      <c r="H641">
        <f>ROUNDUP(tbl_Kalender[[#This Row],[Monat]]/3,0)</f>
        <v>4</v>
      </c>
      <c r="I641" t="str">
        <f>"Q "&amp;tbl_Kalender[[#This Row],[Quartal]]</f>
        <v>Q 4</v>
      </c>
      <c r="J641" t="str">
        <f>tbl_Kalender[[#This Row],[Quartal]]&amp;". Quartal"</f>
        <v>4. Quartal</v>
      </c>
      <c r="K641">
        <f>_xlfn.ISOWEEKNUM(tbl_Kalender[[#This Row],[Datum]])</f>
        <v>40</v>
      </c>
    </row>
    <row r="642" spans="1:11" x14ac:dyDescent="0.25">
      <c r="A642" s="1">
        <v>45932</v>
      </c>
      <c r="B642">
        <f>YEAR(tbl_Kalender[[#This Row],[Datum]])</f>
        <v>2025</v>
      </c>
      <c r="C642">
        <f>DAY(tbl_Kalender[[#This Row],[Datum]])</f>
        <v>2</v>
      </c>
      <c r="D642" t="str">
        <f>TEXT(tbl_Kalender[[#This Row],[Datum]],"TTTT")</f>
        <v>Donnerstag</v>
      </c>
      <c r="E642">
        <f>WEEKDAY(tbl_Kalender[[#This Row],[Datum]],2)</f>
        <v>4</v>
      </c>
      <c r="F642">
        <f>MONTH(tbl_Kalender[[#This Row],[Datum]])</f>
        <v>10</v>
      </c>
      <c r="G642" t="str">
        <f>TEXT(tbl_Kalender[[#This Row],[Datum]],"MMMM")</f>
        <v>Oktober</v>
      </c>
      <c r="H642">
        <f>ROUNDUP(tbl_Kalender[[#This Row],[Monat]]/3,0)</f>
        <v>4</v>
      </c>
      <c r="I642" t="str">
        <f>"Q "&amp;tbl_Kalender[[#This Row],[Quartal]]</f>
        <v>Q 4</v>
      </c>
      <c r="J642" t="str">
        <f>tbl_Kalender[[#This Row],[Quartal]]&amp;". Quartal"</f>
        <v>4. Quartal</v>
      </c>
      <c r="K642">
        <f>_xlfn.ISOWEEKNUM(tbl_Kalender[[#This Row],[Datum]])</f>
        <v>40</v>
      </c>
    </row>
    <row r="643" spans="1:11" x14ac:dyDescent="0.25">
      <c r="A643" s="1">
        <v>45933</v>
      </c>
      <c r="B643">
        <f>YEAR(tbl_Kalender[[#This Row],[Datum]])</f>
        <v>2025</v>
      </c>
      <c r="C643">
        <f>DAY(tbl_Kalender[[#This Row],[Datum]])</f>
        <v>3</v>
      </c>
      <c r="D643" t="str">
        <f>TEXT(tbl_Kalender[[#This Row],[Datum]],"TTTT")</f>
        <v>Freitag</v>
      </c>
      <c r="E643">
        <f>WEEKDAY(tbl_Kalender[[#This Row],[Datum]],2)</f>
        <v>5</v>
      </c>
      <c r="F643">
        <f>MONTH(tbl_Kalender[[#This Row],[Datum]])</f>
        <v>10</v>
      </c>
      <c r="G643" t="str">
        <f>TEXT(tbl_Kalender[[#This Row],[Datum]],"MMMM")</f>
        <v>Oktober</v>
      </c>
      <c r="H643">
        <f>ROUNDUP(tbl_Kalender[[#This Row],[Monat]]/3,0)</f>
        <v>4</v>
      </c>
      <c r="I643" t="str">
        <f>"Q "&amp;tbl_Kalender[[#This Row],[Quartal]]</f>
        <v>Q 4</v>
      </c>
      <c r="J643" t="str">
        <f>tbl_Kalender[[#This Row],[Quartal]]&amp;". Quartal"</f>
        <v>4. Quartal</v>
      </c>
      <c r="K643">
        <f>_xlfn.ISOWEEKNUM(tbl_Kalender[[#This Row],[Datum]])</f>
        <v>40</v>
      </c>
    </row>
    <row r="644" spans="1:11" x14ac:dyDescent="0.25">
      <c r="A644" s="1">
        <v>45934</v>
      </c>
      <c r="B644">
        <f>YEAR(tbl_Kalender[[#This Row],[Datum]])</f>
        <v>2025</v>
      </c>
      <c r="C644">
        <f>DAY(tbl_Kalender[[#This Row],[Datum]])</f>
        <v>4</v>
      </c>
      <c r="D644" t="str">
        <f>TEXT(tbl_Kalender[[#This Row],[Datum]],"TTTT")</f>
        <v>Samstag</v>
      </c>
      <c r="E644">
        <f>WEEKDAY(tbl_Kalender[[#This Row],[Datum]],2)</f>
        <v>6</v>
      </c>
      <c r="F644">
        <f>MONTH(tbl_Kalender[[#This Row],[Datum]])</f>
        <v>10</v>
      </c>
      <c r="G644" t="str">
        <f>TEXT(tbl_Kalender[[#This Row],[Datum]],"MMMM")</f>
        <v>Oktober</v>
      </c>
      <c r="H644">
        <f>ROUNDUP(tbl_Kalender[[#This Row],[Monat]]/3,0)</f>
        <v>4</v>
      </c>
      <c r="I644" t="str">
        <f>"Q "&amp;tbl_Kalender[[#This Row],[Quartal]]</f>
        <v>Q 4</v>
      </c>
      <c r="J644" t="str">
        <f>tbl_Kalender[[#This Row],[Quartal]]&amp;". Quartal"</f>
        <v>4. Quartal</v>
      </c>
      <c r="K644">
        <f>_xlfn.ISOWEEKNUM(tbl_Kalender[[#This Row],[Datum]])</f>
        <v>40</v>
      </c>
    </row>
    <row r="645" spans="1:11" x14ac:dyDescent="0.25">
      <c r="A645" s="1">
        <v>45935</v>
      </c>
      <c r="B645">
        <f>YEAR(tbl_Kalender[[#This Row],[Datum]])</f>
        <v>2025</v>
      </c>
      <c r="C645">
        <f>DAY(tbl_Kalender[[#This Row],[Datum]])</f>
        <v>5</v>
      </c>
      <c r="D645" t="str">
        <f>TEXT(tbl_Kalender[[#This Row],[Datum]],"TTTT")</f>
        <v>Sonntag</v>
      </c>
      <c r="E645">
        <f>WEEKDAY(tbl_Kalender[[#This Row],[Datum]],2)</f>
        <v>7</v>
      </c>
      <c r="F645">
        <f>MONTH(tbl_Kalender[[#This Row],[Datum]])</f>
        <v>10</v>
      </c>
      <c r="G645" t="str">
        <f>TEXT(tbl_Kalender[[#This Row],[Datum]],"MMMM")</f>
        <v>Oktober</v>
      </c>
      <c r="H645">
        <f>ROUNDUP(tbl_Kalender[[#This Row],[Monat]]/3,0)</f>
        <v>4</v>
      </c>
      <c r="I645" t="str">
        <f>"Q "&amp;tbl_Kalender[[#This Row],[Quartal]]</f>
        <v>Q 4</v>
      </c>
      <c r="J645" t="str">
        <f>tbl_Kalender[[#This Row],[Quartal]]&amp;". Quartal"</f>
        <v>4. Quartal</v>
      </c>
      <c r="K645">
        <f>_xlfn.ISOWEEKNUM(tbl_Kalender[[#This Row],[Datum]])</f>
        <v>40</v>
      </c>
    </row>
    <row r="646" spans="1:11" x14ac:dyDescent="0.25">
      <c r="A646" s="1">
        <v>45936</v>
      </c>
      <c r="B646">
        <f>YEAR(tbl_Kalender[[#This Row],[Datum]])</f>
        <v>2025</v>
      </c>
      <c r="C646">
        <f>DAY(tbl_Kalender[[#This Row],[Datum]])</f>
        <v>6</v>
      </c>
      <c r="D646" t="str">
        <f>TEXT(tbl_Kalender[[#This Row],[Datum]],"TTTT")</f>
        <v>Montag</v>
      </c>
      <c r="E646">
        <f>WEEKDAY(tbl_Kalender[[#This Row],[Datum]],2)</f>
        <v>1</v>
      </c>
      <c r="F646">
        <f>MONTH(tbl_Kalender[[#This Row],[Datum]])</f>
        <v>10</v>
      </c>
      <c r="G646" t="str">
        <f>TEXT(tbl_Kalender[[#This Row],[Datum]],"MMMM")</f>
        <v>Oktober</v>
      </c>
      <c r="H646">
        <f>ROUNDUP(tbl_Kalender[[#This Row],[Monat]]/3,0)</f>
        <v>4</v>
      </c>
      <c r="I646" t="str">
        <f>"Q "&amp;tbl_Kalender[[#This Row],[Quartal]]</f>
        <v>Q 4</v>
      </c>
      <c r="J646" t="str">
        <f>tbl_Kalender[[#This Row],[Quartal]]&amp;". Quartal"</f>
        <v>4. Quartal</v>
      </c>
      <c r="K646">
        <f>_xlfn.ISOWEEKNUM(tbl_Kalender[[#This Row],[Datum]])</f>
        <v>41</v>
      </c>
    </row>
    <row r="647" spans="1:11" x14ac:dyDescent="0.25">
      <c r="A647" s="1">
        <v>45937</v>
      </c>
      <c r="B647">
        <f>YEAR(tbl_Kalender[[#This Row],[Datum]])</f>
        <v>2025</v>
      </c>
      <c r="C647">
        <f>DAY(tbl_Kalender[[#This Row],[Datum]])</f>
        <v>7</v>
      </c>
      <c r="D647" t="str">
        <f>TEXT(tbl_Kalender[[#This Row],[Datum]],"TTTT")</f>
        <v>Dienstag</v>
      </c>
      <c r="E647">
        <f>WEEKDAY(tbl_Kalender[[#This Row],[Datum]],2)</f>
        <v>2</v>
      </c>
      <c r="F647">
        <f>MONTH(tbl_Kalender[[#This Row],[Datum]])</f>
        <v>10</v>
      </c>
      <c r="G647" t="str">
        <f>TEXT(tbl_Kalender[[#This Row],[Datum]],"MMMM")</f>
        <v>Oktober</v>
      </c>
      <c r="H647">
        <f>ROUNDUP(tbl_Kalender[[#This Row],[Monat]]/3,0)</f>
        <v>4</v>
      </c>
      <c r="I647" t="str">
        <f>"Q "&amp;tbl_Kalender[[#This Row],[Quartal]]</f>
        <v>Q 4</v>
      </c>
      <c r="J647" t="str">
        <f>tbl_Kalender[[#This Row],[Quartal]]&amp;". Quartal"</f>
        <v>4. Quartal</v>
      </c>
      <c r="K647">
        <f>_xlfn.ISOWEEKNUM(tbl_Kalender[[#This Row],[Datum]])</f>
        <v>41</v>
      </c>
    </row>
    <row r="648" spans="1:11" x14ac:dyDescent="0.25">
      <c r="A648" s="1">
        <v>45938</v>
      </c>
      <c r="B648">
        <f>YEAR(tbl_Kalender[[#This Row],[Datum]])</f>
        <v>2025</v>
      </c>
      <c r="C648">
        <f>DAY(tbl_Kalender[[#This Row],[Datum]])</f>
        <v>8</v>
      </c>
      <c r="D648" t="str">
        <f>TEXT(tbl_Kalender[[#This Row],[Datum]],"TTTT")</f>
        <v>Mittwoch</v>
      </c>
      <c r="E648">
        <f>WEEKDAY(tbl_Kalender[[#This Row],[Datum]],2)</f>
        <v>3</v>
      </c>
      <c r="F648">
        <f>MONTH(tbl_Kalender[[#This Row],[Datum]])</f>
        <v>10</v>
      </c>
      <c r="G648" t="str">
        <f>TEXT(tbl_Kalender[[#This Row],[Datum]],"MMMM")</f>
        <v>Oktober</v>
      </c>
      <c r="H648">
        <f>ROUNDUP(tbl_Kalender[[#This Row],[Monat]]/3,0)</f>
        <v>4</v>
      </c>
      <c r="I648" t="str">
        <f>"Q "&amp;tbl_Kalender[[#This Row],[Quartal]]</f>
        <v>Q 4</v>
      </c>
      <c r="J648" t="str">
        <f>tbl_Kalender[[#This Row],[Quartal]]&amp;". Quartal"</f>
        <v>4. Quartal</v>
      </c>
      <c r="K648">
        <f>_xlfn.ISOWEEKNUM(tbl_Kalender[[#This Row],[Datum]])</f>
        <v>41</v>
      </c>
    </row>
    <row r="649" spans="1:11" x14ac:dyDescent="0.25">
      <c r="A649" s="1">
        <v>45939</v>
      </c>
      <c r="B649">
        <f>YEAR(tbl_Kalender[[#This Row],[Datum]])</f>
        <v>2025</v>
      </c>
      <c r="C649">
        <f>DAY(tbl_Kalender[[#This Row],[Datum]])</f>
        <v>9</v>
      </c>
      <c r="D649" t="str">
        <f>TEXT(tbl_Kalender[[#This Row],[Datum]],"TTTT")</f>
        <v>Donnerstag</v>
      </c>
      <c r="E649">
        <f>WEEKDAY(tbl_Kalender[[#This Row],[Datum]],2)</f>
        <v>4</v>
      </c>
      <c r="F649">
        <f>MONTH(tbl_Kalender[[#This Row],[Datum]])</f>
        <v>10</v>
      </c>
      <c r="G649" t="str">
        <f>TEXT(tbl_Kalender[[#This Row],[Datum]],"MMMM")</f>
        <v>Oktober</v>
      </c>
      <c r="H649">
        <f>ROUNDUP(tbl_Kalender[[#This Row],[Monat]]/3,0)</f>
        <v>4</v>
      </c>
      <c r="I649" t="str">
        <f>"Q "&amp;tbl_Kalender[[#This Row],[Quartal]]</f>
        <v>Q 4</v>
      </c>
      <c r="J649" t="str">
        <f>tbl_Kalender[[#This Row],[Quartal]]&amp;". Quartal"</f>
        <v>4. Quartal</v>
      </c>
      <c r="K649">
        <f>_xlfn.ISOWEEKNUM(tbl_Kalender[[#This Row],[Datum]])</f>
        <v>41</v>
      </c>
    </row>
    <row r="650" spans="1:11" x14ac:dyDescent="0.25">
      <c r="A650" s="1">
        <v>45940</v>
      </c>
      <c r="B650">
        <f>YEAR(tbl_Kalender[[#This Row],[Datum]])</f>
        <v>2025</v>
      </c>
      <c r="C650">
        <f>DAY(tbl_Kalender[[#This Row],[Datum]])</f>
        <v>10</v>
      </c>
      <c r="D650" t="str">
        <f>TEXT(tbl_Kalender[[#This Row],[Datum]],"TTTT")</f>
        <v>Freitag</v>
      </c>
      <c r="E650">
        <f>WEEKDAY(tbl_Kalender[[#This Row],[Datum]],2)</f>
        <v>5</v>
      </c>
      <c r="F650">
        <f>MONTH(tbl_Kalender[[#This Row],[Datum]])</f>
        <v>10</v>
      </c>
      <c r="G650" t="str">
        <f>TEXT(tbl_Kalender[[#This Row],[Datum]],"MMMM")</f>
        <v>Oktober</v>
      </c>
      <c r="H650">
        <f>ROUNDUP(tbl_Kalender[[#This Row],[Monat]]/3,0)</f>
        <v>4</v>
      </c>
      <c r="I650" t="str">
        <f>"Q "&amp;tbl_Kalender[[#This Row],[Quartal]]</f>
        <v>Q 4</v>
      </c>
      <c r="J650" t="str">
        <f>tbl_Kalender[[#This Row],[Quartal]]&amp;". Quartal"</f>
        <v>4. Quartal</v>
      </c>
      <c r="K650">
        <f>_xlfn.ISOWEEKNUM(tbl_Kalender[[#This Row],[Datum]])</f>
        <v>41</v>
      </c>
    </row>
    <row r="651" spans="1:11" x14ac:dyDescent="0.25">
      <c r="A651" s="1">
        <v>45941</v>
      </c>
      <c r="B651">
        <f>YEAR(tbl_Kalender[[#This Row],[Datum]])</f>
        <v>2025</v>
      </c>
      <c r="C651">
        <f>DAY(tbl_Kalender[[#This Row],[Datum]])</f>
        <v>11</v>
      </c>
      <c r="D651" t="str">
        <f>TEXT(tbl_Kalender[[#This Row],[Datum]],"TTTT")</f>
        <v>Samstag</v>
      </c>
      <c r="E651">
        <f>WEEKDAY(tbl_Kalender[[#This Row],[Datum]],2)</f>
        <v>6</v>
      </c>
      <c r="F651">
        <f>MONTH(tbl_Kalender[[#This Row],[Datum]])</f>
        <v>10</v>
      </c>
      <c r="G651" t="str">
        <f>TEXT(tbl_Kalender[[#This Row],[Datum]],"MMMM")</f>
        <v>Oktober</v>
      </c>
      <c r="H651">
        <f>ROUNDUP(tbl_Kalender[[#This Row],[Monat]]/3,0)</f>
        <v>4</v>
      </c>
      <c r="I651" t="str">
        <f>"Q "&amp;tbl_Kalender[[#This Row],[Quartal]]</f>
        <v>Q 4</v>
      </c>
      <c r="J651" t="str">
        <f>tbl_Kalender[[#This Row],[Quartal]]&amp;". Quartal"</f>
        <v>4. Quartal</v>
      </c>
      <c r="K651">
        <f>_xlfn.ISOWEEKNUM(tbl_Kalender[[#This Row],[Datum]])</f>
        <v>41</v>
      </c>
    </row>
    <row r="652" spans="1:11" x14ac:dyDescent="0.25">
      <c r="A652" s="1">
        <v>45942</v>
      </c>
      <c r="B652">
        <f>YEAR(tbl_Kalender[[#This Row],[Datum]])</f>
        <v>2025</v>
      </c>
      <c r="C652">
        <f>DAY(tbl_Kalender[[#This Row],[Datum]])</f>
        <v>12</v>
      </c>
      <c r="D652" t="str">
        <f>TEXT(tbl_Kalender[[#This Row],[Datum]],"TTTT")</f>
        <v>Sonntag</v>
      </c>
      <c r="E652">
        <f>WEEKDAY(tbl_Kalender[[#This Row],[Datum]],2)</f>
        <v>7</v>
      </c>
      <c r="F652">
        <f>MONTH(tbl_Kalender[[#This Row],[Datum]])</f>
        <v>10</v>
      </c>
      <c r="G652" t="str">
        <f>TEXT(tbl_Kalender[[#This Row],[Datum]],"MMMM")</f>
        <v>Oktober</v>
      </c>
      <c r="H652">
        <f>ROUNDUP(tbl_Kalender[[#This Row],[Monat]]/3,0)</f>
        <v>4</v>
      </c>
      <c r="I652" t="str">
        <f>"Q "&amp;tbl_Kalender[[#This Row],[Quartal]]</f>
        <v>Q 4</v>
      </c>
      <c r="J652" t="str">
        <f>tbl_Kalender[[#This Row],[Quartal]]&amp;". Quartal"</f>
        <v>4. Quartal</v>
      </c>
      <c r="K652">
        <f>_xlfn.ISOWEEKNUM(tbl_Kalender[[#This Row],[Datum]])</f>
        <v>41</v>
      </c>
    </row>
    <row r="653" spans="1:11" x14ac:dyDescent="0.25">
      <c r="A653" s="1">
        <v>45943</v>
      </c>
      <c r="B653">
        <f>YEAR(tbl_Kalender[[#This Row],[Datum]])</f>
        <v>2025</v>
      </c>
      <c r="C653">
        <f>DAY(tbl_Kalender[[#This Row],[Datum]])</f>
        <v>13</v>
      </c>
      <c r="D653" t="str">
        <f>TEXT(tbl_Kalender[[#This Row],[Datum]],"TTTT")</f>
        <v>Montag</v>
      </c>
      <c r="E653">
        <f>WEEKDAY(tbl_Kalender[[#This Row],[Datum]],2)</f>
        <v>1</v>
      </c>
      <c r="F653">
        <f>MONTH(tbl_Kalender[[#This Row],[Datum]])</f>
        <v>10</v>
      </c>
      <c r="G653" t="str">
        <f>TEXT(tbl_Kalender[[#This Row],[Datum]],"MMMM")</f>
        <v>Oktober</v>
      </c>
      <c r="H653">
        <f>ROUNDUP(tbl_Kalender[[#This Row],[Monat]]/3,0)</f>
        <v>4</v>
      </c>
      <c r="I653" t="str">
        <f>"Q "&amp;tbl_Kalender[[#This Row],[Quartal]]</f>
        <v>Q 4</v>
      </c>
      <c r="J653" t="str">
        <f>tbl_Kalender[[#This Row],[Quartal]]&amp;". Quartal"</f>
        <v>4. Quartal</v>
      </c>
      <c r="K653">
        <f>_xlfn.ISOWEEKNUM(tbl_Kalender[[#This Row],[Datum]])</f>
        <v>42</v>
      </c>
    </row>
    <row r="654" spans="1:11" x14ac:dyDescent="0.25">
      <c r="A654" s="1">
        <v>45944</v>
      </c>
      <c r="B654">
        <f>YEAR(tbl_Kalender[[#This Row],[Datum]])</f>
        <v>2025</v>
      </c>
      <c r="C654">
        <f>DAY(tbl_Kalender[[#This Row],[Datum]])</f>
        <v>14</v>
      </c>
      <c r="D654" t="str">
        <f>TEXT(tbl_Kalender[[#This Row],[Datum]],"TTTT")</f>
        <v>Dienstag</v>
      </c>
      <c r="E654">
        <f>WEEKDAY(tbl_Kalender[[#This Row],[Datum]],2)</f>
        <v>2</v>
      </c>
      <c r="F654">
        <f>MONTH(tbl_Kalender[[#This Row],[Datum]])</f>
        <v>10</v>
      </c>
      <c r="G654" t="str">
        <f>TEXT(tbl_Kalender[[#This Row],[Datum]],"MMMM")</f>
        <v>Oktober</v>
      </c>
      <c r="H654">
        <f>ROUNDUP(tbl_Kalender[[#This Row],[Monat]]/3,0)</f>
        <v>4</v>
      </c>
      <c r="I654" t="str">
        <f>"Q "&amp;tbl_Kalender[[#This Row],[Quartal]]</f>
        <v>Q 4</v>
      </c>
      <c r="J654" t="str">
        <f>tbl_Kalender[[#This Row],[Quartal]]&amp;". Quartal"</f>
        <v>4. Quartal</v>
      </c>
      <c r="K654">
        <f>_xlfn.ISOWEEKNUM(tbl_Kalender[[#This Row],[Datum]])</f>
        <v>42</v>
      </c>
    </row>
    <row r="655" spans="1:11" x14ac:dyDescent="0.25">
      <c r="A655" s="1">
        <v>45945</v>
      </c>
      <c r="B655">
        <f>YEAR(tbl_Kalender[[#This Row],[Datum]])</f>
        <v>2025</v>
      </c>
      <c r="C655">
        <f>DAY(tbl_Kalender[[#This Row],[Datum]])</f>
        <v>15</v>
      </c>
      <c r="D655" t="str">
        <f>TEXT(tbl_Kalender[[#This Row],[Datum]],"TTTT")</f>
        <v>Mittwoch</v>
      </c>
      <c r="E655">
        <f>WEEKDAY(tbl_Kalender[[#This Row],[Datum]],2)</f>
        <v>3</v>
      </c>
      <c r="F655">
        <f>MONTH(tbl_Kalender[[#This Row],[Datum]])</f>
        <v>10</v>
      </c>
      <c r="G655" t="str">
        <f>TEXT(tbl_Kalender[[#This Row],[Datum]],"MMMM")</f>
        <v>Oktober</v>
      </c>
      <c r="H655">
        <f>ROUNDUP(tbl_Kalender[[#This Row],[Monat]]/3,0)</f>
        <v>4</v>
      </c>
      <c r="I655" t="str">
        <f>"Q "&amp;tbl_Kalender[[#This Row],[Quartal]]</f>
        <v>Q 4</v>
      </c>
      <c r="J655" t="str">
        <f>tbl_Kalender[[#This Row],[Quartal]]&amp;". Quartal"</f>
        <v>4. Quartal</v>
      </c>
      <c r="K655">
        <f>_xlfn.ISOWEEKNUM(tbl_Kalender[[#This Row],[Datum]])</f>
        <v>42</v>
      </c>
    </row>
    <row r="656" spans="1:11" x14ac:dyDescent="0.25">
      <c r="A656" s="1">
        <v>45946</v>
      </c>
      <c r="B656">
        <f>YEAR(tbl_Kalender[[#This Row],[Datum]])</f>
        <v>2025</v>
      </c>
      <c r="C656">
        <f>DAY(tbl_Kalender[[#This Row],[Datum]])</f>
        <v>16</v>
      </c>
      <c r="D656" t="str">
        <f>TEXT(tbl_Kalender[[#This Row],[Datum]],"TTTT")</f>
        <v>Donnerstag</v>
      </c>
      <c r="E656">
        <f>WEEKDAY(tbl_Kalender[[#This Row],[Datum]],2)</f>
        <v>4</v>
      </c>
      <c r="F656">
        <f>MONTH(tbl_Kalender[[#This Row],[Datum]])</f>
        <v>10</v>
      </c>
      <c r="G656" t="str">
        <f>TEXT(tbl_Kalender[[#This Row],[Datum]],"MMMM")</f>
        <v>Oktober</v>
      </c>
      <c r="H656">
        <f>ROUNDUP(tbl_Kalender[[#This Row],[Monat]]/3,0)</f>
        <v>4</v>
      </c>
      <c r="I656" t="str">
        <f>"Q "&amp;tbl_Kalender[[#This Row],[Quartal]]</f>
        <v>Q 4</v>
      </c>
      <c r="J656" t="str">
        <f>tbl_Kalender[[#This Row],[Quartal]]&amp;". Quartal"</f>
        <v>4. Quartal</v>
      </c>
      <c r="K656">
        <f>_xlfn.ISOWEEKNUM(tbl_Kalender[[#This Row],[Datum]])</f>
        <v>42</v>
      </c>
    </row>
    <row r="657" spans="1:11" x14ac:dyDescent="0.25">
      <c r="A657" s="1">
        <v>45947</v>
      </c>
      <c r="B657">
        <f>YEAR(tbl_Kalender[[#This Row],[Datum]])</f>
        <v>2025</v>
      </c>
      <c r="C657">
        <f>DAY(tbl_Kalender[[#This Row],[Datum]])</f>
        <v>17</v>
      </c>
      <c r="D657" t="str">
        <f>TEXT(tbl_Kalender[[#This Row],[Datum]],"TTTT")</f>
        <v>Freitag</v>
      </c>
      <c r="E657">
        <f>WEEKDAY(tbl_Kalender[[#This Row],[Datum]],2)</f>
        <v>5</v>
      </c>
      <c r="F657">
        <f>MONTH(tbl_Kalender[[#This Row],[Datum]])</f>
        <v>10</v>
      </c>
      <c r="G657" t="str">
        <f>TEXT(tbl_Kalender[[#This Row],[Datum]],"MMMM")</f>
        <v>Oktober</v>
      </c>
      <c r="H657">
        <f>ROUNDUP(tbl_Kalender[[#This Row],[Monat]]/3,0)</f>
        <v>4</v>
      </c>
      <c r="I657" t="str">
        <f>"Q "&amp;tbl_Kalender[[#This Row],[Quartal]]</f>
        <v>Q 4</v>
      </c>
      <c r="J657" t="str">
        <f>tbl_Kalender[[#This Row],[Quartal]]&amp;". Quartal"</f>
        <v>4. Quartal</v>
      </c>
      <c r="K657">
        <f>_xlfn.ISOWEEKNUM(tbl_Kalender[[#This Row],[Datum]])</f>
        <v>42</v>
      </c>
    </row>
    <row r="658" spans="1:11" x14ac:dyDescent="0.25">
      <c r="A658" s="1">
        <v>45948</v>
      </c>
      <c r="B658">
        <f>YEAR(tbl_Kalender[[#This Row],[Datum]])</f>
        <v>2025</v>
      </c>
      <c r="C658">
        <f>DAY(tbl_Kalender[[#This Row],[Datum]])</f>
        <v>18</v>
      </c>
      <c r="D658" t="str">
        <f>TEXT(tbl_Kalender[[#This Row],[Datum]],"TTTT")</f>
        <v>Samstag</v>
      </c>
      <c r="E658">
        <f>WEEKDAY(tbl_Kalender[[#This Row],[Datum]],2)</f>
        <v>6</v>
      </c>
      <c r="F658">
        <f>MONTH(tbl_Kalender[[#This Row],[Datum]])</f>
        <v>10</v>
      </c>
      <c r="G658" t="str">
        <f>TEXT(tbl_Kalender[[#This Row],[Datum]],"MMMM")</f>
        <v>Oktober</v>
      </c>
      <c r="H658">
        <f>ROUNDUP(tbl_Kalender[[#This Row],[Monat]]/3,0)</f>
        <v>4</v>
      </c>
      <c r="I658" t="str">
        <f>"Q "&amp;tbl_Kalender[[#This Row],[Quartal]]</f>
        <v>Q 4</v>
      </c>
      <c r="J658" t="str">
        <f>tbl_Kalender[[#This Row],[Quartal]]&amp;". Quartal"</f>
        <v>4. Quartal</v>
      </c>
      <c r="K658">
        <f>_xlfn.ISOWEEKNUM(tbl_Kalender[[#This Row],[Datum]])</f>
        <v>42</v>
      </c>
    </row>
    <row r="659" spans="1:11" x14ac:dyDescent="0.25">
      <c r="A659" s="1">
        <v>45949</v>
      </c>
      <c r="B659">
        <f>YEAR(tbl_Kalender[[#This Row],[Datum]])</f>
        <v>2025</v>
      </c>
      <c r="C659">
        <f>DAY(tbl_Kalender[[#This Row],[Datum]])</f>
        <v>19</v>
      </c>
      <c r="D659" t="str">
        <f>TEXT(tbl_Kalender[[#This Row],[Datum]],"TTTT")</f>
        <v>Sonntag</v>
      </c>
      <c r="E659">
        <f>WEEKDAY(tbl_Kalender[[#This Row],[Datum]],2)</f>
        <v>7</v>
      </c>
      <c r="F659">
        <f>MONTH(tbl_Kalender[[#This Row],[Datum]])</f>
        <v>10</v>
      </c>
      <c r="G659" t="str">
        <f>TEXT(tbl_Kalender[[#This Row],[Datum]],"MMMM")</f>
        <v>Oktober</v>
      </c>
      <c r="H659">
        <f>ROUNDUP(tbl_Kalender[[#This Row],[Monat]]/3,0)</f>
        <v>4</v>
      </c>
      <c r="I659" t="str">
        <f>"Q "&amp;tbl_Kalender[[#This Row],[Quartal]]</f>
        <v>Q 4</v>
      </c>
      <c r="J659" t="str">
        <f>tbl_Kalender[[#This Row],[Quartal]]&amp;". Quartal"</f>
        <v>4. Quartal</v>
      </c>
      <c r="K659">
        <f>_xlfn.ISOWEEKNUM(tbl_Kalender[[#This Row],[Datum]])</f>
        <v>42</v>
      </c>
    </row>
    <row r="660" spans="1:11" x14ac:dyDescent="0.25">
      <c r="A660" s="1">
        <v>45950</v>
      </c>
      <c r="B660">
        <f>YEAR(tbl_Kalender[[#This Row],[Datum]])</f>
        <v>2025</v>
      </c>
      <c r="C660">
        <f>DAY(tbl_Kalender[[#This Row],[Datum]])</f>
        <v>20</v>
      </c>
      <c r="D660" t="str">
        <f>TEXT(tbl_Kalender[[#This Row],[Datum]],"TTTT")</f>
        <v>Montag</v>
      </c>
      <c r="E660">
        <f>WEEKDAY(tbl_Kalender[[#This Row],[Datum]],2)</f>
        <v>1</v>
      </c>
      <c r="F660">
        <f>MONTH(tbl_Kalender[[#This Row],[Datum]])</f>
        <v>10</v>
      </c>
      <c r="G660" t="str">
        <f>TEXT(tbl_Kalender[[#This Row],[Datum]],"MMMM")</f>
        <v>Oktober</v>
      </c>
      <c r="H660">
        <f>ROUNDUP(tbl_Kalender[[#This Row],[Monat]]/3,0)</f>
        <v>4</v>
      </c>
      <c r="I660" t="str">
        <f>"Q "&amp;tbl_Kalender[[#This Row],[Quartal]]</f>
        <v>Q 4</v>
      </c>
      <c r="J660" t="str">
        <f>tbl_Kalender[[#This Row],[Quartal]]&amp;". Quartal"</f>
        <v>4. Quartal</v>
      </c>
      <c r="K660">
        <f>_xlfn.ISOWEEKNUM(tbl_Kalender[[#This Row],[Datum]])</f>
        <v>43</v>
      </c>
    </row>
    <row r="661" spans="1:11" x14ac:dyDescent="0.25">
      <c r="A661" s="1">
        <v>45951</v>
      </c>
      <c r="B661">
        <f>YEAR(tbl_Kalender[[#This Row],[Datum]])</f>
        <v>2025</v>
      </c>
      <c r="C661">
        <f>DAY(tbl_Kalender[[#This Row],[Datum]])</f>
        <v>21</v>
      </c>
      <c r="D661" t="str">
        <f>TEXT(tbl_Kalender[[#This Row],[Datum]],"TTTT")</f>
        <v>Dienstag</v>
      </c>
      <c r="E661">
        <f>WEEKDAY(tbl_Kalender[[#This Row],[Datum]],2)</f>
        <v>2</v>
      </c>
      <c r="F661">
        <f>MONTH(tbl_Kalender[[#This Row],[Datum]])</f>
        <v>10</v>
      </c>
      <c r="G661" t="str">
        <f>TEXT(tbl_Kalender[[#This Row],[Datum]],"MMMM")</f>
        <v>Oktober</v>
      </c>
      <c r="H661">
        <f>ROUNDUP(tbl_Kalender[[#This Row],[Monat]]/3,0)</f>
        <v>4</v>
      </c>
      <c r="I661" t="str">
        <f>"Q "&amp;tbl_Kalender[[#This Row],[Quartal]]</f>
        <v>Q 4</v>
      </c>
      <c r="J661" t="str">
        <f>tbl_Kalender[[#This Row],[Quartal]]&amp;". Quartal"</f>
        <v>4. Quartal</v>
      </c>
      <c r="K661">
        <f>_xlfn.ISOWEEKNUM(tbl_Kalender[[#This Row],[Datum]])</f>
        <v>43</v>
      </c>
    </row>
    <row r="662" spans="1:11" x14ac:dyDescent="0.25">
      <c r="A662" s="1">
        <v>45952</v>
      </c>
      <c r="B662">
        <f>YEAR(tbl_Kalender[[#This Row],[Datum]])</f>
        <v>2025</v>
      </c>
      <c r="C662">
        <f>DAY(tbl_Kalender[[#This Row],[Datum]])</f>
        <v>22</v>
      </c>
      <c r="D662" t="str">
        <f>TEXT(tbl_Kalender[[#This Row],[Datum]],"TTTT")</f>
        <v>Mittwoch</v>
      </c>
      <c r="E662">
        <f>WEEKDAY(tbl_Kalender[[#This Row],[Datum]],2)</f>
        <v>3</v>
      </c>
      <c r="F662">
        <f>MONTH(tbl_Kalender[[#This Row],[Datum]])</f>
        <v>10</v>
      </c>
      <c r="G662" t="str">
        <f>TEXT(tbl_Kalender[[#This Row],[Datum]],"MMMM")</f>
        <v>Oktober</v>
      </c>
      <c r="H662">
        <f>ROUNDUP(tbl_Kalender[[#This Row],[Monat]]/3,0)</f>
        <v>4</v>
      </c>
      <c r="I662" t="str">
        <f>"Q "&amp;tbl_Kalender[[#This Row],[Quartal]]</f>
        <v>Q 4</v>
      </c>
      <c r="J662" t="str">
        <f>tbl_Kalender[[#This Row],[Quartal]]&amp;". Quartal"</f>
        <v>4. Quartal</v>
      </c>
      <c r="K662">
        <f>_xlfn.ISOWEEKNUM(tbl_Kalender[[#This Row],[Datum]])</f>
        <v>43</v>
      </c>
    </row>
    <row r="663" spans="1:11" x14ac:dyDescent="0.25">
      <c r="A663" s="1">
        <v>45953</v>
      </c>
      <c r="B663">
        <f>YEAR(tbl_Kalender[[#This Row],[Datum]])</f>
        <v>2025</v>
      </c>
      <c r="C663">
        <f>DAY(tbl_Kalender[[#This Row],[Datum]])</f>
        <v>23</v>
      </c>
      <c r="D663" t="str">
        <f>TEXT(tbl_Kalender[[#This Row],[Datum]],"TTTT")</f>
        <v>Donnerstag</v>
      </c>
      <c r="E663">
        <f>WEEKDAY(tbl_Kalender[[#This Row],[Datum]],2)</f>
        <v>4</v>
      </c>
      <c r="F663">
        <f>MONTH(tbl_Kalender[[#This Row],[Datum]])</f>
        <v>10</v>
      </c>
      <c r="G663" t="str">
        <f>TEXT(tbl_Kalender[[#This Row],[Datum]],"MMMM")</f>
        <v>Oktober</v>
      </c>
      <c r="H663">
        <f>ROUNDUP(tbl_Kalender[[#This Row],[Monat]]/3,0)</f>
        <v>4</v>
      </c>
      <c r="I663" t="str">
        <f>"Q "&amp;tbl_Kalender[[#This Row],[Quartal]]</f>
        <v>Q 4</v>
      </c>
      <c r="J663" t="str">
        <f>tbl_Kalender[[#This Row],[Quartal]]&amp;". Quartal"</f>
        <v>4. Quartal</v>
      </c>
      <c r="K663">
        <f>_xlfn.ISOWEEKNUM(tbl_Kalender[[#This Row],[Datum]])</f>
        <v>43</v>
      </c>
    </row>
    <row r="664" spans="1:11" x14ac:dyDescent="0.25">
      <c r="A664" s="1">
        <v>45954</v>
      </c>
      <c r="B664">
        <f>YEAR(tbl_Kalender[[#This Row],[Datum]])</f>
        <v>2025</v>
      </c>
      <c r="C664">
        <f>DAY(tbl_Kalender[[#This Row],[Datum]])</f>
        <v>24</v>
      </c>
      <c r="D664" t="str">
        <f>TEXT(tbl_Kalender[[#This Row],[Datum]],"TTTT")</f>
        <v>Freitag</v>
      </c>
      <c r="E664">
        <f>WEEKDAY(tbl_Kalender[[#This Row],[Datum]],2)</f>
        <v>5</v>
      </c>
      <c r="F664">
        <f>MONTH(tbl_Kalender[[#This Row],[Datum]])</f>
        <v>10</v>
      </c>
      <c r="G664" t="str">
        <f>TEXT(tbl_Kalender[[#This Row],[Datum]],"MMMM")</f>
        <v>Oktober</v>
      </c>
      <c r="H664">
        <f>ROUNDUP(tbl_Kalender[[#This Row],[Monat]]/3,0)</f>
        <v>4</v>
      </c>
      <c r="I664" t="str">
        <f>"Q "&amp;tbl_Kalender[[#This Row],[Quartal]]</f>
        <v>Q 4</v>
      </c>
      <c r="J664" t="str">
        <f>tbl_Kalender[[#This Row],[Quartal]]&amp;". Quartal"</f>
        <v>4. Quartal</v>
      </c>
      <c r="K664">
        <f>_xlfn.ISOWEEKNUM(tbl_Kalender[[#This Row],[Datum]])</f>
        <v>43</v>
      </c>
    </row>
    <row r="665" spans="1:11" x14ac:dyDescent="0.25">
      <c r="A665" s="1">
        <v>45955</v>
      </c>
      <c r="B665">
        <f>YEAR(tbl_Kalender[[#This Row],[Datum]])</f>
        <v>2025</v>
      </c>
      <c r="C665">
        <f>DAY(tbl_Kalender[[#This Row],[Datum]])</f>
        <v>25</v>
      </c>
      <c r="D665" t="str">
        <f>TEXT(tbl_Kalender[[#This Row],[Datum]],"TTTT")</f>
        <v>Samstag</v>
      </c>
      <c r="E665">
        <f>WEEKDAY(tbl_Kalender[[#This Row],[Datum]],2)</f>
        <v>6</v>
      </c>
      <c r="F665">
        <f>MONTH(tbl_Kalender[[#This Row],[Datum]])</f>
        <v>10</v>
      </c>
      <c r="G665" t="str">
        <f>TEXT(tbl_Kalender[[#This Row],[Datum]],"MMMM")</f>
        <v>Oktober</v>
      </c>
      <c r="H665">
        <f>ROUNDUP(tbl_Kalender[[#This Row],[Monat]]/3,0)</f>
        <v>4</v>
      </c>
      <c r="I665" t="str">
        <f>"Q "&amp;tbl_Kalender[[#This Row],[Quartal]]</f>
        <v>Q 4</v>
      </c>
      <c r="J665" t="str">
        <f>tbl_Kalender[[#This Row],[Quartal]]&amp;". Quartal"</f>
        <v>4. Quartal</v>
      </c>
      <c r="K665">
        <f>_xlfn.ISOWEEKNUM(tbl_Kalender[[#This Row],[Datum]])</f>
        <v>43</v>
      </c>
    </row>
    <row r="666" spans="1:11" x14ac:dyDescent="0.25">
      <c r="A666" s="1">
        <v>45956</v>
      </c>
      <c r="B666">
        <f>YEAR(tbl_Kalender[[#This Row],[Datum]])</f>
        <v>2025</v>
      </c>
      <c r="C666">
        <f>DAY(tbl_Kalender[[#This Row],[Datum]])</f>
        <v>26</v>
      </c>
      <c r="D666" t="str">
        <f>TEXT(tbl_Kalender[[#This Row],[Datum]],"TTTT")</f>
        <v>Sonntag</v>
      </c>
      <c r="E666">
        <f>WEEKDAY(tbl_Kalender[[#This Row],[Datum]],2)</f>
        <v>7</v>
      </c>
      <c r="F666">
        <f>MONTH(tbl_Kalender[[#This Row],[Datum]])</f>
        <v>10</v>
      </c>
      <c r="G666" t="str">
        <f>TEXT(tbl_Kalender[[#This Row],[Datum]],"MMMM")</f>
        <v>Oktober</v>
      </c>
      <c r="H666">
        <f>ROUNDUP(tbl_Kalender[[#This Row],[Monat]]/3,0)</f>
        <v>4</v>
      </c>
      <c r="I666" t="str">
        <f>"Q "&amp;tbl_Kalender[[#This Row],[Quartal]]</f>
        <v>Q 4</v>
      </c>
      <c r="J666" t="str">
        <f>tbl_Kalender[[#This Row],[Quartal]]&amp;". Quartal"</f>
        <v>4. Quartal</v>
      </c>
      <c r="K666">
        <f>_xlfn.ISOWEEKNUM(tbl_Kalender[[#This Row],[Datum]])</f>
        <v>43</v>
      </c>
    </row>
    <row r="667" spans="1:11" x14ac:dyDescent="0.25">
      <c r="A667" s="1">
        <v>45957</v>
      </c>
      <c r="B667">
        <f>YEAR(tbl_Kalender[[#This Row],[Datum]])</f>
        <v>2025</v>
      </c>
      <c r="C667">
        <f>DAY(tbl_Kalender[[#This Row],[Datum]])</f>
        <v>27</v>
      </c>
      <c r="D667" t="str">
        <f>TEXT(tbl_Kalender[[#This Row],[Datum]],"TTTT")</f>
        <v>Montag</v>
      </c>
      <c r="E667">
        <f>WEEKDAY(tbl_Kalender[[#This Row],[Datum]],2)</f>
        <v>1</v>
      </c>
      <c r="F667">
        <f>MONTH(tbl_Kalender[[#This Row],[Datum]])</f>
        <v>10</v>
      </c>
      <c r="G667" t="str">
        <f>TEXT(tbl_Kalender[[#This Row],[Datum]],"MMMM")</f>
        <v>Oktober</v>
      </c>
      <c r="H667">
        <f>ROUNDUP(tbl_Kalender[[#This Row],[Monat]]/3,0)</f>
        <v>4</v>
      </c>
      <c r="I667" t="str">
        <f>"Q "&amp;tbl_Kalender[[#This Row],[Quartal]]</f>
        <v>Q 4</v>
      </c>
      <c r="J667" t="str">
        <f>tbl_Kalender[[#This Row],[Quartal]]&amp;". Quartal"</f>
        <v>4. Quartal</v>
      </c>
      <c r="K667">
        <f>_xlfn.ISOWEEKNUM(tbl_Kalender[[#This Row],[Datum]])</f>
        <v>44</v>
      </c>
    </row>
    <row r="668" spans="1:11" x14ac:dyDescent="0.25">
      <c r="A668" s="1">
        <v>45958</v>
      </c>
      <c r="B668">
        <f>YEAR(tbl_Kalender[[#This Row],[Datum]])</f>
        <v>2025</v>
      </c>
      <c r="C668">
        <f>DAY(tbl_Kalender[[#This Row],[Datum]])</f>
        <v>28</v>
      </c>
      <c r="D668" t="str">
        <f>TEXT(tbl_Kalender[[#This Row],[Datum]],"TTTT")</f>
        <v>Dienstag</v>
      </c>
      <c r="E668">
        <f>WEEKDAY(tbl_Kalender[[#This Row],[Datum]],2)</f>
        <v>2</v>
      </c>
      <c r="F668">
        <f>MONTH(tbl_Kalender[[#This Row],[Datum]])</f>
        <v>10</v>
      </c>
      <c r="G668" t="str">
        <f>TEXT(tbl_Kalender[[#This Row],[Datum]],"MMMM")</f>
        <v>Oktober</v>
      </c>
      <c r="H668">
        <f>ROUNDUP(tbl_Kalender[[#This Row],[Monat]]/3,0)</f>
        <v>4</v>
      </c>
      <c r="I668" t="str">
        <f>"Q "&amp;tbl_Kalender[[#This Row],[Quartal]]</f>
        <v>Q 4</v>
      </c>
      <c r="J668" t="str">
        <f>tbl_Kalender[[#This Row],[Quartal]]&amp;". Quartal"</f>
        <v>4. Quartal</v>
      </c>
      <c r="K668">
        <f>_xlfn.ISOWEEKNUM(tbl_Kalender[[#This Row],[Datum]])</f>
        <v>44</v>
      </c>
    </row>
    <row r="669" spans="1:11" x14ac:dyDescent="0.25">
      <c r="A669" s="1">
        <v>45959</v>
      </c>
      <c r="B669">
        <f>YEAR(tbl_Kalender[[#This Row],[Datum]])</f>
        <v>2025</v>
      </c>
      <c r="C669">
        <f>DAY(tbl_Kalender[[#This Row],[Datum]])</f>
        <v>29</v>
      </c>
      <c r="D669" t="str">
        <f>TEXT(tbl_Kalender[[#This Row],[Datum]],"TTTT")</f>
        <v>Mittwoch</v>
      </c>
      <c r="E669">
        <f>WEEKDAY(tbl_Kalender[[#This Row],[Datum]],2)</f>
        <v>3</v>
      </c>
      <c r="F669">
        <f>MONTH(tbl_Kalender[[#This Row],[Datum]])</f>
        <v>10</v>
      </c>
      <c r="G669" t="str">
        <f>TEXT(tbl_Kalender[[#This Row],[Datum]],"MMMM")</f>
        <v>Oktober</v>
      </c>
      <c r="H669">
        <f>ROUNDUP(tbl_Kalender[[#This Row],[Monat]]/3,0)</f>
        <v>4</v>
      </c>
      <c r="I669" t="str">
        <f>"Q "&amp;tbl_Kalender[[#This Row],[Quartal]]</f>
        <v>Q 4</v>
      </c>
      <c r="J669" t="str">
        <f>tbl_Kalender[[#This Row],[Quartal]]&amp;". Quartal"</f>
        <v>4. Quartal</v>
      </c>
      <c r="K669">
        <f>_xlfn.ISOWEEKNUM(tbl_Kalender[[#This Row],[Datum]])</f>
        <v>44</v>
      </c>
    </row>
    <row r="670" spans="1:11" x14ac:dyDescent="0.25">
      <c r="A670" s="1">
        <v>45960</v>
      </c>
      <c r="B670">
        <f>YEAR(tbl_Kalender[[#This Row],[Datum]])</f>
        <v>2025</v>
      </c>
      <c r="C670">
        <f>DAY(tbl_Kalender[[#This Row],[Datum]])</f>
        <v>30</v>
      </c>
      <c r="D670" t="str">
        <f>TEXT(tbl_Kalender[[#This Row],[Datum]],"TTTT")</f>
        <v>Donnerstag</v>
      </c>
      <c r="E670">
        <f>WEEKDAY(tbl_Kalender[[#This Row],[Datum]],2)</f>
        <v>4</v>
      </c>
      <c r="F670">
        <f>MONTH(tbl_Kalender[[#This Row],[Datum]])</f>
        <v>10</v>
      </c>
      <c r="G670" t="str">
        <f>TEXT(tbl_Kalender[[#This Row],[Datum]],"MMMM")</f>
        <v>Oktober</v>
      </c>
      <c r="H670">
        <f>ROUNDUP(tbl_Kalender[[#This Row],[Monat]]/3,0)</f>
        <v>4</v>
      </c>
      <c r="I670" t="str">
        <f>"Q "&amp;tbl_Kalender[[#This Row],[Quartal]]</f>
        <v>Q 4</v>
      </c>
      <c r="J670" t="str">
        <f>tbl_Kalender[[#This Row],[Quartal]]&amp;". Quartal"</f>
        <v>4. Quartal</v>
      </c>
      <c r="K670">
        <f>_xlfn.ISOWEEKNUM(tbl_Kalender[[#This Row],[Datum]])</f>
        <v>44</v>
      </c>
    </row>
    <row r="671" spans="1:11" x14ac:dyDescent="0.25">
      <c r="A671" s="1">
        <v>45961</v>
      </c>
      <c r="B671">
        <f>YEAR(tbl_Kalender[[#This Row],[Datum]])</f>
        <v>2025</v>
      </c>
      <c r="C671">
        <f>DAY(tbl_Kalender[[#This Row],[Datum]])</f>
        <v>31</v>
      </c>
      <c r="D671" t="str">
        <f>TEXT(tbl_Kalender[[#This Row],[Datum]],"TTTT")</f>
        <v>Freitag</v>
      </c>
      <c r="E671">
        <f>WEEKDAY(tbl_Kalender[[#This Row],[Datum]],2)</f>
        <v>5</v>
      </c>
      <c r="F671">
        <f>MONTH(tbl_Kalender[[#This Row],[Datum]])</f>
        <v>10</v>
      </c>
      <c r="G671" t="str">
        <f>TEXT(tbl_Kalender[[#This Row],[Datum]],"MMMM")</f>
        <v>Oktober</v>
      </c>
      <c r="H671">
        <f>ROUNDUP(tbl_Kalender[[#This Row],[Monat]]/3,0)</f>
        <v>4</v>
      </c>
      <c r="I671" t="str">
        <f>"Q "&amp;tbl_Kalender[[#This Row],[Quartal]]</f>
        <v>Q 4</v>
      </c>
      <c r="J671" t="str">
        <f>tbl_Kalender[[#This Row],[Quartal]]&amp;". Quartal"</f>
        <v>4. Quartal</v>
      </c>
      <c r="K671">
        <f>_xlfn.ISOWEEKNUM(tbl_Kalender[[#This Row],[Datum]])</f>
        <v>44</v>
      </c>
    </row>
    <row r="672" spans="1:11" x14ac:dyDescent="0.25">
      <c r="A672" s="1">
        <v>45962</v>
      </c>
      <c r="B672">
        <f>YEAR(tbl_Kalender[[#This Row],[Datum]])</f>
        <v>2025</v>
      </c>
      <c r="C672">
        <f>DAY(tbl_Kalender[[#This Row],[Datum]])</f>
        <v>1</v>
      </c>
      <c r="D672" t="str">
        <f>TEXT(tbl_Kalender[[#This Row],[Datum]],"TTTT")</f>
        <v>Samstag</v>
      </c>
      <c r="E672">
        <f>WEEKDAY(tbl_Kalender[[#This Row],[Datum]],2)</f>
        <v>6</v>
      </c>
      <c r="F672">
        <f>MONTH(tbl_Kalender[[#This Row],[Datum]])</f>
        <v>11</v>
      </c>
      <c r="G672" t="str">
        <f>TEXT(tbl_Kalender[[#This Row],[Datum]],"MMMM")</f>
        <v>November</v>
      </c>
      <c r="H672">
        <f>ROUNDUP(tbl_Kalender[[#This Row],[Monat]]/3,0)</f>
        <v>4</v>
      </c>
      <c r="I672" t="str">
        <f>"Q "&amp;tbl_Kalender[[#This Row],[Quartal]]</f>
        <v>Q 4</v>
      </c>
      <c r="J672" t="str">
        <f>tbl_Kalender[[#This Row],[Quartal]]&amp;". Quartal"</f>
        <v>4. Quartal</v>
      </c>
      <c r="K672">
        <f>_xlfn.ISOWEEKNUM(tbl_Kalender[[#This Row],[Datum]])</f>
        <v>44</v>
      </c>
    </row>
    <row r="673" spans="1:11" x14ac:dyDescent="0.25">
      <c r="A673" s="1">
        <v>45963</v>
      </c>
      <c r="B673">
        <f>YEAR(tbl_Kalender[[#This Row],[Datum]])</f>
        <v>2025</v>
      </c>
      <c r="C673">
        <f>DAY(tbl_Kalender[[#This Row],[Datum]])</f>
        <v>2</v>
      </c>
      <c r="D673" t="str">
        <f>TEXT(tbl_Kalender[[#This Row],[Datum]],"TTTT")</f>
        <v>Sonntag</v>
      </c>
      <c r="E673">
        <f>WEEKDAY(tbl_Kalender[[#This Row],[Datum]],2)</f>
        <v>7</v>
      </c>
      <c r="F673">
        <f>MONTH(tbl_Kalender[[#This Row],[Datum]])</f>
        <v>11</v>
      </c>
      <c r="G673" t="str">
        <f>TEXT(tbl_Kalender[[#This Row],[Datum]],"MMMM")</f>
        <v>November</v>
      </c>
      <c r="H673">
        <f>ROUNDUP(tbl_Kalender[[#This Row],[Monat]]/3,0)</f>
        <v>4</v>
      </c>
      <c r="I673" t="str">
        <f>"Q "&amp;tbl_Kalender[[#This Row],[Quartal]]</f>
        <v>Q 4</v>
      </c>
      <c r="J673" t="str">
        <f>tbl_Kalender[[#This Row],[Quartal]]&amp;". Quartal"</f>
        <v>4. Quartal</v>
      </c>
      <c r="K673">
        <f>_xlfn.ISOWEEKNUM(tbl_Kalender[[#This Row],[Datum]])</f>
        <v>44</v>
      </c>
    </row>
    <row r="674" spans="1:11" x14ac:dyDescent="0.25">
      <c r="A674" s="1">
        <v>45964</v>
      </c>
      <c r="B674">
        <f>YEAR(tbl_Kalender[[#This Row],[Datum]])</f>
        <v>2025</v>
      </c>
      <c r="C674">
        <f>DAY(tbl_Kalender[[#This Row],[Datum]])</f>
        <v>3</v>
      </c>
      <c r="D674" t="str">
        <f>TEXT(tbl_Kalender[[#This Row],[Datum]],"TTTT")</f>
        <v>Montag</v>
      </c>
      <c r="E674">
        <f>WEEKDAY(tbl_Kalender[[#This Row],[Datum]],2)</f>
        <v>1</v>
      </c>
      <c r="F674">
        <f>MONTH(tbl_Kalender[[#This Row],[Datum]])</f>
        <v>11</v>
      </c>
      <c r="G674" t="str">
        <f>TEXT(tbl_Kalender[[#This Row],[Datum]],"MMMM")</f>
        <v>November</v>
      </c>
      <c r="H674">
        <f>ROUNDUP(tbl_Kalender[[#This Row],[Monat]]/3,0)</f>
        <v>4</v>
      </c>
      <c r="I674" t="str">
        <f>"Q "&amp;tbl_Kalender[[#This Row],[Quartal]]</f>
        <v>Q 4</v>
      </c>
      <c r="J674" t="str">
        <f>tbl_Kalender[[#This Row],[Quartal]]&amp;". Quartal"</f>
        <v>4. Quartal</v>
      </c>
      <c r="K674">
        <f>_xlfn.ISOWEEKNUM(tbl_Kalender[[#This Row],[Datum]])</f>
        <v>45</v>
      </c>
    </row>
    <row r="675" spans="1:11" x14ac:dyDescent="0.25">
      <c r="A675" s="1">
        <v>45965</v>
      </c>
      <c r="B675">
        <f>YEAR(tbl_Kalender[[#This Row],[Datum]])</f>
        <v>2025</v>
      </c>
      <c r="C675">
        <f>DAY(tbl_Kalender[[#This Row],[Datum]])</f>
        <v>4</v>
      </c>
      <c r="D675" t="str">
        <f>TEXT(tbl_Kalender[[#This Row],[Datum]],"TTTT")</f>
        <v>Dienstag</v>
      </c>
      <c r="E675">
        <f>WEEKDAY(tbl_Kalender[[#This Row],[Datum]],2)</f>
        <v>2</v>
      </c>
      <c r="F675">
        <f>MONTH(tbl_Kalender[[#This Row],[Datum]])</f>
        <v>11</v>
      </c>
      <c r="G675" t="str">
        <f>TEXT(tbl_Kalender[[#This Row],[Datum]],"MMMM")</f>
        <v>November</v>
      </c>
      <c r="H675">
        <f>ROUNDUP(tbl_Kalender[[#This Row],[Monat]]/3,0)</f>
        <v>4</v>
      </c>
      <c r="I675" t="str">
        <f>"Q "&amp;tbl_Kalender[[#This Row],[Quartal]]</f>
        <v>Q 4</v>
      </c>
      <c r="J675" t="str">
        <f>tbl_Kalender[[#This Row],[Quartal]]&amp;". Quartal"</f>
        <v>4. Quartal</v>
      </c>
      <c r="K675">
        <f>_xlfn.ISOWEEKNUM(tbl_Kalender[[#This Row],[Datum]])</f>
        <v>45</v>
      </c>
    </row>
    <row r="676" spans="1:11" x14ac:dyDescent="0.25">
      <c r="A676" s="1">
        <v>45966</v>
      </c>
      <c r="B676">
        <f>YEAR(tbl_Kalender[[#This Row],[Datum]])</f>
        <v>2025</v>
      </c>
      <c r="C676">
        <f>DAY(tbl_Kalender[[#This Row],[Datum]])</f>
        <v>5</v>
      </c>
      <c r="D676" t="str">
        <f>TEXT(tbl_Kalender[[#This Row],[Datum]],"TTTT")</f>
        <v>Mittwoch</v>
      </c>
      <c r="E676">
        <f>WEEKDAY(tbl_Kalender[[#This Row],[Datum]],2)</f>
        <v>3</v>
      </c>
      <c r="F676">
        <f>MONTH(tbl_Kalender[[#This Row],[Datum]])</f>
        <v>11</v>
      </c>
      <c r="G676" t="str">
        <f>TEXT(tbl_Kalender[[#This Row],[Datum]],"MMMM")</f>
        <v>November</v>
      </c>
      <c r="H676">
        <f>ROUNDUP(tbl_Kalender[[#This Row],[Monat]]/3,0)</f>
        <v>4</v>
      </c>
      <c r="I676" t="str">
        <f>"Q "&amp;tbl_Kalender[[#This Row],[Quartal]]</f>
        <v>Q 4</v>
      </c>
      <c r="J676" t="str">
        <f>tbl_Kalender[[#This Row],[Quartal]]&amp;". Quartal"</f>
        <v>4. Quartal</v>
      </c>
      <c r="K676">
        <f>_xlfn.ISOWEEKNUM(tbl_Kalender[[#This Row],[Datum]])</f>
        <v>45</v>
      </c>
    </row>
    <row r="677" spans="1:11" x14ac:dyDescent="0.25">
      <c r="A677" s="1">
        <v>45967</v>
      </c>
      <c r="B677">
        <f>YEAR(tbl_Kalender[[#This Row],[Datum]])</f>
        <v>2025</v>
      </c>
      <c r="C677">
        <f>DAY(tbl_Kalender[[#This Row],[Datum]])</f>
        <v>6</v>
      </c>
      <c r="D677" t="str">
        <f>TEXT(tbl_Kalender[[#This Row],[Datum]],"TTTT")</f>
        <v>Donnerstag</v>
      </c>
      <c r="E677">
        <f>WEEKDAY(tbl_Kalender[[#This Row],[Datum]],2)</f>
        <v>4</v>
      </c>
      <c r="F677">
        <f>MONTH(tbl_Kalender[[#This Row],[Datum]])</f>
        <v>11</v>
      </c>
      <c r="G677" t="str">
        <f>TEXT(tbl_Kalender[[#This Row],[Datum]],"MMMM")</f>
        <v>November</v>
      </c>
      <c r="H677">
        <f>ROUNDUP(tbl_Kalender[[#This Row],[Monat]]/3,0)</f>
        <v>4</v>
      </c>
      <c r="I677" t="str">
        <f>"Q "&amp;tbl_Kalender[[#This Row],[Quartal]]</f>
        <v>Q 4</v>
      </c>
      <c r="J677" t="str">
        <f>tbl_Kalender[[#This Row],[Quartal]]&amp;". Quartal"</f>
        <v>4. Quartal</v>
      </c>
      <c r="K677">
        <f>_xlfn.ISOWEEKNUM(tbl_Kalender[[#This Row],[Datum]])</f>
        <v>45</v>
      </c>
    </row>
    <row r="678" spans="1:11" x14ac:dyDescent="0.25">
      <c r="A678" s="1">
        <v>45968</v>
      </c>
      <c r="B678">
        <f>YEAR(tbl_Kalender[[#This Row],[Datum]])</f>
        <v>2025</v>
      </c>
      <c r="C678">
        <f>DAY(tbl_Kalender[[#This Row],[Datum]])</f>
        <v>7</v>
      </c>
      <c r="D678" t="str">
        <f>TEXT(tbl_Kalender[[#This Row],[Datum]],"TTTT")</f>
        <v>Freitag</v>
      </c>
      <c r="E678">
        <f>WEEKDAY(tbl_Kalender[[#This Row],[Datum]],2)</f>
        <v>5</v>
      </c>
      <c r="F678">
        <f>MONTH(tbl_Kalender[[#This Row],[Datum]])</f>
        <v>11</v>
      </c>
      <c r="G678" t="str">
        <f>TEXT(tbl_Kalender[[#This Row],[Datum]],"MMMM")</f>
        <v>November</v>
      </c>
      <c r="H678">
        <f>ROUNDUP(tbl_Kalender[[#This Row],[Monat]]/3,0)</f>
        <v>4</v>
      </c>
      <c r="I678" t="str">
        <f>"Q "&amp;tbl_Kalender[[#This Row],[Quartal]]</f>
        <v>Q 4</v>
      </c>
      <c r="J678" t="str">
        <f>tbl_Kalender[[#This Row],[Quartal]]&amp;". Quartal"</f>
        <v>4. Quartal</v>
      </c>
      <c r="K678">
        <f>_xlfn.ISOWEEKNUM(tbl_Kalender[[#This Row],[Datum]])</f>
        <v>45</v>
      </c>
    </row>
    <row r="679" spans="1:11" x14ac:dyDescent="0.25">
      <c r="A679" s="1">
        <v>45969</v>
      </c>
      <c r="B679">
        <f>YEAR(tbl_Kalender[[#This Row],[Datum]])</f>
        <v>2025</v>
      </c>
      <c r="C679">
        <f>DAY(tbl_Kalender[[#This Row],[Datum]])</f>
        <v>8</v>
      </c>
      <c r="D679" t="str">
        <f>TEXT(tbl_Kalender[[#This Row],[Datum]],"TTTT")</f>
        <v>Samstag</v>
      </c>
      <c r="E679">
        <f>WEEKDAY(tbl_Kalender[[#This Row],[Datum]],2)</f>
        <v>6</v>
      </c>
      <c r="F679">
        <f>MONTH(tbl_Kalender[[#This Row],[Datum]])</f>
        <v>11</v>
      </c>
      <c r="G679" t="str">
        <f>TEXT(tbl_Kalender[[#This Row],[Datum]],"MMMM")</f>
        <v>November</v>
      </c>
      <c r="H679">
        <f>ROUNDUP(tbl_Kalender[[#This Row],[Monat]]/3,0)</f>
        <v>4</v>
      </c>
      <c r="I679" t="str">
        <f>"Q "&amp;tbl_Kalender[[#This Row],[Quartal]]</f>
        <v>Q 4</v>
      </c>
      <c r="J679" t="str">
        <f>tbl_Kalender[[#This Row],[Quartal]]&amp;". Quartal"</f>
        <v>4. Quartal</v>
      </c>
      <c r="K679">
        <f>_xlfn.ISOWEEKNUM(tbl_Kalender[[#This Row],[Datum]])</f>
        <v>45</v>
      </c>
    </row>
    <row r="680" spans="1:11" x14ac:dyDescent="0.25">
      <c r="A680" s="1">
        <v>45970</v>
      </c>
      <c r="B680">
        <f>YEAR(tbl_Kalender[[#This Row],[Datum]])</f>
        <v>2025</v>
      </c>
      <c r="C680">
        <f>DAY(tbl_Kalender[[#This Row],[Datum]])</f>
        <v>9</v>
      </c>
      <c r="D680" t="str">
        <f>TEXT(tbl_Kalender[[#This Row],[Datum]],"TTTT")</f>
        <v>Sonntag</v>
      </c>
      <c r="E680">
        <f>WEEKDAY(tbl_Kalender[[#This Row],[Datum]],2)</f>
        <v>7</v>
      </c>
      <c r="F680">
        <f>MONTH(tbl_Kalender[[#This Row],[Datum]])</f>
        <v>11</v>
      </c>
      <c r="G680" t="str">
        <f>TEXT(tbl_Kalender[[#This Row],[Datum]],"MMMM")</f>
        <v>November</v>
      </c>
      <c r="H680">
        <f>ROUNDUP(tbl_Kalender[[#This Row],[Monat]]/3,0)</f>
        <v>4</v>
      </c>
      <c r="I680" t="str">
        <f>"Q "&amp;tbl_Kalender[[#This Row],[Quartal]]</f>
        <v>Q 4</v>
      </c>
      <c r="J680" t="str">
        <f>tbl_Kalender[[#This Row],[Quartal]]&amp;". Quartal"</f>
        <v>4. Quartal</v>
      </c>
      <c r="K680">
        <f>_xlfn.ISOWEEKNUM(tbl_Kalender[[#This Row],[Datum]])</f>
        <v>45</v>
      </c>
    </row>
    <row r="681" spans="1:11" x14ac:dyDescent="0.25">
      <c r="A681" s="1">
        <v>45971</v>
      </c>
      <c r="B681">
        <f>YEAR(tbl_Kalender[[#This Row],[Datum]])</f>
        <v>2025</v>
      </c>
      <c r="C681">
        <f>DAY(tbl_Kalender[[#This Row],[Datum]])</f>
        <v>10</v>
      </c>
      <c r="D681" t="str">
        <f>TEXT(tbl_Kalender[[#This Row],[Datum]],"TTTT")</f>
        <v>Montag</v>
      </c>
      <c r="E681">
        <f>WEEKDAY(tbl_Kalender[[#This Row],[Datum]],2)</f>
        <v>1</v>
      </c>
      <c r="F681">
        <f>MONTH(tbl_Kalender[[#This Row],[Datum]])</f>
        <v>11</v>
      </c>
      <c r="G681" t="str">
        <f>TEXT(tbl_Kalender[[#This Row],[Datum]],"MMMM")</f>
        <v>November</v>
      </c>
      <c r="H681">
        <f>ROUNDUP(tbl_Kalender[[#This Row],[Monat]]/3,0)</f>
        <v>4</v>
      </c>
      <c r="I681" t="str">
        <f>"Q "&amp;tbl_Kalender[[#This Row],[Quartal]]</f>
        <v>Q 4</v>
      </c>
      <c r="J681" t="str">
        <f>tbl_Kalender[[#This Row],[Quartal]]&amp;". Quartal"</f>
        <v>4. Quartal</v>
      </c>
      <c r="K681">
        <f>_xlfn.ISOWEEKNUM(tbl_Kalender[[#This Row],[Datum]])</f>
        <v>46</v>
      </c>
    </row>
    <row r="682" spans="1:11" x14ac:dyDescent="0.25">
      <c r="A682" s="1">
        <v>45972</v>
      </c>
      <c r="B682">
        <f>YEAR(tbl_Kalender[[#This Row],[Datum]])</f>
        <v>2025</v>
      </c>
      <c r="C682">
        <f>DAY(tbl_Kalender[[#This Row],[Datum]])</f>
        <v>11</v>
      </c>
      <c r="D682" t="str">
        <f>TEXT(tbl_Kalender[[#This Row],[Datum]],"TTTT")</f>
        <v>Dienstag</v>
      </c>
      <c r="E682">
        <f>WEEKDAY(tbl_Kalender[[#This Row],[Datum]],2)</f>
        <v>2</v>
      </c>
      <c r="F682">
        <f>MONTH(tbl_Kalender[[#This Row],[Datum]])</f>
        <v>11</v>
      </c>
      <c r="G682" t="str">
        <f>TEXT(tbl_Kalender[[#This Row],[Datum]],"MMMM")</f>
        <v>November</v>
      </c>
      <c r="H682">
        <f>ROUNDUP(tbl_Kalender[[#This Row],[Monat]]/3,0)</f>
        <v>4</v>
      </c>
      <c r="I682" t="str">
        <f>"Q "&amp;tbl_Kalender[[#This Row],[Quartal]]</f>
        <v>Q 4</v>
      </c>
      <c r="J682" t="str">
        <f>tbl_Kalender[[#This Row],[Quartal]]&amp;". Quartal"</f>
        <v>4. Quartal</v>
      </c>
      <c r="K682">
        <f>_xlfn.ISOWEEKNUM(tbl_Kalender[[#This Row],[Datum]])</f>
        <v>46</v>
      </c>
    </row>
    <row r="683" spans="1:11" x14ac:dyDescent="0.25">
      <c r="A683" s="1">
        <v>45973</v>
      </c>
      <c r="B683">
        <f>YEAR(tbl_Kalender[[#This Row],[Datum]])</f>
        <v>2025</v>
      </c>
      <c r="C683">
        <f>DAY(tbl_Kalender[[#This Row],[Datum]])</f>
        <v>12</v>
      </c>
      <c r="D683" t="str">
        <f>TEXT(tbl_Kalender[[#This Row],[Datum]],"TTTT")</f>
        <v>Mittwoch</v>
      </c>
      <c r="E683">
        <f>WEEKDAY(tbl_Kalender[[#This Row],[Datum]],2)</f>
        <v>3</v>
      </c>
      <c r="F683">
        <f>MONTH(tbl_Kalender[[#This Row],[Datum]])</f>
        <v>11</v>
      </c>
      <c r="G683" t="str">
        <f>TEXT(tbl_Kalender[[#This Row],[Datum]],"MMMM")</f>
        <v>November</v>
      </c>
      <c r="H683">
        <f>ROUNDUP(tbl_Kalender[[#This Row],[Monat]]/3,0)</f>
        <v>4</v>
      </c>
      <c r="I683" t="str">
        <f>"Q "&amp;tbl_Kalender[[#This Row],[Quartal]]</f>
        <v>Q 4</v>
      </c>
      <c r="J683" t="str">
        <f>tbl_Kalender[[#This Row],[Quartal]]&amp;". Quartal"</f>
        <v>4. Quartal</v>
      </c>
      <c r="K683">
        <f>_xlfn.ISOWEEKNUM(tbl_Kalender[[#This Row],[Datum]])</f>
        <v>46</v>
      </c>
    </row>
    <row r="684" spans="1:11" x14ac:dyDescent="0.25">
      <c r="A684" s="1">
        <v>45974</v>
      </c>
      <c r="B684">
        <f>YEAR(tbl_Kalender[[#This Row],[Datum]])</f>
        <v>2025</v>
      </c>
      <c r="C684">
        <f>DAY(tbl_Kalender[[#This Row],[Datum]])</f>
        <v>13</v>
      </c>
      <c r="D684" t="str">
        <f>TEXT(tbl_Kalender[[#This Row],[Datum]],"TTTT")</f>
        <v>Donnerstag</v>
      </c>
      <c r="E684">
        <f>WEEKDAY(tbl_Kalender[[#This Row],[Datum]],2)</f>
        <v>4</v>
      </c>
      <c r="F684">
        <f>MONTH(tbl_Kalender[[#This Row],[Datum]])</f>
        <v>11</v>
      </c>
      <c r="G684" t="str">
        <f>TEXT(tbl_Kalender[[#This Row],[Datum]],"MMMM")</f>
        <v>November</v>
      </c>
      <c r="H684">
        <f>ROUNDUP(tbl_Kalender[[#This Row],[Monat]]/3,0)</f>
        <v>4</v>
      </c>
      <c r="I684" t="str">
        <f>"Q "&amp;tbl_Kalender[[#This Row],[Quartal]]</f>
        <v>Q 4</v>
      </c>
      <c r="J684" t="str">
        <f>tbl_Kalender[[#This Row],[Quartal]]&amp;". Quartal"</f>
        <v>4. Quartal</v>
      </c>
      <c r="K684">
        <f>_xlfn.ISOWEEKNUM(tbl_Kalender[[#This Row],[Datum]])</f>
        <v>46</v>
      </c>
    </row>
    <row r="685" spans="1:11" x14ac:dyDescent="0.25">
      <c r="A685" s="1">
        <v>45975</v>
      </c>
      <c r="B685">
        <f>YEAR(tbl_Kalender[[#This Row],[Datum]])</f>
        <v>2025</v>
      </c>
      <c r="C685">
        <f>DAY(tbl_Kalender[[#This Row],[Datum]])</f>
        <v>14</v>
      </c>
      <c r="D685" t="str">
        <f>TEXT(tbl_Kalender[[#This Row],[Datum]],"TTTT")</f>
        <v>Freitag</v>
      </c>
      <c r="E685">
        <f>WEEKDAY(tbl_Kalender[[#This Row],[Datum]],2)</f>
        <v>5</v>
      </c>
      <c r="F685">
        <f>MONTH(tbl_Kalender[[#This Row],[Datum]])</f>
        <v>11</v>
      </c>
      <c r="G685" t="str">
        <f>TEXT(tbl_Kalender[[#This Row],[Datum]],"MMMM")</f>
        <v>November</v>
      </c>
      <c r="H685">
        <f>ROUNDUP(tbl_Kalender[[#This Row],[Monat]]/3,0)</f>
        <v>4</v>
      </c>
      <c r="I685" t="str">
        <f>"Q "&amp;tbl_Kalender[[#This Row],[Quartal]]</f>
        <v>Q 4</v>
      </c>
      <c r="J685" t="str">
        <f>tbl_Kalender[[#This Row],[Quartal]]&amp;". Quartal"</f>
        <v>4. Quartal</v>
      </c>
      <c r="K685">
        <f>_xlfn.ISOWEEKNUM(tbl_Kalender[[#This Row],[Datum]])</f>
        <v>46</v>
      </c>
    </row>
    <row r="686" spans="1:11" x14ac:dyDescent="0.25">
      <c r="A686" s="1">
        <v>45976</v>
      </c>
      <c r="B686">
        <f>YEAR(tbl_Kalender[[#This Row],[Datum]])</f>
        <v>2025</v>
      </c>
      <c r="C686">
        <f>DAY(tbl_Kalender[[#This Row],[Datum]])</f>
        <v>15</v>
      </c>
      <c r="D686" t="str">
        <f>TEXT(tbl_Kalender[[#This Row],[Datum]],"TTTT")</f>
        <v>Samstag</v>
      </c>
      <c r="E686">
        <f>WEEKDAY(tbl_Kalender[[#This Row],[Datum]],2)</f>
        <v>6</v>
      </c>
      <c r="F686">
        <f>MONTH(tbl_Kalender[[#This Row],[Datum]])</f>
        <v>11</v>
      </c>
      <c r="G686" t="str">
        <f>TEXT(tbl_Kalender[[#This Row],[Datum]],"MMMM")</f>
        <v>November</v>
      </c>
      <c r="H686">
        <f>ROUNDUP(tbl_Kalender[[#This Row],[Monat]]/3,0)</f>
        <v>4</v>
      </c>
      <c r="I686" t="str">
        <f>"Q "&amp;tbl_Kalender[[#This Row],[Quartal]]</f>
        <v>Q 4</v>
      </c>
      <c r="J686" t="str">
        <f>tbl_Kalender[[#This Row],[Quartal]]&amp;". Quartal"</f>
        <v>4. Quartal</v>
      </c>
      <c r="K686">
        <f>_xlfn.ISOWEEKNUM(tbl_Kalender[[#This Row],[Datum]])</f>
        <v>46</v>
      </c>
    </row>
    <row r="687" spans="1:11" x14ac:dyDescent="0.25">
      <c r="A687" s="1">
        <v>45977</v>
      </c>
      <c r="B687">
        <f>YEAR(tbl_Kalender[[#This Row],[Datum]])</f>
        <v>2025</v>
      </c>
      <c r="C687">
        <f>DAY(tbl_Kalender[[#This Row],[Datum]])</f>
        <v>16</v>
      </c>
      <c r="D687" t="str">
        <f>TEXT(tbl_Kalender[[#This Row],[Datum]],"TTTT")</f>
        <v>Sonntag</v>
      </c>
      <c r="E687">
        <f>WEEKDAY(tbl_Kalender[[#This Row],[Datum]],2)</f>
        <v>7</v>
      </c>
      <c r="F687">
        <f>MONTH(tbl_Kalender[[#This Row],[Datum]])</f>
        <v>11</v>
      </c>
      <c r="G687" t="str">
        <f>TEXT(tbl_Kalender[[#This Row],[Datum]],"MMMM")</f>
        <v>November</v>
      </c>
      <c r="H687">
        <f>ROUNDUP(tbl_Kalender[[#This Row],[Monat]]/3,0)</f>
        <v>4</v>
      </c>
      <c r="I687" t="str">
        <f>"Q "&amp;tbl_Kalender[[#This Row],[Quartal]]</f>
        <v>Q 4</v>
      </c>
      <c r="J687" t="str">
        <f>tbl_Kalender[[#This Row],[Quartal]]&amp;". Quartal"</f>
        <v>4. Quartal</v>
      </c>
      <c r="K687">
        <f>_xlfn.ISOWEEKNUM(tbl_Kalender[[#This Row],[Datum]])</f>
        <v>46</v>
      </c>
    </row>
    <row r="688" spans="1:11" x14ac:dyDescent="0.25">
      <c r="A688" s="1">
        <v>45978</v>
      </c>
      <c r="B688">
        <f>YEAR(tbl_Kalender[[#This Row],[Datum]])</f>
        <v>2025</v>
      </c>
      <c r="C688">
        <f>DAY(tbl_Kalender[[#This Row],[Datum]])</f>
        <v>17</v>
      </c>
      <c r="D688" t="str">
        <f>TEXT(tbl_Kalender[[#This Row],[Datum]],"TTTT")</f>
        <v>Montag</v>
      </c>
      <c r="E688">
        <f>WEEKDAY(tbl_Kalender[[#This Row],[Datum]],2)</f>
        <v>1</v>
      </c>
      <c r="F688">
        <f>MONTH(tbl_Kalender[[#This Row],[Datum]])</f>
        <v>11</v>
      </c>
      <c r="G688" t="str">
        <f>TEXT(tbl_Kalender[[#This Row],[Datum]],"MMMM")</f>
        <v>November</v>
      </c>
      <c r="H688">
        <f>ROUNDUP(tbl_Kalender[[#This Row],[Monat]]/3,0)</f>
        <v>4</v>
      </c>
      <c r="I688" t="str">
        <f>"Q "&amp;tbl_Kalender[[#This Row],[Quartal]]</f>
        <v>Q 4</v>
      </c>
      <c r="J688" t="str">
        <f>tbl_Kalender[[#This Row],[Quartal]]&amp;". Quartal"</f>
        <v>4. Quartal</v>
      </c>
      <c r="K688">
        <f>_xlfn.ISOWEEKNUM(tbl_Kalender[[#This Row],[Datum]])</f>
        <v>47</v>
      </c>
    </row>
    <row r="689" spans="1:11" x14ac:dyDescent="0.25">
      <c r="A689" s="1">
        <v>45979</v>
      </c>
      <c r="B689">
        <f>YEAR(tbl_Kalender[[#This Row],[Datum]])</f>
        <v>2025</v>
      </c>
      <c r="C689">
        <f>DAY(tbl_Kalender[[#This Row],[Datum]])</f>
        <v>18</v>
      </c>
      <c r="D689" t="str">
        <f>TEXT(tbl_Kalender[[#This Row],[Datum]],"TTTT")</f>
        <v>Dienstag</v>
      </c>
      <c r="E689">
        <f>WEEKDAY(tbl_Kalender[[#This Row],[Datum]],2)</f>
        <v>2</v>
      </c>
      <c r="F689">
        <f>MONTH(tbl_Kalender[[#This Row],[Datum]])</f>
        <v>11</v>
      </c>
      <c r="G689" t="str">
        <f>TEXT(tbl_Kalender[[#This Row],[Datum]],"MMMM")</f>
        <v>November</v>
      </c>
      <c r="H689">
        <f>ROUNDUP(tbl_Kalender[[#This Row],[Monat]]/3,0)</f>
        <v>4</v>
      </c>
      <c r="I689" t="str">
        <f>"Q "&amp;tbl_Kalender[[#This Row],[Quartal]]</f>
        <v>Q 4</v>
      </c>
      <c r="J689" t="str">
        <f>tbl_Kalender[[#This Row],[Quartal]]&amp;". Quartal"</f>
        <v>4. Quartal</v>
      </c>
      <c r="K689">
        <f>_xlfn.ISOWEEKNUM(tbl_Kalender[[#This Row],[Datum]])</f>
        <v>47</v>
      </c>
    </row>
    <row r="690" spans="1:11" x14ac:dyDescent="0.25">
      <c r="A690" s="1">
        <v>45980</v>
      </c>
      <c r="B690">
        <f>YEAR(tbl_Kalender[[#This Row],[Datum]])</f>
        <v>2025</v>
      </c>
      <c r="C690">
        <f>DAY(tbl_Kalender[[#This Row],[Datum]])</f>
        <v>19</v>
      </c>
      <c r="D690" t="str">
        <f>TEXT(tbl_Kalender[[#This Row],[Datum]],"TTTT")</f>
        <v>Mittwoch</v>
      </c>
      <c r="E690">
        <f>WEEKDAY(tbl_Kalender[[#This Row],[Datum]],2)</f>
        <v>3</v>
      </c>
      <c r="F690">
        <f>MONTH(tbl_Kalender[[#This Row],[Datum]])</f>
        <v>11</v>
      </c>
      <c r="G690" t="str">
        <f>TEXT(tbl_Kalender[[#This Row],[Datum]],"MMMM")</f>
        <v>November</v>
      </c>
      <c r="H690">
        <f>ROUNDUP(tbl_Kalender[[#This Row],[Monat]]/3,0)</f>
        <v>4</v>
      </c>
      <c r="I690" t="str">
        <f>"Q "&amp;tbl_Kalender[[#This Row],[Quartal]]</f>
        <v>Q 4</v>
      </c>
      <c r="J690" t="str">
        <f>tbl_Kalender[[#This Row],[Quartal]]&amp;". Quartal"</f>
        <v>4. Quartal</v>
      </c>
      <c r="K690">
        <f>_xlfn.ISOWEEKNUM(tbl_Kalender[[#This Row],[Datum]])</f>
        <v>47</v>
      </c>
    </row>
    <row r="691" spans="1:11" x14ac:dyDescent="0.25">
      <c r="A691" s="1">
        <v>45981</v>
      </c>
      <c r="B691">
        <f>YEAR(tbl_Kalender[[#This Row],[Datum]])</f>
        <v>2025</v>
      </c>
      <c r="C691">
        <f>DAY(tbl_Kalender[[#This Row],[Datum]])</f>
        <v>20</v>
      </c>
      <c r="D691" t="str">
        <f>TEXT(tbl_Kalender[[#This Row],[Datum]],"TTTT")</f>
        <v>Donnerstag</v>
      </c>
      <c r="E691">
        <f>WEEKDAY(tbl_Kalender[[#This Row],[Datum]],2)</f>
        <v>4</v>
      </c>
      <c r="F691">
        <f>MONTH(tbl_Kalender[[#This Row],[Datum]])</f>
        <v>11</v>
      </c>
      <c r="G691" t="str">
        <f>TEXT(tbl_Kalender[[#This Row],[Datum]],"MMMM")</f>
        <v>November</v>
      </c>
      <c r="H691">
        <f>ROUNDUP(tbl_Kalender[[#This Row],[Monat]]/3,0)</f>
        <v>4</v>
      </c>
      <c r="I691" t="str">
        <f>"Q "&amp;tbl_Kalender[[#This Row],[Quartal]]</f>
        <v>Q 4</v>
      </c>
      <c r="J691" t="str">
        <f>tbl_Kalender[[#This Row],[Quartal]]&amp;". Quartal"</f>
        <v>4. Quartal</v>
      </c>
      <c r="K691">
        <f>_xlfn.ISOWEEKNUM(tbl_Kalender[[#This Row],[Datum]])</f>
        <v>47</v>
      </c>
    </row>
    <row r="692" spans="1:11" x14ac:dyDescent="0.25">
      <c r="A692" s="1">
        <v>45982</v>
      </c>
      <c r="B692">
        <f>YEAR(tbl_Kalender[[#This Row],[Datum]])</f>
        <v>2025</v>
      </c>
      <c r="C692">
        <f>DAY(tbl_Kalender[[#This Row],[Datum]])</f>
        <v>21</v>
      </c>
      <c r="D692" t="str">
        <f>TEXT(tbl_Kalender[[#This Row],[Datum]],"TTTT")</f>
        <v>Freitag</v>
      </c>
      <c r="E692">
        <f>WEEKDAY(tbl_Kalender[[#This Row],[Datum]],2)</f>
        <v>5</v>
      </c>
      <c r="F692">
        <f>MONTH(tbl_Kalender[[#This Row],[Datum]])</f>
        <v>11</v>
      </c>
      <c r="G692" t="str">
        <f>TEXT(tbl_Kalender[[#This Row],[Datum]],"MMMM")</f>
        <v>November</v>
      </c>
      <c r="H692">
        <f>ROUNDUP(tbl_Kalender[[#This Row],[Monat]]/3,0)</f>
        <v>4</v>
      </c>
      <c r="I692" t="str">
        <f>"Q "&amp;tbl_Kalender[[#This Row],[Quartal]]</f>
        <v>Q 4</v>
      </c>
      <c r="J692" t="str">
        <f>tbl_Kalender[[#This Row],[Quartal]]&amp;". Quartal"</f>
        <v>4. Quartal</v>
      </c>
      <c r="K692">
        <f>_xlfn.ISOWEEKNUM(tbl_Kalender[[#This Row],[Datum]])</f>
        <v>47</v>
      </c>
    </row>
    <row r="693" spans="1:11" x14ac:dyDescent="0.25">
      <c r="A693" s="1">
        <v>45983</v>
      </c>
      <c r="B693">
        <f>YEAR(tbl_Kalender[[#This Row],[Datum]])</f>
        <v>2025</v>
      </c>
      <c r="C693">
        <f>DAY(tbl_Kalender[[#This Row],[Datum]])</f>
        <v>22</v>
      </c>
      <c r="D693" t="str">
        <f>TEXT(tbl_Kalender[[#This Row],[Datum]],"TTTT")</f>
        <v>Samstag</v>
      </c>
      <c r="E693">
        <f>WEEKDAY(tbl_Kalender[[#This Row],[Datum]],2)</f>
        <v>6</v>
      </c>
      <c r="F693">
        <f>MONTH(tbl_Kalender[[#This Row],[Datum]])</f>
        <v>11</v>
      </c>
      <c r="G693" t="str">
        <f>TEXT(tbl_Kalender[[#This Row],[Datum]],"MMMM")</f>
        <v>November</v>
      </c>
      <c r="H693">
        <f>ROUNDUP(tbl_Kalender[[#This Row],[Monat]]/3,0)</f>
        <v>4</v>
      </c>
      <c r="I693" t="str">
        <f>"Q "&amp;tbl_Kalender[[#This Row],[Quartal]]</f>
        <v>Q 4</v>
      </c>
      <c r="J693" t="str">
        <f>tbl_Kalender[[#This Row],[Quartal]]&amp;". Quartal"</f>
        <v>4. Quartal</v>
      </c>
      <c r="K693">
        <f>_xlfn.ISOWEEKNUM(tbl_Kalender[[#This Row],[Datum]])</f>
        <v>47</v>
      </c>
    </row>
    <row r="694" spans="1:11" x14ac:dyDescent="0.25">
      <c r="A694" s="1">
        <v>45984</v>
      </c>
      <c r="B694">
        <f>YEAR(tbl_Kalender[[#This Row],[Datum]])</f>
        <v>2025</v>
      </c>
      <c r="C694">
        <f>DAY(tbl_Kalender[[#This Row],[Datum]])</f>
        <v>23</v>
      </c>
      <c r="D694" t="str">
        <f>TEXT(tbl_Kalender[[#This Row],[Datum]],"TTTT")</f>
        <v>Sonntag</v>
      </c>
      <c r="E694">
        <f>WEEKDAY(tbl_Kalender[[#This Row],[Datum]],2)</f>
        <v>7</v>
      </c>
      <c r="F694">
        <f>MONTH(tbl_Kalender[[#This Row],[Datum]])</f>
        <v>11</v>
      </c>
      <c r="G694" t="str">
        <f>TEXT(tbl_Kalender[[#This Row],[Datum]],"MMMM")</f>
        <v>November</v>
      </c>
      <c r="H694">
        <f>ROUNDUP(tbl_Kalender[[#This Row],[Monat]]/3,0)</f>
        <v>4</v>
      </c>
      <c r="I694" t="str">
        <f>"Q "&amp;tbl_Kalender[[#This Row],[Quartal]]</f>
        <v>Q 4</v>
      </c>
      <c r="J694" t="str">
        <f>tbl_Kalender[[#This Row],[Quartal]]&amp;". Quartal"</f>
        <v>4. Quartal</v>
      </c>
      <c r="K694">
        <f>_xlfn.ISOWEEKNUM(tbl_Kalender[[#This Row],[Datum]])</f>
        <v>47</v>
      </c>
    </row>
    <row r="695" spans="1:11" x14ac:dyDescent="0.25">
      <c r="A695" s="1">
        <v>45985</v>
      </c>
      <c r="B695">
        <f>YEAR(tbl_Kalender[[#This Row],[Datum]])</f>
        <v>2025</v>
      </c>
      <c r="C695">
        <f>DAY(tbl_Kalender[[#This Row],[Datum]])</f>
        <v>24</v>
      </c>
      <c r="D695" t="str">
        <f>TEXT(tbl_Kalender[[#This Row],[Datum]],"TTTT")</f>
        <v>Montag</v>
      </c>
      <c r="E695">
        <f>WEEKDAY(tbl_Kalender[[#This Row],[Datum]],2)</f>
        <v>1</v>
      </c>
      <c r="F695">
        <f>MONTH(tbl_Kalender[[#This Row],[Datum]])</f>
        <v>11</v>
      </c>
      <c r="G695" t="str">
        <f>TEXT(tbl_Kalender[[#This Row],[Datum]],"MMMM")</f>
        <v>November</v>
      </c>
      <c r="H695">
        <f>ROUNDUP(tbl_Kalender[[#This Row],[Monat]]/3,0)</f>
        <v>4</v>
      </c>
      <c r="I695" t="str">
        <f>"Q "&amp;tbl_Kalender[[#This Row],[Quartal]]</f>
        <v>Q 4</v>
      </c>
      <c r="J695" t="str">
        <f>tbl_Kalender[[#This Row],[Quartal]]&amp;". Quartal"</f>
        <v>4. Quartal</v>
      </c>
      <c r="K695">
        <f>_xlfn.ISOWEEKNUM(tbl_Kalender[[#This Row],[Datum]])</f>
        <v>48</v>
      </c>
    </row>
    <row r="696" spans="1:11" x14ac:dyDescent="0.25">
      <c r="A696" s="1">
        <v>45986</v>
      </c>
      <c r="B696">
        <f>YEAR(tbl_Kalender[[#This Row],[Datum]])</f>
        <v>2025</v>
      </c>
      <c r="C696">
        <f>DAY(tbl_Kalender[[#This Row],[Datum]])</f>
        <v>25</v>
      </c>
      <c r="D696" t="str">
        <f>TEXT(tbl_Kalender[[#This Row],[Datum]],"TTTT")</f>
        <v>Dienstag</v>
      </c>
      <c r="E696">
        <f>WEEKDAY(tbl_Kalender[[#This Row],[Datum]],2)</f>
        <v>2</v>
      </c>
      <c r="F696">
        <f>MONTH(tbl_Kalender[[#This Row],[Datum]])</f>
        <v>11</v>
      </c>
      <c r="G696" t="str">
        <f>TEXT(tbl_Kalender[[#This Row],[Datum]],"MMMM")</f>
        <v>November</v>
      </c>
      <c r="H696">
        <f>ROUNDUP(tbl_Kalender[[#This Row],[Monat]]/3,0)</f>
        <v>4</v>
      </c>
      <c r="I696" t="str">
        <f>"Q "&amp;tbl_Kalender[[#This Row],[Quartal]]</f>
        <v>Q 4</v>
      </c>
      <c r="J696" t="str">
        <f>tbl_Kalender[[#This Row],[Quartal]]&amp;". Quartal"</f>
        <v>4. Quartal</v>
      </c>
      <c r="K696">
        <f>_xlfn.ISOWEEKNUM(tbl_Kalender[[#This Row],[Datum]])</f>
        <v>48</v>
      </c>
    </row>
    <row r="697" spans="1:11" x14ac:dyDescent="0.25">
      <c r="A697" s="1">
        <v>45987</v>
      </c>
      <c r="B697">
        <f>YEAR(tbl_Kalender[[#This Row],[Datum]])</f>
        <v>2025</v>
      </c>
      <c r="C697">
        <f>DAY(tbl_Kalender[[#This Row],[Datum]])</f>
        <v>26</v>
      </c>
      <c r="D697" t="str">
        <f>TEXT(tbl_Kalender[[#This Row],[Datum]],"TTTT")</f>
        <v>Mittwoch</v>
      </c>
      <c r="E697">
        <f>WEEKDAY(tbl_Kalender[[#This Row],[Datum]],2)</f>
        <v>3</v>
      </c>
      <c r="F697">
        <f>MONTH(tbl_Kalender[[#This Row],[Datum]])</f>
        <v>11</v>
      </c>
      <c r="G697" t="str">
        <f>TEXT(tbl_Kalender[[#This Row],[Datum]],"MMMM")</f>
        <v>November</v>
      </c>
      <c r="H697">
        <f>ROUNDUP(tbl_Kalender[[#This Row],[Monat]]/3,0)</f>
        <v>4</v>
      </c>
      <c r="I697" t="str">
        <f>"Q "&amp;tbl_Kalender[[#This Row],[Quartal]]</f>
        <v>Q 4</v>
      </c>
      <c r="J697" t="str">
        <f>tbl_Kalender[[#This Row],[Quartal]]&amp;". Quartal"</f>
        <v>4. Quartal</v>
      </c>
      <c r="K697">
        <f>_xlfn.ISOWEEKNUM(tbl_Kalender[[#This Row],[Datum]])</f>
        <v>48</v>
      </c>
    </row>
    <row r="698" spans="1:11" x14ac:dyDescent="0.25">
      <c r="A698" s="1">
        <v>45988</v>
      </c>
      <c r="B698">
        <f>YEAR(tbl_Kalender[[#This Row],[Datum]])</f>
        <v>2025</v>
      </c>
      <c r="C698">
        <f>DAY(tbl_Kalender[[#This Row],[Datum]])</f>
        <v>27</v>
      </c>
      <c r="D698" t="str">
        <f>TEXT(tbl_Kalender[[#This Row],[Datum]],"TTTT")</f>
        <v>Donnerstag</v>
      </c>
      <c r="E698">
        <f>WEEKDAY(tbl_Kalender[[#This Row],[Datum]],2)</f>
        <v>4</v>
      </c>
      <c r="F698">
        <f>MONTH(tbl_Kalender[[#This Row],[Datum]])</f>
        <v>11</v>
      </c>
      <c r="G698" t="str">
        <f>TEXT(tbl_Kalender[[#This Row],[Datum]],"MMMM")</f>
        <v>November</v>
      </c>
      <c r="H698">
        <f>ROUNDUP(tbl_Kalender[[#This Row],[Monat]]/3,0)</f>
        <v>4</v>
      </c>
      <c r="I698" t="str">
        <f>"Q "&amp;tbl_Kalender[[#This Row],[Quartal]]</f>
        <v>Q 4</v>
      </c>
      <c r="J698" t="str">
        <f>tbl_Kalender[[#This Row],[Quartal]]&amp;". Quartal"</f>
        <v>4. Quartal</v>
      </c>
      <c r="K698">
        <f>_xlfn.ISOWEEKNUM(tbl_Kalender[[#This Row],[Datum]])</f>
        <v>48</v>
      </c>
    </row>
    <row r="699" spans="1:11" x14ac:dyDescent="0.25">
      <c r="A699" s="1">
        <v>45989</v>
      </c>
      <c r="B699">
        <f>YEAR(tbl_Kalender[[#This Row],[Datum]])</f>
        <v>2025</v>
      </c>
      <c r="C699">
        <f>DAY(tbl_Kalender[[#This Row],[Datum]])</f>
        <v>28</v>
      </c>
      <c r="D699" t="str">
        <f>TEXT(tbl_Kalender[[#This Row],[Datum]],"TTTT")</f>
        <v>Freitag</v>
      </c>
      <c r="E699">
        <f>WEEKDAY(tbl_Kalender[[#This Row],[Datum]],2)</f>
        <v>5</v>
      </c>
      <c r="F699">
        <f>MONTH(tbl_Kalender[[#This Row],[Datum]])</f>
        <v>11</v>
      </c>
      <c r="G699" t="str">
        <f>TEXT(tbl_Kalender[[#This Row],[Datum]],"MMMM")</f>
        <v>November</v>
      </c>
      <c r="H699">
        <f>ROUNDUP(tbl_Kalender[[#This Row],[Monat]]/3,0)</f>
        <v>4</v>
      </c>
      <c r="I699" t="str">
        <f>"Q "&amp;tbl_Kalender[[#This Row],[Quartal]]</f>
        <v>Q 4</v>
      </c>
      <c r="J699" t="str">
        <f>tbl_Kalender[[#This Row],[Quartal]]&amp;". Quartal"</f>
        <v>4. Quartal</v>
      </c>
      <c r="K699">
        <f>_xlfn.ISOWEEKNUM(tbl_Kalender[[#This Row],[Datum]])</f>
        <v>48</v>
      </c>
    </row>
    <row r="700" spans="1:11" x14ac:dyDescent="0.25">
      <c r="A700" s="1">
        <v>45990</v>
      </c>
      <c r="B700">
        <f>YEAR(tbl_Kalender[[#This Row],[Datum]])</f>
        <v>2025</v>
      </c>
      <c r="C700">
        <f>DAY(tbl_Kalender[[#This Row],[Datum]])</f>
        <v>29</v>
      </c>
      <c r="D700" t="str">
        <f>TEXT(tbl_Kalender[[#This Row],[Datum]],"TTTT")</f>
        <v>Samstag</v>
      </c>
      <c r="E700">
        <f>WEEKDAY(tbl_Kalender[[#This Row],[Datum]],2)</f>
        <v>6</v>
      </c>
      <c r="F700">
        <f>MONTH(tbl_Kalender[[#This Row],[Datum]])</f>
        <v>11</v>
      </c>
      <c r="G700" t="str">
        <f>TEXT(tbl_Kalender[[#This Row],[Datum]],"MMMM")</f>
        <v>November</v>
      </c>
      <c r="H700">
        <f>ROUNDUP(tbl_Kalender[[#This Row],[Monat]]/3,0)</f>
        <v>4</v>
      </c>
      <c r="I700" t="str">
        <f>"Q "&amp;tbl_Kalender[[#This Row],[Quartal]]</f>
        <v>Q 4</v>
      </c>
      <c r="J700" t="str">
        <f>tbl_Kalender[[#This Row],[Quartal]]&amp;". Quartal"</f>
        <v>4. Quartal</v>
      </c>
      <c r="K700">
        <f>_xlfn.ISOWEEKNUM(tbl_Kalender[[#This Row],[Datum]])</f>
        <v>48</v>
      </c>
    </row>
    <row r="701" spans="1:11" x14ac:dyDescent="0.25">
      <c r="A701" s="1">
        <v>45991</v>
      </c>
      <c r="B701">
        <f>YEAR(tbl_Kalender[[#This Row],[Datum]])</f>
        <v>2025</v>
      </c>
      <c r="C701">
        <f>DAY(tbl_Kalender[[#This Row],[Datum]])</f>
        <v>30</v>
      </c>
      <c r="D701" t="str">
        <f>TEXT(tbl_Kalender[[#This Row],[Datum]],"TTTT")</f>
        <v>Sonntag</v>
      </c>
      <c r="E701">
        <f>WEEKDAY(tbl_Kalender[[#This Row],[Datum]],2)</f>
        <v>7</v>
      </c>
      <c r="F701">
        <f>MONTH(tbl_Kalender[[#This Row],[Datum]])</f>
        <v>11</v>
      </c>
      <c r="G701" t="str">
        <f>TEXT(tbl_Kalender[[#This Row],[Datum]],"MMMM")</f>
        <v>November</v>
      </c>
      <c r="H701">
        <f>ROUNDUP(tbl_Kalender[[#This Row],[Monat]]/3,0)</f>
        <v>4</v>
      </c>
      <c r="I701" t="str">
        <f>"Q "&amp;tbl_Kalender[[#This Row],[Quartal]]</f>
        <v>Q 4</v>
      </c>
      <c r="J701" t="str">
        <f>tbl_Kalender[[#This Row],[Quartal]]&amp;". Quartal"</f>
        <v>4. Quartal</v>
      </c>
      <c r="K701">
        <f>_xlfn.ISOWEEKNUM(tbl_Kalender[[#This Row],[Datum]])</f>
        <v>48</v>
      </c>
    </row>
    <row r="702" spans="1:11" x14ac:dyDescent="0.25">
      <c r="A702" s="1">
        <v>45992</v>
      </c>
      <c r="B702">
        <f>YEAR(tbl_Kalender[[#This Row],[Datum]])</f>
        <v>2025</v>
      </c>
      <c r="C702">
        <f>DAY(tbl_Kalender[[#This Row],[Datum]])</f>
        <v>1</v>
      </c>
      <c r="D702" t="str">
        <f>TEXT(tbl_Kalender[[#This Row],[Datum]],"TTTT")</f>
        <v>Montag</v>
      </c>
      <c r="E702">
        <f>WEEKDAY(tbl_Kalender[[#This Row],[Datum]],2)</f>
        <v>1</v>
      </c>
      <c r="F702">
        <f>MONTH(tbl_Kalender[[#This Row],[Datum]])</f>
        <v>12</v>
      </c>
      <c r="G702" t="str">
        <f>TEXT(tbl_Kalender[[#This Row],[Datum]],"MMMM")</f>
        <v>Dezember</v>
      </c>
      <c r="H702">
        <f>ROUNDUP(tbl_Kalender[[#This Row],[Monat]]/3,0)</f>
        <v>4</v>
      </c>
      <c r="I702" t="str">
        <f>"Q "&amp;tbl_Kalender[[#This Row],[Quartal]]</f>
        <v>Q 4</v>
      </c>
      <c r="J702" t="str">
        <f>tbl_Kalender[[#This Row],[Quartal]]&amp;". Quartal"</f>
        <v>4. Quartal</v>
      </c>
      <c r="K702">
        <f>_xlfn.ISOWEEKNUM(tbl_Kalender[[#This Row],[Datum]])</f>
        <v>49</v>
      </c>
    </row>
    <row r="703" spans="1:11" x14ac:dyDescent="0.25">
      <c r="A703" s="1">
        <v>45993</v>
      </c>
      <c r="B703">
        <f>YEAR(tbl_Kalender[[#This Row],[Datum]])</f>
        <v>2025</v>
      </c>
      <c r="C703">
        <f>DAY(tbl_Kalender[[#This Row],[Datum]])</f>
        <v>2</v>
      </c>
      <c r="D703" t="str">
        <f>TEXT(tbl_Kalender[[#This Row],[Datum]],"TTTT")</f>
        <v>Dienstag</v>
      </c>
      <c r="E703">
        <f>WEEKDAY(tbl_Kalender[[#This Row],[Datum]],2)</f>
        <v>2</v>
      </c>
      <c r="F703">
        <f>MONTH(tbl_Kalender[[#This Row],[Datum]])</f>
        <v>12</v>
      </c>
      <c r="G703" t="str">
        <f>TEXT(tbl_Kalender[[#This Row],[Datum]],"MMMM")</f>
        <v>Dezember</v>
      </c>
      <c r="H703">
        <f>ROUNDUP(tbl_Kalender[[#This Row],[Monat]]/3,0)</f>
        <v>4</v>
      </c>
      <c r="I703" t="str">
        <f>"Q "&amp;tbl_Kalender[[#This Row],[Quartal]]</f>
        <v>Q 4</v>
      </c>
      <c r="J703" t="str">
        <f>tbl_Kalender[[#This Row],[Quartal]]&amp;". Quartal"</f>
        <v>4. Quartal</v>
      </c>
      <c r="K703">
        <f>_xlfn.ISOWEEKNUM(tbl_Kalender[[#This Row],[Datum]])</f>
        <v>49</v>
      </c>
    </row>
    <row r="704" spans="1:11" x14ac:dyDescent="0.25">
      <c r="A704" s="1">
        <v>45994</v>
      </c>
      <c r="B704">
        <f>YEAR(tbl_Kalender[[#This Row],[Datum]])</f>
        <v>2025</v>
      </c>
      <c r="C704">
        <f>DAY(tbl_Kalender[[#This Row],[Datum]])</f>
        <v>3</v>
      </c>
      <c r="D704" t="str">
        <f>TEXT(tbl_Kalender[[#This Row],[Datum]],"TTTT")</f>
        <v>Mittwoch</v>
      </c>
      <c r="E704">
        <f>WEEKDAY(tbl_Kalender[[#This Row],[Datum]],2)</f>
        <v>3</v>
      </c>
      <c r="F704">
        <f>MONTH(tbl_Kalender[[#This Row],[Datum]])</f>
        <v>12</v>
      </c>
      <c r="G704" t="str">
        <f>TEXT(tbl_Kalender[[#This Row],[Datum]],"MMMM")</f>
        <v>Dezember</v>
      </c>
      <c r="H704">
        <f>ROUNDUP(tbl_Kalender[[#This Row],[Monat]]/3,0)</f>
        <v>4</v>
      </c>
      <c r="I704" t="str">
        <f>"Q "&amp;tbl_Kalender[[#This Row],[Quartal]]</f>
        <v>Q 4</v>
      </c>
      <c r="J704" t="str">
        <f>tbl_Kalender[[#This Row],[Quartal]]&amp;". Quartal"</f>
        <v>4. Quartal</v>
      </c>
      <c r="K704">
        <f>_xlfn.ISOWEEKNUM(tbl_Kalender[[#This Row],[Datum]])</f>
        <v>49</v>
      </c>
    </row>
    <row r="705" spans="1:11" x14ac:dyDescent="0.25">
      <c r="A705" s="1">
        <v>45995</v>
      </c>
      <c r="B705">
        <f>YEAR(tbl_Kalender[[#This Row],[Datum]])</f>
        <v>2025</v>
      </c>
      <c r="C705">
        <f>DAY(tbl_Kalender[[#This Row],[Datum]])</f>
        <v>4</v>
      </c>
      <c r="D705" t="str">
        <f>TEXT(tbl_Kalender[[#This Row],[Datum]],"TTTT")</f>
        <v>Donnerstag</v>
      </c>
      <c r="E705">
        <f>WEEKDAY(tbl_Kalender[[#This Row],[Datum]],2)</f>
        <v>4</v>
      </c>
      <c r="F705">
        <f>MONTH(tbl_Kalender[[#This Row],[Datum]])</f>
        <v>12</v>
      </c>
      <c r="G705" t="str">
        <f>TEXT(tbl_Kalender[[#This Row],[Datum]],"MMMM")</f>
        <v>Dezember</v>
      </c>
      <c r="H705">
        <f>ROUNDUP(tbl_Kalender[[#This Row],[Monat]]/3,0)</f>
        <v>4</v>
      </c>
      <c r="I705" t="str">
        <f>"Q "&amp;tbl_Kalender[[#This Row],[Quartal]]</f>
        <v>Q 4</v>
      </c>
      <c r="J705" t="str">
        <f>tbl_Kalender[[#This Row],[Quartal]]&amp;". Quartal"</f>
        <v>4. Quartal</v>
      </c>
      <c r="K705">
        <f>_xlfn.ISOWEEKNUM(tbl_Kalender[[#This Row],[Datum]])</f>
        <v>49</v>
      </c>
    </row>
    <row r="706" spans="1:11" x14ac:dyDescent="0.25">
      <c r="A706" s="1">
        <v>45996</v>
      </c>
      <c r="B706">
        <f>YEAR(tbl_Kalender[[#This Row],[Datum]])</f>
        <v>2025</v>
      </c>
      <c r="C706">
        <f>DAY(tbl_Kalender[[#This Row],[Datum]])</f>
        <v>5</v>
      </c>
      <c r="D706" t="str">
        <f>TEXT(tbl_Kalender[[#This Row],[Datum]],"TTTT")</f>
        <v>Freitag</v>
      </c>
      <c r="E706">
        <f>WEEKDAY(tbl_Kalender[[#This Row],[Datum]],2)</f>
        <v>5</v>
      </c>
      <c r="F706">
        <f>MONTH(tbl_Kalender[[#This Row],[Datum]])</f>
        <v>12</v>
      </c>
      <c r="G706" t="str">
        <f>TEXT(tbl_Kalender[[#This Row],[Datum]],"MMMM")</f>
        <v>Dezember</v>
      </c>
      <c r="H706">
        <f>ROUNDUP(tbl_Kalender[[#This Row],[Monat]]/3,0)</f>
        <v>4</v>
      </c>
      <c r="I706" t="str">
        <f>"Q "&amp;tbl_Kalender[[#This Row],[Quartal]]</f>
        <v>Q 4</v>
      </c>
      <c r="J706" t="str">
        <f>tbl_Kalender[[#This Row],[Quartal]]&amp;". Quartal"</f>
        <v>4. Quartal</v>
      </c>
      <c r="K706">
        <f>_xlfn.ISOWEEKNUM(tbl_Kalender[[#This Row],[Datum]])</f>
        <v>49</v>
      </c>
    </row>
    <row r="707" spans="1:11" x14ac:dyDescent="0.25">
      <c r="A707" s="1">
        <v>45997</v>
      </c>
      <c r="B707">
        <f>YEAR(tbl_Kalender[[#This Row],[Datum]])</f>
        <v>2025</v>
      </c>
      <c r="C707">
        <f>DAY(tbl_Kalender[[#This Row],[Datum]])</f>
        <v>6</v>
      </c>
      <c r="D707" t="str">
        <f>TEXT(tbl_Kalender[[#This Row],[Datum]],"TTTT")</f>
        <v>Samstag</v>
      </c>
      <c r="E707">
        <f>WEEKDAY(tbl_Kalender[[#This Row],[Datum]],2)</f>
        <v>6</v>
      </c>
      <c r="F707">
        <f>MONTH(tbl_Kalender[[#This Row],[Datum]])</f>
        <v>12</v>
      </c>
      <c r="G707" t="str">
        <f>TEXT(tbl_Kalender[[#This Row],[Datum]],"MMMM")</f>
        <v>Dezember</v>
      </c>
      <c r="H707">
        <f>ROUNDUP(tbl_Kalender[[#This Row],[Monat]]/3,0)</f>
        <v>4</v>
      </c>
      <c r="I707" t="str">
        <f>"Q "&amp;tbl_Kalender[[#This Row],[Quartal]]</f>
        <v>Q 4</v>
      </c>
      <c r="J707" t="str">
        <f>tbl_Kalender[[#This Row],[Quartal]]&amp;". Quartal"</f>
        <v>4. Quartal</v>
      </c>
      <c r="K707">
        <f>_xlfn.ISOWEEKNUM(tbl_Kalender[[#This Row],[Datum]])</f>
        <v>49</v>
      </c>
    </row>
    <row r="708" spans="1:11" x14ac:dyDescent="0.25">
      <c r="A708" s="1">
        <v>45998</v>
      </c>
      <c r="B708">
        <f>YEAR(tbl_Kalender[[#This Row],[Datum]])</f>
        <v>2025</v>
      </c>
      <c r="C708">
        <f>DAY(tbl_Kalender[[#This Row],[Datum]])</f>
        <v>7</v>
      </c>
      <c r="D708" t="str">
        <f>TEXT(tbl_Kalender[[#This Row],[Datum]],"TTTT")</f>
        <v>Sonntag</v>
      </c>
      <c r="E708">
        <f>WEEKDAY(tbl_Kalender[[#This Row],[Datum]],2)</f>
        <v>7</v>
      </c>
      <c r="F708">
        <f>MONTH(tbl_Kalender[[#This Row],[Datum]])</f>
        <v>12</v>
      </c>
      <c r="G708" t="str">
        <f>TEXT(tbl_Kalender[[#This Row],[Datum]],"MMMM")</f>
        <v>Dezember</v>
      </c>
      <c r="H708">
        <f>ROUNDUP(tbl_Kalender[[#This Row],[Monat]]/3,0)</f>
        <v>4</v>
      </c>
      <c r="I708" t="str">
        <f>"Q "&amp;tbl_Kalender[[#This Row],[Quartal]]</f>
        <v>Q 4</v>
      </c>
      <c r="J708" t="str">
        <f>tbl_Kalender[[#This Row],[Quartal]]&amp;". Quartal"</f>
        <v>4. Quartal</v>
      </c>
      <c r="K708">
        <f>_xlfn.ISOWEEKNUM(tbl_Kalender[[#This Row],[Datum]])</f>
        <v>49</v>
      </c>
    </row>
    <row r="709" spans="1:11" x14ac:dyDescent="0.25">
      <c r="A709" s="1">
        <v>45999</v>
      </c>
      <c r="B709">
        <f>YEAR(tbl_Kalender[[#This Row],[Datum]])</f>
        <v>2025</v>
      </c>
      <c r="C709">
        <f>DAY(tbl_Kalender[[#This Row],[Datum]])</f>
        <v>8</v>
      </c>
      <c r="D709" t="str">
        <f>TEXT(tbl_Kalender[[#This Row],[Datum]],"TTTT")</f>
        <v>Montag</v>
      </c>
      <c r="E709">
        <f>WEEKDAY(tbl_Kalender[[#This Row],[Datum]],2)</f>
        <v>1</v>
      </c>
      <c r="F709">
        <f>MONTH(tbl_Kalender[[#This Row],[Datum]])</f>
        <v>12</v>
      </c>
      <c r="G709" t="str">
        <f>TEXT(tbl_Kalender[[#This Row],[Datum]],"MMMM")</f>
        <v>Dezember</v>
      </c>
      <c r="H709">
        <f>ROUNDUP(tbl_Kalender[[#This Row],[Monat]]/3,0)</f>
        <v>4</v>
      </c>
      <c r="I709" t="str">
        <f>"Q "&amp;tbl_Kalender[[#This Row],[Quartal]]</f>
        <v>Q 4</v>
      </c>
      <c r="J709" t="str">
        <f>tbl_Kalender[[#This Row],[Quartal]]&amp;". Quartal"</f>
        <v>4. Quartal</v>
      </c>
      <c r="K709">
        <f>_xlfn.ISOWEEKNUM(tbl_Kalender[[#This Row],[Datum]])</f>
        <v>50</v>
      </c>
    </row>
    <row r="710" spans="1:11" x14ac:dyDescent="0.25">
      <c r="A710" s="1">
        <v>46000</v>
      </c>
      <c r="B710">
        <f>YEAR(tbl_Kalender[[#This Row],[Datum]])</f>
        <v>2025</v>
      </c>
      <c r="C710">
        <f>DAY(tbl_Kalender[[#This Row],[Datum]])</f>
        <v>9</v>
      </c>
      <c r="D710" t="str">
        <f>TEXT(tbl_Kalender[[#This Row],[Datum]],"TTTT")</f>
        <v>Dienstag</v>
      </c>
      <c r="E710">
        <f>WEEKDAY(tbl_Kalender[[#This Row],[Datum]],2)</f>
        <v>2</v>
      </c>
      <c r="F710">
        <f>MONTH(tbl_Kalender[[#This Row],[Datum]])</f>
        <v>12</v>
      </c>
      <c r="G710" t="str">
        <f>TEXT(tbl_Kalender[[#This Row],[Datum]],"MMMM")</f>
        <v>Dezember</v>
      </c>
      <c r="H710">
        <f>ROUNDUP(tbl_Kalender[[#This Row],[Monat]]/3,0)</f>
        <v>4</v>
      </c>
      <c r="I710" t="str">
        <f>"Q "&amp;tbl_Kalender[[#This Row],[Quartal]]</f>
        <v>Q 4</v>
      </c>
      <c r="J710" t="str">
        <f>tbl_Kalender[[#This Row],[Quartal]]&amp;". Quartal"</f>
        <v>4. Quartal</v>
      </c>
      <c r="K710">
        <f>_xlfn.ISOWEEKNUM(tbl_Kalender[[#This Row],[Datum]])</f>
        <v>50</v>
      </c>
    </row>
    <row r="711" spans="1:11" x14ac:dyDescent="0.25">
      <c r="A711" s="1">
        <v>46001</v>
      </c>
      <c r="B711">
        <f>YEAR(tbl_Kalender[[#This Row],[Datum]])</f>
        <v>2025</v>
      </c>
      <c r="C711">
        <f>DAY(tbl_Kalender[[#This Row],[Datum]])</f>
        <v>10</v>
      </c>
      <c r="D711" t="str">
        <f>TEXT(tbl_Kalender[[#This Row],[Datum]],"TTTT")</f>
        <v>Mittwoch</v>
      </c>
      <c r="E711">
        <f>WEEKDAY(tbl_Kalender[[#This Row],[Datum]],2)</f>
        <v>3</v>
      </c>
      <c r="F711">
        <f>MONTH(tbl_Kalender[[#This Row],[Datum]])</f>
        <v>12</v>
      </c>
      <c r="G711" t="str">
        <f>TEXT(tbl_Kalender[[#This Row],[Datum]],"MMMM")</f>
        <v>Dezember</v>
      </c>
      <c r="H711">
        <f>ROUNDUP(tbl_Kalender[[#This Row],[Monat]]/3,0)</f>
        <v>4</v>
      </c>
      <c r="I711" t="str">
        <f>"Q "&amp;tbl_Kalender[[#This Row],[Quartal]]</f>
        <v>Q 4</v>
      </c>
      <c r="J711" t="str">
        <f>tbl_Kalender[[#This Row],[Quartal]]&amp;". Quartal"</f>
        <v>4. Quartal</v>
      </c>
      <c r="K711">
        <f>_xlfn.ISOWEEKNUM(tbl_Kalender[[#This Row],[Datum]])</f>
        <v>50</v>
      </c>
    </row>
    <row r="712" spans="1:11" x14ac:dyDescent="0.25">
      <c r="A712" s="1">
        <v>46002</v>
      </c>
      <c r="B712">
        <f>YEAR(tbl_Kalender[[#This Row],[Datum]])</f>
        <v>2025</v>
      </c>
      <c r="C712">
        <f>DAY(tbl_Kalender[[#This Row],[Datum]])</f>
        <v>11</v>
      </c>
      <c r="D712" t="str">
        <f>TEXT(tbl_Kalender[[#This Row],[Datum]],"TTTT")</f>
        <v>Donnerstag</v>
      </c>
      <c r="E712">
        <f>WEEKDAY(tbl_Kalender[[#This Row],[Datum]],2)</f>
        <v>4</v>
      </c>
      <c r="F712">
        <f>MONTH(tbl_Kalender[[#This Row],[Datum]])</f>
        <v>12</v>
      </c>
      <c r="G712" t="str">
        <f>TEXT(tbl_Kalender[[#This Row],[Datum]],"MMMM")</f>
        <v>Dezember</v>
      </c>
      <c r="H712">
        <f>ROUNDUP(tbl_Kalender[[#This Row],[Monat]]/3,0)</f>
        <v>4</v>
      </c>
      <c r="I712" t="str">
        <f>"Q "&amp;tbl_Kalender[[#This Row],[Quartal]]</f>
        <v>Q 4</v>
      </c>
      <c r="J712" t="str">
        <f>tbl_Kalender[[#This Row],[Quartal]]&amp;". Quartal"</f>
        <v>4. Quartal</v>
      </c>
      <c r="K712">
        <f>_xlfn.ISOWEEKNUM(tbl_Kalender[[#This Row],[Datum]])</f>
        <v>50</v>
      </c>
    </row>
    <row r="713" spans="1:11" x14ac:dyDescent="0.25">
      <c r="A713" s="1">
        <v>46003</v>
      </c>
      <c r="B713">
        <f>YEAR(tbl_Kalender[[#This Row],[Datum]])</f>
        <v>2025</v>
      </c>
      <c r="C713">
        <f>DAY(tbl_Kalender[[#This Row],[Datum]])</f>
        <v>12</v>
      </c>
      <c r="D713" t="str">
        <f>TEXT(tbl_Kalender[[#This Row],[Datum]],"TTTT")</f>
        <v>Freitag</v>
      </c>
      <c r="E713">
        <f>WEEKDAY(tbl_Kalender[[#This Row],[Datum]],2)</f>
        <v>5</v>
      </c>
      <c r="F713">
        <f>MONTH(tbl_Kalender[[#This Row],[Datum]])</f>
        <v>12</v>
      </c>
      <c r="G713" t="str">
        <f>TEXT(tbl_Kalender[[#This Row],[Datum]],"MMMM")</f>
        <v>Dezember</v>
      </c>
      <c r="H713">
        <f>ROUNDUP(tbl_Kalender[[#This Row],[Monat]]/3,0)</f>
        <v>4</v>
      </c>
      <c r="I713" t="str">
        <f>"Q "&amp;tbl_Kalender[[#This Row],[Quartal]]</f>
        <v>Q 4</v>
      </c>
      <c r="J713" t="str">
        <f>tbl_Kalender[[#This Row],[Quartal]]&amp;". Quartal"</f>
        <v>4. Quartal</v>
      </c>
      <c r="K713">
        <f>_xlfn.ISOWEEKNUM(tbl_Kalender[[#This Row],[Datum]])</f>
        <v>50</v>
      </c>
    </row>
    <row r="714" spans="1:11" x14ac:dyDescent="0.25">
      <c r="A714" s="1">
        <v>46004</v>
      </c>
      <c r="B714">
        <f>YEAR(tbl_Kalender[[#This Row],[Datum]])</f>
        <v>2025</v>
      </c>
      <c r="C714">
        <f>DAY(tbl_Kalender[[#This Row],[Datum]])</f>
        <v>13</v>
      </c>
      <c r="D714" t="str">
        <f>TEXT(tbl_Kalender[[#This Row],[Datum]],"TTTT")</f>
        <v>Samstag</v>
      </c>
      <c r="E714">
        <f>WEEKDAY(tbl_Kalender[[#This Row],[Datum]],2)</f>
        <v>6</v>
      </c>
      <c r="F714">
        <f>MONTH(tbl_Kalender[[#This Row],[Datum]])</f>
        <v>12</v>
      </c>
      <c r="G714" t="str">
        <f>TEXT(tbl_Kalender[[#This Row],[Datum]],"MMMM")</f>
        <v>Dezember</v>
      </c>
      <c r="H714">
        <f>ROUNDUP(tbl_Kalender[[#This Row],[Monat]]/3,0)</f>
        <v>4</v>
      </c>
      <c r="I714" t="str">
        <f>"Q "&amp;tbl_Kalender[[#This Row],[Quartal]]</f>
        <v>Q 4</v>
      </c>
      <c r="J714" t="str">
        <f>tbl_Kalender[[#This Row],[Quartal]]&amp;". Quartal"</f>
        <v>4. Quartal</v>
      </c>
      <c r="K714">
        <f>_xlfn.ISOWEEKNUM(tbl_Kalender[[#This Row],[Datum]])</f>
        <v>50</v>
      </c>
    </row>
    <row r="715" spans="1:11" x14ac:dyDescent="0.25">
      <c r="A715" s="1">
        <v>46005</v>
      </c>
      <c r="B715">
        <f>YEAR(tbl_Kalender[[#This Row],[Datum]])</f>
        <v>2025</v>
      </c>
      <c r="C715">
        <f>DAY(tbl_Kalender[[#This Row],[Datum]])</f>
        <v>14</v>
      </c>
      <c r="D715" t="str">
        <f>TEXT(tbl_Kalender[[#This Row],[Datum]],"TTTT")</f>
        <v>Sonntag</v>
      </c>
      <c r="E715">
        <f>WEEKDAY(tbl_Kalender[[#This Row],[Datum]],2)</f>
        <v>7</v>
      </c>
      <c r="F715">
        <f>MONTH(tbl_Kalender[[#This Row],[Datum]])</f>
        <v>12</v>
      </c>
      <c r="G715" t="str">
        <f>TEXT(tbl_Kalender[[#This Row],[Datum]],"MMMM")</f>
        <v>Dezember</v>
      </c>
      <c r="H715">
        <f>ROUNDUP(tbl_Kalender[[#This Row],[Monat]]/3,0)</f>
        <v>4</v>
      </c>
      <c r="I715" t="str">
        <f>"Q "&amp;tbl_Kalender[[#This Row],[Quartal]]</f>
        <v>Q 4</v>
      </c>
      <c r="J715" t="str">
        <f>tbl_Kalender[[#This Row],[Quartal]]&amp;". Quartal"</f>
        <v>4. Quartal</v>
      </c>
      <c r="K715">
        <f>_xlfn.ISOWEEKNUM(tbl_Kalender[[#This Row],[Datum]])</f>
        <v>50</v>
      </c>
    </row>
    <row r="716" spans="1:11" x14ac:dyDescent="0.25">
      <c r="A716" s="1">
        <v>46006</v>
      </c>
      <c r="B716">
        <f>YEAR(tbl_Kalender[[#This Row],[Datum]])</f>
        <v>2025</v>
      </c>
      <c r="C716">
        <f>DAY(tbl_Kalender[[#This Row],[Datum]])</f>
        <v>15</v>
      </c>
      <c r="D716" t="str">
        <f>TEXT(tbl_Kalender[[#This Row],[Datum]],"TTTT")</f>
        <v>Montag</v>
      </c>
      <c r="E716">
        <f>WEEKDAY(tbl_Kalender[[#This Row],[Datum]],2)</f>
        <v>1</v>
      </c>
      <c r="F716">
        <f>MONTH(tbl_Kalender[[#This Row],[Datum]])</f>
        <v>12</v>
      </c>
      <c r="G716" t="str">
        <f>TEXT(tbl_Kalender[[#This Row],[Datum]],"MMMM")</f>
        <v>Dezember</v>
      </c>
      <c r="H716">
        <f>ROUNDUP(tbl_Kalender[[#This Row],[Monat]]/3,0)</f>
        <v>4</v>
      </c>
      <c r="I716" t="str">
        <f>"Q "&amp;tbl_Kalender[[#This Row],[Quartal]]</f>
        <v>Q 4</v>
      </c>
      <c r="J716" t="str">
        <f>tbl_Kalender[[#This Row],[Quartal]]&amp;". Quartal"</f>
        <v>4. Quartal</v>
      </c>
      <c r="K716">
        <f>_xlfn.ISOWEEKNUM(tbl_Kalender[[#This Row],[Datum]])</f>
        <v>51</v>
      </c>
    </row>
    <row r="717" spans="1:11" x14ac:dyDescent="0.25">
      <c r="A717" s="1">
        <v>46007</v>
      </c>
      <c r="B717">
        <f>YEAR(tbl_Kalender[[#This Row],[Datum]])</f>
        <v>2025</v>
      </c>
      <c r="C717">
        <f>DAY(tbl_Kalender[[#This Row],[Datum]])</f>
        <v>16</v>
      </c>
      <c r="D717" t="str">
        <f>TEXT(tbl_Kalender[[#This Row],[Datum]],"TTTT")</f>
        <v>Dienstag</v>
      </c>
      <c r="E717">
        <f>WEEKDAY(tbl_Kalender[[#This Row],[Datum]],2)</f>
        <v>2</v>
      </c>
      <c r="F717">
        <f>MONTH(tbl_Kalender[[#This Row],[Datum]])</f>
        <v>12</v>
      </c>
      <c r="G717" t="str">
        <f>TEXT(tbl_Kalender[[#This Row],[Datum]],"MMMM")</f>
        <v>Dezember</v>
      </c>
      <c r="H717">
        <f>ROUNDUP(tbl_Kalender[[#This Row],[Monat]]/3,0)</f>
        <v>4</v>
      </c>
      <c r="I717" t="str">
        <f>"Q "&amp;tbl_Kalender[[#This Row],[Quartal]]</f>
        <v>Q 4</v>
      </c>
      <c r="J717" t="str">
        <f>tbl_Kalender[[#This Row],[Quartal]]&amp;". Quartal"</f>
        <v>4. Quartal</v>
      </c>
      <c r="K717">
        <f>_xlfn.ISOWEEKNUM(tbl_Kalender[[#This Row],[Datum]])</f>
        <v>51</v>
      </c>
    </row>
    <row r="718" spans="1:11" x14ac:dyDescent="0.25">
      <c r="A718" s="1">
        <v>46008</v>
      </c>
      <c r="B718">
        <f>YEAR(tbl_Kalender[[#This Row],[Datum]])</f>
        <v>2025</v>
      </c>
      <c r="C718">
        <f>DAY(tbl_Kalender[[#This Row],[Datum]])</f>
        <v>17</v>
      </c>
      <c r="D718" t="str">
        <f>TEXT(tbl_Kalender[[#This Row],[Datum]],"TTTT")</f>
        <v>Mittwoch</v>
      </c>
      <c r="E718">
        <f>WEEKDAY(tbl_Kalender[[#This Row],[Datum]],2)</f>
        <v>3</v>
      </c>
      <c r="F718">
        <f>MONTH(tbl_Kalender[[#This Row],[Datum]])</f>
        <v>12</v>
      </c>
      <c r="G718" t="str">
        <f>TEXT(tbl_Kalender[[#This Row],[Datum]],"MMMM")</f>
        <v>Dezember</v>
      </c>
      <c r="H718">
        <f>ROUNDUP(tbl_Kalender[[#This Row],[Monat]]/3,0)</f>
        <v>4</v>
      </c>
      <c r="I718" t="str">
        <f>"Q "&amp;tbl_Kalender[[#This Row],[Quartal]]</f>
        <v>Q 4</v>
      </c>
      <c r="J718" t="str">
        <f>tbl_Kalender[[#This Row],[Quartal]]&amp;". Quartal"</f>
        <v>4. Quartal</v>
      </c>
      <c r="K718">
        <f>_xlfn.ISOWEEKNUM(tbl_Kalender[[#This Row],[Datum]])</f>
        <v>51</v>
      </c>
    </row>
    <row r="719" spans="1:11" x14ac:dyDescent="0.25">
      <c r="A719" s="1">
        <v>46009</v>
      </c>
      <c r="B719">
        <f>YEAR(tbl_Kalender[[#This Row],[Datum]])</f>
        <v>2025</v>
      </c>
      <c r="C719">
        <f>DAY(tbl_Kalender[[#This Row],[Datum]])</f>
        <v>18</v>
      </c>
      <c r="D719" t="str">
        <f>TEXT(tbl_Kalender[[#This Row],[Datum]],"TTTT")</f>
        <v>Donnerstag</v>
      </c>
      <c r="E719">
        <f>WEEKDAY(tbl_Kalender[[#This Row],[Datum]],2)</f>
        <v>4</v>
      </c>
      <c r="F719">
        <f>MONTH(tbl_Kalender[[#This Row],[Datum]])</f>
        <v>12</v>
      </c>
      <c r="G719" t="str">
        <f>TEXT(tbl_Kalender[[#This Row],[Datum]],"MMMM")</f>
        <v>Dezember</v>
      </c>
      <c r="H719">
        <f>ROUNDUP(tbl_Kalender[[#This Row],[Monat]]/3,0)</f>
        <v>4</v>
      </c>
      <c r="I719" t="str">
        <f>"Q "&amp;tbl_Kalender[[#This Row],[Quartal]]</f>
        <v>Q 4</v>
      </c>
      <c r="J719" t="str">
        <f>tbl_Kalender[[#This Row],[Quartal]]&amp;". Quartal"</f>
        <v>4. Quartal</v>
      </c>
      <c r="K719">
        <f>_xlfn.ISOWEEKNUM(tbl_Kalender[[#This Row],[Datum]])</f>
        <v>51</v>
      </c>
    </row>
    <row r="720" spans="1:11" x14ac:dyDescent="0.25">
      <c r="A720" s="1">
        <v>46010</v>
      </c>
      <c r="B720">
        <f>YEAR(tbl_Kalender[[#This Row],[Datum]])</f>
        <v>2025</v>
      </c>
      <c r="C720">
        <f>DAY(tbl_Kalender[[#This Row],[Datum]])</f>
        <v>19</v>
      </c>
      <c r="D720" t="str">
        <f>TEXT(tbl_Kalender[[#This Row],[Datum]],"TTTT")</f>
        <v>Freitag</v>
      </c>
      <c r="E720">
        <f>WEEKDAY(tbl_Kalender[[#This Row],[Datum]],2)</f>
        <v>5</v>
      </c>
      <c r="F720">
        <f>MONTH(tbl_Kalender[[#This Row],[Datum]])</f>
        <v>12</v>
      </c>
      <c r="G720" t="str">
        <f>TEXT(tbl_Kalender[[#This Row],[Datum]],"MMMM")</f>
        <v>Dezember</v>
      </c>
      <c r="H720">
        <f>ROUNDUP(tbl_Kalender[[#This Row],[Monat]]/3,0)</f>
        <v>4</v>
      </c>
      <c r="I720" t="str">
        <f>"Q "&amp;tbl_Kalender[[#This Row],[Quartal]]</f>
        <v>Q 4</v>
      </c>
      <c r="J720" t="str">
        <f>tbl_Kalender[[#This Row],[Quartal]]&amp;". Quartal"</f>
        <v>4. Quartal</v>
      </c>
      <c r="K720">
        <f>_xlfn.ISOWEEKNUM(tbl_Kalender[[#This Row],[Datum]])</f>
        <v>51</v>
      </c>
    </row>
    <row r="721" spans="1:11" x14ac:dyDescent="0.25">
      <c r="A721" s="1">
        <v>46011</v>
      </c>
      <c r="B721">
        <f>YEAR(tbl_Kalender[[#This Row],[Datum]])</f>
        <v>2025</v>
      </c>
      <c r="C721">
        <f>DAY(tbl_Kalender[[#This Row],[Datum]])</f>
        <v>20</v>
      </c>
      <c r="D721" t="str">
        <f>TEXT(tbl_Kalender[[#This Row],[Datum]],"TTTT")</f>
        <v>Samstag</v>
      </c>
      <c r="E721">
        <f>WEEKDAY(tbl_Kalender[[#This Row],[Datum]],2)</f>
        <v>6</v>
      </c>
      <c r="F721">
        <f>MONTH(tbl_Kalender[[#This Row],[Datum]])</f>
        <v>12</v>
      </c>
      <c r="G721" t="str">
        <f>TEXT(tbl_Kalender[[#This Row],[Datum]],"MMMM")</f>
        <v>Dezember</v>
      </c>
      <c r="H721">
        <f>ROUNDUP(tbl_Kalender[[#This Row],[Monat]]/3,0)</f>
        <v>4</v>
      </c>
      <c r="I721" t="str">
        <f>"Q "&amp;tbl_Kalender[[#This Row],[Quartal]]</f>
        <v>Q 4</v>
      </c>
      <c r="J721" t="str">
        <f>tbl_Kalender[[#This Row],[Quartal]]&amp;". Quartal"</f>
        <v>4. Quartal</v>
      </c>
      <c r="K721">
        <f>_xlfn.ISOWEEKNUM(tbl_Kalender[[#This Row],[Datum]])</f>
        <v>51</v>
      </c>
    </row>
    <row r="722" spans="1:11" x14ac:dyDescent="0.25">
      <c r="A722" s="1">
        <v>46012</v>
      </c>
      <c r="B722">
        <f>YEAR(tbl_Kalender[[#This Row],[Datum]])</f>
        <v>2025</v>
      </c>
      <c r="C722">
        <f>DAY(tbl_Kalender[[#This Row],[Datum]])</f>
        <v>21</v>
      </c>
      <c r="D722" t="str">
        <f>TEXT(tbl_Kalender[[#This Row],[Datum]],"TTTT")</f>
        <v>Sonntag</v>
      </c>
      <c r="E722">
        <f>WEEKDAY(tbl_Kalender[[#This Row],[Datum]],2)</f>
        <v>7</v>
      </c>
      <c r="F722">
        <f>MONTH(tbl_Kalender[[#This Row],[Datum]])</f>
        <v>12</v>
      </c>
      <c r="G722" t="str">
        <f>TEXT(tbl_Kalender[[#This Row],[Datum]],"MMMM")</f>
        <v>Dezember</v>
      </c>
      <c r="H722">
        <f>ROUNDUP(tbl_Kalender[[#This Row],[Monat]]/3,0)</f>
        <v>4</v>
      </c>
      <c r="I722" t="str">
        <f>"Q "&amp;tbl_Kalender[[#This Row],[Quartal]]</f>
        <v>Q 4</v>
      </c>
      <c r="J722" t="str">
        <f>tbl_Kalender[[#This Row],[Quartal]]&amp;". Quartal"</f>
        <v>4. Quartal</v>
      </c>
      <c r="K722">
        <f>_xlfn.ISOWEEKNUM(tbl_Kalender[[#This Row],[Datum]])</f>
        <v>51</v>
      </c>
    </row>
    <row r="723" spans="1:11" x14ac:dyDescent="0.25">
      <c r="A723" s="1">
        <v>46013</v>
      </c>
      <c r="B723">
        <f>YEAR(tbl_Kalender[[#This Row],[Datum]])</f>
        <v>2025</v>
      </c>
      <c r="C723">
        <f>DAY(tbl_Kalender[[#This Row],[Datum]])</f>
        <v>22</v>
      </c>
      <c r="D723" t="str">
        <f>TEXT(tbl_Kalender[[#This Row],[Datum]],"TTTT")</f>
        <v>Montag</v>
      </c>
      <c r="E723">
        <f>WEEKDAY(tbl_Kalender[[#This Row],[Datum]],2)</f>
        <v>1</v>
      </c>
      <c r="F723">
        <f>MONTH(tbl_Kalender[[#This Row],[Datum]])</f>
        <v>12</v>
      </c>
      <c r="G723" t="str">
        <f>TEXT(tbl_Kalender[[#This Row],[Datum]],"MMMM")</f>
        <v>Dezember</v>
      </c>
      <c r="H723">
        <f>ROUNDUP(tbl_Kalender[[#This Row],[Monat]]/3,0)</f>
        <v>4</v>
      </c>
      <c r="I723" t="str">
        <f>"Q "&amp;tbl_Kalender[[#This Row],[Quartal]]</f>
        <v>Q 4</v>
      </c>
      <c r="J723" t="str">
        <f>tbl_Kalender[[#This Row],[Quartal]]&amp;". Quartal"</f>
        <v>4. Quartal</v>
      </c>
      <c r="K723">
        <f>_xlfn.ISOWEEKNUM(tbl_Kalender[[#This Row],[Datum]])</f>
        <v>52</v>
      </c>
    </row>
    <row r="724" spans="1:11" x14ac:dyDescent="0.25">
      <c r="A724" s="1">
        <v>46014</v>
      </c>
      <c r="B724">
        <f>YEAR(tbl_Kalender[[#This Row],[Datum]])</f>
        <v>2025</v>
      </c>
      <c r="C724">
        <f>DAY(tbl_Kalender[[#This Row],[Datum]])</f>
        <v>23</v>
      </c>
      <c r="D724" t="str">
        <f>TEXT(tbl_Kalender[[#This Row],[Datum]],"TTTT")</f>
        <v>Dienstag</v>
      </c>
      <c r="E724">
        <f>WEEKDAY(tbl_Kalender[[#This Row],[Datum]],2)</f>
        <v>2</v>
      </c>
      <c r="F724">
        <f>MONTH(tbl_Kalender[[#This Row],[Datum]])</f>
        <v>12</v>
      </c>
      <c r="G724" t="str">
        <f>TEXT(tbl_Kalender[[#This Row],[Datum]],"MMMM")</f>
        <v>Dezember</v>
      </c>
      <c r="H724">
        <f>ROUNDUP(tbl_Kalender[[#This Row],[Monat]]/3,0)</f>
        <v>4</v>
      </c>
      <c r="I724" t="str">
        <f>"Q "&amp;tbl_Kalender[[#This Row],[Quartal]]</f>
        <v>Q 4</v>
      </c>
      <c r="J724" t="str">
        <f>tbl_Kalender[[#This Row],[Quartal]]&amp;". Quartal"</f>
        <v>4. Quartal</v>
      </c>
      <c r="K724">
        <f>_xlfn.ISOWEEKNUM(tbl_Kalender[[#This Row],[Datum]])</f>
        <v>52</v>
      </c>
    </row>
    <row r="725" spans="1:11" x14ac:dyDescent="0.25">
      <c r="A725" s="1">
        <v>46015</v>
      </c>
      <c r="B725">
        <f>YEAR(tbl_Kalender[[#This Row],[Datum]])</f>
        <v>2025</v>
      </c>
      <c r="C725">
        <f>DAY(tbl_Kalender[[#This Row],[Datum]])</f>
        <v>24</v>
      </c>
      <c r="D725" t="str">
        <f>TEXT(tbl_Kalender[[#This Row],[Datum]],"TTTT")</f>
        <v>Mittwoch</v>
      </c>
      <c r="E725">
        <f>WEEKDAY(tbl_Kalender[[#This Row],[Datum]],2)</f>
        <v>3</v>
      </c>
      <c r="F725">
        <f>MONTH(tbl_Kalender[[#This Row],[Datum]])</f>
        <v>12</v>
      </c>
      <c r="G725" t="str">
        <f>TEXT(tbl_Kalender[[#This Row],[Datum]],"MMMM")</f>
        <v>Dezember</v>
      </c>
      <c r="H725">
        <f>ROUNDUP(tbl_Kalender[[#This Row],[Monat]]/3,0)</f>
        <v>4</v>
      </c>
      <c r="I725" t="str">
        <f>"Q "&amp;tbl_Kalender[[#This Row],[Quartal]]</f>
        <v>Q 4</v>
      </c>
      <c r="J725" t="str">
        <f>tbl_Kalender[[#This Row],[Quartal]]&amp;". Quartal"</f>
        <v>4. Quartal</v>
      </c>
      <c r="K725">
        <f>_xlfn.ISOWEEKNUM(tbl_Kalender[[#This Row],[Datum]])</f>
        <v>52</v>
      </c>
    </row>
    <row r="726" spans="1:11" x14ac:dyDescent="0.25">
      <c r="A726" s="1">
        <v>46016</v>
      </c>
      <c r="B726">
        <f>YEAR(tbl_Kalender[[#This Row],[Datum]])</f>
        <v>2025</v>
      </c>
      <c r="C726">
        <f>DAY(tbl_Kalender[[#This Row],[Datum]])</f>
        <v>25</v>
      </c>
      <c r="D726" t="str">
        <f>TEXT(tbl_Kalender[[#This Row],[Datum]],"TTTT")</f>
        <v>Donnerstag</v>
      </c>
      <c r="E726">
        <f>WEEKDAY(tbl_Kalender[[#This Row],[Datum]],2)</f>
        <v>4</v>
      </c>
      <c r="F726">
        <f>MONTH(tbl_Kalender[[#This Row],[Datum]])</f>
        <v>12</v>
      </c>
      <c r="G726" t="str">
        <f>TEXT(tbl_Kalender[[#This Row],[Datum]],"MMMM")</f>
        <v>Dezember</v>
      </c>
      <c r="H726">
        <f>ROUNDUP(tbl_Kalender[[#This Row],[Monat]]/3,0)</f>
        <v>4</v>
      </c>
      <c r="I726" t="str">
        <f>"Q "&amp;tbl_Kalender[[#This Row],[Quartal]]</f>
        <v>Q 4</v>
      </c>
      <c r="J726" t="str">
        <f>tbl_Kalender[[#This Row],[Quartal]]&amp;". Quartal"</f>
        <v>4. Quartal</v>
      </c>
      <c r="K726">
        <f>_xlfn.ISOWEEKNUM(tbl_Kalender[[#This Row],[Datum]])</f>
        <v>52</v>
      </c>
    </row>
    <row r="727" spans="1:11" x14ac:dyDescent="0.25">
      <c r="A727" s="1">
        <v>46017</v>
      </c>
      <c r="B727">
        <f>YEAR(tbl_Kalender[[#This Row],[Datum]])</f>
        <v>2025</v>
      </c>
      <c r="C727">
        <f>DAY(tbl_Kalender[[#This Row],[Datum]])</f>
        <v>26</v>
      </c>
      <c r="D727" t="str">
        <f>TEXT(tbl_Kalender[[#This Row],[Datum]],"TTTT")</f>
        <v>Freitag</v>
      </c>
      <c r="E727">
        <f>WEEKDAY(tbl_Kalender[[#This Row],[Datum]],2)</f>
        <v>5</v>
      </c>
      <c r="F727">
        <f>MONTH(tbl_Kalender[[#This Row],[Datum]])</f>
        <v>12</v>
      </c>
      <c r="G727" t="str">
        <f>TEXT(tbl_Kalender[[#This Row],[Datum]],"MMMM")</f>
        <v>Dezember</v>
      </c>
      <c r="H727">
        <f>ROUNDUP(tbl_Kalender[[#This Row],[Monat]]/3,0)</f>
        <v>4</v>
      </c>
      <c r="I727" t="str">
        <f>"Q "&amp;tbl_Kalender[[#This Row],[Quartal]]</f>
        <v>Q 4</v>
      </c>
      <c r="J727" t="str">
        <f>tbl_Kalender[[#This Row],[Quartal]]&amp;". Quartal"</f>
        <v>4. Quartal</v>
      </c>
      <c r="K727">
        <f>_xlfn.ISOWEEKNUM(tbl_Kalender[[#This Row],[Datum]])</f>
        <v>52</v>
      </c>
    </row>
    <row r="728" spans="1:11" x14ac:dyDescent="0.25">
      <c r="A728" s="1">
        <v>46018</v>
      </c>
      <c r="B728">
        <f>YEAR(tbl_Kalender[[#This Row],[Datum]])</f>
        <v>2025</v>
      </c>
      <c r="C728">
        <f>DAY(tbl_Kalender[[#This Row],[Datum]])</f>
        <v>27</v>
      </c>
      <c r="D728" t="str">
        <f>TEXT(tbl_Kalender[[#This Row],[Datum]],"TTTT")</f>
        <v>Samstag</v>
      </c>
      <c r="E728">
        <f>WEEKDAY(tbl_Kalender[[#This Row],[Datum]],2)</f>
        <v>6</v>
      </c>
      <c r="F728">
        <f>MONTH(tbl_Kalender[[#This Row],[Datum]])</f>
        <v>12</v>
      </c>
      <c r="G728" t="str">
        <f>TEXT(tbl_Kalender[[#This Row],[Datum]],"MMMM")</f>
        <v>Dezember</v>
      </c>
      <c r="H728">
        <f>ROUNDUP(tbl_Kalender[[#This Row],[Monat]]/3,0)</f>
        <v>4</v>
      </c>
      <c r="I728" t="str">
        <f>"Q "&amp;tbl_Kalender[[#This Row],[Quartal]]</f>
        <v>Q 4</v>
      </c>
      <c r="J728" t="str">
        <f>tbl_Kalender[[#This Row],[Quartal]]&amp;". Quartal"</f>
        <v>4. Quartal</v>
      </c>
      <c r="K728">
        <f>_xlfn.ISOWEEKNUM(tbl_Kalender[[#This Row],[Datum]])</f>
        <v>52</v>
      </c>
    </row>
    <row r="729" spans="1:11" x14ac:dyDescent="0.25">
      <c r="A729" s="1">
        <v>46019</v>
      </c>
      <c r="B729">
        <f>YEAR(tbl_Kalender[[#This Row],[Datum]])</f>
        <v>2025</v>
      </c>
      <c r="C729">
        <f>DAY(tbl_Kalender[[#This Row],[Datum]])</f>
        <v>28</v>
      </c>
      <c r="D729" t="str">
        <f>TEXT(tbl_Kalender[[#This Row],[Datum]],"TTTT")</f>
        <v>Sonntag</v>
      </c>
      <c r="E729">
        <f>WEEKDAY(tbl_Kalender[[#This Row],[Datum]],2)</f>
        <v>7</v>
      </c>
      <c r="F729">
        <f>MONTH(tbl_Kalender[[#This Row],[Datum]])</f>
        <v>12</v>
      </c>
      <c r="G729" t="str">
        <f>TEXT(tbl_Kalender[[#This Row],[Datum]],"MMMM")</f>
        <v>Dezember</v>
      </c>
      <c r="H729">
        <f>ROUNDUP(tbl_Kalender[[#This Row],[Monat]]/3,0)</f>
        <v>4</v>
      </c>
      <c r="I729" t="str">
        <f>"Q "&amp;tbl_Kalender[[#This Row],[Quartal]]</f>
        <v>Q 4</v>
      </c>
      <c r="J729" t="str">
        <f>tbl_Kalender[[#This Row],[Quartal]]&amp;". Quartal"</f>
        <v>4. Quartal</v>
      </c>
      <c r="K729">
        <f>_xlfn.ISOWEEKNUM(tbl_Kalender[[#This Row],[Datum]])</f>
        <v>52</v>
      </c>
    </row>
    <row r="730" spans="1:11" x14ac:dyDescent="0.25">
      <c r="A730" s="1">
        <v>46020</v>
      </c>
      <c r="B730">
        <f>YEAR(tbl_Kalender[[#This Row],[Datum]])</f>
        <v>2025</v>
      </c>
      <c r="C730">
        <f>DAY(tbl_Kalender[[#This Row],[Datum]])</f>
        <v>29</v>
      </c>
      <c r="D730" t="str">
        <f>TEXT(tbl_Kalender[[#This Row],[Datum]],"TTTT")</f>
        <v>Montag</v>
      </c>
      <c r="E730">
        <f>WEEKDAY(tbl_Kalender[[#This Row],[Datum]],2)</f>
        <v>1</v>
      </c>
      <c r="F730">
        <f>MONTH(tbl_Kalender[[#This Row],[Datum]])</f>
        <v>12</v>
      </c>
      <c r="G730" t="str">
        <f>TEXT(tbl_Kalender[[#This Row],[Datum]],"MMMM")</f>
        <v>Dezember</v>
      </c>
      <c r="H730">
        <f>ROUNDUP(tbl_Kalender[[#This Row],[Monat]]/3,0)</f>
        <v>4</v>
      </c>
      <c r="I730" t="str">
        <f>"Q "&amp;tbl_Kalender[[#This Row],[Quartal]]</f>
        <v>Q 4</v>
      </c>
      <c r="J730" t="str">
        <f>tbl_Kalender[[#This Row],[Quartal]]&amp;". Quartal"</f>
        <v>4. Quartal</v>
      </c>
      <c r="K730">
        <f>_xlfn.ISOWEEKNUM(tbl_Kalender[[#This Row],[Datum]])</f>
        <v>1</v>
      </c>
    </row>
    <row r="731" spans="1:11" x14ac:dyDescent="0.25">
      <c r="A731" s="1">
        <v>46021</v>
      </c>
      <c r="B731">
        <f>YEAR(tbl_Kalender[[#This Row],[Datum]])</f>
        <v>2025</v>
      </c>
      <c r="C731">
        <f>DAY(tbl_Kalender[[#This Row],[Datum]])</f>
        <v>30</v>
      </c>
      <c r="D731" t="str">
        <f>TEXT(tbl_Kalender[[#This Row],[Datum]],"TTTT")</f>
        <v>Dienstag</v>
      </c>
      <c r="E731">
        <f>WEEKDAY(tbl_Kalender[[#This Row],[Datum]],2)</f>
        <v>2</v>
      </c>
      <c r="F731">
        <f>MONTH(tbl_Kalender[[#This Row],[Datum]])</f>
        <v>12</v>
      </c>
      <c r="G731" t="str">
        <f>TEXT(tbl_Kalender[[#This Row],[Datum]],"MMMM")</f>
        <v>Dezember</v>
      </c>
      <c r="H731">
        <f>ROUNDUP(tbl_Kalender[[#This Row],[Monat]]/3,0)</f>
        <v>4</v>
      </c>
      <c r="I731" t="str">
        <f>"Q "&amp;tbl_Kalender[[#This Row],[Quartal]]</f>
        <v>Q 4</v>
      </c>
      <c r="J731" t="str">
        <f>tbl_Kalender[[#This Row],[Quartal]]&amp;". Quartal"</f>
        <v>4. Quartal</v>
      </c>
      <c r="K731">
        <f>_xlfn.ISOWEEKNUM(tbl_Kalender[[#This Row],[Datum]])</f>
        <v>1</v>
      </c>
    </row>
    <row r="732" spans="1:11" x14ac:dyDescent="0.25">
      <c r="A732" s="1">
        <v>46022</v>
      </c>
      <c r="B732">
        <f>YEAR(tbl_Kalender[[#This Row],[Datum]])</f>
        <v>2025</v>
      </c>
      <c r="C732">
        <f>DAY(tbl_Kalender[[#This Row],[Datum]])</f>
        <v>31</v>
      </c>
      <c r="D732" t="str">
        <f>TEXT(tbl_Kalender[[#This Row],[Datum]],"TTTT")</f>
        <v>Mittwoch</v>
      </c>
      <c r="E732">
        <f>WEEKDAY(tbl_Kalender[[#This Row],[Datum]],2)</f>
        <v>3</v>
      </c>
      <c r="F732">
        <f>MONTH(tbl_Kalender[[#This Row],[Datum]])</f>
        <v>12</v>
      </c>
      <c r="G732" t="str">
        <f>TEXT(tbl_Kalender[[#This Row],[Datum]],"MMMM")</f>
        <v>Dezember</v>
      </c>
      <c r="H732">
        <f>ROUNDUP(tbl_Kalender[[#This Row],[Monat]]/3,0)</f>
        <v>4</v>
      </c>
      <c r="I732" t="str">
        <f>"Q "&amp;tbl_Kalender[[#This Row],[Quartal]]</f>
        <v>Q 4</v>
      </c>
      <c r="J732" t="str">
        <f>tbl_Kalender[[#This Row],[Quartal]]&amp;". Quartal"</f>
        <v>4. Quartal</v>
      </c>
      <c r="K732">
        <f>_xlfn.ISOWEEKNUM(tbl_Kalender[[#This Row],[Datum]])</f>
        <v>1</v>
      </c>
    </row>
    <row r="733" spans="1:11" x14ac:dyDescent="0.25">
      <c r="A733" s="1">
        <v>46023</v>
      </c>
      <c r="B733">
        <f>YEAR(tbl_Kalender[[#This Row],[Datum]])</f>
        <v>2026</v>
      </c>
      <c r="C733">
        <f>DAY(tbl_Kalender[[#This Row],[Datum]])</f>
        <v>1</v>
      </c>
      <c r="D733" t="str">
        <f>TEXT(tbl_Kalender[[#This Row],[Datum]],"TTTT")</f>
        <v>Donnerstag</v>
      </c>
      <c r="E733">
        <f>WEEKDAY(tbl_Kalender[[#This Row],[Datum]],2)</f>
        <v>4</v>
      </c>
      <c r="F733">
        <f>MONTH(tbl_Kalender[[#This Row],[Datum]])</f>
        <v>1</v>
      </c>
      <c r="G733" t="str">
        <f>TEXT(tbl_Kalender[[#This Row],[Datum]],"MMMM")</f>
        <v>Januar</v>
      </c>
      <c r="H733">
        <f>ROUNDUP(tbl_Kalender[[#This Row],[Monat]]/3,0)</f>
        <v>1</v>
      </c>
      <c r="I733" t="str">
        <f>"Q "&amp;tbl_Kalender[[#This Row],[Quartal]]</f>
        <v>Q 1</v>
      </c>
      <c r="J733" t="str">
        <f>tbl_Kalender[[#This Row],[Quartal]]&amp;". Quartal"</f>
        <v>1. Quartal</v>
      </c>
      <c r="K733">
        <f>_xlfn.ISOWEEKNUM(tbl_Kalender[[#This Row],[Datum]])</f>
        <v>1</v>
      </c>
    </row>
    <row r="734" spans="1:11" x14ac:dyDescent="0.25">
      <c r="A734" s="1">
        <v>46024</v>
      </c>
      <c r="B734">
        <f>YEAR(tbl_Kalender[[#This Row],[Datum]])</f>
        <v>2026</v>
      </c>
      <c r="C734">
        <f>DAY(tbl_Kalender[[#This Row],[Datum]])</f>
        <v>2</v>
      </c>
      <c r="D734" t="str">
        <f>TEXT(tbl_Kalender[[#This Row],[Datum]],"TTTT")</f>
        <v>Freitag</v>
      </c>
      <c r="E734">
        <f>WEEKDAY(tbl_Kalender[[#This Row],[Datum]],2)</f>
        <v>5</v>
      </c>
      <c r="F734">
        <f>MONTH(tbl_Kalender[[#This Row],[Datum]])</f>
        <v>1</v>
      </c>
      <c r="G734" t="str">
        <f>TEXT(tbl_Kalender[[#This Row],[Datum]],"MMMM")</f>
        <v>Januar</v>
      </c>
      <c r="H734">
        <f>ROUNDUP(tbl_Kalender[[#This Row],[Monat]]/3,0)</f>
        <v>1</v>
      </c>
      <c r="I734" t="str">
        <f>"Q "&amp;tbl_Kalender[[#This Row],[Quartal]]</f>
        <v>Q 1</v>
      </c>
      <c r="J734" t="str">
        <f>tbl_Kalender[[#This Row],[Quartal]]&amp;". Quartal"</f>
        <v>1. Quartal</v>
      </c>
      <c r="K734">
        <f>_xlfn.ISOWEEKNUM(tbl_Kalender[[#This Row],[Datum]])</f>
        <v>1</v>
      </c>
    </row>
    <row r="735" spans="1:11" x14ac:dyDescent="0.25">
      <c r="A735" s="1">
        <v>46025</v>
      </c>
      <c r="B735">
        <f>YEAR(tbl_Kalender[[#This Row],[Datum]])</f>
        <v>2026</v>
      </c>
      <c r="C735">
        <f>DAY(tbl_Kalender[[#This Row],[Datum]])</f>
        <v>3</v>
      </c>
      <c r="D735" t="str">
        <f>TEXT(tbl_Kalender[[#This Row],[Datum]],"TTTT")</f>
        <v>Samstag</v>
      </c>
      <c r="E735">
        <f>WEEKDAY(tbl_Kalender[[#This Row],[Datum]],2)</f>
        <v>6</v>
      </c>
      <c r="F735">
        <f>MONTH(tbl_Kalender[[#This Row],[Datum]])</f>
        <v>1</v>
      </c>
      <c r="G735" t="str">
        <f>TEXT(tbl_Kalender[[#This Row],[Datum]],"MMMM")</f>
        <v>Januar</v>
      </c>
      <c r="H735">
        <f>ROUNDUP(tbl_Kalender[[#This Row],[Monat]]/3,0)</f>
        <v>1</v>
      </c>
      <c r="I735" t="str">
        <f>"Q "&amp;tbl_Kalender[[#This Row],[Quartal]]</f>
        <v>Q 1</v>
      </c>
      <c r="J735" t="str">
        <f>tbl_Kalender[[#This Row],[Quartal]]&amp;". Quartal"</f>
        <v>1. Quartal</v>
      </c>
      <c r="K735">
        <f>_xlfn.ISOWEEKNUM(tbl_Kalender[[#This Row],[Datum]])</f>
        <v>1</v>
      </c>
    </row>
    <row r="736" spans="1:11" x14ac:dyDescent="0.25">
      <c r="A736" s="1">
        <v>46026</v>
      </c>
      <c r="B736">
        <f>YEAR(tbl_Kalender[[#This Row],[Datum]])</f>
        <v>2026</v>
      </c>
      <c r="C736">
        <f>DAY(tbl_Kalender[[#This Row],[Datum]])</f>
        <v>4</v>
      </c>
      <c r="D736" t="str">
        <f>TEXT(tbl_Kalender[[#This Row],[Datum]],"TTTT")</f>
        <v>Sonntag</v>
      </c>
      <c r="E736">
        <f>WEEKDAY(tbl_Kalender[[#This Row],[Datum]],2)</f>
        <v>7</v>
      </c>
      <c r="F736">
        <f>MONTH(tbl_Kalender[[#This Row],[Datum]])</f>
        <v>1</v>
      </c>
      <c r="G736" t="str">
        <f>TEXT(tbl_Kalender[[#This Row],[Datum]],"MMMM")</f>
        <v>Januar</v>
      </c>
      <c r="H736">
        <f>ROUNDUP(tbl_Kalender[[#This Row],[Monat]]/3,0)</f>
        <v>1</v>
      </c>
      <c r="I736" t="str">
        <f>"Q "&amp;tbl_Kalender[[#This Row],[Quartal]]</f>
        <v>Q 1</v>
      </c>
      <c r="J736" t="str">
        <f>tbl_Kalender[[#This Row],[Quartal]]&amp;". Quartal"</f>
        <v>1. Quartal</v>
      </c>
      <c r="K736">
        <f>_xlfn.ISOWEEKNUM(tbl_Kalender[[#This Row],[Datum]])</f>
        <v>1</v>
      </c>
    </row>
    <row r="737" spans="1:11" x14ac:dyDescent="0.25">
      <c r="A737" s="1">
        <v>46027</v>
      </c>
      <c r="B737">
        <f>YEAR(tbl_Kalender[[#This Row],[Datum]])</f>
        <v>2026</v>
      </c>
      <c r="C737">
        <f>DAY(tbl_Kalender[[#This Row],[Datum]])</f>
        <v>5</v>
      </c>
      <c r="D737" t="str">
        <f>TEXT(tbl_Kalender[[#This Row],[Datum]],"TTTT")</f>
        <v>Montag</v>
      </c>
      <c r="E737">
        <f>WEEKDAY(tbl_Kalender[[#This Row],[Datum]],2)</f>
        <v>1</v>
      </c>
      <c r="F737">
        <f>MONTH(tbl_Kalender[[#This Row],[Datum]])</f>
        <v>1</v>
      </c>
      <c r="G737" t="str">
        <f>TEXT(tbl_Kalender[[#This Row],[Datum]],"MMMM")</f>
        <v>Januar</v>
      </c>
      <c r="H737">
        <f>ROUNDUP(tbl_Kalender[[#This Row],[Monat]]/3,0)</f>
        <v>1</v>
      </c>
      <c r="I737" t="str">
        <f>"Q "&amp;tbl_Kalender[[#This Row],[Quartal]]</f>
        <v>Q 1</v>
      </c>
      <c r="J737" t="str">
        <f>tbl_Kalender[[#This Row],[Quartal]]&amp;". Quartal"</f>
        <v>1. Quartal</v>
      </c>
      <c r="K737">
        <f>_xlfn.ISOWEEKNUM(tbl_Kalender[[#This Row],[Datum]])</f>
        <v>2</v>
      </c>
    </row>
    <row r="738" spans="1:11" x14ac:dyDescent="0.25">
      <c r="A738" s="1">
        <v>46028</v>
      </c>
      <c r="B738">
        <f>YEAR(tbl_Kalender[[#This Row],[Datum]])</f>
        <v>2026</v>
      </c>
      <c r="C738">
        <f>DAY(tbl_Kalender[[#This Row],[Datum]])</f>
        <v>6</v>
      </c>
      <c r="D738" t="str">
        <f>TEXT(tbl_Kalender[[#This Row],[Datum]],"TTTT")</f>
        <v>Dienstag</v>
      </c>
      <c r="E738">
        <f>WEEKDAY(tbl_Kalender[[#This Row],[Datum]],2)</f>
        <v>2</v>
      </c>
      <c r="F738">
        <f>MONTH(tbl_Kalender[[#This Row],[Datum]])</f>
        <v>1</v>
      </c>
      <c r="G738" t="str">
        <f>TEXT(tbl_Kalender[[#This Row],[Datum]],"MMMM")</f>
        <v>Januar</v>
      </c>
      <c r="H738">
        <f>ROUNDUP(tbl_Kalender[[#This Row],[Monat]]/3,0)</f>
        <v>1</v>
      </c>
      <c r="I738" t="str">
        <f>"Q "&amp;tbl_Kalender[[#This Row],[Quartal]]</f>
        <v>Q 1</v>
      </c>
      <c r="J738" t="str">
        <f>tbl_Kalender[[#This Row],[Quartal]]&amp;". Quartal"</f>
        <v>1. Quartal</v>
      </c>
      <c r="K738">
        <f>_xlfn.ISOWEEKNUM(tbl_Kalender[[#This Row],[Datum]])</f>
        <v>2</v>
      </c>
    </row>
    <row r="739" spans="1:11" x14ac:dyDescent="0.25">
      <c r="A739" s="1">
        <v>46029</v>
      </c>
      <c r="B739">
        <f>YEAR(tbl_Kalender[[#This Row],[Datum]])</f>
        <v>2026</v>
      </c>
      <c r="C739">
        <f>DAY(tbl_Kalender[[#This Row],[Datum]])</f>
        <v>7</v>
      </c>
      <c r="D739" t="str">
        <f>TEXT(tbl_Kalender[[#This Row],[Datum]],"TTTT")</f>
        <v>Mittwoch</v>
      </c>
      <c r="E739">
        <f>WEEKDAY(tbl_Kalender[[#This Row],[Datum]],2)</f>
        <v>3</v>
      </c>
      <c r="F739">
        <f>MONTH(tbl_Kalender[[#This Row],[Datum]])</f>
        <v>1</v>
      </c>
      <c r="G739" t="str">
        <f>TEXT(tbl_Kalender[[#This Row],[Datum]],"MMMM")</f>
        <v>Januar</v>
      </c>
      <c r="H739">
        <f>ROUNDUP(tbl_Kalender[[#This Row],[Monat]]/3,0)</f>
        <v>1</v>
      </c>
      <c r="I739" t="str">
        <f>"Q "&amp;tbl_Kalender[[#This Row],[Quartal]]</f>
        <v>Q 1</v>
      </c>
      <c r="J739" t="str">
        <f>tbl_Kalender[[#This Row],[Quartal]]&amp;". Quartal"</f>
        <v>1. Quartal</v>
      </c>
      <c r="K739">
        <f>_xlfn.ISOWEEKNUM(tbl_Kalender[[#This Row],[Datum]])</f>
        <v>2</v>
      </c>
    </row>
    <row r="740" spans="1:11" x14ac:dyDescent="0.25">
      <c r="A740" s="1">
        <v>46030</v>
      </c>
      <c r="B740">
        <f>YEAR(tbl_Kalender[[#This Row],[Datum]])</f>
        <v>2026</v>
      </c>
      <c r="C740">
        <f>DAY(tbl_Kalender[[#This Row],[Datum]])</f>
        <v>8</v>
      </c>
      <c r="D740" t="str">
        <f>TEXT(tbl_Kalender[[#This Row],[Datum]],"TTTT")</f>
        <v>Donnerstag</v>
      </c>
      <c r="E740">
        <f>WEEKDAY(tbl_Kalender[[#This Row],[Datum]],2)</f>
        <v>4</v>
      </c>
      <c r="F740">
        <f>MONTH(tbl_Kalender[[#This Row],[Datum]])</f>
        <v>1</v>
      </c>
      <c r="G740" t="str">
        <f>TEXT(tbl_Kalender[[#This Row],[Datum]],"MMMM")</f>
        <v>Januar</v>
      </c>
      <c r="H740">
        <f>ROUNDUP(tbl_Kalender[[#This Row],[Monat]]/3,0)</f>
        <v>1</v>
      </c>
      <c r="I740" t="str">
        <f>"Q "&amp;tbl_Kalender[[#This Row],[Quartal]]</f>
        <v>Q 1</v>
      </c>
      <c r="J740" t="str">
        <f>tbl_Kalender[[#This Row],[Quartal]]&amp;". Quartal"</f>
        <v>1. Quartal</v>
      </c>
      <c r="K740">
        <f>_xlfn.ISOWEEKNUM(tbl_Kalender[[#This Row],[Datum]])</f>
        <v>2</v>
      </c>
    </row>
    <row r="741" spans="1:11" x14ac:dyDescent="0.25">
      <c r="A741" s="1">
        <v>46031</v>
      </c>
      <c r="B741">
        <f>YEAR(tbl_Kalender[[#This Row],[Datum]])</f>
        <v>2026</v>
      </c>
      <c r="C741">
        <f>DAY(tbl_Kalender[[#This Row],[Datum]])</f>
        <v>9</v>
      </c>
      <c r="D741" t="str">
        <f>TEXT(tbl_Kalender[[#This Row],[Datum]],"TTTT")</f>
        <v>Freitag</v>
      </c>
      <c r="E741">
        <f>WEEKDAY(tbl_Kalender[[#This Row],[Datum]],2)</f>
        <v>5</v>
      </c>
      <c r="F741">
        <f>MONTH(tbl_Kalender[[#This Row],[Datum]])</f>
        <v>1</v>
      </c>
      <c r="G741" t="str">
        <f>TEXT(tbl_Kalender[[#This Row],[Datum]],"MMMM")</f>
        <v>Januar</v>
      </c>
      <c r="H741">
        <f>ROUNDUP(tbl_Kalender[[#This Row],[Monat]]/3,0)</f>
        <v>1</v>
      </c>
      <c r="I741" t="str">
        <f>"Q "&amp;tbl_Kalender[[#This Row],[Quartal]]</f>
        <v>Q 1</v>
      </c>
      <c r="J741" t="str">
        <f>tbl_Kalender[[#This Row],[Quartal]]&amp;". Quartal"</f>
        <v>1. Quartal</v>
      </c>
      <c r="K741">
        <f>_xlfn.ISOWEEKNUM(tbl_Kalender[[#This Row],[Datum]])</f>
        <v>2</v>
      </c>
    </row>
    <row r="742" spans="1:11" x14ac:dyDescent="0.25">
      <c r="A742" s="1">
        <v>46032</v>
      </c>
      <c r="B742">
        <f>YEAR(tbl_Kalender[[#This Row],[Datum]])</f>
        <v>2026</v>
      </c>
      <c r="C742">
        <f>DAY(tbl_Kalender[[#This Row],[Datum]])</f>
        <v>10</v>
      </c>
      <c r="D742" t="str">
        <f>TEXT(tbl_Kalender[[#This Row],[Datum]],"TTTT")</f>
        <v>Samstag</v>
      </c>
      <c r="E742">
        <f>WEEKDAY(tbl_Kalender[[#This Row],[Datum]],2)</f>
        <v>6</v>
      </c>
      <c r="F742">
        <f>MONTH(tbl_Kalender[[#This Row],[Datum]])</f>
        <v>1</v>
      </c>
      <c r="G742" t="str">
        <f>TEXT(tbl_Kalender[[#This Row],[Datum]],"MMMM")</f>
        <v>Januar</v>
      </c>
      <c r="H742">
        <f>ROUNDUP(tbl_Kalender[[#This Row],[Monat]]/3,0)</f>
        <v>1</v>
      </c>
      <c r="I742" t="str">
        <f>"Q "&amp;tbl_Kalender[[#This Row],[Quartal]]</f>
        <v>Q 1</v>
      </c>
      <c r="J742" t="str">
        <f>tbl_Kalender[[#This Row],[Quartal]]&amp;". Quartal"</f>
        <v>1. Quartal</v>
      </c>
      <c r="K742">
        <f>_xlfn.ISOWEEKNUM(tbl_Kalender[[#This Row],[Datum]])</f>
        <v>2</v>
      </c>
    </row>
    <row r="743" spans="1:11" x14ac:dyDescent="0.25">
      <c r="A743" s="1">
        <v>46033</v>
      </c>
      <c r="B743">
        <f>YEAR(tbl_Kalender[[#This Row],[Datum]])</f>
        <v>2026</v>
      </c>
      <c r="C743">
        <f>DAY(tbl_Kalender[[#This Row],[Datum]])</f>
        <v>11</v>
      </c>
      <c r="D743" t="str">
        <f>TEXT(tbl_Kalender[[#This Row],[Datum]],"TTTT")</f>
        <v>Sonntag</v>
      </c>
      <c r="E743">
        <f>WEEKDAY(tbl_Kalender[[#This Row],[Datum]],2)</f>
        <v>7</v>
      </c>
      <c r="F743">
        <f>MONTH(tbl_Kalender[[#This Row],[Datum]])</f>
        <v>1</v>
      </c>
      <c r="G743" t="str">
        <f>TEXT(tbl_Kalender[[#This Row],[Datum]],"MMMM")</f>
        <v>Januar</v>
      </c>
      <c r="H743">
        <f>ROUNDUP(tbl_Kalender[[#This Row],[Monat]]/3,0)</f>
        <v>1</v>
      </c>
      <c r="I743" t="str">
        <f>"Q "&amp;tbl_Kalender[[#This Row],[Quartal]]</f>
        <v>Q 1</v>
      </c>
      <c r="J743" t="str">
        <f>tbl_Kalender[[#This Row],[Quartal]]&amp;". Quartal"</f>
        <v>1. Quartal</v>
      </c>
      <c r="K743">
        <f>_xlfn.ISOWEEKNUM(tbl_Kalender[[#This Row],[Datum]])</f>
        <v>2</v>
      </c>
    </row>
    <row r="744" spans="1:11" x14ac:dyDescent="0.25">
      <c r="A744" s="1">
        <v>46034</v>
      </c>
      <c r="B744">
        <f>YEAR(tbl_Kalender[[#This Row],[Datum]])</f>
        <v>2026</v>
      </c>
      <c r="C744">
        <f>DAY(tbl_Kalender[[#This Row],[Datum]])</f>
        <v>12</v>
      </c>
      <c r="D744" t="str">
        <f>TEXT(tbl_Kalender[[#This Row],[Datum]],"TTTT")</f>
        <v>Montag</v>
      </c>
      <c r="E744">
        <f>WEEKDAY(tbl_Kalender[[#This Row],[Datum]],2)</f>
        <v>1</v>
      </c>
      <c r="F744">
        <f>MONTH(tbl_Kalender[[#This Row],[Datum]])</f>
        <v>1</v>
      </c>
      <c r="G744" t="str">
        <f>TEXT(tbl_Kalender[[#This Row],[Datum]],"MMMM")</f>
        <v>Januar</v>
      </c>
      <c r="H744">
        <f>ROUNDUP(tbl_Kalender[[#This Row],[Monat]]/3,0)</f>
        <v>1</v>
      </c>
      <c r="I744" t="str">
        <f>"Q "&amp;tbl_Kalender[[#This Row],[Quartal]]</f>
        <v>Q 1</v>
      </c>
      <c r="J744" t="str">
        <f>tbl_Kalender[[#This Row],[Quartal]]&amp;". Quartal"</f>
        <v>1. Quartal</v>
      </c>
      <c r="K744">
        <f>_xlfn.ISOWEEKNUM(tbl_Kalender[[#This Row],[Datum]])</f>
        <v>3</v>
      </c>
    </row>
    <row r="745" spans="1:11" x14ac:dyDescent="0.25">
      <c r="A745" s="1">
        <v>46035</v>
      </c>
      <c r="B745">
        <f>YEAR(tbl_Kalender[[#This Row],[Datum]])</f>
        <v>2026</v>
      </c>
      <c r="C745">
        <f>DAY(tbl_Kalender[[#This Row],[Datum]])</f>
        <v>13</v>
      </c>
      <c r="D745" t="str">
        <f>TEXT(tbl_Kalender[[#This Row],[Datum]],"TTTT")</f>
        <v>Dienstag</v>
      </c>
      <c r="E745">
        <f>WEEKDAY(tbl_Kalender[[#This Row],[Datum]],2)</f>
        <v>2</v>
      </c>
      <c r="F745">
        <f>MONTH(tbl_Kalender[[#This Row],[Datum]])</f>
        <v>1</v>
      </c>
      <c r="G745" t="str">
        <f>TEXT(tbl_Kalender[[#This Row],[Datum]],"MMMM")</f>
        <v>Januar</v>
      </c>
      <c r="H745">
        <f>ROUNDUP(tbl_Kalender[[#This Row],[Monat]]/3,0)</f>
        <v>1</v>
      </c>
      <c r="I745" t="str">
        <f>"Q "&amp;tbl_Kalender[[#This Row],[Quartal]]</f>
        <v>Q 1</v>
      </c>
      <c r="J745" t="str">
        <f>tbl_Kalender[[#This Row],[Quartal]]&amp;". Quartal"</f>
        <v>1. Quartal</v>
      </c>
      <c r="K745">
        <f>_xlfn.ISOWEEKNUM(tbl_Kalender[[#This Row],[Datum]])</f>
        <v>3</v>
      </c>
    </row>
    <row r="746" spans="1:11" x14ac:dyDescent="0.25">
      <c r="A746" s="1">
        <v>46036</v>
      </c>
      <c r="B746">
        <f>YEAR(tbl_Kalender[[#This Row],[Datum]])</f>
        <v>2026</v>
      </c>
      <c r="C746">
        <f>DAY(tbl_Kalender[[#This Row],[Datum]])</f>
        <v>14</v>
      </c>
      <c r="D746" t="str">
        <f>TEXT(tbl_Kalender[[#This Row],[Datum]],"TTTT")</f>
        <v>Mittwoch</v>
      </c>
      <c r="E746">
        <f>WEEKDAY(tbl_Kalender[[#This Row],[Datum]],2)</f>
        <v>3</v>
      </c>
      <c r="F746">
        <f>MONTH(tbl_Kalender[[#This Row],[Datum]])</f>
        <v>1</v>
      </c>
      <c r="G746" t="str">
        <f>TEXT(tbl_Kalender[[#This Row],[Datum]],"MMMM")</f>
        <v>Januar</v>
      </c>
      <c r="H746">
        <f>ROUNDUP(tbl_Kalender[[#This Row],[Monat]]/3,0)</f>
        <v>1</v>
      </c>
      <c r="I746" t="str">
        <f>"Q "&amp;tbl_Kalender[[#This Row],[Quartal]]</f>
        <v>Q 1</v>
      </c>
      <c r="J746" t="str">
        <f>tbl_Kalender[[#This Row],[Quartal]]&amp;". Quartal"</f>
        <v>1. Quartal</v>
      </c>
      <c r="K746">
        <f>_xlfn.ISOWEEKNUM(tbl_Kalender[[#This Row],[Datum]])</f>
        <v>3</v>
      </c>
    </row>
    <row r="747" spans="1:11" x14ac:dyDescent="0.25">
      <c r="A747" s="1">
        <v>46037</v>
      </c>
      <c r="B747">
        <f>YEAR(tbl_Kalender[[#This Row],[Datum]])</f>
        <v>2026</v>
      </c>
      <c r="C747">
        <f>DAY(tbl_Kalender[[#This Row],[Datum]])</f>
        <v>15</v>
      </c>
      <c r="D747" t="str">
        <f>TEXT(tbl_Kalender[[#This Row],[Datum]],"TTTT")</f>
        <v>Donnerstag</v>
      </c>
      <c r="E747">
        <f>WEEKDAY(tbl_Kalender[[#This Row],[Datum]],2)</f>
        <v>4</v>
      </c>
      <c r="F747">
        <f>MONTH(tbl_Kalender[[#This Row],[Datum]])</f>
        <v>1</v>
      </c>
      <c r="G747" t="str">
        <f>TEXT(tbl_Kalender[[#This Row],[Datum]],"MMMM")</f>
        <v>Januar</v>
      </c>
      <c r="H747">
        <f>ROUNDUP(tbl_Kalender[[#This Row],[Monat]]/3,0)</f>
        <v>1</v>
      </c>
      <c r="I747" t="str">
        <f>"Q "&amp;tbl_Kalender[[#This Row],[Quartal]]</f>
        <v>Q 1</v>
      </c>
      <c r="J747" t="str">
        <f>tbl_Kalender[[#This Row],[Quartal]]&amp;". Quartal"</f>
        <v>1. Quartal</v>
      </c>
      <c r="K747">
        <f>_xlfn.ISOWEEKNUM(tbl_Kalender[[#This Row],[Datum]])</f>
        <v>3</v>
      </c>
    </row>
    <row r="748" spans="1:11" x14ac:dyDescent="0.25">
      <c r="A748" s="1">
        <v>46038</v>
      </c>
      <c r="B748">
        <f>YEAR(tbl_Kalender[[#This Row],[Datum]])</f>
        <v>2026</v>
      </c>
      <c r="C748">
        <f>DAY(tbl_Kalender[[#This Row],[Datum]])</f>
        <v>16</v>
      </c>
      <c r="D748" t="str">
        <f>TEXT(tbl_Kalender[[#This Row],[Datum]],"TTTT")</f>
        <v>Freitag</v>
      </c>
      <c r="E748">
        <f>WEEKDAY(tbl_Kalender[[#This Row],[Datum]],2)</f>
        <v>5</v>
      </c>
      <c r="F748">
        <f>MONTH(tbl_Kalender[[#This Row],[Datum]])</f>
        <v>1</v>
      </c>
      <c r="G748" t="str">
        <f>TEXT(tbl_Kalender[[#This Row],[Datum]],"MMMM")</f>
        <v>Januar</v>
      </c>
      <c r="H748">
        <f>ROUNDUP(tbl_Kalender[[#This Row],[Monat]]/3,0)</f>
        <v>1</v>
      </c>
      <c r="I748" t="str">
        <f>"Q "&amp;tbl_Kalender[[#This Row],[Quartal]]</f>
        <v>Q 1</v>
      </c>
      <c r="J748" t="str">
        <f>tbl_Kalender[[#This Row],[Quartal]]&amp;". Quartal"</f>
        <v>1. Quartal</v>
      </c>
      <c r="K748">
        <f>_xlfn.ISOWEEKNUM(tbl_Kalender[[#This Row],[Datum]])</f>
        <v>3</v>
      </c>
    </row>
    <row r="749" spans="1:11" x14ac:dyDescent="0.25">
      <c r="A749" s="1">
        <v>46039</v>
      </c>
      <c r="B749">
        <f>YEAR(tbl_Kalender[[#This Row],[Datum]])</f>
        <v>2026</v>
      </c>
      <c r="C749">
        <f>DAY(tbl_Kalender[[#This Row],[Datum]])</f>
        <v>17</v>
      </c>
      <c r="D749" t="str">
        <f>TEXT(tbl_Kalender[[#This Row],[Datum]],"TTTT")</f>
        <v>Samstag</v>
      </c>
      <c r="E749">
        <f>WEEKDAY(tbl_Kalender[[#This Row],[Datum]],2)</f>
        <v>6</v>
      </c>
      <c r="F749">
        <f>MONTH(tbl_Kalender[[#This Row],[Datum]])</f>
        <v>1</v>
      </c>
      <c r="G749" t="str">
        <f>TEXT(tbl_Kalender[[#This Row],[Datum]],"MMMM")</f>
        <v>Januar</v>
      </c>
      <c r="H749">
        <f>ROUNDUP(tbl_Kalender[[#This Row],[Monat]]/3,0)</f>
        <v>1</v>
      </c>
      <c r="I749" t="str">
        <f>"Q "&amp;tbl_Kalender[[#This Row],[Quartal]]</f>
        <v>Q 1</v>
      </c>
      <c r="J749" t="str">
        <f>tbl_Kalender[[#This Row],[Quartal]]&amp;". Quartal"</f>
        <v>1. Quartal</v>
      </c>
      <c r="K749">
        <f>_xlfn.ISOWEEKNUM(tbl_Kalender[[#This Row],[Datum]])</f>
        <v>3</v>
      </c>
    </row>
    <row r="750" spans="1:11" x14ac:dyDescent="0.25">
      <c r="A750" s="1">
        <v>46040</v>
      </c>
      <c r="B750">
        <f>YEAR(tbl_Kalender[[#This Row],[Datum]])</f>
        <v>2026</v>
      </c>
      <c r="C750">
        <f>DAY(tbl_Kalender[[#This Row],[Datum]])</f>
        <v>18</v>
      </c>
      <c r="D750" t="str">
        <f>TEXT(tbl_Kalender[[#This Row],[Datum]],"TTTT")</f>
        <v>Sonntag</v>
      </c>
      <c r="E750">
        <f>WEEKDAY(tbl_Kalender[[#This Row],[Datum]],2)</f>
        <v>7</v>
      </c>
      <c r="F750">
        <f>MONTH(tbl_Kalender[[#This Row],[Datum]])</f>
        <v>1</v>
      </c>
      <c r="G750" t="str">
        <f>TEXT(tbl_Kalender[[#This Row],[Datum]],"MMMM")</f>
        <v>Januar</v>
      </c>
      <c r="H750">
        <f>ROUNDUP(tbl_Kalender[[#This Row],[Monat]]/3,0)</f>
        <v>1</v>
      </c>
      <c r="I750" t="str">
        <f>"Q "&amp;tbl_Kalender[[#This Row],[Quartal]]</f>
        <v>Q 1</v>
      </c>
      <c r="J750" t="str">
        <f>tbl_Kalender[[#This Row],[Quartal]]&amp;". Quartal"</f>
        <v>1. Quartal</v>
      </c>
      <c r="K750">
        <f>_xlfn.ISOWEEKNUM(tbl_Kalender[[#This Row],[Datum]])</f>
        <v>3</v>
      </c>
    </row>
    <row r="751" spans="1:11" x14ac:dyDescent="0.25">
      <c r="A751" s="1">
        <v>46041</v>
      </c>
      <c r="B751">
        <f>YEAR(tbl_Kalender[[#This Row],[Datum]])</f>
        <v>2026</v>
      </c>
      <c r="C751">
        <f>DAY(tbl_Kalender[[#This Row],[Datum]])</f>
        <v>19</v>
      </c>
      <c r="D751" t="str">
        <f>TEXT(tbl_Kalender[[#This Row],[Datum]],"TTTT")</f>
        <v>Montag</v>
      </c>
      <c r="E751">
        <f>WEEKDAY(tbl_Kalender[[#This Row],[Datum]],2)</f>
        <v>1</v>
      </c>
      <c r="F751">
        <f>MONTH(tbl_Kalender[[#This Row],[Datum]])</f>
        <v>1</v>
      </c>
      <c r="G751" t="str">
        <f>TEXT(tbl_Kalender[[#This Row],[Datum]],"MMMM")</f>
        <v>Januar</v>
      </c>
      <c r="H751">
        <f>ROUNDUP(tbl_Kalender[[#This Row],[Monat]]/3,0)</f>
        <v>1</v>
      </c>
      <c r="I751" t="str">
        <f>"Q "&amp;tbl_Kalender[[#This Row],[Quartal]]</f>
        <v>Q 1</v>
      </c>
      <c r="J751" t="str">
        <f>tbl_Kalender[[#This Row],[Quartal]]&amp;". Quartal"</f>
        <v>1. Quartal</v>
      </c>
      <c r="K751">
        <f>_xlfn.ISOWEEKNUM(tbl_Kalender[[#This Row],[Datum]])</f>
        <v>4</v>
      </c>
    </row>
    <row r="752" spans="1:11" x14ac:dyDescent="0.25">
      <c r="A752" s="1">
        <v>46042</v>
      </c>
      <c r="B752">
        <f>YEAR(tbl_Kalender[[#This Row],[Datum]])</f>
        <v>2026</v>
      </c>
      <c r="C752">
        <f>DAY(tbl_Kalender[[#This Row],[Datum]])</f>
        <v>20</v>
      </c>
      <c r="D752" t="str">
        <f>TEXT(tbl_Kalender[[#This Row],[Datum]],"TTTT")</f>
        <v>Dienstag</v>
      </c>
      <c r="E752">
        <f>WEEKDAY(tbl_Kalender[[#This Row],[Datum]],2)</f>
        <v>2</v>
      </c>
      <c r="F752">
        <f>MONTH(tbl_Kalender[[#This Row],[Datum]])</f>
        <v>1</v>
      </c>
      <c r="G752" t="str">
        <f>TEXT(tbl_Kalender[[#This Row],[Datum]],"MMMM")</f>
        <v>Januar</v>
      </c>
      <c r="H752">
        <f>ROUNDUP(tbl_Kalender[[#This Row],[Monat]]/3,0)</f>
        <v>1</v>
      </c>
      <c r="I752" t="str">
        <f>"Q "&amp;tbl_Kalender[[#This Row],[Quartal]]</f>
        <v>Q 1</v>
      </c>
      <c r="J752" t="str">
        <f>tbl_Kalender[[#This Row],[Quartal]]&amp;". Quartal"</f>
        <v>1. Quartal</v>
      </c>
      <c r="K752">
        <f>_xlfn.ISOWEEKNUM(tbl_Kalender[[#This Row],[Datum]])</f>
        <v>4</v>
      </c>
    </row>
    <row r="753" spans="1:11" x14ac:dyDescent="0.25">
      <c r="A753" s="1">
        <v>46043</v>
      </c>
      <c r="B753">
        <f>YEAR(tbl_Kalender[[#This Row],[Datum]])</f>
        <v>2026</v>
      </c>
      <c r="C753">
        <f>DAY(tbl_Kalender[[#This Row],[Datum]])</f>
        <v>21</v>
      </c>
      <c r="D753" t="str">
        <f>TEXT(tbl_Kalender[[#This Row],[Datum]],"TTTT")</f>
        <v>Mittwoch</v>
      </c>
      <c r="E753">
        <f>WEEKDAY(tbl_Kalender[[#This Row],[Datum]],2)</f>
        <v>3</v>
      </c>
      <c r="F753">
        <f>MONTH(tbl_Kalender[[#This Row],[Datum]])</f>
        <v>1</v>
      </c>
      <c r="G753" t="str">
        <f>TEXT(tbl_Kalender[[#This Row],[Datum]],"MMMM")</f>
        <v>Januar</v>
      </c>
      <c r="H753">
        <f>ROUNDUP(tbl_Kalender[[#This Row],[Monat]]/3,0)</f>
        <v>1</v>
      </c>
      <c r="I753" t="str">
        <f>"Q "&amp;tbl_Kalender[[#This Row],[Quartal]]</f>
        <v>Q 1</v>
      </c>
      <c r="J753" t="str">
        <f>tbl_Kalender[[#This Row],[Quartal]]&amp;". Quartal"</f>
        <v>1. Quartal</v>
      </c>
      <c r="K753">
        <f>_xlfn.ISOWEEKNUM(tbl_Kalender[[#This Row],[Datum]])</f>
        <v>4</v>
      </c>
    </row>
    <row r="754" spans="1:11" x14ac:dyDescent="0.25">
      <c r="A754" s="1">
        <v>46044</v>
      </c>
      <c r="B754">
        <f>YEAR(tbl_Kalender[[#This Row],[Datum]])</f>
        <v>2026</v>
      </c>
      <c r="C754">
        <f>DAY(tbl_Kalender[[#This Row],[Datum]])</f>
        <v>22</v>
      </c>
      <c r="D754" t="str">
        <f>TEXT(tbl_Kalender[[#This Row],[Datum]],"TTTT")</f>
        <v>Donnerstag</v>
      </c>
      <c r="E754">
        <f>WEEKDAY(tbl_Kalender[[#This Row],[Datum]],2)</f>
        <v>4</v>
      </c>
      <c r="F754">
        <f>MONTH(tbl_Kalender[[#This Row],[Datum]])</f>
        <v>1</v>
      </c>
      <c r="G754" t="str">
        <f>TEXT(tbl_Kalender[[#This Row],[Datum]],"MMMM")</f>
        <v>Januar</v>
      </c>
      <c r="H754">
        <f>ROUNDUP(tbl_Kalender[[#This Row],[Monat]]/3,0)</f>
        <v>1</v>
      </c>
      <c r="I754" t="str">
        <f>"Q "&amp;tbl_Kalender[[#This Row],[Quartal]]</f>
        <v>Q 1</v>
      </c>
      <c r="J754" t="str">
        <f>tbl_Kalender[[#This Row],[Quartal]]&amp;". Quartal"</f>
        <v>1. Quartal</v>
      </c>
      <c r="K754">
        <f>_xlfn.ISOWEEKNUM(tbl_Kalender[[#This Row],[Datum]])</f>
        <v>4</v>
      </c>
    </row>
    <row r="755" spans="1:11" x14ac:dyDescent="0.25">
      <c r="A755" s="1">
        <v>46045</v>
      </c>
      <c r="B755">
        <f>YEAR(tbl_Kalender[[#This Row],[Datum]])</f>
        <v>2026</v>
      </c>
      <c r="C755">
        <f>DAY(tbl_Kalender[[#This Row],[Datum]])</f>
        <v>23</v>
      </c>
      <c r="D755" t="str">
        <f>TEXT(tbl_Kalender[[#This Row],[Datum]],"TTTT")</f>
        <v>Freitag</v>
      </c>
      <c r="E755">
        <f>WEEKDAY(tbl_Kalender[[#This Row],[Datum]],2)</f>
        <v>5</v>
      </c>
      <c r="F755">
        <f>MONTH(tbl_Kalender[[#This Row],[Datum]])</f>
        <v>1</v>
      </c>
      <c r="G755" t="str">
        <f>TEXT(tbl_Kalender[[#This Row],[Datum]],"MMMM")</f>
        <v>Januar</v>
      </c>
      <c r="H755">
        <f>ROUNDUP(tbl_Kalender[[#This Row],[Monat]]/3,0)</f>
        <v>1</v>
      </c>
      <c r="I755" t="str">
        <f>"Q "&amp;tbl_Kalender[[#This Row],[Quartal]]</f>
        <v>Q 1</v>
      </c>
      <c r="J755" t="str">
        <f>tbl_Kalender[[#This Row],[Quartal]]&amp;". Quartal"</f>
        <v>1. Quartal</v>
      </c>
      <c r="K755">
        <f>_xlfn.ISOWEEKNUM(tbl_Kalender[[#This Row],[Datum]])</f>
        <v>4</v>
      </c>
    </row>
    <row r="756" spans="1:11" x14ac:dyDescent="0.25">
      <c r="A756" s="1">
        <v>46046</v>
      </c>
      <c r="B756">
        <f>YEAR(tbl_Kalender[[#This Row],[Datum]])</f>
        <v>2026</v>
      </c>
      <c r="C756">
        <f>DAY(tbl_Kalender[[#This Row],[Datum]])</f>
        <v>24</v>
      </c>
      <c r="D756" t="str">
        <f>TEXT(tbl_Kalender[[#This Row],[Datum]],"TTTT")</f>
        <v>Samstag</v>
      </c>
      <c r="E756">
        <f>WEEKDAY(tbl_Kalender[[#This Row],[Datum]],2)</f>
        <v>6</v>
      </c>
      <c r="F756">
        <f>MONTH(tbl_Kalender[[#This Row],[Datum]])</f>
        <v>1</v>
      </c>
      <c r="G756" t="str">
        <f>TEXT(tbl_Kalender[[#This Row],[Datum]],"MMMM")</f>
        <v>Januar</v>
      </c>
      <c r="H756">
        <f>ROUNDUP(tbl_Kalender[[#This Row],[Monat]]/3,0)</f>
        <v>1</v>
      </c>
      <c r="I756" t="str">
        <f>"Q "&amp;tbl_Kalender[[#This Row],[Quartal]]</f>
        <v>Q 1</v>
      </c>
      <c r="J756" t="str">
        <f>tbl_Kalender[[#This Row],[Quartal]]&amp;". Quartal"</f>
        <v>1. Quartal</v>
      </c>
      <c r="K756">
        <f>_xlfn.ISOWEEKNUM(tbl_Kalender[[#This Row],[Datum]])</f>
        <v>4</v>
      </c>
    </row>
    <row r="757" spans="1:11" x14ac:dyDescent="0.25">
      <c r="A757" s="1">
        <v>46047</v>
      </c>
      <c r="B757">
        <f>YEAR(tbl_Kalender[[#This Row],[Datum]])</f>
        <v>2026</v>
      </c>
      <c r="C757">
        <f>DAY(tbl_Kalender[[#This Row],[Datum]])</f>
        <v>25</v>
      </c>
      <c r="D757" t="str">
        <f>TEXT(tbl_Kalender[[#This Row],[Datum]],"TTTT")</f>
        <v>Sonntag</v>
      </c>
      <c r="E757">
        <f>WEEKDAY(tbl_Kalender[[#This Row],[Datum]],2)</f>
        <v>7</v>
      </c>
      <c r="F757">
        <f>MONTH(tbl_Kalender[[#This Row],[Datum]])</f>
        <v>1</v>
      </c>
      <c r="G757" t="str">
        <f>TEXT(tbl_Kalender[[#This Row],[Datum]],"MMMM")</f>
        <v>Januar</v>
      </c>
      <c r="H757">
        <f>ROUNDUP(tbl_Kalender[[#This Row],[Monat]]/3,0)</f>
        <v>1</v>
      </c>
      <c r="I757" t="str">
        <f>"Q "&amp;tbl_Kalender[[#This Row],[Quartal]]</f>
        <v>Q 1</v>
      </c>
      <c r="J757" t="str">
        <f>tbl_Kalender[[#This Row],[Quartal]]&amp;". Quartal"</f>
        <v>1. Quartal</v>
      </c>
      <c r="K757">
        <f>_xlfn.ISOWEEKNUM(tbl_Kalender[[#This Row],[Datum]])</f>
        <v>4</v>
      </c>
    </row>
    <row r="758" spans="1:11" x14ac:dyDescent="0.25">
      <c r="A758" s="1">
        <v>46048</v>
      </c>
      <c r="B758">
        <f>YEAR(tbl_Kalender[[#This Row],[Datum]])</f>
        <v>2026</v>
      </c>
      <c r="C758">
        <f>DAY(tbl_Kalender[[#This Row],[Datum]])</f>
        <v>26</v>
      </c>
      <c r="D758" t="str">
        <f>TEXT(tbl_Kalender[[#This Row],[Datum]],"TTTT")</f>
        <v>Montag</v>
      </c>
      <c r="E758">
        <f>WEEKDAY(tbl_Kalender[[#This Row],[Datum]],2)</f>
        <v>1</v>
      </c>
      <c r="F758">
        <f>MONTH(tbl_Kalender[[#This Row],[Datum]])</f>
        <v>1</v>
      </c>
      <c r="G758" t="str">
        <f>TEXT(tbl_Kalender[[#This Row],[Datum]],"MMMM")</f>
        <v>Januar</v>
      </c>
      <c r="H758">
        <f>ROUNDUP(tbl_Kalender[[#This Row],[Monat]]/3,0)</f>
        <v>1</v>
      </c>
      <c r="I758" t="str">
        <f>"Q "&amp;tbl_Kalender[[#This Row],[Quartal]]</f>
        <v>Q 1</v>
      </c>
      <c r="J758" t="str">
        <f>tbl_Kalender[[#This Row],[Quartal]]&amp;". Quartal"</f>
        <v>1. Quartal</v>
      </c>
      <c r="K758">
        <f>_xlfn.ISOWEEKNUM(tbl_Kalender[[#This Row],[Datum]])</f>
        <v>5</v>
      </c>
    </row>
    <row r="759" spans="1:11" x14ac:dyDescent="0.25">
      <c r="A759" s="1">
        <v>46049</v>
      </c>
      <c r="B759">
        <f>YEAR(tbl_Kalender[[#This Row],[Datum]])</f>
        <v>2026</v>
      </c>
      <c r="C759">
        <f>DAY(tbl_Kalender[[#This Row],[Datum]])</f>
        <v>27</v>
      </c>
      <c r="D759" t="str">
        <f>TEXT(tbl_Kalender[[#This Row],[Datum]],"TTTT")</f>
        <v>Dienstag</v>
      </c>
      <c r="E759">
        <f>WEEKDAY(tbl_Kalender[[#This Row],[Datum]],2)</f>
        <v>2</v>
      </c>
      <c r="F759">
        <f>MONTH(tbl_Kalender[[#This Row],[Datum]])</f>
        <v>1</v>
      </c>
      <c r="G759" t="str">
        <f>TEXT(tbl_Kalender[[#This Row],[Datum]],"MMMM")</f>
        <v>Januar</v>
      </c>
      <c r="H759">
        <f>ROUNDUP(tbl_Kalender[[#This Row],[Monat]]/3,0)</f>
        <v>1</v>
      </c>
      <c r="I759" t="str">
        <f>"Q "&amp;tbl_Kalender[[#This Row],[Quartal]]</f>
        <v>Q 1</v>
      </c>
      <c r="J759" t="str">
        <f>tbl_Kalender[[#This Row],[Quartal]]&amp;". Quartal"</f>
        <v>1. Quartal</v>
      </c>
      <c r="K759">
        <f>_xlfn.ISOWEEKNUM(tbl_Kalender[[#This Row],[Datum]])</f>
        <v>5</v>
      </c>
    </row>
    <row r="760" spans="1:11" x14ac:dyDescent="0.25">
      <c r="A760" s="1">
        <v>46050</v>
      </c>
      <c r="B760">
        <f>YEAR(tbl_Kalender[[#This Row],[Datum]])</f>
        <v>2026</v>
      </c>
      <c r="C760">
        <f>DAY(tbl_Kalender[[#This Row],[Datum]])</f>
        <v>28</v>
      </c>
      <c r="D760" t="str">
        <f>TEXT(tbl_Kalender[[#This Row],[Datum]],"TTTT")</f>
        <v>Mittwoch</v>
      </c>
      <c r="E760">
        <f>WEEKDAY(tbl_Kalender[[#This Row],[Datum]],2)</f>
        <v>3</v>
      </c>
      <c r="F760">
        <f>MONTH(tbl_Kalender[[#This Row],[Datum]])</f>
        <v>1</v>
      </c>
      <c r="G760" t="str">
        <f>TEXT(tbl_Kalender[[#This Row],[Datum]],"MMMM")</f>
        <v>Januar</v>
      </c>
      <c r="H760">
        <f>ROUNDUP(tbl_Kalender[[#This Row],[Monat]]/3,0)</f>
        <v>1</v>
      </c>
      <c r="I760" t="str">
        <f>"Q "&amp;tbl_Kalender[[#This Row],[Quartal]]</f>
        <v>Q 1</v>
      </c>
      <c r="J760" t="str">
        <f>tbl_Kalender[[#This Row],[Quartal]]&amp;". Quartal"</f>
        <v>1. Quartal</v>
      </c>
      <c r="K760">
        <f>_xlfn.ISOWEEKNUM(tbl_Kalender[[#This Row],[Datum]])</f>
        <v>5</v>
      </c>
    </row>
    <row r="761" spans="1:11" x14ac:dyDescent="0.25">
      <c r="A761" s="1">
        <v>46051</v>
      </c>
      <c r="B761">
        <f>YEAR(tbl_Kalender[[#This Row],[Datum]])</f>
        <v>2026</v>
      </c>
      <c r="C761">
        <f>DAY(tbl_Kalender[[#This Row],[Datum]])</f>
        <v>29</v>
      </c>
      <c r="D761" t="str">
        <f>TEXT(tbl_Kalender[[#This Row],[Datum]],"TTTT")</f>
        <v>Donnerstag</v>
      </c>
      <c r="E761">
        <f>WEEKDAY(tbl_Kalender[[#This Row],[Datum]],2)</f>
        <v>4</v>
      </c>
      <c r="F761">
        <f>MONTH(tbl_Kalender[[#This Row],[Datum]])</f>
        <v>1</v>
      </c>
      <c r="G761" t="str">
        <f>TEXT(tbl_Kalender[[#This Row],[Datum]],"MMMM")</f>
        <v>Januar</v>
      </c>
      <c r="H761">
        <f>ROUNDUP(tbl_Kalender[[#This Row],[Monat]]/3,0)</f>
        <v>1</v>
      </c>
      <c r="I761" t="str">
        <f>"Q "&amp;tbl_Kalender[[#This Row],[Quartal]]</f>
        <v>Q 1</v>
      </c>
      <c r="J761" t="str">
        <f>tbl_Kalender[[#This Row],[Quartal]]&amp;". Quartal"</f>
        <v>1. Quartal</v>
      </c>
      <c r="K761">
        <f>_xlfn.ISOWEEKNUM(tbl_Kalender[[#This Row],[Datum]])</f>
        <v>5</v>
      </c>
    </row>
    <row r="762" spans="1:11" x14ac:dyDescent="0.25">
      <c r="A762" s="1">
        <v>46052</v>
      </c>
      <c r="B762">
        <f>YEAR(tbl_Kalender[[#This Row],[Datum]])</f>
        <v>2026</v>
      </c>
      <c r="C762">
        <f>DAY(tbl_Kalender[[#This Row],[Datum]])</f>
        <v>30</v>
      </c>
      <c r="D762" t="str">
        <f>TEXT(tbl_Kalender[[#This Row],[Datum]],"TTTT")</f>
        <v>Freitag</v>
      </c>
      <c r="E762">
        <f>WEEKDAY(tbl_Kalender[[#This Row],[Datum]],2)</f>
        <v>5</v>
      </c>
      <c r="F762">
        <f>MONTH(tbl_Kalender[[#This Row],[Datum]])</f>
        <v>1</v>
      </c>
      <c r="G762" t="str">
        <f>TEXT(tbl_Kalender[[#This Row],[Datum]],"MMMM")</f>
        <v>Januar</v>
      </c>
      <c r="H762">
        <f>ROUNDUP(tbl_Kalender[[#This Row],[Monat]]/3,0)</f>
        <v>1</v>
      </c>
      <c r="I762" t="str">
        <f>"Q "&amp;tbl_Kalender[[#This Row],[Quartal]]</f>
        <v>Q 1</v>
      </c>
      <c r="J762" t="str">
        <f>tbl_Kalender[[#This Row],[Quartal]]&amp;". Quartal"</f>
        <v>1. Quartal</v>
      </c>
      <c r="K762">
        <f>_xlfn.ISOWEEKNUM(tbl_Kalender[[#This Row],[Datum]])</f>
        <v>5</v>
      </c>
    </row>
    <row r="763" spans="1:11" x14ac:dyDescent="0.25">
      <c r="A763" s="1">
        <v>46053</v>
      </c>
      <c r="B763">
        <f>YEAR(tbl_Kalender[[#This Row],[Datum]])</f>
        <v>2026</v>
      </c>
      <c r="C763">
        <f>DAY(tbl_Kalender[[#This Row],[Datum]])</f>
        <v>31</v>
      </c>
      <c r="D763" t="str">
        <f>TEXT(tbl_Kalender[[#This Row],[Datum]],"TTTT")</f>
        <v>Samstag</v>
      </c>
      <c r="E763">
        <f>WEEKDAY(tbl_Kalender[[#This Row],[Datum]],2)</f>
        <v>6</v>
      </c>
      <c r="F763">
        <f>MONTH(tbl_Kalender[[#This Row],[Datum]])</f>
        <v>1</v>
      </c>
      <c r="G763" t="str">
        <f>TEXT(tbl_Kalender[[#This Row],[Datum]],"MMMM")</f>
        <v>Januar</v>
      </c>
      <c r="H763">
        <f>ROUNDUP(tbl_Kalender[[#This Row],[Monat]]/3,0)</f>
        <v>1</v>
      </c>
      <c r="I763" t="str">
        <f>"Q "&amp;tbl_Kalender[[#This Row],[Quartal]]</f>
        <v>Q 1</v>
      </c>
      <c r="J763" t="str">
        <f>tbl_Kalender[[#This Row],[Quartal]]&amp;". Quartal"</f>
        <v>1. Quartal</v>
      </c>
      <c r="K763">
        <f>_xlfn.ISOWEEKNUM(tbl_Kalender[[#This Row],[Datum]])</f>
        <v>5</v>
      </c>
    </row>
    <row r="764" spans="1:11" x14ac:dyDescent="0.25">
      <c r="A764" s="1">
        <v>46054</v>
      </c>
      <c r="B764">
        <f>YEAR(tbl_Kalender[[#This Row],[Datum]])</f>
        <v>2026</v>
      </c>
      <c r="C764">
        <f>DAY(tbl_Kalender[[#This Row],[Datum]])</f>
        <v>1</v>
      </c>
      <c r="D764" t="str">
        <f>TEXT(tbl_Kalender[[#This Row],[Datum]],"TTTT")</f>
        <v>Sonntag</v>
      </c>
      <c r="E764">
        <f>WEEKDAY(tbl_Kalender[[#This Row],[Datum]],2)</f>
        <v>7</v>
      </c>
      <c r="F764">
        <f>MONTH(tbl_Kalender[[#This Row],[Datum]])</f>
        <v>2</v>
      </c>
      <c r="G764" t="str">
        <f>TEXT(tbl_Kalender[[#This Row],[Datum]],"MMMM")</f>
        <v>Februar</v>
      </c>
      <c r="H764">
        <f>ROUNDUP(tbl_Kalender[[#This Row],[Monat]]/3,0)</f>
        <v>1</v>
      </c>
      <c r="I764" t="str">
        <f>"Q "&amp;tbl_Kalender[[#This Row],[Quartal]]</f>
        <v>Q 1</v>
      </c>
      <c r="J764" t="str">
        <f>tbl_Kalender[[#This Row],[Quartal]]&amp;". Quartal"</f>
        <v>1. Quartal</v>
      </c>
      <c r="K764">
        <f>_xlfn.ISOWEEKNUM(tbl_Kalender[[#This Row],[Datum]])</f>
        <v>5</v>
      </c>
    </row>
    <row r="765" spans="1:11" x14ac:dyDescent="0.25">
      <c r="A765" s="1">
        <v>46055</v>
      </c>
      <c r="B765">
        <f>YEAR(tbl_Kalender[[#This Row],[Datum]])</f>
        <v>2026</v>
      </c>
      <c r="C765">
        <f>DAY(tbl_Kalender[[#This Row],[Datum]])</f>
        <v>2</v>
      </c>
      <c r="D765" t="str">
        <f>TEXT(tbl_Kalender[[#This Row],[Datum]],"TTTT")</f>
        <v>Montag</v>
      </c>
      <c r="E765">
        <f>WEEKDAY(tbl_Kalender[[#This Row],[Datum]],2)</f>
        <v>1</v>
      </c>
      <c r="F765">
        <f>MONTH(tbl_Kalender[[#This Row],[Datum]])</f>
        <v>2</v>
      </c>
      <c r="G765" t="str">
        <f>TEXT(tbl_Kalender[[#This Row],[Datum]],"MMMM")</f>
        <v>Februar</v>
      </c>
      <c r="H765">
        <f>ROUNDUP(tbl_Kalender[[#This Row],[Monat]]/3,0)</f>
        <v>1</v>
      </c>
      <c r="I765" t="str">
        <f>"Q "&amp;tbl_Kalender[[#This Row],[Quartal]]</f>
        <v>Q 1</v>
      </c>
      <c r="J765" t="str">
        <f>tbl_Kalender[[#This Row],[Quartal]]&amp;". Quartal"</f>
        <v>1. Quartal</v>
      </c>
      <c r="K765">
        <f>_xlfn.ISOWEEKNUM(tbl_Kalender[[#This Row],[Datum]])</f>
        <v>6</v>
      </c>
    </row>
    <row r="766" spans="1:11" x14ac:dyDescent="0.25">
      <c r="A766" s="1">
        <v>46056</v>
      </c>
      <c r="B766">
        <f>YEAR(tbl_Kalender[[#This Row],[Datum]])</f>
        <v>2026</v>
      </c>
      <c r="C766">
        <f>DAY(tbl_Kalender[[#This Row],[Datum]])</f>
        <v>3</v>
      </c>
      <c r="D766" t="str">
        <f>TEXT(tbl_Kalender[[#This Row],[Datum]],"TTTT")</f>
        <v>Dienstag</v>
      </c>
      <c r="E766">
        <f>WEEKDAY(tbl_Kalender[[#This Row],[Datum]],2)</f>
        <v>2</v>
      </c>
      <c r="F766">
        <f>MONTH(tbl_Kalender[[#This Row],[Datum]])</f>
        <v>2</v>
      </c>
      <c r="G766" t="str">
        <f>TEXT(tbl_Kalender[[#This Row],[Datum]],"MMMM")</f>
        <v>Februar</v>
      </c>
      <c r="H766">
        <f>ROUNDUP(tbl_Kalender[[#This Row],[Monat]]/3,0)</f>
        <v>1</v>
      </c>
      <c r="I766" t="str">
        <f>"Q "&amp;tbl_Kalender[[#This Row],[Quartal]]</f>
        <v>Q 1</v>
      </c>
      <c r="J766" t="str">
        <f>tbl_Kalender[[#This Row],[Quartal]]&amp;". Quartal"</f>
        <v>1. Quartal</v>
      </c>
      <c r="K766">
        <f>_xlfn.ISOWEEKNUM(tbl_Kalender[[#This Row],[Datum]])</f>
        <v>6</v>
      </c>
    </row>
    <row r="767" spans="1:11" x14ac:dyDescent="0.25">
      <c r="A767" s="1">
        <v>46057</v>
      </c>
      <c r="B767">
        <f>YEAR(tbl_Kalender[[#This Row],[Datum]])</f>
        <v>2026</v>
      </c>
      <c r="C767">
        <f>DAY(tbl_Kalender[[#This Row],[Datum]])</f>
        <v>4</v>
      </c>
      <c r="D767" t="str">
        <f>TEXT(tbl_Kalender[[#This Row],[Datum]],"TTTT")</f>
        <v>Mittwoch</v>
      </c>
      <c r="E767">
        <f>WEEKDAY(tbl_Kalender[[#This Row],[Datum]],2)</f>
        <v>3</v>
      </c>
      <c r="F767">
        <f>MONTH(tbl_Kalender[[#This Row],[Datum]])</f>
        <v>2</v>
      </c>
      <c r="G767" t="str">
        <f>TEXT(tbl_Kalender[[#This Row],[Datum]],"MMMM")</f>
        <v>Februar</v>
      </c>
      <c r="H767">
        <f>ROUNDUP(tbl_Kalender[[#This Row],[Monat]]/3,0)</f>
        <v>1</v>
      </c>
      <c r="I767" t="str">
        <f>"Q "&amp;tbl_Kalender[[#This Row],[Quartal]]</f>
        <v>Q 1</v>
      </c>
      <c r="J767" t="str">
        <f>tbl_Kalender[[#This Row],[Quartal]]&amp;". Quartal"</f>
        <v>1. Quartal</v>
      </c>
      <c r="K767">
        <f>_xlfn.ISOWEEKNUM(tbl_Kalender[[#This Row],[Datum]])</f>
        <v>6</v>
      </c>
    </row>
    <row r="768" spans="1:11" x14ac:dyDescent="0.25">
      <c r="A768" s="1">
        <v>46058</v>
      </c>
      <c r="B768">
        <f>YEAR(tbl_Kalender[[#This Row],[Datum]])</f>
        <v>2026</v>
      </c>
      <c r="C768">
        <f>DAY(tbl_Kalender[[#This Row],[Datum]])</f>
        <v>5</v>
      </c>
      <c r="D768" t="str">
        <f>TEXT(tbl_Kalender[[#This Row],[Datum]],"TTTT")</f>
        <v>Donnerstag</v>
      </c>
      <c r="E768">
        <f>WEEKDAY(tbl_Kalender[[#This Row],[Datum]],2)</f>
        <v>4</v>
      </c>
      <c r="F768">
        <f>MONTH(tbl_Kalender[[#This Row],[Datum]])</f>
        <v>2</v>
      </c>
      <c r="G768" t="str">
        <f>TEXT(tbl_Kalender[[#This Row],[Datum]],"MMMM")</f>
        <v>Februar</v>
      </c>
      <c r="H768">
        <f>ROUNDUP(tbl_Kalender[[#This Row],[Monat]]/3,0)</f>
        <v>1</v>
      </c>
      <c r="I768" t="str">
        <f>"Q "&amp;tbl_Kalender[[#This Row],[Quartal]]</f>
        <v>Q 1</v>
      </c>
      <c r="J768" t="str">
        <f>tbl_Kalender[[#This Row],[Quartal]]&amp;". Quartal"</f>
        <v>1. Quartal</v>
      </c>
      <c r="K768">
        <f>_xlfn.ISOWEEKNUM(tbl_Kalender[[#This Row],[Datum]])</f>
        <v>6</v>
      </c>
    </row>
    <row r="769" spans="1:11" x14ac:dyDescent="0.25">
      <c r="A769" s="1">
        <v>46059</v>
      </c>
      <c r="B769">
        <f>YEAR(tbl_Kalender[[#This Row],[Datum]])</f>
        <v>2026</v>
      </c>
      <c r="C769">
        <f>DAY(tbl_Kalender[[#This Row],[Datum]])</f>
        <v>6</v>
      </c>
      <c r="D769" t="str">
        <f>TEXT(tbl_Kalender[[#This Row],[Datum]],"TTTT")</f>
        <v>Freitag</v>
      </c>
      <c r="E769">
        <f>WEEKDAY(tbl_Kalender[[#This Row],[Datum]],2)</f>
        <v>5</v>
      </c>
      <c r="F769">
        <f>MONTH(tbl_Kalender[[#This Row],[Datum]])</f>
        <v>2</v>
      </c>
      <c r="G769" t="str">
        <f>TEXT(tbl_Kalender[[#This Row],[Datum]],"MMMM")</f>
        <v>Februar</v>
      </c>
      <c r="H769">
        <f>ROUNDUP(tbl_Kalender[[#This Row],[Monat]]/3,0)</f>
        <v>1</v>
      </c>
      <c r="I769" t="str">
        <f>"Q "&amp;tbl_Kalender[[#This Row],[Quartal]]</f>
        <v>Q 1</v>
      </c>
      <c r="J769" t="str">
        <f>tbl_Kalender[[#This Row],[Quartal]]&amp;". Quartal"</f>
        <v>1. Quartal</v>
      </c>
      <c r="K769">
        <f>_xlfn.ISOWEEKNUM(tbl_Kalender[[#This Row],[Datum]])</f>
        <v>6</v>
      </c>
    </row>
    <row r="770" spans="1:11" x14ac:dyDescent="0.25">
      <c r="A770" s="1">
        <v>46060</v>
      </c>
      <c r="B770">
        <f>YEAR(tbl_Kalender[[#This Row],[Datum]])</f>
        <v>2026</v>
      </c>
      <c r="C770">
        <f>DAY(tbl_Kalender[[#This Row],[Datum]])</f>
        <v>7</v>
      </c>
      <c r="D770" t="str">
        <f>TEXT(tbl_Kalender[[#This Row],[Datum]],"TTTT")</f>
        <v>Samstag</v>
      </c>
      <c r="E770">
        <f>WEEKDAY(tbl_Kalender[[#This Row],[Datum]],2)</f>
        <v>6</v>
      </c>
      <c r="F770">
        <f>MONTH(tbl_Kalender[[#This Row],[Datum]])</f>
        <v>2</v>
      </c>
      <c r="G770" t="str">
        <f>TEXT(tbl_Kalender[[#This Row],[Datum]],"MMMM")</f>
        <v>Februar</v>
      </c>
      <c r="H770">
        <f>ROUNDUP(tbl_Kalender[[#This Row],[Monat]]/3,0)</f>
        <v>1</v>
      </c>
      <c r="I770" t="str">
        <f>"Q "&amp;tbl_Kalender[[#This Row],[Quartal]]</f>
        <v>Q 1</v>
      </c>
      <c r="J770" t="str">
        <f>tbl_Kalender[[#This Row],[Quartal]]&amp;". Quartal"</f>
        <v>1. Quartal</v>
      </c>
      <c r="K770">
        <f>_xlfn.ISOWEEKNUM(tbl_Kalender[[#This Row],[Datum]])</f>
        <v>6</v>
      </c>
    </row>
    <row r="771" spans="1:11" x14ac:dyDescent="0.25">
      <c r="A771" s="1">
        <v>46061</v>
      </c>
      <c r="B771">
        <f>YEAR(tbl_Kalender[[#This Row],[Datum]])</f>
        <v>2026</v>
      </c>
      <c r="C771">
        <f>DAY(tbl_Kalender[[#This Row],[Datum]])</f>
        <v>8</v>
      </c>
      <c r="D771" t="str">
        <f>TEXT(tbl_Kalender[[#This Row],[Datum]],"TTTT")</f>
        <v>Sonntag</v>
      </c>
      <c r="E771">
        <f>WEEKDAY(tbl_Kalender[[#This Row],[Datum]],2)</f>
        <v>7</v>
      </c>
      <c r="F771">
        <f>MONTH(tbl_Kalender[[#This Row],[Datum]])</f>
        <v>2</v>
      </c>
      <c r="G771" t="str">
        <f>TEXT(tbl_Kalender[[#This Row],[Datum]],"MMMM")</f>
        <v>Februar</v>
      </c>
      <c r="H771">
        <f>ROUNDUP(tbl_Kalender[[#This Row],[Monat]]/3,0)</f>
        <v>1</v>
      </c>
      <c r="I771" t="str">
        <f>"Q "&amp;tbl_Kalender[[#This Row],[Quartal]]</f>
        <v>Q 1</v>
      </c>
      <c r="J771" t="str">
        <f>tbl_Kalender[[#This Row],[Quartal]]&amp;". Quartal"</f>
        <v>1. Quartal</v>
      </c>
      <c r="K771">
        <f>_xlfn.ISOWEEKNUM(tbl_Kalender[[#This Row],[Datum]])</f>
        <v>6</v>
      </c>
    </row>
    <row r="772" spans="1:11" x14ac:dyDescent="0.25">
      <c r="A772" s="1">
        <v>46062</v>
      </c>
      <c r="B772">
        <f>YEAR(tbl_Kalender[[#This Row],[Datum]])</f>
        <v>2026</v>
      </c>
      <c r="C772">
        <f>DAY(tbl_Kalender[[#This Row],[Datum]])</f>
        <v>9</v>
      </c>
      <c r="D772" t="str">
        <f>TEXT(tbl_Kalender[[#This Row],[Datum]],"TTTT")</f>
        <v>Montag</v>
      </c>
      <c r="E772">
        <f>WEEKDAY(tbl_Kalender[[#This Row],[Datum]],2)</f>
        <v>1</v>
      </c>
      <c r="F772">
        <f>MONTH(tbl_Kalender[[#This Row],[Datum]])</f>
        <v>2</v>
      </c>
      <c r="G772" t="str">
        <f>TEXT(tbl_Kalender[[#This Row],[Datum]],"MMMM")</f>
        <v>Februar</v>
      </c>
      <c r="H772">
        <f>ROUNDUP(tbl_Kalender[[#This Row],[Monat]]/3,0)</f>
        <v>1</v>
      </c>
      <c r="I772" t="str">
        <f>"Q "&amp;tbl_Kalender[[#This Row],[Quartal]]</f>
        <v>Q 1</v>
      </c>
      <c r="J772" t="str">
        <f>tbl_Kalender[[#This Row],[Quartal]]&amp;". Quartal"</f>
        <v>1. Quartal</v>
      </c>
      <c r="K772">
        <f>_xlfn.ISOWEEKNUM(tbl_Kalender[[#This Row],[Datum]])</f>
        <v>7</v>
      </c>
    </row>
    <row r="773" spans="1:11" x14ac:dyDescent="0.25">
      <c r="A773" s="1">
        <v>46063</v>
      </c>
      <c r="B773">
        <f>YEAR(tbl_Kalender[[#This Row],[Datum]])</f>
        <v>2026</v>
      </c>
      <c r="C773">
        <f>DAY(tbl_Kalender[[#This Row],[Datum]])</f>
        <v>10</v>
      </c>
      <c r="D773" t="str">
        <f>TEXT(tbl_Kalender[[#This Row],[Datum]],"TTTT")</f>
        <v>Dienstag</v>
      </c>
      <c r="E773">
        <f>WEEKDAY(tbl_Kalender[[#This Row],[Datum]],2)</f>
        <v>2</v>
      </c>
      <c r="F773">
        <f>MONTH(tbl_Kalender[[#This Row],[Datum]])</f>
        <v>2</v>
      </c>
      <c r="G773" t="str">
        <f>TEXT(tbl_Kalender[[#This Row],[Datum]],"MMMM")</f>
        <v>Februar</v>
      </c>
      <c r="H773">
        <f>ROUNDUP(tbl_Kalender[[#This Row],[Monat]]/3,0)</f>
        <v>1</v>
      </c>
      <c r="I773" t="str">
        <f>"Q "&amp;tbl_Kalender[[#This Row],[Quartal]]</f>
        <v>Q 1</v>
      </c>
      <c r="J773" t="str">
        <f>tbl_Kalender[[#This Row],[Quartal]]&amp;". Quartal"</f>
        <v>1. Quartal</v>
      </c>
      <c r="K773">
        <f>_xlfn.ISOWEEKNUM(tbl_Kalender[[#This Row],[Datum]])</f>
        <v>7</v>
      </c>
    </row>
    <row r="774" spans="1:11" x14ac:dyDescent="0.25">
      <c r="A774" s="1">
        <v>46064</v>
      </c>
      <c r="B774">
        <f>YEAR(tbl_Kalender[[#This Row],[Datum]])</f>
        <v>2026</v>
      </c>
      <c r="C774">
        <f>DAY(tbl_Kalender[[#This Row],[Datum]])</f>
        <v>11</v>
      </c>
      <c r="D774" t="str">
        <f>TEXT(tbl_Kalender[[#This Row],[Datum]],"TTTT")</f>
        <v>Mittwoch</v>
      </c>
      <c r="E774">
        <f>WEEKDAY(tbl_Kalender[[#This Row],[Datum]],2)</f>
        <v>3</v>
      </c>
      <c r="F774">
        <f>MONTH(tbl_Kalender[[#This Row],[Datum]])</f>
        <v>2</v>
      </c>
      <c r="G774" t="str">
        <f>TEXT(tbl_Kalender[[#This Row],[Datum]],"MMMM")</f>
        <v>Februar</v>
      </c>
      <c r="H774">
        <f>ROUNDUP(tbl_Kalender[[#This Row],[Monat]]/3,0)</f>
        <v>1</v>
      </c>
      <c r="I774" t="str">
        <f>"Q "&amp;tbl_Kalender[[#This Row],[Quartal]]</f>
        <v>Q 1</v>
      </c>
      <c r="J774" t="str">
        <f>tbl_Kalender[[#This Row],[Quartal]]&amp;". Quartal"</f>
        <v>1. Quartal</v>
      </c>
      <c r="K774">
        <f>_xlfn.ISOWEEKNUM(tbl_Kalender[[#This Row],[Datum]])</f>
        <v>7</v>
      </c>
    </row>
    <row r="775" spans="1:11" x14ac:dyDescent="0.25">
      <c r="A775" s="1">
        <v>46065</v>
      </c>
      <c r="B775">
        <f>YEAR(tbl_Kalender[[#This Row],[Datum]])</f>
        <v>2026</v>
      </c>
      <c r="C775">
        <f>DAY(tbl_Kalender[[#This Row],[Datum]])</f>
        <v>12</v>
      </c>
      <c r="D775" t="str">
        <f>TEXT(tbl_Kalender[[#This Row],[Datum]],"TTTT")</f>
        <v>Donnerstag</v>
      </c>
      <c r="E775">
        <f>WEEKDAY(tbl_Kalender[[#This Row],[Datum]],2)</f>
        <v>4</v>
      </c>
      <c r="F775">
        <f>MONTH(tbl_Kalender[[#This Row],[Datum]])</f>
        <v>2</v>
      </c>
      <c r="G775" t="str">
        <f>TEXT(tbl_Kalender[[#This Row],[Datum]],"MMMM")</f>
        <v>Februar</v>
      </c>
      <c r="H775">
        <f>ROUNDUP(tbl_Kalender[[#This Row],[Monat]]/3,0)</f>
        <v>1</v>
      </c>
      <c r="I775" t="str">
        <f>"Q "&amp;tbl_Kalender[[#This Row],[Quartal]]</f>
        <v>Q 1</v>
      </c>
      <c r="J775" t="str">
        <f>tbl_Kalender[[#This Row],[Quartal]]&amp;". Quartal"</f>
        <v>1. Quartal</v>
      </c>
      <c r="K775">
        <f>_xlfn.ISOWEEKNUM(tbl_Kalender[[#This Row],[Datum]])</f>
        <v>7</v>
      </c>
    </row>
    <row r="776" spans="1:11" x14ac:dyDescent="0.25">
      <c r="A776" s="1">
        <v>46066</v>
      </c>
      <c r="B776">
        <f>YEAR(tbl_Kalender[[#This Row],[Datum]])</f>
        <v>2026</v>
      </c>
      <c r="C776">
        <f>DAY(tbl_Kalender[[#This Row],[Datum]])</f>
        <v>13</v>
      </c>
      <c r="D776" t="str">
        <f>TEXT(tbl_Kalender[[#This Row],[Datum]],"TTTT")</f>
        <v>Freitag</v>
      </c>
      <c r="E776">
        <f>WEEKDAY(tbl_Kalender[[#This Row],[Datum]],2)</f>
        <v>5</v>
      </c>
      <c r="F776">
        <f>MONTH(tbl_Kalender[[#This Row],[Datum]])</f>
        <v>2</v>
      </c>
      <c r="G776" t="str">
        <f>TEXT(tbl_Kalender[[#This Row],[Datum]],"MMMM")</f>
        <v>Februar</v>
      </c>
      <c r="H776">
        <f>ROUNDUP(tbl_Kalender[[#This Row],[Monat]]/3,0)</f>
        <v>1</v>
      </c>
      <c r="I776" t="str">
        <f>"Q "&amp;tbl_Kalender[[#This Row],[Quartal]]</f>
        <v>Q 1</v>
      </c>
      <c r="J776" t="str">
        <f>tbl_Kalender[[#This Row],[Quartal]]&amp;". Quartal"</f>
        <v>1. Quartal</v>
      </c>
      <c r="K776">
        <f>_xlfn.ISOWEEKNUM(tbl_Kalender[[#This Row],[Datum]])</f>
        <v>7</v>
      </c>
    </row>
    <row r="777" spans="1:11" x14ac:dyDescent="0.25">
      <c r="A777" s="1">
        <v>46067</v>
      </c>
      <c r="B777">
        <f>YEAR(tbl_Kalender[[#This Row],[Datum]])</f>
        <v>2026</v>
      </c>
      <c r="C777">
        <f>DAY(tbl_Kalender[[#This Row],[Datum]])</f>
        <v>14</v>
      </c>
      <c r="D777" t="str">
        <f>TEXT(tbl_Kalender[[#This Row],[Datum]],"TTTT")</f>
        <v>Samstag</v>
      </c>
      <c r="E777">
        <f>WEEKDAY(tbl_Kalender[[#This Row],[Datum]],2)</f>
        <v>6</v>
      </c>
      <c r="F777">
        <f>MONTH(tbl_Kalender[[#This Row],[Datum]])</f>
        <v>2</v>
      </c>
      <c r="G777" t="str">
        <f>TEXT(tbl_Kalender[[#This Row],[Datum]],"MMMM")</f>
        <v>Februar</v>
      </c>
      <c r="H777">
        <f>ROUNDUP(tbl_Kalender[[#This Row],[Monat]]/3,0)</f>
        <v>1</v>
      </c>
      <c r="I777" t="str">
        <f>"Q "&amp;tbl_Kalender[[#This Row],[Quartal]]</f>
        <v>Q 1</v>
      </c>
      <c r="J777" t="str">
        <f>tbl_Kalender[[#This Row],[Quartal]]&amp;". Quartal"</f>
        <v>1. Quartal</v>
      </c>
      <c r="K777">
        <f>_xlfn.ISOWEEKNUM(tbl_Kalender[[#This Row],[Datum]])</f>
        <v>7</v>
      </c>
    </row>
    <row r="778" spans="1:11" x14ac:dyDescent="0.25">
      <c r="A778" s="1">
        <v>46068</v>
      </c>
      <c r="B778">
        <f>YEAR(tbl_Kalender[[#This Row],[Datum]])</f>
        <v>2026</v>
      </c>
      <c r="C778">
        <f>DAY(tbl_Kalender[[#This Row],[Datum]])</f>
        <v>15</v>
      </c>
      <c r="D778" t="str">
        <f>TEXT(tbl_Kalender[[#This Row],[Datum]],"TTTT")</f>
        <v>Sonntag</v>
      </c>
      <c r="E778">
        <f>WEEKDAY(tbl_Kalender[[#This Row],[Datum]],2)</f>
        <v>7</v>
      </c>
      <c r="F778">
        <f>MONTH(tbl_Kalender[[#This Row],[Datum]])</f>
        <v>2</v>
      </c>
      <c r="G778" t="str">
        <f>TEXT(tbl_Kalender[[#This Row],[Datum]],"MMMM")</f>
        <v>Februar</v>
      </c>
      <c r="H778">
        <f>ROUNDUP(tbl_Kalender[[#This Row],[Monat]]/3,0)</f>
        <v>1</v>
      </c>
      <c r="I778" t="str">
        <f>"Q "&amp;tbl_Kalender[[#This Row],[Quartal]]</f>
        <v>Q 1</v>
      </c>
      <c r="J778" t="str">
        <f>tbl_Kalender[[#This Row],[Quartal]]&amp;". Quartal"</f>
        <v>1. Quartal</v>
      </c>
      <c r="K778">
        <f>_xlfn.ISOWEEKNUM(tbl_Kalender[[#This Row],[Datum]])</f>
        <v>7</v>
      </c>
    </row>
    <row r="779" spans="1:11" x14ac:dyDescent="0.25">
      <c r="A779" s="1">
        <v>46069</v>
      </c>
      <c r="B779">
        <f>YEAR(tbl_Kalender[[#This Row],[Datum]])</f>
        <v>2026</v>
      </c>
      <c r="C779">
        <f>DAY(tbl_Kalender[[#This Row],[Datum]])</f>
        <v>16</v>
      </c>
      <c r="D779" t="str">
        <f>TEXT(tbl_Kalender[[#This Row],[Datum]],"TTTT")</f>
        <v>Montag</v>
      </c>
      <c r="E779">
        <f>WEEKDAY(tbl_Kalender[[#This Row],[Datum]],2)</f>
        <v>1</v>
      </c>
      <c r="F779">
        <f>MONTH(tbl_Kalender[[#This Row],[Datum]])</f>
        <v>2</v>
      </c>
      <c r="G779" t="str">
        <f>TEXT(tbl_Kalender[[#This Row],[Datum]],"MMMM")</f>
        <v>Februar</v>
      </c>
      <c r="H779">
        <f>ROUNDUP(tbl_Kalender[[#This Row],[Monat]]/3,0)</f>
        <v>1</v>
      </c>
      <c r="I779" t="str">
        <f>"Q "&amp;tbl_Kalender[[#This Row],[Quartal]]</f>
        <v>Q 1</v>
      </c>
      <c r="J779" t="str">
        <f>tbl_Kalender[[#This Row],[Quartal]]&amp;". Quartal"</f>
        <v>1. Quartal</v>
      </c>
      <c r="K779">
        <f>_xlfn.ISOWEEKNUM(tbl_Kalender[[#This Row],[Datum]])</f>
        <v>8</v>
      </c>
    </row>
    <row r="780" spans="1:11" x14ac:dyDescent="0.25">
      <c r="A780" s="1">
        <v>46070</v>
      </c>
      <c r="B780">
        <f>YEAR(tbl_Kalender[[#This Row],[Datum]])</f>
        <v>2026</v>
      </c>
      <c r="C780">
        <f>DAY(tbl_Kalender[[#This Row],[Datum]])</f>
        <v>17</v>
      </c>
      <c r="D780" t="str">
        <f>TEXT(tbl_Kalender[[#This Row],[Datum]],"TTTT")</f>
        <v>Dienstag</v>
      </c>
      <c r="E780">
        <f>WEEKDAY(tbl_Kalender[[#This Row],[Datum]],2)</f>
        <v>2</v>
      </c>
      <c r="F780">
        <f>MONTH(tbl_Kalender[[#This Row],[Datum]])</f>
        <v>2</v>
      </c>
      <c r="G780" t="str">
        <f>TEXT(tbl_Kalender[[#This Row],[Datum]],"MMMM")</f>
        <v>Februar</v>
      </c>
      <c r="H780">
        <f>ROUNDUP(tbl_Kalender[[#This Row],[Monat]]/3,0)</f>
        <v>1</v>
      </c>
      <c r="I780" t="str">
        <f>"Q "&amp;tbl_Kalender[[#This Row],[Quartal]]</f>
        <v>Q 1</v>
      </c>
      <c r="J780" t="str">
        <f>tbl_Kalender[[#This Row],[Quartal]]&amp;". Quartal"</f>
        <v>1. Quartal</v>
      </c>
      <c r="K780">
        <f>_xlfn.ISOWEEKNUM(tbl_Kalender[[#This Row],[Datum]])</f>
        <v>8</v>
      </c>
    </row>
    <row r="781" spans="1:11" x14ac:dyDescent="0.25">
      <c r="A781" s="1">
        <v>46071</v>
      </c>
      <c r="B781">
        <f>YEAR(tbl_Kalender[[#This Row],[Datum]])</f>
        <v>2026</v>
      </c>
      <c r="C781">
        <f>DAY(tbl_Kalender[[#This Row],[Datum]])</f>
        <v>18</v>
      </c>
      <c r="D781" t="str">
        <f>TEXT(tbl_Kalender[[#This Row],[Datum]],"TTTT")</f>
        <v>Mittwoch</v>
      </c>
      <c r="E781">
        <f>WEEKDAY(tbl_Kalender[[#This Row],[Datum]],2)</f>
        <v>3</v>
      </c>
      <c r="F781">
        <f>MONTH(tbl_Kalender[[#This Row],[Datum]])</f>
        <v>2</v>
      </c>
      <c r="G781" t="str">
        <f>TEXT(tbl_Kalender[[#This Row],[Datum]],"MMMM")</f>
        <v>Februar</v>
      </c>
      <c r="H781">
        <f>ROUNDUP(tbl_Kalender[[#This Row],[Monat]]/3,0)</f>
        <v>1</v>
      </c>
      <c r="I781" t="str">
        <f>"Q "&amp;tbl_Kalender[[#This Row],[Quartal]]</f>
        <v>Q 1</v>
      </c>
      <c r="J781" t="str">
        <f>tbl_Kalender[[#This Row],[Quartal]]&amp;". Quartal"</f>
        <v>1. Quartal</v>
      </c>
      <c r="K781">
        <f>_xlfn.ISOWEEKNUM(tbl_Kalender[[#This Row],[Datum]])</f>
        <v>8</v>
      </c>
    </row>
    <row r="782" spans="1:11" x14ac:dyDescent="0.25">
      <c r="A782" s="1">
        <v>46072</v>
      </c>
      <c r="B782">
        <f>YEAR(tbl_Kalender[[#This Row],[Datum]])</f>
        <v>2026</v>
      </c>
      <c r="C782">
        <f>DAY(tbl_Kalender[[#This Row],[Datum]])</f>
        <v>19</v>
      </c>
      <c r="D782" t="str">
        <f>TEXT(tbl_Kalender[[#This Row],[Datum]],"TTTT")</f>
        <v>Donnerstag</v>
      </c>
      <c r="E782">
        <f>WEEKDAY(tbl_Kalender[[#This Row],[Datum]],2)</f>
        <v>4</v>
      </c>
      <c r="F782">
        <f>MONTH(tbl_Kalender[[#This Row],[Datum]])</f>
        <v>2</v>
      </c>
      <c r="G782" t="str">
        <f>TEXT(tbl_Kalender[[#This Row],[Datum]],"MMMM")</f>
        <v>Februar</v>
      </c>
      <c r="H782">
        <f>ROUNDUP(tbl_Kalender[[#This Row],[Monat]]/3,0)</f>
        <v>1</v>
      </c>
      <c r="I782" t="str">
        <f>"Q "&amp;tbl_Kalender[[#This Row],[Quartal]]</f>
        <v>Q 1</v>
      </c>
      <c r="J782" t="str">
        <f>tbl_Kalender[[#This Row],[Quartal]]&amp;". Quartal"</f>
        <v>1. Quartal</v>
      </c>
      <c r="K782">
        <f>_xlfn.ISOWEEKNUM(tbl_Kalender[[#This Row],[Datum]])</f>
        <v>8</v>
      </c>
    </row>
    <row r="783" spans="1:11" x14ac:dyDescent="0.25">
      <c r="A783" s="1">
        <v>46073</v>
      </c>
      <c r="B783">
        <f>YEAR(tbl_Kalender[[#This Row],[Datum]])</f>
        <v>2026</v>
      </c>
      <c r="C783">
        <f>DAY(tbl_Kalender[[#This Row],[Datum]])</f>
        <v>20</v>
      </c>
      <c r="D783" t="str">
        <f>TEXT(tbl_Kalender[[#This Row],[Datum]],"TTTT")</f>
        <v>Freitag</v>
      </c>
      <c r="E783">
        <f>WEEKDAY(tbl_Kalender[[#This Row],[Datum]],2)</f>
        <v>5</v>
      </c>
      <c r="F783">
        <f>MONTH(tbl_Kalender[[#This Row],[Datum]])</f>
        <v>2</v>
      </c>
      <c r="G783" t="str">
        <f>TEXT(tbl_Kalender[[#This Row],[Datum]],"MMMM")</f>
        <v>Februar</v>
      </c>
      <c r="H783">
        <f>ROUNDUP(tbl_Kalender[[#This Row],[Monat]]/3,0)</f>
        <v>1</v>
      </c>
      <c r="I783" t="str">
        <f>"Q "&amp;tbl_Kalender[[#This Row],[Quartal]]</f>
        <v>Q 1</v>
      </c>
      <c r="J783" t="str">
        <f>tbl_Kalender[[#This Row],[Quartal]]&amp;". Quartal"</f>
        <v>1. Quartal</v>
      </c>
      <c r="K783">
        <f>_xlfn.ISOWEEKNUM(tbl_Kalender[[#This Row],[Datum]])</f>
        <v>8</v>
      </c>
    </row>
    <row r="784" spans="1:11" x14ac:dyDescent="0.25">
      <c r="A784" s="1">
        <v>46074</v>
      </c>
      <c r="B784">
        <f>YEAR(tbl_Kalender[[#This Row],[Datum]])</f>
        <v>2026</v>
      </c>
      <c r="C784">
        <f>DAY(tbl_Kalender[[#This Row],[Datum]])</f>
        <v>21</v>
      </c>
      <c r="D784" t="str">
        <f>TEXT(tbl_Kalender[[#This Row],[Datum]],"TTTT")</f>
        <v>Samstag</v>
      </c>
      <c r="E784">
        <f>WEEKDAY(tbl_Kalender[[#This Row],[Datum]],2)</f>
        <v>6</v>
      </c>
      <c r="F784">
        <f>MONTH(tbl_Kalender[[#This Row],[Datum]])</f>
        <v>2</v>
      </c>
      <c r="G784" t="str">
        <f>TEXT(tbl_Kalender[[#This Row],[Datum]],"MMMM")</f>
        <v>Februar</v>
      </c>
      <c r="H784">
        <f>ROUNDUP(tbl_Kalender[[#This Row],[Monat]]/3,0)</f>
        <v>1</v>
      </c>
      <c r="I784" t="str">
        <f>"Q "&amp;tbl_Kalender[[#This Row],[Quartal]]</f>
        <v>Q 1</v>
      </c>
      <c r="J784" t="str">
        <f>tbl_Kalender[[#This Row],[Quartal]]&amp;". Quartal"</f>
        <v>1. Quartal</v>
      </c>
      <c r="K784">
        <f>_xlfn.ISOWEEKNUM(tbl_Kalender[[#This Row],[Datum]])</f>
        <v>8</v>
      </c>
    </row>
    <row r="785" spans="1:11" x14ac:dyDescent="0.25">
      <c r="A785" s="1">
        <v>46075</v>
      </c>
      <c r="B785">
        <f>YEAR(tbl_Kalender[[#This Row],[Datum]])</f>
        <v>2026</v>
      </c>
      <c r="C785">
        <f>DAY(tbl_Kalender[[#This Row],[Datum]])</f>
        <v>22</v>
      </c>
      <c r="D785" t="str">
        <f>TEXT(tbl_Kalender[[#This Row],[Datum]],"TTTT")</f>
        <v>Sonntag</v>
      </c>
      <c r="E785">
        <f>WEEKDAY(tbl_Kalender[[#This Row],[Datum]],2)</f>
        <v>7</v>
      </c>
      <c r="F785">
        <f>MONTH(tbl_Kalender[[#This Row],[Datum]])</f>
        <v>2</v>
      </c>
      <c r="G785" t="str">
        <f>TEXT(tbl_Kalender[[#This Row],[Datum]],"MMMM")</f>
        <v>Februar</v>
      </c>
      <c r="H785">
        <f>ROUNDUP(tbl_Kalender[[#This Row],[Monat]]/3,0)</f>
        <v>1</v>
      </c>
      <c r="I785" t="str">
        <f>"Q "&amp;tbl_Kalender[[#This Row],[Quartal]]</f>
        <v>Q 1</v>
      </c>
      <c r="J785" t="str">
        <f>tbl_Kalender[[#This Row],[Quartal]]&amp;". Quartal"</f>
        <v>1. Quartal</v>
      </c>
      <c r="K785">
        <f>_xlfn.ISOWEEKNUM(tbl_Kalender[[#This Row],[Datum]])</f>
        <v>8</v>
      </c>
    </row>
    <row r="786" spans="1:11" x14ac:dyDescent="0.25">
      <c r="A786" s="1">
        <v>46076</v>
      </c>
      <c r="B786">
        <f>YEAR(tbl_Kalender[[#This Row],[Datum]])</f>
        <v>2026</v>
      </c>
      <c r="C786">
        <f>DAY(tbl_Kalender[[#This Row],[Datum]])</f>
        <v>23</v>
      </c>
      <c r="D786" t="str">
        <f>TEXT(tbl_Kalender[[#This Row],[Datum]],"TTTT")</f>
        <v>Montag</v>
      </c>
      <c r="E786">
        <f>WEEKDAY(tbl_Kalender[[#This Row],[Datum]],2)</f>
        <v>1</v>
      </c>
      <c r="F786">
        <f>MONTH(tbl_Kalender[[#This Row],[Datum]])</f>
        <v>2</v>
      </c>
      <c r="G786" t="str">
        <f>TEXT(tbl_Kalender[[#This Row],[Datum]],"MMMM")</f>
        <v>Februar</v>
      </c>
      <c r="H786">
        <f>ROUNDUP(tbl_Kalender[[#This Row],[Monat]]/3,0)</f>
        <v>1</v>
      </c>
      <c r="I786" t="str">
        <f>"Q "&amp;tbl_Kalender[[#This Row],[Quartal]]</f>
        <v>Q 1</v>
      </c>
      <c r="J786" t="str">
        <f>tbl_Kalender[[#This Row],[Quartal]]&amp;". Quartal"</f>
        <v>1. Quartal</v>
      </c>
      <c r="K786">
        <f>_xlfn.ISOWEEKNUM(tbl_Kalender[[#This Row],[Datum]])</f>
        <v>9</v>
      </c>
    </row>
    <row r="787" spans="1:11" x14ac:dyDescent="0.25">
      <c r="A787" s="1">
        <v>46077</v>
      </c>
      <c r="B787">
        <f>YEAR(tbl_Kalender[[#This Row],[Datum]])</f>
        <v>2026</v>
      </c>
      <c r="C787">
        <f>DAY(tbl_Kalender[[#This Row],[Datum]])</f>
        <v>24</v>
      </c>
      <c r="D787" t="str">
        <f>TEXT(tbl_Kalender[[#This Row],[Datum]],"TTTT")</f>
        <v>Dienstag</v>
      </c>
      <c r="E787">
        <f>WEEKDAY(tbl_Kalender[[#This Row],[Datum]],2)</f>
        <v>2</v>
      </c>
      <c r="F787">
        <f>MONTH(tbl_Kalender[[#This Row],[Datum]])</f>
        <v>2</v>
      </c>
      <c r="G787" t="str">
        <f>TEXT(tbl_Kalender[[#This Row],[Datum]],"MMMM")</f>
        <v>Februar</v>
      </c>
      <c r="H787">
        <f>ROUNDUP(tbl_Kalender[[#This Row],[Monat]]/3,0)</f>
        <v>1</v>
      </c>
      <c r="I787" t="str">
        <f>"Q "&amp;tbl_Kalender[[#This Row],[Quartal]]</f>
        <v>Q 1</v>
      </c>
      <c r="J787" t="str">
        <f>tbl_Kalender[[#This Row],[Quartal]]&amp;". Quartal"</f>
        <v>1. Quartal</v>
      </c>
      <c r="K787">
        <f>_xlfn.ISOWEEKNUM(tbl_Kalender[[#This Row],[Datum]])</f>
        <v>9</v>
      </c>
    </row>
    <row r="788" spans="1:11" x14ac:dyDescent="0.25">
      <c r="A788" s="1">
        <v>46078</v>
      </c>
      <c r="B788">
        <f>YEAR(tbl_Kalender[[#This Row],[Datum]])</f>
        <v>2026</v>
      </c>
      <c r="C788">
        <f>DAY(tbl_Kalender[[#This Row],[Datum]])</f>
        <v>25</v>
      </c>
      <c r="D788" t="str">
        <f>TEXT(tbl_Kalender[[#This Row],[Datum]],"TTTT")</f>
        <v>Mittwoch</v>
      </c>
      <c r="E788">
        <f>WEEKDAY(tbl_Kalender[[#This Row],[Datum]],2)</f>
        <v>3</v>
      </c>
      <c r="F788">
        <f>MONTH(tbl_Kalender[[#This Row],[Datum]])</f>
        <v>2</v>
      </c>
      <c r="G788" t="str">
        <f>TEXT(tbl_Kalender[[#This Row],[Datum]],"MMMM")</f>
        <v>Februar</v>
      </c>
      <c r="H788">
        <f>ROUNDUP(tbl_Kalender[[#This Row],[Monat]]/3,0)</f>
        <v>1</v>
      </c>
      <c r="I788" t="str">
        <f>"Q "&amp;tbl_Kalender[[#This Row],[Quartal]]</f>
        <v>Q 1</v>
      </c>
      <c r="J788" t="str">
        <f>tbl_Kalender[[#This Row],[Quartal]]&amp;". Quartal"</f>
        <v>1. Quartal</v>
      </c>
      <c r="K788">
        <f>_xlfn.ISOWEEKNUM(tbl_Kalender[[#This Row],[Datum]])</f>
        <v>9</v>
      </c>
    </row>
    <row r="789" spans="1:11" x14ac:dyDescent="0.25">
      <c r="A789" s="1">
        <v>46079</v>
      </c>
      <c r="B789">
        <f>YEAR(tbl_Kalender[[#This Row],[Datum]])</f>
        <v>2026</v>
      </c>
      <c r="C789">
        <f>DAY(tbl_Kalender[[#This Row],[Datum]])</f>
        <v>26</v>
      </c>
      <c r="D789" t="str">
        <f>TEXT(tbl_Kalender[[#This Row],[Datum]],"TTTT")</f>
        <v>Donnerstag</v>
      </c>
      <c r="E789">
        <f>WEEKDAY(tbl_Kalender[[#This Row],[Datum]],2)</f>
        <v>4</v>
      </c>
      <c r="F789">
        <f>MONTH(tbl_Kalender[[#This Row],[Datum]])</f>
        <v>2</v>
      </c>
      <c r="G789" t="str">
        <f>TEXT(tbl_Kalender[[#This Row],[Datum]],"MMMM")</f>
        <v>Februar</v>
      </c>
      <c r="H789">
        <f>ROUNDUP(tbl_Kalender[[#This Row],[Monat]]/3,0)</f>
        <v>1</v>
      </c>
      <c r="I789" t="str">
        <f>"Q "&amp;tbl_Kalender[[#This Row],[Quartal]]</f>
        <v>Q 1</v>
      </c>
      <c r="J789" t="str">
        <f>tbl_Kalender[[#This Row],[Quartal]]&amp;". Quartal"</f>
        <v>1. Quartal</v>
      </c>
      <c r="K789">
        <f>_xlfn.ISOWEEKNUM(tbl_Kalender[[#This Row],[Datum]])</f>
        <v>9</v>
      </c>
    </row>
    <row r="790" spans="1:11" x14ac:dyDescent="0.25">
      <c r="A790" s="1">
        <v>46080</v>
      </c>
      <c r="B790">
        <f>YEAR(tbl_Kalender[[#This Row],[Datum]])</f>
        <v>2026</v>
      </c>
      <c r="C790">
        <f>DAY(tbl_Kalender[[#This Row],[Datum]])</f>
        <v>27</v>
      </c>
      <c r="D790" t="str">
        <f>TEXT(tbl_Kalender[[#This Row],[Datum]],"TTTT")</f>
        <v>Freitag</v>
      </c>
      <c r="E790">
        <f>WEEKDAY(tbl_Kalender[[#This Row],[Datum]],2)</f>
        <v>5</v>
      </c>
      <c r="F790">
        <f>MONTH(tbl_Kalender[[#This Row],[Datum]])</f>
        <v>2</v>
      </c>
      <c r="G790" t="str">
        <f>TEXT(tbl_Kalender[[#This Row],[Datum]],"MMMM")</f>
        <v>Februar</v>
      </c>
      <c r="H790">
        <f>ROUNDUP(tbl_Kalender[[#This Row],[Monat]]/3,0)</f>
        <v>1</v>
      </c>
      <c r="I790" t="str">
        <f>"Q "&amp;tbl_Kalender[[#This Row],[Quartal]]</f>
        <v>Q 1</v>
      </c>
      <c r="J790" t="str">
        <f>tbl_Kalender[[#This Row],[Quartal]]&amp;". Quartal"</f>
        <v>1. Quartal</v>
      </c>
      <c r="K790">
        <f>_xlfn.ISOWEEKNUM(tbl_Kalender[[#This Row],[Datum]])</f>
        <v>9</v>
      </c>
    </row>
    <row r="791" spans="1:11" x14ac:dyDescent="0.25">
      <c r="A791" s="1">
        <v>46081</v>
      </c>
      <c r="B791">
        <f>YEAR(tbl_Kalender[[#This Row],[Datum]])</f>
        <v>2026</v>
      </c>
      <c r="C791">
        <f>DAY(tbl_Kalender[[#This Row],[Datum]])</f>
        <v>28</v>
      </c>
      <c r="D791" t="str">
        <f>TEXT(tbl_Kalender[[#This Row],[Datum]],"TTTT")</f>
        <v>Samstag</v>
      </c>
      <c r="E791">
        <f>WEEKDAY(tbl_Kalender[[#This Row],[Datum]],2)</f>
        <v>6</v>
      </c>
      <c r="F791">
        <f>MONTH(tbl_Kalender[[#This Row],[Datum]])</f>
        <v>2</v>
      </c>
      <c r="G791" t="str">
        <f>TEXT(tbl_Kalender[[#This Row],[Datum]],"MMMM")</f>
        <v>Februar</v>
      </c>
      <c r="H791">
        <f>ROUNDUP(tbl_Kalender[[#This Row],[Monat]]/3,0)</f>
        <v>1</v>
      </c>
      <c r="I791" t="str">
        <f>"Q "&amp;tbl_Kalender[[#This Row],[Quartal]]</f>
        <v>Q 1</v>
      </c>
      <c r="J791" t="str">
        <f>tbl_Kalender[[#This Row],[Quartal]]&amp;". Quartal"</f>
        <v>1. Quartal</v>
      </c>
      <c r="K791">
        <f>_xlfn.ISOWEEKNUM(tbl_Kalender[[#This Row],[Datum]])</f>
        <v>9</v>
      </c>
    </row>
    <row r="792" spans="1:11" x14ac:dyDescent="0.25">
      <c r="A792" s="1">
        <v>46082</v>
      </c>
      <c r="B792">
        <f>YEAR(tbl_Kalender[[#This Row],[Datum]])</f>
        <v>2026</v>
      </c>
      <c r="C792">
        <f>DAY(tbl_Kalender[[#This Row],[Datum]])</f>
        <v>1</v>
      </c>
      <c r="D792" t="str">
        <f>TEXT(tbl_Kalender[[#This Row],[Datum]],"TTTT")</f>
        <v>Sonntag</v>
      </c>
      <c r="E792">
        <f>WEEKDAY(tbl_Kalender[[#This Row],[Datum]],2)</f>
        <v>7</v>
      </c>
      <c r="F792">
        <f>MONTH(tbl_Kalender[[#This Row],[Datum]])</f>
        <v>3</v>
      </c>
      <c r="G792" t="str">
        <f>TEXT(tbl_Kalender[[#This Row],[Datum]],"MMMM")</f>
        <v>März</v>
      </c>
      <c r="H792">
        <f>ROUNDUP(tbl_Kalender[[#This Row],[Monat]]/3,0)</f>
        <v>1</v>
      </c>
      <c r="I792" t="str">
        <f>"Q "&amp;tbl_Kalender[[#This Row],[Quartal]]</f>
        <v>Q 1</v>
      </c>
      <c r="J792" t="str">
        <f>tbl_Kalender[[#This Row],[Quartal]]&amp;". Quartal"</f>
        <v>1. Quartal</v>
      </c>
      <c r="K792">
        <f>_xlfn.ISOWEEKNUM(tbl_Kalender[[#This Row],[Datum]])</f>
        <v>9</v>
      </c>
    </row>
    <row r="793" spans="1:11" x14ac:dyDescent="0.25">
      <c r="A793" s="1">
        <v>46083</v>
      </c>
      <c r="B793">
        <f>YEAR(tbl_Kalender[[#This Row],[Datum]])</f>
        <v>2026</v>
      </c>
      <c r="C793">
        <f>DAY(tbl_Kalender[[#This Row],[Datum]])</f>
        <v>2</v>
      </c>
      <c r="D793" t="str">
        <f>TEXT(tbl_Kalender[[#This Row],[Datum]],"TTTT")</f>
        <v>Montag</v>
      </c>
      <c r="E793">
        <f>WEEKDAY(tbl_Kalender[[#This Row],[Datum]],2)</f>
        <v>1</v>
      </c>
      <c r="F793">
        <f>MONTH(tbl_Kalender[[#This Row],[Datum]])</f>
        <v>3</v>
      </c>
      <c r="G793" t="str">
        <f>TEXT(tbl_Kalender[[#This Row],[Datum]],"MMMM")</f>
        <v>März</v>
      </c>
      <c r="H793">
        <f>ROUNDUP(tbl_Kalender[[#This Row],[Monat]]/3,0)</f>
        <v>1</v>
      </c>
      <c r="I793" t="str">
        <f>"Q "&amp;tbl_Kalender[[#This Row],[Quartal]]</f>
        <v>Q 1</v>
      </c>
      <c r="J793" t="str">
        <f>tbl_Kalender[[#This Row],[Quartal]]&amp;". Quartal"</f>
        <v>1. Quartal</v>
      </c>
      <c r="K793">
        <f>_xlfn.ISOWEEKNUM(tbl_Kalender[[#This Row],[Datum]])</f>
        <v>10</v>
      </c>
    </row>
    <row r="794" spans="1:11" x14ac:dyDescent="0.25">
      <c r="A794" s="1">
        <v>46084</v>
      </c>
      <c r="B794">
        <f>YEAR(tbl_Kalender[[#This Row],[Datum]])</f>
        <v>2026</v>
      </c>
      <c r="C794">
        <f>DAY(tbl_Kalender[[#This Row],[Datum]])</f>
        <v>3</v>
      </c>
      <c r="D794" t="str">
        <f>TEXT(tbl_Kalender[[#This Row],[Datum]],"TTTT")</f>
        <v>Dienstag</v>
      </c>
      <c r="E794">
        <f>WEEKDAY(tbl_Kalender[[#This Row],[Datum]],2)</f>
        <v>2</v>
      </c>
      <c r="F794">
        <f>MONTH(tbl_Kalender[[#This Row],[Datum]])</f>
        <v>3</v>
      </c>
      <c r="G794" t="str">
        <f>TEXT(tbl_Kalender[[#This Row],[Datum]],"MMMM")</f>
        <v>März</v>
      </c>
      <c r="H794">
        <f>ROUNDUP(tbl_Kalender[[#This Row],[Monat]]/3,0)</f>
        <v>1</v>
      </c>
      <c r="I794" t="str">
        <f>"Q "&amp;tbl_Kalender[[#This Row],[Quartal]]</f>
        <v>Q 1</v>
      </c>
      <c r="J794" t="str">
        <f>tbl_Kalender[[#This Row],[Quartal]]&amp;". Quartal"</f>
        <v>1. Quartal</v>
      </c>
      <c r="K794">
        <f>_xlfn.ISOWEEKNUM(tbl_Kalender[[#This Row],[Datum]])</f>
        <v>10</v>
      </c>
    </row>
    <row r="795" spans="1:11" x14ac:dyDescent="0.25">
      <c r="A795" s="1">
        <v>46085</v>
      </c>
      <c r="B795">
        <f>YEAR(tbl_Kalender[[#This Row],[Datum]])</f>
        <v>2026</v>
      </c>
      <c r="C795">
        <f>DAY(tbl_Kalender[[#This Row],[Datum]])</f>
        <v>4</v>
      </c>
      <c r="D795" t="str">
        <f>TEXT(tbl_Kalender[[#This Row],[Datum]],"TTTT")</f>
        <v>Mittwoch</v>
      </c>
      <c r="E795">
        <f>WEEKDAY(tbl_Kalender[[#This Row],[Datum]],2)</f>
        <v>3</v>
      </c>
      <c r="F795">
        <f>MONTH(tbl_Kalender[[#This Row],[Datum]])</f>
        <v>3</v>
      </c>
      <c r="G795" t="str">
        <f>TEXT(tbl_Kalender[[#This Row],[Datum]],"MMMM")</f>
        <v>März</v>
      </c>
      <c r="H795">
        <f>ROUNDUP(tbl_Kalender[[#This Row],[Monat]]/3,0)</f>
        <v>1</v>
      </c>
      <c r="I795" t="str">
        <f>"Q "&amp;tbl_Kalender[[#This Row],[Quartal]]</f>
        <v>Q 1</v>
      </c>
      <c r="J795" t="str">
        <f>tbl_Kalender[[#This Row],[Quartal]]&amp;". Quartal"</f>
        <v>1. Quartal</v>
      </c>
      <c r="K795">
        <f>_xlfn.ISOWEEKNUM(tbl_Kalender[[#This Row],[Datum]])</f>
        <v>10</v>
      </c>
    </row>
    <row r="796" spans="1:11" x14ac:dyDescent="0.25">
      <c r="A796" s="1">
        <v>46086</v>
      </c>
      <c r="B796">
        <f>YEAR(tbl_Kalender[[#This Row],[Datum]])</f>
        <v>2026</v>
      </c>
      <c r="C796">
        <f>DAY(tbl_Kalender[[#This Row],[Datum]])</f>
        <v>5</v>
      </c>
      <c r="D796" t="str">
        <f>TEXT(tbl_Kalender[[#This Row],[Datum]],"TTTT")</f>
        <v>Donnerstag</v>
      </c>
      <c r="E796">
        <f>WEEKDAY(tbl_Kalender[[#This Row],[Datum]],2)</f>
        <v>4</v>
      </c>
      <c r="F796">
        <f>MONTH(tbl_Kalender[[#This Row],[Datum]])</f>
        <v>3</v>
      </c>
      <c r="G796" t="str">
        <f>TEXT(tbl_Kalender[[#This Row],[Datum]],"MMMM")</f>
        <v>März</v>
      </c>
      <c r="H796">
        <f>ROUNDUP(tbl_Kalender[[#This Row],[Monat]]/3,0)</f>
        <v>1</v>
      </c>
      <c r="I796" t="str">
        <f>"Q "&amp;tbl_Kalender[[#This Row],[Quartal]]</f>
        <v>Q 1</v>
      </c>
      <c r="J796" t="str">
        <f>tbl_Kalender[[#This Row],[Quartal]]&amp;". Quartal"</f>
        <v>1. Quartal</v>
      </c>
      <c r="K796">
        <f>_xlfn.ISOWEEKNUM(tbl_Kalender[[#This Row],[Datum]])</f>
        <v>10</v>
      </c>
    </row>
    <row r="797" spans="1:11" x14ac:dyDescent="0.25">
      <c r="A797" s="1">
        <v>46087</v>
      </c>
      <c r="B797">
        <f>YEAR(tbl_Kalender[[#This Row],[Datum]])</f>
        <v>2026</v>
      </c>
      <c r="C797">
        <f>DAY(tbl_Kalender[[#This Row],[Datum]])</f>
        <v>6</v>
      </c>
      <c r="D797" t="str">
        <f>TEXT(tbl_Kalender[[#This Row],[Datum]],"TTTT")</f>
        <v>Freitag</v>
      </c>
      <c r="E797">
        <f>WEEKDAY(tbl_Kalender[[#This Row],[Datum]],2)</f>
        <v>5</v>
      </c>
      <c r="F797">
        <f>MONTH(tbl_Kalender[[#This Row],[Datum]])</f>
        <v>3</v>
      </c>
      <c r="G797" t="str">
        <f>TEXT(tbl_Kalender[[#This Row],[Datum]],"MMMM")</f>
        <v>März</v>
      </c>
      <c r="H797">
        <f>ROUNDUP(tbl_Kalender[[#This Row],[Monat]]/3,0)</f>
        <v>1</v>
      </c>
      <c r="I797" t="str">
        <f>"Q "&amp;tbl_Kalender[[#This Row],[Quartal]]</f>
        <v>Q 1</v>
      </c>
      <c r="J797" t="str">
        <f>tbl_Kalender[[#This Row],[Quartal]]&amp;". Quartal"</f>
        <v>1. Quartal</v>
      </c>
      <c r="K797">
        <f>_xlfn.ISOWEEKNUM(tbl_Kalender[[#This Row],[Datum]])</f>
        <v>10</v>
      </c>
    </row>
    <row r="798" spans="1:11" x14ac:dyDescent="0.25">
      <c r="A798" s="1">
        <v>46088</v>
      </c>
      <c r="B798">
        <f>YEAR(tbl_Kalender[[#This Row],[Datum]])</f>
        <v>2026</v>
      </c>
      <c r="C798">
        <f>DAY(tbl_Kalender[[#This Row],[Datum]])</f>
        <v>7</v>
      </c>
      <c r="D798" t="str">
        <f>TEXT(tbl_Kalender[[#This Row],[Datum]],"TTTT")</f>
        <v>Samstag</v>
      </c>
      <c r="E798">
        <f>WEEKDAY(tbl_Kalender[[#This Row],[Datum]],2)</f>
        <v>6</v>
      </c>
      <c r="F798">
        <f>MONTH(tbl_Kalender[[#This Row],[Datum]])</f>
        <v>3</v>
      </c>
      <c r="G798" t="str">
        <f>TEXT(tbl_Kalender[[#This Row],[Datum]],"MMMM")</f>
        <v>März</v>
      </c>
      <c r="H798">
        <f>ROUNDUP(tbl_Kalender[[#This Row],[Monat]]/3,0)</f>
        <v>1</v>
      </c>
      <c r="I798" t="str">
        <f>"Q "&amp;tbl_Kalender[[#This Row],[Quartal]]</f>
        <v>Q 1</v>
      </c>
      <c r="J798" t="str">
        <f>tbl_Kalender[[#This Row],[Quartal]]&amp;". Quartal"</f>
        <v>1. Quartal</v>
      </c>
      <c r="K798">
        <f>_xlfn.ISOWEEKNUM(tbl_Kalender[[#This Row],[Datum]])</f>
        <v>10</v>
      </c>
    </row>
    <row r="799" spans="1:11" x14ac:dyDescent="0.25">
      <c r="A799" s="1">
        <v>46089</v>
      </c>
      <c r="B799">
        <f>YEAR(tbl_Kalender[[#This Row],[Datum]])</f>
        <v>2026</v>
      </c>
      <c r="C799">
        <f>DAY(tbl_Kalender[[#This Row],[Datum]])</f>
        <v>8</v>
      </c>
      <c r="D799" t="str">
        <f>TEXT(tbl_Kalender[[#This Row],[Datum]],"TTTT")</f>
        <v>Sonntag</v>
      </c>
      <c r="E799">
        <f>WEEKDAY(tbl_Kalender[[#This Row],[Datum]],2)</f>
        <v>7</v>
      </c>
      <c r="F799">
        <f>MONTH(tbl_Kalender[[#This Row],[Datum]])</f>
        <v>3</v>
      </c>
      <c r="G799" t="str">
        <f>TEXT(tbl_Kalender[[#This Row],[Datum]],"MMMM")</f>
        <v>März</v>
      </c>
      <c r="H799">
        <f>ROUNDUP(tbl_Kalender[[#This Row],[Monat]]/3,0)</f>
        <v>1</v>
      </c>
      <c r="I799" t="str">
        <f>"Q "&amp;tbl_Kalender[[#This Row],[Quartal]]</f>
        <v>Q 1</v>
      </c>
      <c r="J799" t="str">
        <f>tbl_Kalender[[#This Row],[Quartal]]&amp;". Quartal"</f>
        <v>1. Quartal</v>
      </c>
      <c r="K799">
        <f>_xlfn.ISOWEEKNUM(tbl_Kalender[[#This Row],[Datum]])</f>
        <v>10</v>
      </c>
    </row>
    <row r="800" spans="1:11" x14ac:dyDescent="0.25">
      <c r="A800" s="1">
        <v>46090</v>
      </c>
      <c r="B800">
        <f>YEAR(tbl_Kalender[[#This Row],[Datum]])</f>
        <v>2026</v>
      </c>
      <c r="C800">
        <f>DAY(tbl_Kalender[[#This Row],[Datum]])</f>
        <v>9</v>
      </c>
      <c r="D800" t="str">
        <f>TEXT(tbl_Kalender[[#This Row],[Datum]],"TTTT")</f>
        <v>Montag</v>
      </c>
      <c r="E800">
        <f>WEEKDAY(tbl_Kalender[[#This Row],[Datum]],2)</f>
        <v>1</v>
      </c>
      <c r="F800">
        <f>MONTH(tbl_Kalender[[#This Row],[Datum]])</f>
        <v>3</v>
      </c>
      <c r="G800" t="str">
        <f>TEXT(tbl_Kalender[[#This Row],[Datum]],"MMMM")</f>
        <v>März</v>
      </c>
      <c r="H800">
        <f>ROUNDUP(tbl_Kalender[[#This Row],[Monat]]/3,0)</f>
        <v>1</v>
      </c>
      <c r="I800" t="str">
        <f>"Q "&amp;tbl_Kalender[[#This Row],[Quartal]]</f>
        <v>Q 1</v>
      </c>
      <c r="J800" t="str">
        <f>tbl_Kalender[[#This Row],[Quartal]]&amp;". Quartal"</f>
        <v>1. Quartal</v>
      </c>
      <c r="K800">
        <f>_xlfn.ISOWEEKNUM(tbl_Kalender[[#This Row],[Datum]])</f>
        <v>11</v>
      </c>
    </row>
    <row r="801" spans="1:11" x14ac:dyDescent="0.25">
      <c r="A801" s="1">
        <v>46091</v>
      </c>
      <c r="B801">
        <f>YEAR(tbl_Kalender[[#This Row],[Datum]])</f>
        <v>2026</v>
      </c>
      <c r="C801">
        <f>DAY(tbl_Kalender[[#This Row],[Datum]])</f>
        <v>10</v>
      </c>
      <c r="D801" t="str">
        <f>TEXT(tbl_Kalender[[#This Row],[Datum]],"TTTT")</f>
        <v>Dienstag</v>
      </c>
      <c r="E801">
        <f>WEEKDAY(tbl_Kalender[[#This Row],[Datum]],2)</f>
        <v>2</v>
      </c>
      <c r="F801">
        <f>MONTH(tbl_Kalender[[#This Row],[Datum]])</f>
        <v>3</v>
      </c>
      <c r="G801" t="str">
        <f>TEXT(tbl_Kalender[[#This Row],[Datum]],"MMMM")</f>
        <v>März</v>
      </c>
      <c r="H801">
        <f>ROUNDUP(tbl_Kalender[[#This Row],[Monat]]/3,0)</f>
        <v>1</v>
      </c>
      <c r="I801" t="str">
        <f>"Q "&amp;tbl_Kalender[[#This Row],[Quartal]]</f>
        <v>Q 1</v>
      </c>
      <c r="J801" t="str">
        <f>tbl_Kalender[[#This Row],[Quartal]]&amp;". Quartal"</f>
        <v>1. Quartal</v>
      </c>
      <c r="K801">
        <f>_xlfn.ISOWEEKNUM(tbl_Kalender[[#This Row],[Datum]])</f>
        <v>11</v>
      </c>
    </row>
    <row r="802" spans="1:11" x14ac:dyDescent="0.25">
      <c r="A802" s="1">
        <v>46092</v>
      </c>
      <c r="B802">
        <f>YEAR(tbl_Kalender[[#This Row],[Datum]])</f>
        <v>2026</v>
      </c>
      <c r="C802">
        <f>DAY(tbl_Kalender[[#This Row],[Datum]])</f>
        <v>11</v>
      </c>
      <c r="D802" t="str">
        <f>TEXT(tbl_Kalender[[#This Row],[Datum]],"TTTT")</f>
        <v>Mittwoch</v>
      </c>
      <c r="E802">
        <f>WEEKDAY(tbl_Kalender[[#This Row],[Datum]],2)</f>
        <v>3</v>
      </c>
      <c r="F802">
        <f>MONTH(tbl_Kalender[[#This Row],[Datum]])</f>
        <v>3</v>
      </c>
      <c r="G802" t="str">
        <f>TEXT(tbl_Kalender[[#This Row],[Datum]],"MMMM")</f>
        <v>März</v>
      </c>
      <c r="H802">
        <f>ROUNDUP(tbl_Kalender[[#This Row],[Monat]]/3,0)</f>
        <v>1</v>
      </c>
      <c r="I802" t="str">
        <f>"Q "&amp;tbl_Kalender[[#This Row],[Quartal]]</f>
        <v>Q 1</v>
      </c>
      <c r="J802" t="str">
        <f>tbl_Kalender[[#This Row],[Quartal]]&amp;". Quartal"</f>
        <v>1. Quartal</v>
      </c>
      <c r="K802">
        <f>_xlfn.ISOWEEKNUM(tbl_Kalender[[#This Row],[Datum]])</f>
        <v>11</v>
      </c>
    </row>
    <row r="803" spans="1:11" x14ac:dyDescent="0.25">
      <c r="A803" s="1">
        <v>46093</v>
      </c>
      <c r="B803">
        <f>YEAR(tbl_Kalender[[#This Row],[Datum]])</f>
        <v>2026</v>
      </c>
      <c r="C803">
        <f>DAY(tbl_Kalender[[#This Row],[Datum]])</f>
        <v>12</v>
      </c>
      <c r="D803" t="str">
        <f>TEXT(tbl_Kalender[[#This Row],[Datum]],"TTTT")</f>
        <v>Donnerstag</v>
      </c>
      <c r="E803">
        <f>WEEKDAY(tbl_Kalender[[#This Row],[Datum]],2)</f>
        <v>4</v>
      </c>
      <c r="F803">
        <f>MONTH(tbl_Kalender[[#This Row],[Datum]])</f>
        <v>3</v>
      </c>
      <c r="G803" t="str">
        <f>TEXT(tbl_Kalender[[#This Row],[Datum]],"MMMM")</f>
        <v>März</v>
      </c>
      <c r="H803">
        <f>ROUNDUP(tbl_Kalender[[#This Row],[Monat]]/3,0)</f>
        <v>1</v>
      </c>
      <c r="I803" t="str">
        <f>"Q "&amp;tbl_Kalender[[#This Row],[Quartal]]</f>
        <v>Q 1</v>
      </c>
      <c r="J803" t="str">
        <f>tbl_Kalender[[#This Row],[Quartal]]&amp;". Quartal"</f>
        <v>1. Quartal</v>
      </c>
      <c r="K803">
        <f>_xlfn.ISOWEEKNUM(tbl_Kalender[[#This Row],[Datum]])</f>
        <v>11</v>
      </c>
    </row>
    <row r="804" spans="1:11" x14ac:dyDescent="0.25">
      <c r="A804" s="1">
        <v>46094</v>
      </c>
      <c r="B804">
        <f>YEAR(tbl_Kalender[[#This Row],[Datum]])</f>
        <v>2026</v>
      </c>
      <c r="C804">
        <f>DAY(tbl_Kalender[[#This Row],[Datum]])</f>
        <v>13</v>
      </c>
      <c r="D804" t="str">
        <f>TEXT(tbl_Kalender[[#This Row],[Datum]],"TTTT")</f>
        <v>Freitag</v>
      </c>
      <c r="E804">
        <f>WEEKDAY(tbl_Kalender[[#This Row],[Datum]],2)</f>
        <v>5</v>
      </c>
      <c r="F804">
        <f>MONTH(tbl_Kalender[[#This Row],[Datum]])</f>
        <v>3</v>
      </c>
      <c r="G804" t="str">
        <f>TEXT(tbl_Kalender[[#This Row],[Datum]],"MMMM")</f>
        <v>März</v>
      </c>
      <c r="H804">
        <f>ROUNDUP(tbl_Kalender[[#This Row],[Monat]]/3,0)</f>
        <v>1</v>
      </c>
      <c r="I804" t="str">
        <f>"Q "&amp;tbl_Kalender[[#This Row],[Quartal]]</f>
        <v>Q 1</v>
      </c>
      <c r="J804" t="str">
        <f>tbl_Kalender[[#This Row],[Quartal]]&amp;". Quartal"</f>
        <v>1. Quartal</v>
      </c>
      <c r="K804">
        <f>_xlfn.ISOWEEKNUM(tbl_Kalender[[#This Row],[Datum]])</f>
        <v>11</v>
      </c>
    </row>
    <row r="805" spans="1:11" x14ac:dyDescent="0.25">
      <c r="A805" s="1">
        <v>46095</v>
      </c>
      <c r="B805">
        <f>YEAR(tbl_Kalender[[#This Row],[Datum]])</f>
        <v>2026</v>
      </c>
      <c r="C805">
        <f>DAY(tbl_Kalender[[#This Row],[Datum]])</f>
        <v>14</v>
      </c>
      <c r="D805" t="str">
        <f>TEXT(tbl_Kalender[[#This Row],[Datum]],"TTTT")</f>
        <v>Samstag</v>
      </c>
      <c r="E805">
        <f>WEEKDAY(tbl_Kalender[[#This Row],[Datum]],2)</f>
        <v>6</v>
      </c>
      <c r="F805">
        <f>MONTH(tbl_Kalender[[#This Row],[Datum]])</f>
        <v>3</v>
      </c>
      <c r="G805" t="str">
        <f>TEXT(tbl_Kalender[[#This Row],[Datum]],"MMMM")</f>
        <v>März</v>
      </c>
      <c r="H805">
        <f>ROUNDUP(tbl_Kalender[[#This Row],[Monat]]/3,0)</f>
        <v>1</v>
      </c>
      <c r="I805" t="str">
        <f>"Q "&amp;tbl_Kalender[[#This Row],[Quartal]]</f>
        <v>Q 1</v>
      </c>
      <c r="J805" t="str">
        <f>tbl_Kalender[[#This Row],[Quartal]]&amp;". Quartal"</f>
        <v>1. Quartal</v>
      </c>
      <c r="K805">
        <f>_xlfn.ISOWEEKNUM(tbl_Kalender[[#This Row],[Datum]])</f>
        <v>11</v>
      </c>
    </row>
    <row r="806" spans="1:11" x14ac:dyDescent="0.25">
      <c r="A806" s="1">
        <v>46096</v>
      </c>
      <c r="B806">
        <f>YEAR(tbl_Kalender[[#This Row],[Datum]])</f>
        <v>2026</v>
      </c>
      <c r="C806">
        <f>DAY(tbl_Kalender[[#This Row],[Datum]])</f>
        <v>15</v>
      </c>
      <c r="D806" t="str">
        <f>TEXT(tbl_Kalender[[#This Row],[Datum]],"TTTT")</f>
        <v>Sonntag</v>
      </c>
      <c r="E806">
        <f>WEEKDAY(tbl_Kalender[[#This Row],[Datum]],2)</f>
        <v>7</v>
      </c>
      <c r="F806">
        <f>MONTH(tbl_Kalender[[#This Row],[Datum]])</f>
        <v>3</v>
      </c>
      <c r="G806" t="str">
        <f>TEXT(tbl_Kalender[[#This Row],[Datum]],"MMMM")</f>
        <v>März</v>
      </c>
      <c r="H806">
        <f>ROUNDUP(tbl_Kalender[[#This Row],[Monat]]/3,0)</f>
        <v>1</v>
      </c>
      <c r="I806" t="str">
        <f>"Q "&amp;tbl_Kalender[[#This Row],[Quartal]]</f>
        <v>Q 1</v>
      </c>
      <c r="J806" t="str">
        <f>tbl_Kalender[[#This Row],[Quartal]]&amp;". Quartal"</f>
        <v>1. Quartal</v>
      </c>
      <c r="K806">
        <f>_xlfn.ISOWEEKNUM(tbl_Kalender[[#This Row],[Datum]])</f>
        <v>11</v>
      </c>
    </row>
    <row r="807" spans="1:11" x14ac:dyDescent="0.25">
      <c r="A807" s="1">
        <v>46097</v>
      </c>
      <c r="B807">
        <f>YEAR(tbl_Kalender[[#This Row],[Datum]])</f>
        <v>2026</v>
      </c>
      <c r="C807">
        <f>DAY(tbl_Kalender[[#This Row],[Datum]])</f>
        <v>16</v>
      </c>
      <c r="D807" t="str">
        <f>TEXT(tbl_Kalender[[#This Row],[Datum]],"TTTT")</f>
        <v>Montag</v>
      </c>
      <c r="E807">
        <f>WEEKDAY(tbl_Kalender[[#This Row],[Datum]],2)</f>
        <v>1</v>
      </c>
      <c r="F807">
        <f>MONTH(tbl_Kalender[[#This Row],[Datum]])</f>
        <v>3</v>
      </c>
      <c r="G807" t="str">
        <f>TEXT(tbl_Kalender[[#This Row],[Datum]],"MMMM")</f>
        <v>März</v>
      </c>
      <c r="H807">
        <f>ROUNDUP(tbl_Kalender[[#This Row],[Monat]]/3,0)</f>
        <v>1</v>
      </c>
      <c r="I807" t="str">
        <f>"Q "&amp;tbl_Kalender[[#This Row],[Quartal]]</f>
        <v>Q 1</v>
      </c>
      <c r="J807" t="str">
        <f>tbl_Kalender[[#This Row],[Quartal]]&amp;". Quartal"</f>
        <v>1. Quartal</v>
      </c>
      <c r="K807">
        <f>_xlfn.ISOWEEKNUM(tbl_Kalender[[#This Row],[Datum]])</f>
        <v>12</v>
      </c>
    </row>
    <row r="808" spans="1:11" x14ac:dyDescent="0.25">
      <c r="A808" s="1">
        <v>46098</v>
      </c>
      <c r="B808">
        <f>YEAR(tbl_Kalender[[#This Row],[Datum]])</f>
        <v>2026</v>
      </c>
      <c r="C808">
        <f>DAY(tbl_Kalender[[#This Row],[Datum]])</f>
        <v>17</v>
      </c>
      <c r="D808" t="str">
        <f>TEXT(tbl_Kalender[[#This Row],[Datum]],"TTTT")</f>
        <v>Dienstag</v>
      </c>
      <c r="E808">
        <f>WEEKDAY(tbl_Kalender[[#This Row],[Datum]],2)</f>
        <v>2</v>
      </c>
      <c r="F808">
        <f>MONTH(tbl_Kalender[[#This Row],[Datum]])</f>
        <v>3</v>
      </c>
      <c r="G808" t="str">
        <f>TEXT(tbl_Kalender[[#This Row],[Datum]],"MMMM")</f>
        <v>März</v>
      </c>
      <c r="H808">
        <f>ROUNDUP(tbl_Kalender[[#This Row],[Monat]]/3,0)</f>
        <v>1</v>
      </c>
      <c r="I808" t="str">
        <f>"Q "&amp;tbl_Kalender[[#This Row],[Quartal]]</f>
        <v>Q 1</v>
      </c>
      <c r="J808" t="str">
        <f>tbl_Kalender[[#This Row],[Quartal]]&amp;". Quartal"</f>
        <v>1. Quartal</v>
      </c>
      <c r="K808">
        <f>_xlfn.ISOWEEKNUM(tbl_Kalender[[#This Row],[Datum]])</f>
        <v>12</v>
      </c>
    </row>
    <row r="809" spans="1:11" x14ac:dyDescent="0.25">
      <c r="A809" s="1">
        <v>46099</v>
      </c>
      <c r="B809">
        <f>YEAR(tbl_Kalender[[#This Row],[Datum]])</f>
        <v>2026</v>
      </c>
      <c r="C809">
        <f>DAY(tbl_Kalender[[#This Row],[Datum]])</f>
        <v>18</v>
      </c>
      <c r="D809" t="str">
        <f>TEXT(tbl_Kalender[[#This Row],[Datum]],"TTTT")</f>
        <v>Mittwoch</v>
      </c>
      <c r="E809">
        <f>WEEKDAY(tbl_Kalender[[#This Row],[Datum]],2)</f>
        <v>3</v>
      </c>
      <c r="F809">
        <f>MONTH(tbl_Kalender[[#This Row],[Datum]])</f>
        <v>3</v>
      </c>
      <c r="G809" t="str">
        <f>TEXT(tbl_Kalender[[#This Row],[Datum]],"MMMM")</f>
        <v>März</v>
      </c>
      <c r="H809">
        <f>ROUNDUP(tbl_Kalender[[#This Row],[Monat]]/3,0)</f>
        <v>1</v>
      </c>
      <c r="I809" t="str">
        <f>"Q "&amp;tbl_Kalender[[#This Row],[Quartal]]</f>
        <v>Q 1</v>
      </c>
      <c r="J809" t="str">
        <f>tbl_Kalender[[#This Row],[Quartal]]&amp;". Quartal"</f>
        <v>1. Quartal</v>
      </c>
      <c r="K809">
        <f>_xlfn.ISOWEEKNUM(tbl_Kalender[[#This Row],[Datum]])</f>
        <v>12</v>
      </c>
    </row>
    <row r="810" spans="1:11" x14ac:dyDescent="0.25">
      <c r="A810" s="1">
        <v>46100</v>
      </c>
      <c r="B810">
        <f>YEAR(tbl_Kalender[[#This Row],[Datum]])</f>
        <v>2026</v>
      </c>
      <c r="C810">
        <f>DAY(tbl_Kalender[[#This Row],[Datum]])</f>
        <v>19</v>
      </c>
      <c r="D810" t="str">
        <f>TEXT(tbl_Kalender[[#This Row],[Datum]],"TTTT")</f>
        <v>Donnerstag</v>
      </c>
      <c r="E810">
        <f>WEEKDAY(tbl_Kalender[[#This Row],[Datum]],2)</f>
        <v>4</v>
      </c>
      <c r="F810">
        <f>MONTH(tbl_Kalender[[#This Row],[Datum]])</f>
        <v>3</v>
      </c>
      <c r="G810" t="str">
        <f>TEXT(tbl_Kalender[[#This Row],[Datum]],"MMMM")</f>
        <v>März</v>
      </c>
      <c r="H810">
        <f>ROUNDUP(tbl_Kalender[[#This Row],[Monat]]/3,0)</f>
        <v>1</v>
      </c>
      <c r="I810" t="str">
        <f>"Q "&amp;tbl_Kalender[[#This Row],[Quartal]]</f>
        <v>Q 1</v>
      </c>
      <c r="J810" t="str">
        <f>tbl_Kalender[[#This Row],[Quartal]]&amp;". Quartal"</f>
        <v>1. Quartal</v>
      </c>
      <c r="K810">
        <f>_xlfn.ISOWEEKNUM(tbl_Kalender[[#This Row],[Datum]])</f>
        <v>12</v>
      </c>
    </row>
    <row r="811" spans="1:11" x14ac:dyDescent="0.25">
      <c r="A811" s="1">
        <v>46101</v>
      </c>
      <c r="B811">
        <f>YEAR(tbl_Kalender[[#This Row],[Datum]])</f>
        <v>2026</v>
      </c>
      <c r="C811">
        <f>DAY(tbl_Kalender[[#This Row],[Datum]])</f>
        <v>20</v>
      </c>
      <c r="D811" t="str">
        <f>TEXT(tbl_Kalender[[#This Row],[Datum]],"TTTT")</f>
        <v>Freitag</v>
      </c>
      <c r="E811">
        <f>WEEKDAY(tbl_Kalender[[#This Row],[Datum]],2)</f>
        <v>5</v>
      </c>
      <c r="F811">
        <f>MONTH(tbl_Kalender[[#This Row],[Datum]])</f>
        <v>3</v>
      </c>
      <c r="G811" t="str">
        <f>TEXT(tbl_Kalender[[#This Row],[Datum]],"MMMM")</f>
        <v>März</v>
      </c>
      <c r="H811">
        <f>ROUNDUP(tbl_Kalender[[#This Row],[Monat]]/3,0)</f>
        <v>1</v>
      </c>
      <c r="I811" t="str">
        <f>"Q "&amp;tbl_Kalender[[#This Row],[Quartal]]</f>
        <v>Q 1</v>
      </c>
      <c r="J811" t="str">
        <f>tbl_Kalender[[#This Row],[Quartal]]&amp;". Quartal"</f>
        <v>1. Quartal</v>
      </c>
      <c r="K811">
        <f>_xlfn.ISOWEEKNUM(tbl_Kalender[[#This Row],[Datum]])</f>
        <v>12</v>
      </c>
    </row>
    <row r="812" spans="1:11" x14ac:dyDescent="0.25">
      <c r="A812" s="1">
        <v>46102</v>
      </c>
      <c r="B812">
        <f>YEAR(tbl_Kalender[[#This Row],[Datum]])</f>
        <v>2026</v>
      </c>
      <c r="C812">
        <f>DAY(tbl_Kalender[[#This Row],[Datum]])</f>
        <v>21</v>
      </c>
      <c r="D812" t="str">
        <f>TEXT(tbl_Kalender[[#This Row],[Datum]],"TTTT")</f>
        <v>Samstag</v>
      </c>
      <c r="E812">
        <f>WEEKDAY(tbl_Kalender[[#This Row],[Datum]],2)</f>
        <v>6</v>
      </c>
      <c r="F812">
        <f>MONTH(tbl_Kalender[[#This Row],[Datum]])</f>
        <v>3</v>
      </c>
      <c r="G812" t="str">
        <f>TEXT(tbl_Kalender[[#This Row],[Datum]],"MMMM")</f>
        <v>März</v>
      </c>
      <c r="H812">
        <f>ROUNDUP(tbl_Kalender[[#This Row],[Monat]]/3,0)</f>
        <v>1</v>
      </c>
      <c r="I812" t="str">
        <f>"Q "&amp;tbl_Kalender[[#This Row],[Quartal]]</f>
        <v>Q 1</v>
      </c>
      <c r="J812" t="str">
        <f>tbl_Kalender[[#This Row],[Quartal]]&amp;". Quartal"</f>
        <v>1. Quartal</v>
      </c>
      <c r="K812">
        <f>_xlfn.ISOWEEKNUM(tbl_Kalender[[#This Row],[Datum]])</f>
        <v>12</v>
      </c>
    </row>
    <row r="813" spans="1:11" x14ac:dyDescent="0.25">
      <c r="A813" s="1">
        <v>46103</v>
      </c>
      <c r="B813">
        <f>YEAR(tbl_Kalender[[#This Row],[Datum]])</f>
        <v>2026</v>
      </c>
      <c r="C813">
        <f>DAY(tbl_Kalender[[#This Row],[Datum]])</f>
        <v>22</v>
      </c>
      <c r="D813" t="str">
        <f>TEXT(tbl_Kalender[[#This Row],[Datum]],"TTTT")</f>
        <v>Sonntag</v>
      </c>
      <c r="E813">
        <f>WEEKDAY(tbl_Kalender[[#This Row],[Datum]],2)</f>
        <v>7</v>
      </c>
      <c r="F813">
        <f>MONTH(tbl_Kalender[[#This Row],[Datum]])</f>
        <v>3</v>
      </c>
      <c r="G813" t="str">
        <f>TEXT(tbl_Kalender[[#This Row],[Datum]],"MMMM")</f>
        <v>März</v>
      </c>
      <c r="H813">
        <f>ROUNDUP(tbl_Kalender[[#This Row],[Monat]]/3,0)</f>
        <v>1</v>
      </c>
      <c r="I813" t="str">
        <f>"Q "&amp;tbl_Kalender[[#This Row],[Quartal]]</f>
        <v>Q 1</v>
      </c>
      <c r="J813" t="str">
        <f>tbl_Kalender[[#This Row],[Quartal]]&amp;". Quartal"</f>
        <v>1. Quartal</v>
      </c>
      <c r="K813">
        <f>_xlfn.ISOWEEKNUM(tbl_Kalender[[#This Row],[Datum]])</f>
        <v>12</v>
      </c>
    </row>
    <row r="814" spans="1:11" x14ac:dyDescent="0.25">
      <c r="A814" s="1">
        <v>46104</v>
      </c>
      <c r="B814">
        <f>YEAR(tbl_Kalender[[#This Row],[Datum]])</f>
        <v>2026</v>
      </c>
      <c r="C814">
        <f>DAY(tbl_Kalender[[#This Row],[Datum]])</f>
        <v>23</v>
      </c>
      <c r="D814" t="str">
        <f>TEXT(tbl_Kalender[[#This Row],[Datum]],"TTTT")</f>
        <v>Montag</v>
      </c>
      <c r="E814">
        <f>WEEKDAY(tbl_Kalender[[#This Row],[Datum]],2)</f>
        <v>1</v>
      </c>
      <c r="F814">
        <f>MONTH(tbl_Kalender[[#This Row],[Datum]])</f>
        <v>3</v>
      </c>
      <c r="G814" t="str">
        <f>TEXT(tbl_Kalender[[#This Row],[Datum]],"MMMM")</f>
        <v>März</v>
      </c>
      <c r="H814">
        <f>ROUNDUP(tbl_Kalender[[#This Row],[Monat]]/3,0)</f>
        <v>1</v>
      </c>
      <c r="I814" t="str">
        <f>"Q "&amp;tbl_Kalender[[#This Row],[Quartal]]</f>
        <v>Q 1</v>
      </c>
      <c r="J814" t="str">
        <f>tbl_Kalender[[#This Row],[Quartal]]&amp;". Quartal"</f>
        <v>1. Quartal</v>
      </c>
      <c r="K814">
        <f>_xlfn.ISOWEEKNUM(tbl_Kalender[[#This Row],[Datum]])</f>
        <v>13</v>
      </c>
    </row>
    <row r="815" spans="1:11" x14ac:dyDescent="0.25">
      <c r="A815" s="1">
        <v>46105</v>
      </c>
      <c r="B815">
        <f>YEAR(tbl_Kalender[[#This Row],[Datum]])</f>
        <v>2026</v>
      </c>
      <c r="C815">
        <f>DAY(tbl_Kalender[[#This Row],[Datum]])</f>
        <v>24</v>
      </c>
      <c r="D815" t="str">
        <f>TEXT(tbl_Kalender[[#This Row],[Datum]],"TTTT")</f>
        <v>Dienstag</v>
      </c>
      <c r="E815">
        <f>WEEKDAY(tbl_Kalender[[#This Row],[Datum]],2)</f>
        <v>2</v>
      </c>
      <c r="F815">
        <f>MONTH(tbl_Kalender[[#This Row],[Datum]])</f>
        <v>3</v>
      </c>
      <c r="G815" t="str">
        <f>TEXT(tbl_Kalender[[#This Row],[Datum]],"MMMM")</f>
        <v>März</v>
      </c>
      <c r="H815">
        <f>ROUNDUP(tbl_Kalender[[#This Row],[Monat]]/3,0)</f>
        <v>1</v>
      </c>
      <c r="I815" t="str">
        <f>"Q "&amp;tbl_Kalender[[#This Row],[Quartal]]</f>
        <v>Q 1</v>
      </c>
      <c r="J815" t="str">
        <f>tbl_Kalender[[#This Row],[Quartal]]&amp;". Quartal"</f>
        <v>1. Quartal</v>
      </c>
      <c r="K815">
        <f>_xlfn.ISOWEEKNUM(tbl_Kalender[[#This Row],[Datum]])</f>
        <v>13</v>
      </c>
    </row>
    <row r="816" spans="1:11" x14ac:dyDescent="0.25">
      <c r="A816" s="1">
        <v>46106</v>
      </c>
      <c r="B816">
        <f>YEAR(tbl_Kalender[[#This Row],[Datum]])</f>
        <v>2026</v>
      </c>
      <c r="C816">
        <f>DAY(tbl_Kalender[[#This Row],[Datum]])</f>
        <v>25</v>
      </c>
      <c r="D816" t="str">
        <f>TEXT(tbl_Kalender[[#This Row],[Datum]],"TTTT")</f>
        <v>Mittwoch</v>
      </c>
      <c r="E816">
        <f>WEEKDAY(tbl_Kalender[[#This Row],[Datum]],2)</f>
        <v>3</v>
      </c>
      <c r="F816">
        <f>MONTH(tbl_Kalender[[#This Row],[Datum]])</f>
        <v>3</v>
      </c>
      <c r="G816" t="str">
        <f>TEXT(tbl_Kalender[[#This Row],[Datum]],"MMMM")</f>
        <v>März</v>
      </c>
      <c r="H816">
        <f>ROUNDUP(tbl_Kalender[[#This Row],[Monat]]/3,0)</f>
        <v>1</v>
      </c>
      <c r="I816" t="str">
        <f>"Q "&amp;tbl_Kalender[[#This Row],[Quartal]]</f>
        <v>Q 1</v>
      </c>
      <c r="J816" t="str">
        <f>tbl_Kalender[[#This Row],[Quartal]]&amp;". Quartal"</f>
        <v>1. Quartal</v>
      </c>
      <c r="K816">
        <f>_xlfn.ISOWEEKNUM(tbl_Kalender[[#This Row],[Datum]])</f>
        <v>13</v>
      </c>
    </row>
    <row r="817" spans="1:11" x14ac:dyDescent="0.25">
      <c r="A817" s="1">
        <v>46107</v>
      </c>
      <c r="B817">
        <f>YEAR(tbl_Kalender[[#This Row],[Datum]])</f>
        <v>2026</v>
      </c>
      <c r="C817">
        <f>DAY(tbl_Kalender[[#This Row],[Datum]])</f>
        <v>26</v>
      </c>
      <c r="D817" t="str">
        <f>TEXT(tbl_Kalender[[#This Row],[Datum]],"TTTT")</f>
        <v>Donnerstag</v>
      </c>
      <c r="E817">
        <f>WEEKDAY(tbl_Kalender[[#This Row],[Datum]],2)</f>
        <v>4</v>
      </c>
      <c r="F817">
        <f>MONTH(tbl_Kalender[[#This Row],[Datum]])</f>
        <v>3</v>
      </c>
      <c r="G817" t="str">
        <f>TEXT(tbl_Kalender[[#This Row],[Datum]],"MMMM")</f>
        <v>März</v>
      </c>
      <c r="H817">
        <f>ROUNDUP(tbl_Kalender[[#This Row],[Monat]]/3,0)</f>
        <v>1</v>
      </c>
      <c r="I817" t="str">
        <f>"Q "&amp;tbl_Kalender[[#This Row],[Quartal]]</f>
        <v>Q 1</v>
      </c>
      <c r="J817" t="str">
        <f>tbl_Kalender[[#This Row],[Quartal]]&amp;". Quartal"</f>
        <v>1. Quartal</v>
      </c>
      <c r="K817">
        <f>_xlfn.ISOWEEKNUM(tbl_Kalender[[#This Row],[Datum]])</f>
        <v>13</v>
      </c>
    </row>
    <row r="818" spans="1:11" x14ac:dyDescent="0.25">
      <c r="A818" s="1">
        <v>46108</v>
      </c>
      <c r="B818">
        <f>YEAR(tbl_Kalender[[#This Row],[Datum]])</f>
        <v>2026</v>
      </c>
      <c r="C818">
        <f>DAY(tbl_Kalender[[#This Row],[Datum]])</f>
        <v>27</v>
      </c>
      <c r="D818" t="str">
        <f>TEXT(tbl_Kalender[[#This Row],[Datum]],"TTTT")</f>
        <v>Freitag</v>
      </c>
      <c r="E818">
        <f>WEEKDAY(tbl_Kalender[[#This Row],[Datum]],2)</f>
        <v>5</v>
      </c>
      <c r="F818">
        <f>MONTH(tbl_Kalender[[#This Row],[Datum]])</f>
        <v>3</v>
      </c>
      <c r="G818" t="str">
        <f>TEXT(tbl_Kalender[[#This Row],[Datum]],"MMMM")</f>
        <v>März</v>
      </c>
      <c r="H818">
        <f>ROUNDUP(tbl_Kalender[[#This Row],[Monat]]/3,0)</f>
        <v>1</v>
      </c>
      <c r="I818" t="str">
        <f>"Q "&amp;tbl_Kalender[[#This Row],[Quartal]]</f>
        <v>Q 1</v>
      </c>
      <c r="J818" t="str">
        <f>tbl_Kalender[[#This Row],[Quartal]]&amp;". Quartal"</f>
        <v>1. Quartal</v>
      </c>
      <c r="K818">
        <f>_xlfn.ISOWEEKNUM(tbl_Kalender[[#This Row],[Datum]])</f>
        <v>13</v>
      </c>
    </row>
    <row r="819" spans="1:11" x14ac:dyDescent="0.25">
      <c r="A819" s="1">
        <v>46109</v>
      </c>
      <c r="B819">
        <f>YEAR(tbl_Kalender[[#This Row],[Datum]])</f>
        <v>2026</v>
      </c>
      <c r="C819">
        <f>DAY(tbl_Kalender[[#This Row],[Datum]])</f>
        <v>28</v>
      </c>
      <c r="D819" t="str">
        <f>TEXT(tbl_Kalender[[#This Row],[Datum]],"TTTT")</f>
        <v>Samstag</v>
      </c>
      <c r="E819">
        <f>WEEKDAY(tbl_Kalender[[#This Row],[Datum]],2)</f>
        <v>6</v>
      </c>
      <c r="F819">
        <f>MONTH(tbl_Kalender[[#This Row],[Datum]])</f>
        <v>3</v>
      </c>
      <c r="G819" t="str">
        <f>TEXT(tbl_Kalender[[#This Row],[Datum]],"MMMM")</f>
        <v>März</v>
      </c>
      <c r="H819">
        <f>ROUNDUP(tbl_Kalender[[#This Row],[Monat]]/3,0)</f>
        <v>1</v>
      </c>
      <c r="I819" t="str">
        <f>"Q "&amp;tbl_Kalender[[#This Row],[Quartal]]</f>
        <v>Q 1</v>
      </c>
      <c r="J819" t="str">
        <f>tbl_Kalender[[#This Row],[Quartal]]&amp;". Quartal"</f>
        <v>1. Quartal</v>
      </c>
      <c r="K819">
        <f>_xlfn.ISOWEEKNUM(tbl_Kalender[[#This Row],[Datum]])</f>
        <v>13</v>
      </c>
    </row>
    <row r="820" spans="1:11" x14ac:dyDescent="0.25">
      <c r="A820" s="1">
        <v>46110</v>
      </c>
      <c r="B820">
        <f>YEAR(tbl_Kalender[[#This Row],[Datum]])</f>
        <v>2026</v>
      </c>
      <c r="C820">
        <f>DAY(tbl_Kalender[[#This Row],[Datum]])</f>
        <v>29</v>
      </c>
      <c r="D820" t="str">
        <f>TEXT(tbl_Kalender[[#This Row],[Datum]],"TTTT")</f>
        <v>Sonntag</v>
      </c>
      <c r="E820">
        <f>WEEKDAY(tbl_Kalender[[#This Row],[Datum]],2)</f>
        <v>7</v>
      </c>
      <c r="F820">
        <f>MONTH(tbl_Kalender[[#This Row],[Datum]])</f>
        <v>3</v>
      </c>
      <c r="G820" t="str">
        <f>TEXT(tbl_Kalender[[#This Row],[Datum]],"MMMM")</f>
        <v>März</v>
      </c>
      <c r="H820">
        <f>ROUNDUP(tbl_Kalender[[#This Row],[Monat]]/3,0)</f>
        <v>1</v>
      </c>
      <c r="I820" t="str">
        <f>"Q "&amp;tbl_Kalender[[#This Row],[Quartal]]</f>
        <v>Q 1</v>
      </c>
      <c r="J820" t="str">
        <f>tbl_Kalender[[#This Row],[Quartal]]&amp;". Quartal"</f>
        <v>1. Quartal</v>
      </c>
      <c r="K820">
        <f>_xlfn.ISOWEEKNUM(tbl_Kalender[[#This Row],[Datum]])</f>
        <v>13</v>
      </c>
    </row>
    <row r="821" spans="1:11" x14ac:dyDescent="0.25">
      <c r="A821" s="1">
        <v>46111</v>
      </c>
      <c r="B821">
        <f>YEAR(tbl_Kalender[[#This Row],[Datum]])</f>
        <v>2026</v>
      </c>
      <c r="C821">
        <f>DAY(tbl_Kalender[[#This Row],[Datum]])</f>
        <v>30</v>
      </c>
      <c r="D821" t="str">
        <f>TEXT(tbl_Kalender[[#This Row],[Datum]],"TTTT")</f>
        <v>Montag</v>
      </c>
      <c r="E821">
        <f>WEEKDAY(tbl_Kalender[[#This Row],[Datum]],2)</f>
        <v>1</v>
      </c>
      <c r="F821">
        <f>MONTH(tbl_Kalender[[#This Row],[Datum]])</f>
        <v>3</v>
      </c>
      <c r="G821" t="str">
        <f>TEXT(tbl_Kalender[[#This Row],[Datum]],"MMMM")</f>
        <v>März</v>
      </c>
      <c r="H821">
        <f>ROUNDUP(tbl_Kalender[[#This Row],[Monat]]/3,0)</f>
        <v>1</v>
      </c>
      <c r="I821" t="str">
        <f>"Q "&amp;tbl_Kalender[[#This Row],[Quartal]]</f>
        <v>Q 1</v>
      </c>
      <c r="J821" t="str">
        <f>tbl_Kalender[[#This Row],[Quartal]]&amp;". Quartal"</f>
        <v>1. Quartal</v>
      </c>
      <c r="K821">
        <f>_xlfn.ISOWEEKNUM(tbl_Kalender[[#This Row],[Datum]])</f>
        <v>14</v>
      </c>
    </row>
    <row r="822" spans="1:11" x14ac:dyDescent="0.25">
      <c r="A822" s="1">
        <v>46112</v>
      </c>
      <c r="B822">
        <f>YEAR(tbl_Kalender[[#This Row],[Datum]])</f>
        <v>2026</v>
      </c>
      <c r="C822">
        <f>DAY(tbl_Kalender[[#This Row],[Datum]])</f>
        <v>31</v>
      </c>
      <c r="D822" t="str">
        <f>TEXT(tbl_Kalender[[#This Row],[Datum]],"TTTT")</f>
        <v>Dienstag</v>
      </c>
      <c r="E822">
        <f>WEEKDAY(tbl_Kalender[[#This Row],[Datum]],2)</f>
        <v>2</v>
      </c>
      <c r="F822">
        <f>MONTH(tbl_Kalender[[#This Row],[Datum]])</f>
        <v>3</v>
      </c>
      <c r="G822" t="str">
        <f>TEXT(tbl_Kalender[[#This Row],[Datum]],"MMMM")</f>
        <v>März</v>
      </c>
      <c r="H822">
        <f>ROUNDUP(tbl_Kalender[[#This Row],[Monat]]/3,0)</f>
        <v>1</v>
      </c>
      <c r="I822" t="str">
        <f>"Q "&amp;tbl_Kalender[[#This Row],[Quartal]]</f>
        <v>Q 1</v>
      </c>
      <c r="J822" t="str">
        <f>tbl_Kalender[[#This Row],[Quartal]]&amp;". Quartal"</f>
        <v>1. Quartal</v>
      </c>
      <c r="K822">
        <f>_xlfn.ISOWEEKNUM(tbl_Kalender[[#This Row],[Datum]])</f>
        <v>14</v>
      </c>
    </row>
    <row r="823" spans="1:11" x14ac:dyDescent="0.25">
      <c r="A823" s="1">
        <v>46113</v>
      </c>
      <c r="B823">
        <f>YEAR(tbl_Kalender[[#This Row],[Datum]])</f>
        <v>2026</v>
      </c>
      <c r="C823">
        <f>DAY(tbl_Kalender[[#This Row],[Datum]])</f>
        <v>1</v>
      </c>
      <c r="D823" t="str">
        <f>TEXT(tbl_Kalender[[#This Row],[Datum]],"TTTT")</f>
        <v>Mittwoch</v>
      </c>
      <c r="E823">
        <f>WEEKDAY(tbl_Kalender[[#This Row],[Datum]],2)</f>
        <v>3</v>
      </c>
      <c r="F823">
        <f>MONTH(tbl_Kalender[[#This Row],[Datum]])</f>
        <v>4</v>
      </c>
      <c r="G823" t="str">
        <f>TEXT(tbl_Kalender[[#This Row],[Datum]],"MMMM")</f>
        <v>April</v>
      </c>
      <c r="H823">
        <f>ROUNDUP(tbl_Kalender[[#This Row],[Monat]]/3,0)</f>
        <v>2</v>
      </c>
      <c r="I823" t="str">
        <f>"Q "&amp;tbl_Kalender[[#This Row],[Quartal]]</f>
        <v>Q 2</v>
      </c>
      <c r="J823" t="str">
        <f>tbl_Kalender[[#This Row],[Quartal]]&amp;". Quartal"</f>
        <v>2. Quartal</v>
      </c>
      <c r="K823">
        <f>_xlfn.ISOWEEKNUM(tbl_Kalender[[#This Row],[Datum]])</f>
        <v>14</v>
      </c>
    </row>
    <row r="824" spans="1:11" x14ac:dyDescent="0.25">
      <c r="A824" s="1">
        <v>46114</v>
      </c>
      <c r="B824">
        <f>YEAR(tbl_Kalender[[#This Row],[Datum]])</f>
        <v>2026</v>
      </c>
      <c r="C824">
        <f>DAY(tbl_Kalender[[#This Row],[Datum]])</f>
        <v>2</v>
      </c>
      <c r="D824" t="str">
        <f>TEXT(tbl_Kalender[[#This Row],[Datum]],"TTTT")</f>
        <v>Donnerstag</v>
      </c>
      <c r="E824">
        <f>WEEKDAY(tbl_Kalender[[#This Row],[Datum]],2)</f>
        <v>4</v>
      </c>
      <c r="F824">
        <f>MONTH(tbl_Kalender[[#This Row],[Datum]])</f>
        <v>4</v>
      </c>
      <c r="G824" t="str">
        <f>TEXT(tbl_Kalender[[#This Row],[Datum]],"MMMM")</f>
        <v>April</v>
      </c>
      <c r="H824">
        <f>ROUNDUP(tbl_Kalender[[#This Row],[Monat]]/3,0)</f>
        <v>2</v>
      </c>
      <c r="I824" t="str">
        <f>"Q "&amp;tbl_Kalender[[#This Row],[Quartal]]</f>
        <v>Q 2</v>
      </c>
      <c r="J824" t="str">
        <f>tbl_Kalender[[#This Row],[Quartal]]&amp;". Quartal"</f>
        <v>2. Quartal</v>
      </c>
      <c r="K824">
        <f>_xlfn.ISOWEEKNUM(tbl_Kalender[[#This Row],[Datum]])</f>
        <v>14</v>
      </c>
    </row>
    <row r="825" spans="1:11" x14ac:dyDescent="0.25">
      <c r="A825" s="1">
        <v>46115</v>
      </c>
      <c r="B825">
        <f>YEAR(tbl_Kalender[[#This Row],[Datum]])</f>
        <v>2026</v>
      </c>
      <c r="C825">
        <f>DAY(tbl_Kalender[[#This Row],[Datum]])</f>
        <v>3</v>
      </c>
      <c r="D825" t="str">
        <f>TEXT(tbl_Kalender[[#This Row],[Datum]],"TTTT")</f>
        <v>Freitag</v>
      </c>
      <c r="E825">
        <f>WEEKDAY(tbl_Kalender[[#This Row],[Datum]],2)</f>
        <v>5</v>
      </c>
      <c r="F825">
        <f>MONTH(tbl_Kalender[[#This Row],[Datum]])</f>
        <v>4</v>
      </c>
      <c r="G825" t="str">
        <f>TEXT(tbl_Kalender[[#This Row],[Datum]],"MMMM")</f>
        <v>April</v>
      </c>
      <c r="H825">
        <f>ROUNDUP(tbl_Kalender[[#This Row],[Monat]]/3,0)</f>
        <v>2</v>
      </c>
      <c r="I825" t="str">
        <f>"Q "&amp;tbl_Kalender[[#This Row],[Quartal]]</f>
        <v>Q 2</v>
      </c>
      <c r="J825" t="str">
        <f>tbl_Kalender[[#This Row],[Quartal]]&amp;". Quartal"</f>
        <v>2. Quartal</v>
      </c>
      <c r="K825">
        <f>_xlfn.ISOWEEKNUM(tbl_Kalender[[#This Row],[Datum]])</f>
        <v>14</v>
      </c>
    </row>
    <row r="826" spans="1:11" x14ac:dyDescent="0.25">
      <c r="A826" s="1">
        <v>46116</v>
      </c>
      <c r="B826">
        <f>YEAR(tbl_Kalender[[#This Row],[Datum]])</f>
        <v>2026</v>
      </c>
      <c r="C826">
        <f>DAY(tbl_Kalender[[#This Row],[Datum]])</f>
        <v>4</v>
      </c>
      <c r="D826" t="str">
        <f>TEXT(tbl_Kalender[[#This Row],[Datum]],"TTTT")</f>
        <v>Samstag</v>
      </c>
      <c r="E826">
        <f>WEEKDAY(tbl_Kalender[[#This Row],[Datum]],2)</f>
        <v>6</v>
      </c>
      <c r="F826">
        <f>MONTH(tbl_Kalender[[#This Row],[Datum]])</f>
        <v>4</v>
      </c>
      <c r="G826" t="str">
        <f>TEXT(tbl_Kalender[[#This Row],[Datum]],"MMMM")</f>
        <v>April</v>
      </c>
      <c r="H826">
        <f>ROUNDUP(tbl_Kalender[[#This Row],[Monat]]/3,0)</f>
        <v>2</v>
      </c>
      <c r="I826" t="str">
        <f>"Q "&amp;tbl_Kalender[[#This Row],[Quartal]]</f>
        <v>Q 2</v>
      </c>
      <c r="J826" t="str">
        <f>tbl_Kalender[[#This Row],[Quartal]]&amp;". Quartal"</f>
        <v>2. Quartal</v>
      </c>
      <c r="K826">
        <f>_xlfn.ISOWEEKNUM(tbl_Kalender[[#This Row],[Datum]])</f>
        <v>14</v>
      </c>
    </row>
    <row r="827" spans="1:11" x14ac:dyDescent="0.25">
      <c r="A827" s="1">
        <v>46117</v>
      </c>
      <c r="B827">
        <f>YEAR(tbl_Kalender[[#This Row],[Datum]])</f>
        <v>2026</v>
      </c>
      <c r="C827">
        <f>DAY(tbl_Kalender[[#This Row],[Datum]])</f>
        <v>5</v>
      </c>
      <c r="D827" t="str">
        <f>TEXT(tbl_Kalender[[#This Row],[Datum]],"TTTT")</f>
        <v>Sonntag</v>
      </c>
      <c r="E827">
        <f>WEEKDAY(tbl_Kalender[[#This Row],[Datum]],2)</f>
        <v>7</v>
      </c>
      <c r="F827">
        <f>MONTH(tbl_Kalender[[#This Row],[Datum]])</f>
        <v>4</v>
      </c>
      <c r="G827" t="str">
        <f>TEXT(tbl_Kalender[[#This Row],[Datum]],"MMMM")</f>
        <v>April</v>
      </c>
      <c r="H827">
        <f>ROUNDUP(tbl_Kalender[[#This Row],[Monat]]/3,0)</f>
        <v>2</v>
      </c>
      <c r="I827" t="str">
        <f>"Q "&amp;tbl_Kalender[[#This Row],[Quartal]]</f>
        <v>Q 2</v>
      </c>
      <c r="J827" t="str">
        <f>tbl_Kalender[[#This Row],[Quartal]]&amp;". Quartal"</f>
        <v>2. Quartal</v>
      </c>
      <c r="K827">
        <f>_xlfn.ISOWEEKNUM(tbl_Kalender[[#This Row],[Datum]])</f>
        <v>14</v>
      </c>
    </row>
    <row r="828" spans="1:11" x14ac:dyDescent="0.25">
      <c r="A828" s="1">
        <v>46118</v>
      </c>
      <c r="B828">
        <f>YEAR(tbl_Kalender[[#This Row],[Datum]])</f>
        <v>2026</v>
      </c>
      <c r="C828">
        <f>DAY(tbl_Kalender[[#This Row],[Datum]])</f>
        <v>6</v>
      </c>
      <c r="D828" t="str">
        <f>TEXT(tbl_Kalender[[#This Row],[Datum]],"TTTT")</f>
        <v>Montag</v>
      </c>
      <c r="E828">
        <f>WEEKDAY(tbl_Kalender[[#This Row],[Datum]],2)</f>
        <v>1</v>
      </c>
      <c r="F828">
        <f>MONTH(tbl_Kalender[[#This Row],[Datum]])</f>
        <v>4</v>
      </c>
      <c r="G828" t="str">
        <f>TEXT(tbl_Kalender[[#This Row],[Datum]],"MMMM")</f>
        <v>April</v>
      </c>
      <c r="H828">
        <f>ROUNDUP(tbl_Kalender[[#This Row],[Monat]]/3,0)</f>
        <v>2</v>
      </c>
      <c r="I828" t="str">
        <f>"Q "&amp;tbl_Kalender[[#This Row],[Quartal]]</f>
        <v>Q 2</v>
      </c>
      <c r="J828" t="str">
        <f>tbl_Kalender[[#This Row],[Quartal]]&amp;". Quartal"</f>
        <v>2. Quartal</v>
      </c>
      <c r="K828">
        <f>_xlfn.ISOWEEKNUM(tbl_Kalender[[#This Row],[Datum]])</f>
        <v>15</v>
      </c>
    </row>
    <row r="829" spans="1:11" x14ac:dyDescent="0.25">
      <c r="A829" s="1">
        <v>46119</v>
      </c>
      <c r="B829">
        <f>YEAR(tbl_Kalender[[#This Row],[Datum]])</f>
        <v>2026</v>
      </c>
      <c r="C829">
        <f>DAY(tbl_Kalender[[#This Row],[Datum]])</f>
        <v>7</v>
      </c>
      <c r="D829" t="str">
        <f>TEXT(tbl_Kalender[[#This Row],[Datum]],"TTTT")</f>
        <v>Dienstag</v>
      </c>
      <c r="E829">
        <f>WEEKDAY(tbl_Kalender[[#This Row],[Datum]],2)</f>
        <v>2</v>
      </c>
      <c r="F829">
        <f>MONTH(tbl_Kalender[[#This Row],[Datum]])</f>
        <v>4</v>
      </c>
      <c r="G829" t="str">
        <f>TEXT(tbl_Kalender[[#This Row],[Datum]],"MMMM")</f>
        <v>April</v>
      </c>
      <c r="H829">
        <f>ROUNDUP(tbl_Kalender[[#This Row],[Monat]]/3,0)</f>
        <v>2</v>
      </c>
      <c r="I829" t="str">
        <f>"Q "&amp;tbl_Kalender[[#This Row],[Quartal]]</f>
        <v>Q 2</v>
      </c>
      <c r="J829" t="str">
        <f>tbl_Kalender[[#This Row],[Quartal]]&amp;". Quartal"</f>
        <v>2. Quartal</v>
      </c>
      <c r="K829">
        <f>_xlfn.ISOWEEKNUM(tbl_Kalender[[#This Row],[Datum]])</f>
        <v>15</v>
      </c>
    </row>
    <row r="830" spans="1:11" x14ac:dyDescent="0.25">
      <c r="A830" s="1">
        <v>46120</v>
      </c>
      <c r="B830">
        <f>YEAR(tbl_Kalender[[#This Row],[Datum]])</f>
        <v>2026</v>
      </c>
      <c r="C830">
        <f>DAY(tbl_Kalender[[#This Row],[Datum]])</f>
        <v>8</v>
      </c>
      <c r="D830" t="str">
        <f>TEXT(tbl_Kalender[[#This Row],[Datum]],"TTTT")</f>
        <v>Mittwoch</v>
      </c>
      <c r="E830">
        <f>WEEKDAY(tbl_Kalender[[#This Row],[Datum]],2)</f>
        <v>3</v>
      </c>
      <c r="F830">
        <f>MONTH(tbl_Kalender[[#This Row],[Datum]])</f>
        <v>4</v>
      </c>
      <c r="G830" t="str">
        <f>TEXT(tbl_Kalender[[#This Row],[Datum]],"MMMM")</f>
        <v>April</v>
      </c>
      <c r="H830">
        <f>ROUNDUP(tbl_Kalender[[#This Row],[Monat]]/3,0)</f>
        <v>2</v>
      </c>
      <c r="I830" t="str">
        <f>"Q "&amp;tbl_Kalender[[#This Row],[Quartal]]</f>
        <v>Q 2</v>
      </c>
      <c r="J830" t="str">
        <f>tbl_Kalender[[#This Row],[Quartal]]&amp;". Quartal"</f>
        <v>2. Quartal</v>
      </c>
      <c r="K830">
        <f>_xlfn.ISOWEEKNUM(tbl_Kalender[[#This Row],[Datum]])</f>
        <v>15</v>
      </c>
    </row>
    <row r="831" spans="1:11" x14ac:dyDescent="0.25">
      <c r="A831" s="1">
        <v>46121</v>
      </c>
      <c r="B831">
        <f>YEAR(tbl_Kalender[[#This Row],[Datum]])</f>
        <v>2026</v>
      </c>
      <c r="C831">
        <f>DAY(tbl_Kalender[[#This Row],[Datum]])</f>
        <v>9</v>
      </c>
      <c r="D831" t="str">
        <f>TEXT(tbl_Kalender[[#This Row],[Datum]],"TTTT")</f>
        <v>Donnerstag</v>
      </c>
      <c r="E831">
        <f>WEEKDAY(tbl_Kalender[[#This Row],[Datum]],2)</f>
        <v>4</v>
      </c>
      <c r="F831">
        <f>MONTH(tbl_Kalender[[#This Row],[Datum]])</f>
        <v>4</v>
      </c>
      <c r="G831" t="str">
        <f>TEXT(tbl_Kalender[[#This Row],[Datum]],"MMMM")</f>
        <v>April</v>
      </c>
      <c r="H831">
        <f>ROUNDUP(tbl_Kalender[[#This Row],[Monat]]/3,0)</f>
        <v>2</v>
      </c>
      <c r="I831" t="str">
        <f>"Q "&amp;tbl_Kalender[[#This Row],[Quartal]]</f>
        <v>Q 2</v>
      </c>
      <c r="J831" t="str">
        <f>tbl_Kalender[[#This Row],[Quartal]]&amp;". Quartal"</f>
        <v>2. Quartal</v>
      </c>
      <c r="K831">
        <f>_xlfn.ISOWEEKNUM(tbl_Kalender[[#This Row],[Datum]])</f>
        <v>15</v>
      </c>
    </row>
    <row r="832" spans="1:11" x14ac:dyDescent="0.25">
      <c r="A832" s="1">
        <v>46122</v>
      </c>
      <c r="B832">
        <f>YEAR(tbl_Kalender[[#This Row],[Datum]])</f>
        <v>2026</v>
      </c>
      <c r="C832">
        <f>DAY(tbl_Kalender[[#This Row],[Datum]])</f>
        <v>10</v>
      </c>
      <c r="D832" t="str">
        <f>TEXT(tbl_Kalender[[#This Row],[Datum]],"TTTT")</f>
        <v>Freitag</v>
      </c>
      <c r="E832">
        <f>WEEKDAY(tbl_Kalender[[#This Row],[Datum]],2)</f>
        <v>5</v>
      </c>
      <c r="F832">
        <f>MONTH(tbl_Kalender[[#This Row],[Datum]])</f>
        <v>4</v>
      </c>
      <c r="G832" t="str">
        <f>TEXT(tbl_Kalender[[#This Row],[Datum]],"MMMM")</f>
        <v>April</v>
      </c>
      <c r="H832">
        <f>ROUNDUP(tbl_Kalender[[#This Row],[Monat]]/3,0)</f>
        <v>2</v>
      </c>
      <c r="I832" t="str">
        <f>"Q "&amp;tbl_Kalender[[#This Row],[Quartal]]</f>
        <v>Q 2</v>
      </c>
      <c r="J832" t="str">
        <f>tbl_Kalender[[#This Row],[Quartal]]&amp;". Quartal"</f>
        <v>2. Quartal</v>
      </c>
      <c r="K832">
        <f>_xlfn.ISOWEEKNUM(tbl_Kalender[[#This Row],[Datum]])</f>
        <v>15</v>
      </c>
    </row>
    <row r="833" spans="1:11" x14ac:dyDescent="0.25">
      <c r="A833" s="1">
        <v>46123</v>
      </c>
      <c r="B833">
        <f>YEAR(tbl_Kalender[[#This Row],[Datum]])</f>
        <v>2026</v>
      </c>
      <c r="C833">
        <f>DAY(tbl_Kalender[[#This Row],[Datum]])</f>
        <v>11</v>
      </c>
      <c r="D833" t="str">
        <f>TEXT(tbl_Kalender[[#This Row],[Datum]],"TTTT")</f>
        <v>Samstag</v>
      </c>
      <c r="E833">
        <f>WEEKDAY(tbl_Kalender[[#This Row],[Datum]],2)</f>
        <v>6</v>
      </c>
      <c r="F833">
        <f>MONTH(tbl_Kalender[[#This Row],[Datum]])</f>
        <v>4</v>
      </c>
      <c r="G833" t="str">
        <f>TEXT(tbl_Kalender[[#This Row],[Datum]],"MMMM")</f>
        <v>April</v>
      </c>
      <c r="H833">
        <f>ROUNDUP(tbl_Kalender[[#This Row],[Monat]]/3,0)</f>
        <v>2</v>
      </c>
      <c r="I833" t="str">
        <f>"Q "&amp;tbl_Kalender[[#This Row],[Quartal]]</f>
        <v>Q 2</v>
      </c>
      <c r="J833" t="str">
        <f>tbl_Kalender[[#This Row],[Quartal]]&amp;". Quartal"</f>
        <v>2. Quartal</v>
      </c>
      <c r="K833">
        <f>_xlfn.ISOWEEKNUM(tbl_Kalender[[#This Row],[Datum]])</f>
        <v>15</v>
      </c>
    </row>
    <row r="834" spans="1:11" x14ac:dyDescent="0.25">
      <c r="A834" s="1">
        <v>46124</v>
      </c>
      <c r="B834">
        <f>YEAR(tbl_Kalender[[#This Row],[Datum]])</f>
        <v>2026</v>
      </c>
      <c r="C834">
        <f>DAY(tbl_Kalender[[#This Row],[Datum]])</f>
        <v>12</v>
      </c>
      <c r="D834" t="str">
        <f>TEXT(tbl_Kalender[[#This Row],[Datum]],"TTTT")</f>
        <v>Sonntag</v>
      </c>
      <c r="E834">
        <f>WEEKDAY(tbl_Kalender[[#This Row],[Datum]],2)</f>
        <v>7</v>
      </c>
      <c r="F834">
        <f>MONTH(tbl_Kalender[[#This Row],[Datum]])</f>
        <v>4</v>
      </c>
      <c r="G834" t="str">
        <f>TEXT(tbl_Kalender[[#This Row],[Datum]],"MMMM")</f>
        <v>April</v>
      </c>
      <c r="H834">
        <f>ROUNDUP(tbl_Kalender[[#This Row],[Monat]]/3,0)</f>
        <v>2</v>
      </c>
      <c r="I834" t="str">
        <f>"Q "&amp;tbl_Kalender[[#This Row],[Quartal]]</f>
        <v>Q 2</v>
      </c>
      <c r="J834" t="str">
        <f>tbl_Kalender[[#This Row],[Quartal]]&amp;". Quartal"</f>
        <v>2. Quartal</v>
      </c>
      <c r="K834">
        <f>_xlfn.ISOWEEKNUM(tbl_Kalender[[#This Row],[Datum]])</f>
        <v>15</v>
      </c>
    </row>
    <row r="835" spans="1:11" x14ac:dyDescent="0.25">
      <c r="A835" s="1">
        <v>46125</v>
      </c>
      <c r="B835">
        <f>YEAR(tbl_Kalender[[#This Row],[Datum]])</f>
        <v>2026</v>
      </c>
      <c r="C835">
        <f>DAY(tbl_Kalender[[#This Row],[Datum]])</f>
        <v>13</v>
      </c>
      <c r="D835" t="str">
        <f>TEXT(tbl_Kalender[[#This Row],[Datum]],"TTTT")</f>
        <v>Montag</v>
      </c>
      <c r="E835">
        <f>WEEKDAY(tbl_Kalender[[#This Row],[Datum]],2)</f>
        <v>1</v>
      </c>
      <c r="F835">
        <f>MONTH(tbl_Kalender[[#This Row],[Datum]])</f>
        <v>4</v>
      </c>
      <c r="G835" t="str">
        <f>TEXT(tbl_Kalender[[#This Row],[Datum]],"MMMM")</f>
        <v>April</v>
      </c>
      <c r="H835">
        <f>ROUNDUP(tbl_Kalender[[#This Row],[Monat]]/3,0)</f>
        <v>2</v>
      </c>
      <c r="I835" t="str">
        <f>"Q "&amp;tbl_Kalender[[#This Row],[Quartal]]</f>
        <v>Q 2</v>
      </c>
      <c r="J835" t="str">
        <f>tbl_Kalender[[#This Row],[Quartal]]&amp;". Quartal"</f>
        <v>2. Quartal</v>
      </c>
      <c r="K835">
        <f>_xlfn.ISOWEEKNUM(tbl_Kalender[[#This Row],[Datum]])</f>
        <v>16</v>
      </c>
    </row>
    <row r="836" spans="1:11" x14ac:dyDescent="0.25">
      <c r="A836" s="1">
        <v>46126</v>
      </c>
      <c r="B836">
        <f>YEAR(tbl_Kalender[[#This Row],[Datum]])</f>
        <v>2026</v>
      </c>
      <c r="C836">
        <f>DAY(tbl_Kalender[[#This Row],[Datum]])</f>
        <v>14</v>
      </c>
      <c r="D836" t="str">
        <f>TEXT(tbl_Kalender[[#This Row],[Datum]],"TTTT")</f>
        <v>Dienstag</v>
      </c>
      <c r="E836">
        <f>WEEKDAY(tbl_Kalender[[#This Row],[Datum]],2)</f>
        <v>2</v>
      </c>
      <c r="F836">
        <f>MONTH(tbl_Kalender[[#This Row],[Datum]])</f>
        <v>4</v>
      </c>
      <c r="G836" t="str">
        <f>TEXT(tbl_Kalender[[#This Row],[Datum]],"MMMM")</f>
        <v>April</v>
      </c>
      <c r="H836">
        <f>ROUNDUP(tbl_Kalender[[#This Row],[Monat]]/3,0)</f>
        <v>2</v>
      </c>
      <c r="I836" t="str">
        <f>"Q "&amp;tbl_Kalender[[#This Row],[Quartal]]</f>
        <v>Q 2</v>
      </c>
      <c r="J836" t="str">
        <f>tbl_Kalender[[#This Row],[Quartal]]&amp;". Quartal"</f>
        <v>2. Quartal</v>
      </c>
      <c r="K836">
        <f>_xlfn.ISOWEEKNUM(tbl_Kalender[[#This Row],[Datum]])</f>
        <v>16</v>
      </c>
    </row>
    <row r="837" spans="1:11" x14ac:dyDescent="0.25">
      <c r="A837" s="1">
        <v>46127</v>
      </c>
      <c r="B837">
        <f>YEAR(tbl_Kalender[[#This Row],[Datum]])</f>
        <v>2026</v>
      </c>
      <c r="C837">
        <f>DAY(tbl_Kalender[[#This Row],[Datum]])</f>
        <v>15</v>
      </c>
      <c r="D837" t="str">
        <f>TEXT(tbl_Kalender[[#This Row],[Datum]],"TTTT")</f>
        <v>Mittwoch</v>
      </c>
      <c r="E837">
        <f>WEEKDAY(tbl_Kalender[[#This Row],[Datum]],2)</f>
        <v>3</v>
      </c>
      <c r="F837">
        <f>MONTH(tbl_Kalender[[#This Row],[Datum]])</f>
        <v>4</v>
      </c>
      <c r="G837" t="str">
        <f>TEXT(tbl_Kalender[[#This Row],[Datum]],"MMMM")</f>
        <v>April</v>
      </c>
      <c r="H837">
        <f>ROUNDUP(tbl_Kalender[[#This Row],[Monat]]/3,0)</f>
        <v>2</v>
      </c>
      <c r="I837" t="str">
        <f>"Q "&amp;tbl_Kalender[[#This Row],[Quartal]]</f>
        <v>Q 2</v>
      </c>
      <c r="J837" t="str">
        <f>tbl_Kalender[[#This Row],[Quartal]]&amp;". Quartal"</f>
        <v>2. Quartal</v>
      </c>
      <c r="K837">
        <f>_xlfn.ISOWEEKNUM(tbl_Kalender[[#This Row],[Datum]])</f>
        <v>16</v>
      </c>
    </row>
    <row r="838" spans="1:11" x14ac:dyDescent="0.25">
      <c r="A838" s="1">
        <v>46128</v>
      </c>
      <c r="B838">
        <f>YEAR(tbl_Kalender[[#This Row],[Datum]])</f>
        <v>2026</v>
      </c>
      <c r="C838">
        <f>DAY(tbl_Kalender[[#This Row],[Datum]])</f>
        <v>16</v>
      </c>
      <c r="D838" t="str">
        <f>TEXT(tbl_Kalender[[#This Row],[Datum]],"TTTT")</f>
        <v>Donnerstag</v>
      </c>
      <c r="E838">
        <f>WEEKDAY(tbl_Kalender[[#This Row],[Datum]],2)</f>
        <v>4</v>
      </c>
      <c r="F838">
        <f>MONTH(tbl_Kalender[[#This Row],[Datum]])</f>
        <v>4</v>
      </c>
      <c r="G838" t="str">
        <f>TEXT(tbl_Kalender[[#This Row],[Datum]],"MMMM")</f>
        <v>April</v>
      </c>
      <c r="H838">
        <f>ROUNDUP(tbl_Kalender[[#This Row],[Monat]]/3,0)</f>
        <v>2</v>
      </c>
      <c r="I838" t="str">
        <f>"Q "&amp;tbl_Kalender[[#This Row],[Quartal]]</f>
        <v>Q 2</v>
      </c>
      <c r="J838" t="str">
        <f>tbl_Kalender[[#This Row],[Quartal]]&amp;". Quartal"</f>
        <v>2. Quartal</v>
      </c>
      <c r="K838">
        <f>_xlfn.ISOWEEKNUM(tbl_Kalender[[#This Row],[Datum]])</f>
        <v>16</v>
      </c>
    </row>
    <row r="839" spans="1:11" x14ac:dyDescent="0.25">
      <c r="A839" s="1">
        <v>46129</v>
      </c>
      <c r="B839">
        <f>YEAR(tbl_Kalender[[#This Row],[Datum]])</f>
        <v>2026</v>
      </c>
      <c r="C839">
        <f>DAY(tbl_Kalender[[#This Row],[Datum]])</f>
        <v>17</v>
      </c>
      <c r="D839" t="str">
        <f>TEXT(tbl_Kalender[[#This Row],[Datum]],"TTTT")</f>
        <v>Freitag</v>
      </c>
      <c r="E839">
        <f>WEEKDAY(tbl_Kalender[[#This Row],[Datum]],2)</f>
        <v>5</v>
      </c>
      <c r="F839">
        <f>MONTH(tbl_Kalender[[#This Row],[Datum]])</f>
        <v>4</v>
      </c>
      <c r="G839" t="str">
        <f>TEXT(tbl_Kalender[[#This Row],[Datum]],"MMMM")</f>
        <v>April</v>
      </c>
      <c r="H839">
        <f>ROUNDUP(tbl_Kalender[[#This Row],[Monat]]/3,0)</f>
        <v>2</v>
      </c>
      <c r="I839" t="str">
        <f>"Q "&amp;tbl_Kalender[[#This Row],[Quartal]]</f>
        <v>Q 2</v>
      </c>
      <c r="J839" t="str">
        <f>tbl_Kalender[[#This Row],[Quartal]]&amp;". Quartal"</f>
        <v>2. Quartal</v>
      </c>
      <c r="K839">
        <f>_xlfn.ISOWEEKNUM(tbl_Kalender[[#This Row],[Datum]])</f>
        <v>16</v>
      </c>
    </row>
    <row r="840" spans="1:11" x14ac:dyDescent="0.25">
      <c r="A840" s="1">
        <v>46130</v>
      </c>
      <c r="B840">
        <f>YEAR(tbl_Kalender[[#This Row],[Datum]])</f>
        <v>2026</v>
      </c>
      <c r="C840">
        <f>DAY(tbl_Kalender[[#This Row],[Datum]])</f>
        <v>18</v>
      </c>
      <c r="D840" t="str">
        <f>TEXT(tbl_Kalender[[#This Row],[Datum]],"TTTT")</f>
        <v>Samstag</v>
      </c>
      <c r="E840">
        <f>WEEKDAY(tbl_Kalender[[#This Row],[Datum]],2)</f>
        <v>6</v>
      </c>
      <c r="F840">
        <f>MONTH(tbl_Kalender[[#This Row],[Datum]])</f>
        <v>4</v>
      </c>
      <c r="G840" t="str">
        <f>TEXT(tbl_Kalender[[#This Row],[Datum]],"MMMM")</f>
        <v>April</v>
      </c>
      <c r="H840">
        <f>ROUNDUP(tbl_Kalender[[#This Row],[Monat]]/3,0)</f>
        <v>2</v>
      </c>
      <c r="I840" t="str">
        <f>"Q "&amp;tbl_Kalender[[#This Row],[Quartal]]</f>
        <v>Q 2</v>
      </c>
      <c r="J840" t="str">
        <f>tbl_Kalender[[#This Row],[Quartal]]&amp;". Quartal"</f>
        <v>2. Quartal</v>
      </c>
      <c r="K840">
        <f>_xlfn.ISOWEEKNUM(tbl_Kalender[[#This Row],[Datum]])</f>
        <v>16</v>
      </c>
    </row>
    <row r="841" spans="1:11" x14ac:dyDescent="0.25">
      <c r="A841" s="1">
        <v>46131</v>
      </c>
      <c r="B841">
        <f>YEAR(tbl_Kalender[[#This Row],[Datum]])</f>
        <v>2026</v>
      </c>
      <c r="C841">
        <f>DAY(tbl_Kalender[[#This Row],[Datum]])</f>
        <v>19</v>
      </c>
      <c r="D841" t="str">
        <f>TEXT(tbl_Kalender[[#This Row],[Datum]],"TTTT")</f>
        <v>Sonntag</v>
      </c>
      <c r="E841">
        <f>WEEKDAY(tbl_Kalender[[#This Row],[Datum]],2)</f>
        <v>7</v>
      </c>
      <c r="F841">
        <f>MONTH(tbl_Kalender[[#This Row],[Datum]])</f>
        <v>4</v>
      </c>
      <c r="G841" t="str">
        <f>TEXT(tbl_Kalender[[#This Row],[Datum]],"MMMM")</f>
        <v>April</v>
      </c>
      <c r="H841">
        <f>ROUNDUP(tbl_Kalender[[#This Row],[Monat]]/3,0)</f>
        <v>2</v>
      </c>
      <c r="I841" t="str">
        <f>"Q "&amp;tbl_Kalender[[#This Row],[Quartal]]</f>
        <v>Q 2</v>
      </c>
      <c r="J841" t="str">
        <f>tbl_Kalender[[#This Row],[Quartal]]&amp;". Quartal"</f>
        <v>2. Quartal</v>
      </c>
      <c r="K841">
        <f>_xlfn.ISOWEEKNUM(tbl_Kalender[[#This Row],[Datum]])</f>
        <v>16</v>
      </c>
    </row>
    <row r="842" spans="1:11" x14ac:dyDescent="0.25">
      <c r="A842" s="1">
        <v>46132</v>
      </c>
      <c r="B842">
        <f>YEAR(tbl_Kalender[[#This Row],[Datum]])</f>
        <v>2026</v>
      </c>
      <c r="C842">
        <f>DAY(tbl_Kalender[[#This Row],[Datum]])</f>
        <v>20</v>
      </c>
      <c r="D842" t="str">
        <f>TEXT(tbl_Kalender[[#This Row],[Datum]],"TTTT")</f>
        <v>Montag</v>
      </c>
      <c r="E842">
        <f>WEEKDAY(tbl_Kalender[[#This Row],[Datum]],2)</f>
        <v>1</v>
      </c>
      <c r="F842">
        <f>MONTH(tbl_Kalender[[#This Row],[Datum]])</f>
        <v>4</v>
      </c>
      <c r="G842" t="str">
        <f>TEXT(tbl_Kalender[[#This Row],[Datum]],"MMMM")</f>
        <v>April</v>
      </c>
      <c r="H842">
        <f>ROUNDUP(tbl_Kalender[[#This Row],[Monat]]/3,0)</f>
        <v>2</v>
      </c>
      <c r="I842" t="str">
        <f>"Q "&amp;tbl_Kalender[[#This Row],[Quartal]]</f>
        <v>Q 2</v>
      </c>
      <c r="J842" t="str">
        <f>tbl_Kalender[[#This Row],[Quartal]]&amp;". Quartal"</f>
        <v>2. Quartal</v>
      </c>
      <c r="K842">
        <f>_xlfn.ISOWEEKNUM(tbl_Kalender[[#This Row],[Datum]])</f>
        <v>17</v>
      </c>
    </row>
    <row r="843" spans="1:11" x14ac:dyDescent="0.25">
      <c r="A843" s="1">
        <v>46133</v>
      </c>
      <c r="B843">
        <f>YEAR(tbl_Kalender[[#This Row],[Datum]])</f>
        <v>2026</v>
      </c>
      <c r="C843">
        <f>DAY(tbl_Kalender[[#This Row],[Datum]])</f>
        <v>21</v>
      </c>
      <c r="D843" t="str">
        <f>TEXT(tbl_Kalender[[#This Row],[Datum]],"TTTT")</f>
        <v>Dienstag</v>
      </c>
      <c r="E843">
        <f>WEEKDAY(tbl_Kalender[[#This Row],[Datum]],2)</f>
        <v>2</v>
      </c>
      <c r="F843">
        <f>MONTH(tbl_Kalender[[#This Row],[Datum]])</f>
        <v>4</v>
      </c>
      <c r="G843" t="str">
        <f>TEXT(tbl_Kalender[[#This Row],[Datum]],"MMMM")</f>
        <v>April</v>
      </c>
      <c r="H843">
        <f>ROUNDUP(tbl_Kalender[[#This Row],[Monat]]/3,0)</f>
        <v>2</v>
      </c>
      <c r="I843" t="str">
        <f>"Q "&amp;tbl_Kalender[[#This Row],[Quartal]]</f>
        <v>Q 2</v>
      </c>
      <c r="J843" t="str">
        <f>tbl_Kalender[[#This Row],[Quartal]]&amp;". Quartal"</f>
        <v>2. Quartal</v>
      </c>
      <c r="K843">
        <f>_xlfn.ISOWEEKNUM(tbl_Kalender[[#This Row],[Datum]])</f>
        <v>17</v>
      </c>
    </row>
    <row r="844" spans="1:11" x14ac:dyDescent="0.25">
      <c r="A844" s="1">
        <v>46134</v>
      </c>
      <c r="B844">
        <f>YEAR(tbl_Kalender[[#This Row],[Datum]])</f>
        <v>2026</v>
      </c>
      <c r="C844">
        <f>DAY(tbl_Kalender[[#This Row],[Datum]])</f>
        <v>22</v>
      </c>
      <c r="D844" t="str">
        <f>TEXT(tbl_Kalender[[#This Row],[Datum]],"TTTT")</f>
        <v>Mittwoch</v>
      </c>
      <c r="E844">
        <f>WEEKDAY(tbl_Kalender[[#This Row],[Datum]],2)</f>
        <v>3</v>
      </c>
      <c r="F844">
        <f>MONTH(tbl_Kalender[[#This Row],[Datum]])</f>
        <v>4</v>
      </c>
      <c r="G844" t="str">
        <f>TEXT(tbl_Kalender[[#This Row],[Datum]],"MMMM")</f>
        <v>April</v>
      </c>
      <c r="H844">
        <f>ROUNDUP(tbl_Kalender[[#This Row],[Monat]]/3,0)</f>
        <v>2</v>
      </c>
      <c r="I844" t="str">
        <f>"Q "&amp;tbl_Kalender[[#This Row],[Quartal]]</f>
        <v>Q 2</v>
      </c>
      <c r="J844" t="str">
        <f>tbl_Kalender[[#This Row],[Quartal]]&amp;". Quartal"</f>
        <v>2. Quartal</v>
      </c>
      <c r="K844">
        <f>_xlfn.ISOWEEKNUM(tbl_Kalender[[#This Row],[Datum]])</f>
        <v>17</v>
      </c>
    </row>
    <row r="845" spans="1:11" x14ac:dyDescent="0.25">
      <c r="A845" s="1">
        <v>46135</v>
      </c>
      <c r="B845">
        <f>YEAR(tbl_Kalender[[#This Row],[Datum]])</f>
        <v>2026</v>
      </c>
      <c r="C845">
        <f>DAY(tbl_Kalender[[#This Row],[Datum]])</f>
        <v>23</v>
      </c>
      <c r="D845" t="str">
        <f>TEXT(tbl_Kalender[[#This Row],[Datum]],"TTTT")</f>
        <v>Donnerstag</v>
      </c>
      <c r="E845">
        <f>WEEKDAY(tbl_Kalender[[#This Row],[Datum]],2)</f>
        <v>4</v>
      </c>
      <c r="F845">
        <f>MONTH(tbl_Kalender[[#This Row],[Datum]])</f>
        <v>4</v>
      </c>
      <c r="G845" t="str">
        <f>TEXT(tbl_Kalender[[#This Row],[Datum]],"MMMM")</f>
        <v>April</v>
      </c>
      <c r="H845">
        <f>ROUNDUP(tbl_Kalender[[#This Row],[Monat]]/3,0)</f>
        <v>2</v>
      </c>
      <c r="I845" t="str">
        <f>"Q "&amp;tbl_Kalender[[#This Row],[Quartal]]</f>
        <v>Q 2</v>
      </c>
      <c r="J845" t="str">
        <f>tbl_Kalender[[#This Row],[Quartal]]&amp;". Quartal"</f>
        <v>2. Quartal</v>
      </c>
      <c r="K845">
        <f>_xlfn.ISOWEEKNUM(tbl_Kalender[[#This Row],[Datum]])</f>
        <v>17</v>
      </c>
    </row>
    <row r="846" spans="1:11" x14ac:dyDescent="0.25">
      <c r="A846" s="1">
        <v>46136</v>
      </c>
      <c r="B846">
        <f>YEAR(tbl_Kalender[[#This Row],[Datum]])</f>
        <v>2026</v>
      </c>
      <c r="C846">
        <f>DAY(tbl_Kalender[[#This Row],[Datum]])</f>
        <v>24</v>
      </c>
      <c r="D846" t="str">
        <f>TEXT(tbl_Kalender[[#This Row],[Datum]],"TTTT")</f>
        <v>Freitag</v>
      </c>
      <c r="E846">
        <f>WEEKDAY(tbl_Kalender[[#This Row],[Datum]],2)</f>
        <v>5</v>
      </c>
      <c r="F846">
        <f>MONTH(tbl_Kalender[[#This Row],[Datum]])</f>
        <v>4</v>
      </c>
      <c r="G846" t="str">
        <f>TEXT(tbl_Kalender[[#This Row],[Datum]],"MMMM")</f>
        <v>April</v>
      </c>
      <c r="H846">
        <f>ROUNDUP(tbl_Kalender[[#This Row],[Monat]]/3,0)</f>
        <v>2</v>
      </c>
      <c r="I846" t="str">
        <f>"Q "&amp;tbl_Kalender[[#This Row],[Quartal]]</f>
        <v>Q 2</v>
      </c>
      <c r="J846" t="str">
        <f>tbl_Kalender[[#This Row],[Quartal]]&amp;". Quartal"</f>
        <v>2. Quartal</v>
      </c>
      <c r="K846">
        <f>_xlfn.ISOWEEKNUM(tbl_Kalender[[#This Row],[Datum]])</f>
        <v>17</v>
      </c>
    </row>
    <row r="847" spans="1:11" x14ac:dyDescent="0.25">
      <c r="A847" s="1">
        <v>46137</v>
      </c>
      <c r="B847">
        <f>YEAR(tbl_Kalender[[#This Row],[Datum]])</f>
        <v>2026</v>
      </c>
      <c r="C847">
        <f>DAY(tbl_Kalender[[#This Row],[Datum]])</f>
        <v>25</v>
      </c>
      <c r="D847" t="str">
        <f>TEXT(tbl_Kalender[[#This Row],[Datum]],"TTTT")</f>
        <v>Samstag</v>
      </c>
      <c r="E847">
        <f>WEEKDAY(tbl_Kalender[[#This Row],[Datum]],2)</f>
        <v>6</v>
      </c>
      <c r="F847">
        <f>MONTH(tbl_Kalender[[#This Row],[Datum]])</f>
        <v>4</v>
      </c>
      <c r="G847" t="str">
        <f>TEXT(tbl_Kalender[[#This Row],[Datum]],"MMMM")</f>
        <v>April</v>
      </c>
      <c r="H847">
        <f>ROUNDUP(tbl_Kalender[[#This Row],[Monat]]/3,0)</f>
        <v>2</v>
      </c>
      <c r="I847" t="str">
        <f>"Q "&amp;tbl_Kalender[[#This Row],[Quartal]]</f>
        <v>Q 2</v>
      </c>
      <c r="J847" t="str">
        <f>tbl_Kalender[[#This Row],[Quartal]]&amp;". Quartal"</f>
        <v>2. Quartal</v>
      </c>
      <c r="K847">
        <f>_xlfn.ISOWEEKNUM(tbl_Kalender[[#This Row],[Datum]])</f>
        <v>17</v>
      </c>
    </row>
    <row r="848" spans="1:11" x14ac:dyDescent="0.25">
      <c r="A848" s="1">
        <v>46138</v>
      </c>
      <c r="B848">
        <f>YEAR(tbl_Kalender[[#This Row],[Datum]])</f>
        <v>2026</v>
      </c>
      <c r="C848">
        <f>DAY(tbl_Kalender[[#This Row],[Datum]])</f>
        <v>26</v>
      </c>
      <c r="D848" t="str">
        <f>TEXT(tbl_Kalender[[#This Row],[Datum]],"TTTT")</f>
        <v>Sonntag</v>
      </c>
      <c r="E848">
        <f>WEEKDAY(tbl_Kalender[[#This Row],[Datum]],2)</f>
        <v>7</v>
      </c>
      <c r="F848">
        <f>MONTH(tbl_Kalender[[#This Row],[Datum]])</f>
        <v>4</v>
      </c>
      <c r="G848" t="str">
        <f>TEXT(tbl_Kalender[[#This Row],[Datum]],"MMMM")</f>
        <v>April</v>
      </c>
      <c r="H848">
        <f>ROUNDUP(tbl_Kalender[[#This Row],[Monat]]/3,0)</f>
        <v>2</v>
      </c>
      <c r="I848" t="str">
        <f>"Q "&amp;tbl_Kalender[[#This Row],[Quartal]]</f>
        <v>Q 2</v>
      </c>
      <c r="J848" t="str">
        <f>tbl_Kalender[[#This Row],[Quartal]]&amp;". Quartal"</f>
        <v>2. Quartal</v>
      </c>
      <c r="K848">
        <f>_xlfn.ISOWEEKNUM(tbl_Kalender[[#This Row],[Datum]])</f>
        <v>17</v>
      </c>
    </row>
    <row r="849" spans="1:11" x14ac:dyDescent="0.25">
      <c r="A849" s="1">
        <v>46139</v>
      </c>
      <c r="B849">
        <f>YEAR(tbl_Kalender[[#This Row],[Datum]])</f>
        <v>2026</v>
      </c>
      <c r="C849">
        <f>DAY(tbl_Kalender[[#This Row],[Datum]])</f>
        <v>27</v>
      </c>
      <c r="D849" t="str">
        <f>TEXT(tbl_Kalender[[#This Row],[Datum]],"TTTT")</f>
        <v>Montag</v>
      </c>
      <c r="E849">
        <f>WEEKDAY(tbl_Kalender[[#This Row],[Datum]],2)</f>
        <v>1</v>
      </c>
      <c r="F849">
        <f>MONTH(tbl_Kalender[[#This Row],[Datum]])</f>
        <v>4</v>
      </c>
      <c r="G849" t="str">
        <f>TEXT(tbl_Kalender[[#This Row],[Datum]],"MMMM")</f>
        <v>April</v>
      </c>
      <c r="H849">
        <f>ROUNDUP(tbl_Kalender[[#This Row],[Monat]]/3,0)</f>
        <v>2</v>
      </c>
      <c r="I849" t="str">
        <f>"Q "&amp;tbl_Kalender[[#This Row],[Quartal]]</f>
        <v>Q 2</v>
      </c>
      <c r="J849" t="str">
        <f>tbl_Kalender[[#This Row],[Quartal]]&amp;". Quartal"</f>
        <v>2. Quartal</v>
      </c>
      <c r="K849">
        <f>_xlfn.ISOWEEKNUM(tbl_Kalender[[#This Row],[Datum]])</f>
        <v>18</v>
      </c>
    </row>
    <row r="850" spans="1:11" x14ac:dyDescent="0.25">
      <c r="A850" s="1">
        <v>46140</v>
      </c>
      <c r="B850">
        <f>YEAR(tbl_Kalender[[#This Row],[Datum]])</f>
        <v>2026</v>
      </c>
      <c r="C850">
        <f>DAY(tbl_Kalender[[#This Row],[Datum]])</f>
        <v>28</v>
      </c>
      <c r="D850" t="str">
        <f>TEXT(tbl_Kalender[[#This Row],[Datum]],"TTTT")</f>
        <v>Dienstag</v>
      </c>
      <c r="E850">
        <f>WEEKDAY(tbl_Kalender[[#This Row],[Datum]],2)</f>
        <v>2</v>
      </c>
      <c r="F850">
        <f>MONTH(tbl_Kalender[[#This Row],[Datum]])</f>
        <v>4</v>
      </c>
      <c r="G850" t="str">
        <f>TEXT(tbl_Kalender[[#This Row],[Datum]],"MMMM")</f>
        <v>April</v>
      </c>
      <c r="H850">
        <f>ROUNDUP(tbl_Kalender[[#This Row],[Monat]]/3,0)</f>
        <v>2</v>
      </c>
      <c r="I850" t="str">
        <f>"Q "&amp;tbl_Kalender[[#This Row],[Quartal]]</f>
        <v>Q 2</v>
      </c>
      <c r="J850" t="str">
        <f>tbl_Kalender[[#This Row],[Quartal]]&amp;". Quartal"</f>
        <v>2. Quartal</v>
      </c>
      <c r="K850">
        <f>_xlfn.ISOWEEKNUM(tbl_Kalender[[#This Row],[Datum]])</f>
        <v>18</v>
      </c>
    </row>
    <row r="851" spans="1:11" x14ac:dyDescent="0.25">
      <c r="A851" s="1">
        <v>46141</v>
      </c>
      <c r="B851">
        <f>YEAR(tbl_Kalender[[#This Row],[Datum]])</f>
        <v>2026</v>
      </c>
      <c r="C851">
        <f>DAY(tbl_Kalender[[#This Row],[Datum]])</f>
        <v>29</v>
      </c>
      <c r="D851" t="str">
        <f>TEXT(tbl_Kalender[[#This Row],[Datum]],"TTTT")</f>
        <v>Mittwoch</v>
      </c>
      <c r="E851">
        <f>WEEKDAY(tbl_Kalender[[#This Row],[Datum]],2)</f>
        <v>3</v>
      </c>
      <c r="F851">
        <f>MONTH(tbl_Kalender[[#This Row],[Datum]])</f>
        <v>4</v>
      </c>
      <c r="G851" t="str">
        <f>TEXT(tbl_Kalender[[#This Row],[Datum]],"MMMM")</f>
        <v>April</v>
      </c>
      <c r="H851">
        <f>ROUNDUP(tbl_Kalender[[#This Row],[Monat]]/3,0)</f>
        <v>2</v>
      </c>
      <c r="I851" t="str">
        <f>"Q "&amp;tbl_Kalender[[#This Row],[Quartal]]</f>
        <v>Q 2</v>
      </c>
      <c r="J851" t="str">
        <f>tbl_Kalender[[#This Row],[Quartal]]&amp;". Quartal"</f>
        <v>2. Quartal</v>
      </c>
      <c r="K851">
        <f>_xlfn.ISOWEEKNUM(tbl_Kalender[[#This Row],[Datum]])</f>
        <v>18</v>
      </c>
    </row>
    <row r="852" spans="1:11" x14ac:dyDescent="0.25">
      <c r="A852" s="1">
        <v>46142</v>
      </c>
      <c r="B852">
        <f>YEAR(tbl_Kalender[[#This Row],[Datum]])</f>
        <v>2026</v>
      </c>
      <c r="C852">
        <f>DAY(tbl_Kalender[[#This Row],[Datum]])</f>
        <v>30</v>
      </c>
      <c r="D852" t="str">
        <f>TEXT(tbl_Kalender[[#This Row],[Datum]],"TTTT")</f>
        <v>Donnerstag</v>
      </c>
      <c r="E852">
        <f>WEEKDAY(tbl_Kalender[[#This Row],[Datum]],2)</f>
        <v>4</v>
      </c>
      <c r="F852">
        <f>MONTH(tbl_Kalender[[#This Row],[Datum]])</f>
        <v>4</v>
      </c>
      <c r="G852" t="str">
        <f>TEXT(tbl_Kalender[[#This Row],[Datum]],"MMMM")</f>
        <v>April</v>
      </c>
      <c r="H852">
        <f>ROUNDUP(tbl_Kalender[[#This Row],[Monat]]/3,0)</f>
        <v>2</v>
      </c>
      <c r="I852" t="str">
        <f>"Q "&amp;tbl_Kalender[[#This Row],[Quartal]]</f>
        <v>Q 2</v>
      </c>
      <c r="J852" t="str">
        <f>tbl_Kalender[[#This Row],[Quartal]]&amp;". Quartal"</f>
        <v>2. Quartal</v>
      </c>
      <c r="K852">
        <f>_xlfn.ISOWEEKNUM(tbl_Kalender[[#This Row],[Datum]])</f>
        <v>18</v>
      </c>
    </row>
    <row r="853" spans="1:11" x14ac:dyDescent="0.25">
      <c r="A853" s="1">
        <v>46143</v>
      </c>
      <c r="B853">
        <f>YEAR(tbl_Kalender[[#This Row],[Datum]])</f>
        <v>2026</v>
      </c>
      <c r="C853">
        <f>DAY(tbl_Kalender[[#This Row],[Datum]])</f>
        <v>1</v>
      </c>
      <c r="D853" t="str">
        <f>TEXT(tbl_Kalender[[#This Row],[Datum]],"TTTT")</f>
        <v>Freitag</v>
      </c>
      <c r="E853">
        <f>WEEKDAY(tbl_Kalender[[#This Row],[Datum]],2)</f>
        <v>5</v>
      </c>
      <c r="F853">
        <f>MONTH(tbl_Kalender[[#This Row],[Datum]])</f>
        <v>5</v>
      </c>
      <c r="G853" t="str">
        <f>TEXT(tbl_Kalender[[#This Row],[Datum]],"MMMM")</f>
        <v>Mai</v>
      </c>
      <c r="H853">
        <f>ROUNDUP(tbl_Kalender[[#This Row],[Monat]]/3,0)</f>
        <v>2</v>
      </c>
      <c r="I853" t="str">
        <f>"Q "&amp;tbl_Kalender[[#This Row],[Quartal]]</f>
        <v>Q 2</v>
      </c>
      <c r="J853" t="str">
        <f>tbl_Kalender[[#This Row],[Quartal]]&amp;". Quartal"</f>
        <v>2. Quartal</v>
      </c>
      <c r="K853">
        <f>_xlfn.ISOWEEKNUM(tbl_Kalender[[#This Row],[Datum]])</f>
        <v>18</v>
      </c>
    </row>
    <row r="854" spans="1:11" x14ac:dyDescent="0.25">
      <c r="A854" s="1">
        <v>46144</v>
      </c>
      <c r="B854">
        <f>YEAR(tbl_Kalender[[#This Row],[Datum]])</f>
        <v>2026</v>
      </c>
      <c r="C854">
        <f>DAY(tbl_Kalender[[#This Row],[Datum]])</f>
        <v>2</v>
      </c>
      <c r="D854" t="str">
        <f>TEXT(tbl_Kalender[[#This Row],[Datum]],"TTTT")</f>
        <v>Samstag</v>
      </c>
      <c r="E854">
        <f>WEEKDAY(tbl_Kalender[[#This Row],[Datum]],2)</f>
        <v>6</v>
      </c>
      <c r="F854">
        <f>MONTH(tbl_Kalender[[#This Row],[Datum]])</f>
        <v>5</v>
      </c>
      <c r="G854" t="str">
        <f>TEXT(tbl_Kalender[[#This Row],[Datum]],"MMMM")</f>
        <v>Mai</v>
      </c>
      <c r="H854">
        <f>ROUNDUP(tbl_Kalender[[#This Row],[Monat]]/3,0)</f>
        <v>2</v>
      </c>
      <c r="I854" t="str">
        <f>"Q "&amp;tbl_Kalender[[#This Row],[Quartal]]</f>
        <v>Q 2</v>
      </c>
      <c r="J854" t="str">
        <f>tbl_Kalender[[#This Row],[Quartal]]&amp;". Quartal"</f>
        <v>2. Quartal</v>
      </c>
      <c r="K854">
        <f>_xlfn.ISOWEEKNUM(tbl_Kalender[[#This Row],[Datum]])</f>
        <v>18</v>
      </c>
    </row>
    <row r="855" spans="1:11" x14ac:dyDescent="0.25">
      <c r="A855" s="1">
        <v>46145</v>
      </c>
      <c r="B855">
        <f>YEAR(tbl_Kalender[[#This Row],[Datum]])</f>
        <v>2026</v>
      </c>
      <c r="C855">
        <f>DAY(tbl_Kalender[[#This Row],[Datum]])</f>
        <v>3</v>
      </c>
      <c r="D855" t="str">
        <f>TEXT(tbl_Kalender[[#This Row],[Datum]],"TTTT")</f>
        <v>Sonntag</v>
      </c>
      <c r="E855">
        <f>WEEKDAY(tbl_Kalender[[#This Row],[Datum]],2)</f>
        <v>7</v>
      </c>
      <c r="F855">
        <f>MONTH(tbl_Kalender[[#This Row],[Datum]])</f>
        <v>5</v>
      </c>
      <c r="G855" t="str">
        <f>TEXT(tbl_Kalender[[#This Row],[Datum]],"MMMM")</f>
        <v>Mai</v>
      </c>
      <c r="H855">
        <f>ROUNDUP(tbl_Kalender[[#This Row],[Monat]]/3,0)</f>
        <v>2</v>
      </c>
      <c r="I855" t="str">
        <f>"Q "&amp;tbl_Kalender[[#This Row],[Quartal]]</f>
        <v>Q 2</v>
      </c>
      <c r="J855" t="str">
        <f>tbl_Kalender[[#This Row],[Quartal]]&amp;". Quartal"</f>
        <v>2. Quartal</v>
      </c>
      <c r="K855">
        <f>_xlfn.ISOWEEKNUM(tbl_Kalender[[#This Row],[Datum]])</f>
        <v>18</v>
      </c>
    </row>
    <row r="856" spans="1:11" x14ac:dyDescent="0.25">
      <c r="A856" s="1">
        <v>46146</v>
      </c>
      <c r="B856">
        <f>YEAR(tbl_Kalender[[#This Row],[Datum]])</f>
        <v>2026</v>
      </c>
      <c r="C856">
        <f>DAY(tbl_Kalender[[#This Row],[Datum]])</f>
        <v>4</v>
      </c>
      <c r="D856" t="str">
        <f>TEXT(tbl_Kalender[[#This Row],[Datum]],"TTTT")</f>
        <v>Montag</v>
      </c>
      <c r="E856">
        <f>WEEKDAY(tbl_Kalender[[#This Row],[Datum]],2)</f>
        <v>1</v>
      </c>
      <c r="F856">
        <f>MONTH(tbl_Kalender[[#This Row],[Datum]])</f>
        <v>5</v>
      </c>
      <c r="G856" t="str">
        <f>TEXT(tbl_Kalender[[#This Row],[Datum]],"MMMM")</f>
        <v>Mai</v>
      </c>
      <c r="H856">
        <f>ROUNDUP(tbl_Kalender[[#This Row],[Monat]]/3,0)</f>
        <v>2</v>
      </c>
      <c r="I856" t="str">
        <f>"Q "&amp;tbl_Kalender[[#This Row],[Quartal]]</f>
        <v>Q 2</v>
      </c>
      <c r="J856" t="str">
        <f>tbl_Kalender[[#This Row],[Quartal]]&amp;". Quartal"</f>
        <v>2. Quartal</v>
      </c>
      <c r="K856">
        <f>_xlfn.ISOWEEKNUM(tbl_Kalender[[#This Row],[Datum]])</f>
        <v>19</v>
      </c>
    </row>
    <row r="857" spans="1:11" x14ac:dyDescent="0.25">
      <c r="A857" s="1">
        <v>46147</v>
      </c>
      <c r="B857">
        <f>YEAR(tbl_Kalender[[#This Row],[Datum]])</f>
        <v>2026</v>
      </c>
      <c r="C857">
        <f>DAY(tbl_Kalender[[#This Row],[Datum]])</f>
        <v>5</v>
      </c>
      <c r="D857" t="str">
        <f>TEXT(tbl_Kalender[[#This Row],[Datum]],"TTTT")</f>
        <v>Dienstag</v>
      </c>
      <c r="E857">
        <f>WEEKDAY(tbl_Kalender[[#This Row],[Datum]],2)</f>
        <v>2</v>
      </c>
      <c r="F857">
        <f>MONTH(tbl_Kalender[[#This Row],[Datum]])</f>
        <v>5</v>
      </c>
      <c r="G857" t="str">
        <f>TEXT(tbl_Kalender[[#This Row],[Datum]],"MMMM")</f>
        <v>Mai</v>
      </c>
      <c r="H857">
        <f>ROUNDUP(tbl_Kalender[[#This Row],[Monat]]/3,0)</f>
        <v>2</v>
      </c>
      <c r="I857" t="str">
        <f>"Q "&amp;tbl_Kalender[[#This Row],[Quartal]]</f>
        <v>Q 2</v>
      </c>
      <c r="J857" t="str">
        <f>tbl_Kalender[[#This Row],[Quartal]]&amp;". Quartal"</f>
        <v>2. Quartal</v>
      </c>
      <c r="K857">
        <f>_xlfn.ISOWEEKNUM(tbl_Kalender[[#This Row],[Datum]])</f>
        <v>19</v>
      </c>
    </row>
    <row r="858" spans="1:11" x14ac:dyDescent="0.25">
      <c r="A858" s="1">
        <v>46148</v>
      </c>
      <c r="B858">
        <f>YEAR(tbl_Kalender[[#This Row],[Datum]])</f>
        <v>2026</v>
      </c>
      <c r="C858">
        <f>DAY(tbl_Kalender[[#This Row],[Datum]])</f>
        <v>6</v>
      </c>
      <c r="D858" t="str">
        <f>TEXT(tbl_Kalender[[#This Row],[Datum]],"TTTT")</f>
        <v>Mittwoch</v>
      </c>
      <c r="E858">
        <f>WEEKDAY(tbl_Kalender[[#This Row],[Datum]],2)</f>
        <v>3</v>
      </c>
      <c r="F858">
        <f>MONTH(tbl_Kalender[[#This Row],[Datum]])</f>
        <v>5</v>
      </c>
      <c r="G858" t="str">
        <f>TEXT(tbl_Kalender[[#This Row],[Datum]],"MMMM")</f>
        <v>Mai</v>
      </c>
      <c r="H858">
        <f>ROUNDUP(tbl_Kalender[[#This Row],[Monat]]/3,0)</f>
        <v>2</v>
      </c>
      <c r="I858" t="str">
        <f>"Q "&amp;tbl_Kalender[[#This Row],[Quartal]]</f>
        <v>Q 2</v>
      </c>
      <c r="J858" t="str">
        <f>tbl_Kalender[[#This Row],[Quartal]]&amp;". Quartal"</f>
        <v>2. Quartal</v>
      </c>
      <c r="K858">
        <f>_xlfn.ISOWEEKNUM(tbl_Kalender[[#This Row],[Datum]])</f>
        <v>19</v>
      </c>
    </row>
    <row r="859" spans="1:11" x14ac:dyDescent="0.25">
      <c r="A859" s="1">
        <v>46149</v>
      </c>
      <c r="B859">
        <f>YEAR(tbl_Kalender[[#This Row],[Datum]])</f>
        <v>2026</v>
      </c>
      <c r="C859">
        <f>DAY(tbl_Kalender[[#This Row],[Datum]])</f>
        <v>7</v>
      </c>
      <c r="D859" t="str">
        <f>TEXT(tbl_Kalender[[#This Row],[Datum]],"TTTT")</f>
        <v>Donnerstag</v>
      </c>
      <c r="E859">
        <f>WEEKDAY(tbl_Kalender[[#This Row],[Datum]],2)</f>
        <v>4</v>
      </c>
      <c r="F859">
        <f>MONTH(tbl_Kalender[[#This Row],[Datum]])</f>
        <v>5</v>
      </c>
      <c r="G859" t="str">
        <f>TEXT(tbl_Kalender[[#This Row],[Datum]],"MMMM")</f>
        <v>Mai</v>
      </c>
      <c r="H859">
        <f>ROUNDUP(tbl_Kalender[[#This Row],[Monat]]/3,0)</f>
        <v>2</v>
      </c>
      <c r="I859" t="str">
        <f>"Q "&amp;tbl_Kalender[[#This Row],[Quartal]]</f>
        <v>Q 2</v>
      </c>
      <c r="J859" t="str">
        <f>tbl_Kalender[[#This Row],[Quartal]]&amp;". Quartal"</f>
        <v>2. Quartal</v>
      </c>
      <c r="K859">
        <f>_xlfn.ISOWEEKNUM(tbl_Kalender[[#This Row],[Datum]])</f>
        <v>19</v>
      </c>
    </row>
    <row r="860" spans="1:11" x14ac:dyDescent="0.25">
      <c r="A860" s="1">
        <v>46150</v>
      </c>
      <c r="B860">
        <f>YEAR(tbl_Kalender[[#This Row],[Datum]])</f>
        <v>2026</v>
      </c>
      <c r="C860">
        <f>DAY(tbl_Kalender[[#This Row],[Datum]])</f>
        <v>8</v>
      </c>
      <c r="D860" t="str">
        <f>TEXT(tbl_Kalender[[#This Row],[Datum]],"TTTT")</f>
        <v>Freitag</v>
      </c>
      <c r="E860">
        <f>WEEKDAY(tbl_Kalender[[#This Row],[Datum]],2)</f>
        <v>5</v>
      </c>
      <c r="F860">
        <f>MONTH(tbl_Kalender[[#This Row],[Datum]])</f>
        <v>5</v>
      </c>
      <c r="G860" t="str">
        <f>TEXT(tbl_Kalender[[#This Row],[Datum]],"MMMM")</f>
        <v>Mai</v>
      </c>
      <c r="H860">
        <f>ROUNDUP(tbl_Kalender[[#This Row],[Monat]]/3,0)</f>
        <v>2</v>
      </c>
      <c r="I860" t="str">
        <f>"Q "&amp;tbl_Kalender[[#This Row],[Quartal]]</f>
        <v>Q 2</v>
      </c>
      <c r="J860" t="str">
        <f>tbl_Kalender[[#This Row],[Quartal]]&amp;". Quartal"</f>
        <v>2. Quartal</v>
      </c>
      <c r="K860">
        <f>_xlfn.ISOWEEKNUM(tbl_Kalender[[#This Row],[Datum]])</f>
        <v>19</v>
      </c>
    </row>
    <row r="861" spans="1:11" x14ac:dyDescent="0.25">
      <c r="A861" s="1">
        <v>46151</v>
      </c>
      <c r="B861">
        <f>YEAR(tbl_Kalender[[#This Row],[Datum]])</f>
        <v>2026</v>
      </c>
      <c r="C861">
        <f>DAY(tbl_Kalender[[#This Row],[Datum]])</f>
        <v>9</v>
      </c>
      <c r="D861" t="str">
        <f>TEXT(tbl_Kalender[[#This Row],[Datum]],"TTTT")</f>
        <v>Samstag</v>
      </c>
      <c r="E861">
        <f>WEEKDAY(tbl_Kalender[[#This Row],[Datum]],2)</f>
        <v>6</v>
      </c>
      <c r="F861">
        <f>MONTH(tbl_Kalender[[#This Row],[Datum]])</f>
        <v>5</v>
      </c>
      <c r="G861" t="str">
        <f>TEXT(tbl_Kalender[[#This Row],[Datum]],"MMMM")</f>
        <v>Mai</v>
      </c>
      <c r="H861">
        <f>ROUNDUP(tbl_Kalender[[#This Row],[Monat]]/3,0)</f>
        <v>2</v>
      </c>
      <c r="I861" t="str">
        <f>"Q "&amp;tbl_Kalender[[#This Row],[Quartal]]</f>
        <v>Q 2</v>
      </c>
      <c r="J861" t="str">
        <f>tbl_Kalender[[#This Row],[Quartal]]&amp;". Quartal"</f>
        <v>2. Quartal</v>
      </c>
      <c r="K861">
        <f>_xlfn.ISOWEEKNUM(tbl_Kalender[[#This Row],[Datum]])</f>
        <v>19</v>
      </c>
    </row>
    <row r="862" spans="1:11" x14ac:dyDescent="0.25">
      <c r="A862" s="1">
        <v>46152</v>
      </c>
      <c r="B862">
        <f>YEAR(tbl_Kalender[[#This Row],[Datum]])</f>
        <v>2026</v>
      </c>
      <c r="C862">
        <f>DAY(tbl_Kalender[[#This Row],[Datum]])</f>
        <v>10</v>
      </c>
      <c r="D862" t="str">
        <f>TEXT(tbl_Kalender[[#This Row],[Datum]],"TTTT")</f>
        <v>Sonntag</v>
      </c>
      <c r="E862">
        <f>WEEKDAY(tbl_Kalender[[#This Row],[Datum]],2)</f>
        <v>7</v>
      </c>
      <c r="F862">
        <f>MONTH(tbl_Kalender[[#This Row],[Datum]])</f>
        <v>5</v>
      </c>
      <c r="G862" t="str">
        <f>TEXT(tbl_Kalender[[#This Row],[Datum]],"MMMM")</f>
        <v>Mai</v>
      </c>
      <c r="H862">
        <f>ROUNDUP(tbl_Kalender[[#This Row],[Monat]]/3,0)</f>
        <v>2</v>
      </c>
      <c r="I862" t="str">
        <f>"Q "&amp;tbl_Kalender[[#This Row],[Quartal]]</f>
        <v>Q 2</v>
      </c>
      <c r="J862" t="str">
        <f>tbl_Kalender[[#This Row],[Quartal]]&amp;". Quartal"</f>
        <v>2. Quartal</v>
      </c>
      <c r="K862">
        <f>_xlfn.ISOWEEKNUM(tbl_Kalender[[#This Row],[Datum]])</f>
        <v>19</v>
      </c>
    </row>
    <row r="863" spans="1:11" x14ac:dyDescent="0.25">
      <c r="A863" s="1">
        <v>46153</v>
      </c>
      <c r="B863">
        <f>YEAR(tbl_Kalender[[#This Row],[Datum]])</f>
        <v>2026</v>
      </c>
      <c r="C863">
        <f>DAY(tbl_Kalender[[#This Row],[Datum]])</f>
        <v>11</v>
      </c>
      <c r="D863" t="str">
        <f>TEXT(tbl_Kalender[[#This Row],[Datum]],"TTTT")</f>
        <v>Montag</v>
      </c>
      <c r="E863">
        <f>WEEKDAY(tbl_Kalender[[#This Row],[Datum]],2)</f>
        <v>1</v>
      </c>
      <c r="F863">
        <f>MONTH(tbl_Kalender[[#This Row],[Datum]])</f>
        <v>5</v>
      </c>
      <c r="G863" t="str">
        <f>TEXT(tbl_Kalender[[#This Row],[Datum]],"MMMM")</f>
        <v>Mai</v>
      </c>
      <c r="H863">
        <f>ROUNDUP(tbl_Kalender[[#This Row],[Monat]]/3,0)</f>
        <v>2</v>
      </c>
      <c r="I863" t="str">
        <f>"Q "&amp;tbl_Kalender[[#This Row],[Quartal]]</f>
        <v>Q 2</v>
      </c>
      <c r="J863" t="str">
        <f>tbl_Kalender[[#This Row],[Quartal]]&amp;". Quartal"</f>
        <v>2. Quartal</v>
      </c>
      <c r="K863">
        <f>_xlfn.ISOWEEKNUM(tbl_Kalender[[#This Row],[Datum]])</f>
        <v>20</v>
      </c>
    </row>
    <row r="864" spans="1:11" x14ac:dyDescent="0.25">
      <c r="A864" s="1">
        <v>46154</v>
      </c>
      <c r="B864">
        <f>YEAR(tbl_Kalender[[#This Row],[Datum]])</f>
        <v>2026</v>
      </c>
      <c r="C864">
        <f>DAY(tbl_Kalender[[#This Row],[Datum]])</f>
        <v>12</v>
      </c>
      <c r="D864" t="str">
        <f>TEXT(tbl_Kalender[[#This Row],[Datum]],"TTTT")</f>
        <v>Dienstag</v>
      </c>
      <c r="E864">
        <f>WEEKDAY(tbl_Kalender[[#This Row],[Datum]],2)</f>
        <v>2</v>
      </c>
      <c r="F864">
        <f>MONTH(tbl_Kalender[[#This Row],[Datum]])</f>
        <v>5</v>
      </c>
      <c r="G864" t="str">
        <f>TEXT(tbl_Kalender[[#This Row],[Datum]],"MMMM")</f>
        <v>Mai</v>
      </c>
      <c r="H864">
        <f>ROUNDUP(tbl_Kalender[[#This Row],[Monat]]/3,0)</f>
        <v>2</v>
      </c>
      <c r="I864" t="str">
        <f>"Q "&amp;tbl_Kalender[[#This Row],[Quartal]]</f>
        <v>Q 2</v>
      </c>
      <c r="J864" t="str">
        <f>tbl_Kalender[[#This Row],[Quartal]]&amp;". Quartal"</f>
        <v>2. Quartal</v>
      </c>
      <c r="K864">
        <f>_xlfn.ISOWEEKNUM(tbl_Kalender[[#This Row],[Datum]])</f>
        <v>20</v>
      </c>
    </row>
    <row r="865" spans="1:11" x14ac:dyDescent="0.25">
      <c r="A865" s="1">
        <v>46155</v>
      </c>
      <c r="B865">
        <f>YEAR(tbl_Kalender[[#This Row],[Datum]])</f>
        <v>2026</v>
      </c>
      <c r="C865">
        <f>DAY(tbl_Kalender[[#This Row],[Datum]])</f>
        <v>13</v>
      </c>
      <c r="D865" t="str">
        <f>TEXT(tbl_Kalender[[#This Row],[Datum]],"TTTT")</f>
        <v>Mittwoch</v>
      </c>
      <c r="E865">
        <f>WEEKDAY(tbl_Kalender[[#This Row],[Datum]],2)</f>
        <v>3</v>
      </c>
      <c r="F865">
        <f>MONTH(tbl_Kalender[[#This Row],[Datum]])</f>
        <v>5</v>
      </c>
      <c r="G865" t="str">
        <f>TEXT(tbl_Kalender[[#This Row],[Datum]],"MMMM")</f>
        <v>Mai</v>
      </c>
      <c r="H865">
        <f>ROUNDUP(tbl_Kalender[[#This Row],[Monat]]/3,0)</f>
        <v>2</v>
      </c>
      <c r="I865" t="str">
        <f>"Q "&amp;tbl_Kalender[[#This Row],[Quartal]]</f>
        <v>Q 2</v>
      </c>
      <c r="J865" t="str">
        <f>tbl_Kalender[[#This Row],[Quartal]]&amp;". Quartal"</f>
        <v>2. Quartal</v>
      </c>
      <c r="K865">
        <f>_xlfn.ISOWEEKNUM(tbl_Kalender[[#This Row],[Datum]])</f>
        <v>20</v>
      </c>
    </row>
    <row r="866" spans="1:11" x14ac:dyDescent="0.25">
      <c r="A866" s="1">
        <v>46156</v>
      </c>
      <c r="B866">
        <f>YEAR(tbl_Kalender[[#This Row],[Datum]])</f>
        <v>2026</v>
      </c>
      <c r="C866">
        <f>DAY(tbl_Kalender[[#This Row],[Datum]])</f>
        <v>14</v>
      </c>
      <c r="D866" t="str">
        <f>TEXT(tbl_Kalender[[#This Row],[Datum]],"TTTT")</f>
        <v>Donnerstag</v>
      </c>
      <c r="E866">
        <f>WEEKDAY(tbl_Kalender[[#This Row],[Datum]],2)</f>
        <v>4</v>
      </c>
      <c r="F866">
        <f>MONTH(tbl_Kalender[[#This Row],[Datum]])</f>
        <v>5</v>
      </c>
      <c r="G866" t="str">
        <f>TEXT(tbl_Kalender[[#This Row],[Datum]],"MMMM")</f>
        <v>Mai</v>
      </c>
      <c r="H866">
        <f>ROUNDUP(tbl_Kalender[[#This Row],[Monat]]/3,0)</f>
        <v>2</v>
      </c>
      <c r="I866" t="str">
        <f>"Q "&amp;tbl_Kalender[[#This Row],[Quartal]]</f>
        <v>Q 2</v>
      </c>
      <c r="J866" t="str">
        <f>tbl_Kalender[[#This Row],[Quartal]]&amp;". Quartal"</f>
        <v>2. Quartal</v>
      </c>
      <c r="K866">
        <f>_xlfn.ISOWEEKNUM(tbl_Kalender[[#This Row],[Datum]])</f>
        <v>20</v>
      </c>
    </row>
    <row r="867" spans="1:11" x14ac:dyDescent="0.25">
      <c r="A867" s="1">
        <v>46157</v>
      </c>
      <c r="B867">
        <f>YEAR(tbl_Kalender[[#This Row],[Datum]])</f>
        <v>2026</v>
      </c>
      <c r="C867">
        <f>DAY(tbl_Kalender[[#This Row],[Datum]])</f>
        <v>15</v>
      </c>
      <c r="D867" t="str">
        <f>TEXT(tbl_Kalender[[#This Row],[Datum]],"TTTT")</f>
        <v>Freitag</v>
      </c>
      <c r="E867">
        <f>WEEKDAY(tbl_Kalender[[#This Row],[Datum]],2)</f>
        <v>5</v>
      </c>
      <c r="F867">
        <f>MONTH(tbl_Kalender[[#This Row],[Datum]])</f>
        <v>5</v>
      </c>
      <c r="G867" t="str">
        <f>TEXT(tbl_Kalender[[#This Row],[Datum]],"MMMM")</f>
        <v>Mai</v>
      </c>
      <c r="H867">
        <f>ROUNDUP(tbl_Kalender[[#This Row],[Monat]]/3,0)</f>
        <v>2</v>
      </c>
      <c r="I867" t="str">
        <f>"Q "&amp;tbl_Kalender[[#This Row],[Quartal]]</f>
        <v>Q 2</v>
      </c>
      <c r="J867" t="str">
        <f>tbl_Kalender[[#This Row],[Quartal]]&amp;". Quartal"</f>
        <v>2. Quartal</v>
      </c>
      <c r="K867">
        <f>_xlfn.ISOWEEKNUM(tbl_Kalender[[#This Row],[Datum]])</f>
        <v>20</v>
      </c>
    </row>
    <row r="868" spans="1:11" x14ac:dyDescent="0.25">
      <c r="A868" s="1">
        <v>46158</v>
      </c>
      <c r="B868">
        <f>YEAR(tbl_Kalender[[#This Row],[Datum]])</f>
        <v>2026</v>
      </c>
      <c r="C868">
        <f>DAY(tbl_Kalender[[#This Row],[Datum]])</f>
        <v>16</v>
      </c>
      <c r="D868" t="str">
        <f>TEXT(tbl_Kalender[[#This Row],[Datum]],"TTTT")</f>
        <v>Samstag</v>
      </c>
      <c r="E868">
        <f>WEEKDAY(tbl_Kalender[[#This Row],[Datum]],2)</f>
        <v>6</v>
      </c>
      <c r="F868">
        <f>MONTH(tbl_Kalender[[#This Row],[Datum]])</f>
        <v>5</v>
      </c>
      <c r="G868" t="str">
        <f>TEXT(tbl_Kalender[[#This Row],[Datum]],"MMMM")</f>
        <v>Mai</v>
      </c>
      <c r="H868">
        <f>ROUNDUP(tbl_Kalender[[#This Row],[Monat]]/3,0)</f>
        <v>2</v>
      </c>
      <c r="I868" t="str">
        <f>"Q "&amp;tbl_Kalender[[#This Row],[Quartal]]</f>
        <v>Q 2</v>
      </c>
      <c r="J868" t="str">
        <f>tbl_Kalender[[#This Row],[Quartal]]&amp;". Quartal"</f>
        <v>2. Quartal</v>
      </c>
      <c r="K868">
        <f>_xlfn.ISOWEEKNUM(tbl_Kalender[[#This Row],[Datum]])</f>
        <v>20</v>
      </c>
    </row>
    <row r="869" spans="1:11" x14ac:dyDescent="0.25">
      <c r="A869" s="1">
        <v>46159</v>
      </c>
      <c r="B869">
        <f>YEAR(tbl_Kalender[[#This Row],[Datum]])</f>
        <v>2026</v>
      </c>
      <c r="C869">
        <f>DAY(tbl_Kalender[[#This Row],[Datum]])</f>
        <v>17</v>
      </c>
      <c r="D869" t="str">
        <f>TEXT(tbl_Kalender[[#This Row],[Datum]],"TTTT")</f>
        <v>Sonntag</v>
      </c>
      <c r="E869">
        <f>WEEKDAY(tbl_Kalender[[#This Row],[Datum]],2)</f>
        <v>7</v>
      </c>
      <c r="F869">
        <f>MONTH(tbl_Kalender[[#This Row],[Datum]])</f>
        <v>5</v>
      </c>
      <c r="G869" t="str">
        <f>TEXT(tbl_Kalender[[#This Row],[Datum]],"MMMM")</f>
        <v>Mai</v>
      </c>
      <c r="H869">
        <f>ROUNDUP(tbl_Kalender[[#This Row],[Monat]]/3,0)</f>
        <v>2</v>
      </c>
      <c r="I869" t="str">
        <f>"Q "&amp;tbl_Kalender[[#This Row],[Quartal]]</f>
        <v>Q 2</v>
      </c>
      <c r="J869" t="str">
        <f>tbl_Kalender[[#This Row],[Quartal]]&amp;". Quartal"</f>
        <v>2. Quartal</v>
      </c>
      <c r="K869">
        <f>_xlfn.ISOWEEKNUM(tbl_Kalender[[#This Row],[Datum]])</f>
        <v>20</v>
      </c>
    </row>
    <row r="870" spans="1:11" x14ac:dyDescent="0.25">
      <c r="A870" s="1">
        <v>46160</v>
      </c>
      <c r="B870">
        <f>YEAR(tbl_Kalender[[#This Row],[Datum]])</f>
        <v>2026</v>
      </c>
      <c r="C870">
        <f>DAY(tbl_Kalender[[#This Row],[Datum]])</f>
        <v>18</v>
      </c>
      <c r="D870" t="str">
        <f>TEXT(tbl_Kalender[[#This Row],[Datum]],"TTTT")</f>
        <v>Montag</v>
      </c>
      <c r="E870">
        <f>WEEKDAY(tbl_Kalender[[#This Row],[Datum]],2)</f>
        <v>1</v>
      </c>
      <c r="F870">
        <f>MONTH(tbl_Kalender[[#This Row],[Datum]])</f>
        <v>5</v>
      </c>
      <c r="G870" t="str">
        <f>TEXT(tbl_Kalender[[#This Row],[Datum]],"MMMM")</f>
        <v>Mai</v>
      </c>
      <c r="H870">
        <f>ROUNDUP(tbl_Kalender[[#This Row],[Monat]]/3,0)</f>
        <v>2</v>
      </c>
      <c r="I870" t="str">
        <f>"Q "&amp;tbl_Kalender[[#This Row],[Quartal]]</f>
        <v>Q 2</v>
      </c>
      <c r="J870" t="str">
        <f>tbl_Kalender[[#This Row],[Quartal]]&amp;". Quartal"</f>
        <v>2. Quartal</v>
      </c>
      <c r="K870">
        <f>_xlfn.ISOWEEKNUM(tbl_Kalender[[#This Row],[Datum]])</f>
        <v>21</v>
      </c>
    </row>
    <row r="871" spans="1:11" x14ac:dyDescent="0.25">
      <c r="A871" s="1">
        <v>46161</v>
      </c>
      <c r="B871">
        <f>YEAR(tbl_Kalender[[#This Row],[Datum]])</f>
        <v>2026</v>
      </c>
      <c r="C871">
        <f>DAY(tbl_Kalender[[#This Row],[Datum]])</f>
        <v>19</v>
      </c>
      <c r="D871" t="str">
        <f>TEXT(tbl_Kalender[[#This Row],[Datum]],"TTTT")</f>
        <v>Dienstag</v>
      </c>
      <c r="E871">
        <f>WEEKDAY(tbl_Kalender[[#This Row],[Datum]],2)</f>
        <v>2</v>
      </c>
      <c r="F871">
        <f>MONTH(tbl_Kalender[[#This Row],[Datum]])</f>
        <v>5</v>
      </c>
      <c r="G871" t="str">
        <f>TEXT(tbl_Kalender[[#This Row],[Datum]],"MMMM")</f>
        <v>Mai</v>
      </c>
      <c r="H871">
        <f>ROUNDUP(tbl_Kalender[[#This Row],[Monat]]/3,0)</f>
        <v>2</v>
      </c>
      <c r="I871" t="str">
        <f>"Q "&amp;tbl_Kalender[[#This Row],[Quartal]]</f>
        <v>Q 2</v>
      </c>
      <c r="J871" t="str">
        <f>tbl_Kalender[[#This Row],[Quartal]]&amp;". Quartal"</f>
        <v>2. Quartal</v>
      </c>
      <c r="K871">
        <f>_xlfn.ISOWEEKNUM(tbl_Kalender[[#This Row],[Datum]])</f>
        <v>21</v>
      </c>
    </row>
    <row r="872" spans="1:11" x14ac:dyDescent="0.25">
      <c r="A872" s="1">
        <v>46162</v>
      </c>
      <c r="B872">
        <f>YEAR(tbl_Kalender[[#This Row],[Datum]])</f>
        <v>2026</v>
      </c>
      <c r="C872">
        <f>DAY(tbl_Kalender[[#This Row],[Datum]])</f>
        <v>20</v>
      </c>
      <c r="D872" t="str">
        <f>TEXT(tbl_Kalender[[#This Row],[Datum]],"TTTT")</f>
        <v>Mittwoch</v>
      </c>
      <c r="E872">
        <f>WEEKDAY(tbl_Kalender[[#This Row],[Datum]],2)</f>
        <v>3</v>
      </c>
      <c r="F872">
        <f>MONTH(tbl_Kalender[[#This Row],[Datum]])</f>
        <v>5</v>
      </c>
      <c r="G872" t="str">
        <f>TEXT(tbl_Kalender[[#This Row],[Datum]],"MMMM")</f>
        <v>Mai</v>
      </c>
      <c r="H872">
        <f>ROUNDUP(tbl_Kalender[[#This Row],[Monat]]/3,0)</f>
        <v>2</v>
      </c>
      <c r="I872" t="str">
        <f>"Q "&amp;tbl_Kalender[[#This Row],[Quartal]]</f>
        <v>Q 2</v>
      </c>
      <c r="J872" t="str">
        <f>tbl_Kalender[[#This Row],[Quartal]]&amp;". Quartal"</f>
        <v>2. Quartal</v>
      </c>
      <c r="K872">
        <f>_xlfn.ISOWEEKNUM(tbl_Kalender[[#This Row],[Datum]])</f>
        <v>21</v>
      </c>
    </row>
    <row r="873" spans="1:11" x14ac:dyDescent="0.25">
      <c r="A873" s="1">
        <v>46163</v>
      </c>
      <c r="B873">
        <f>YEAR(tbl_Kalender[[#This Row],[Datum]])</f>
        <v>2026</v>
      </c>
      <c r="C873">
        <f>DAY(tbl_Kalender[[#This Row],[Datum]])</f>
        <v>21</v>
      </c>
      <c r="D873" t="str">
        <f>TEXT(tbl_Kalender[[#This Row],[Datum]],"TTTT")</f>
        <v>Donnerstag</v>
      </c>
      <c r="E873">
        <f>WEEKDAY(tbl_Kalender[[#This Row],[Datum]],2)</f>
        <v>4</v>
      </c>
      <c r="F873">
        <f>MONTH(tbl_Kalender[[#This Row],[Datum]])</f>
        <v>5</v>
      </c>
      <c r="G873" t="str">
        <f>TEXT(tbl_Kalender[[#This Row],[Datum]],"MMMM")</f>
        <v>Mai</v>
      </c>
      <c r="H873">
        <f>ROUNDUP(tbl_Kalender[[#This Row],[Monat]]/3,0)</f>
        <v>2</v>
      </c>
      <c r="I873" t="str">
        <f>"Q "&amp;tbl_Kalender[[#This Row],[Quartal]]</f>
        <v>Q 2</v>
      </c>
      <c r="J873" t="str">
        <f>tbl_Kalender[[#This Row],[Quartal]]&amp;". Quartal"</f>
        <v>2. Quartal</v>
      </c>
      <c r="K873">
        <f>_xlfn.ISOWEEKNUM(tbl_Kalender[[#This Row],[Datum]])</f>
        <v>21</v>
      </c>
    </row>
    <row r="874" spans="1:11" x14ac:dyDescent="0.25">
      <c r="A874" s="1">
        <v>46164</v>
      </c>
      <c r="B874">
        <f>YEAR(tbl_Kalender[[#This Row],[Datum]])</f>
        <v>2026</v>
      </c>
      <c r="C874">
        <f>DAY(tbl_Kalender[[#This Row],[Datum]])</f>
        <v>22</v>
      </c>
      <c r="D874" t="str">
        <f>TEXT(tbl_Kalender[[#This Row],[Datum]],"TTTT")</f>
        <v>Freitag</v>
      </c>
      <c r="E874">
        <f>WEEKDAY(tbl_Kalender[[#This Row],[Datum]],2)</f>
        <v>5</v>
      </c>
      <c r="F874">
        <f>MONTH(tbl_Kalender[[#This Row],[Datum]])</f>
        <v>5</v>
      </c>
      <c r="G874" t="str">
        <f>TEXT(tbl_Kalender[[#This Row],[Datum]],"MMMM")</f>
        <v>Mai</v>
      </c>
      <c r="H874">
        <f>ROUNDUP(tbl_Kalender[[#This Row],[Monat]]/3,0)</f>
        <v>2</v>
      </c>
      <c r="I874" t="str">
        <f>"Q "&amp;tbl_Kalender[[#This Row],[Quartal]]</f>
        <v>Q 2</v>
      </c>
      <c r="J874" t="str">
        <f>tbl_Kalender[[#This Row],[Quartal]]&amp;". Quartal"</f>
        <v>2. Quartal</v>
      </c>
      <c r="K874">
        <f>_xlfn.ISOWEEKNUM(tbl_Kalender[[#This Row],[Datum]])</f>
        <v>21</v>
      </c>
    </row>
    <row r="875" spans="1:11" x14ac:dyDescent="0.25">
      <c r="A875" s="1">
        <v>46165</v>
      </c>
      <c r="B875">
        <f>YEAR(tbl_Kalender[[#This Row],[Datum]])</f>
        <v>2026</v>
      </c>
      <c r="C875">
        <f>DAY(tbl_Kalender[[#This Row],[Datum]])</f>
        <v>23</v>
      </c>
      <c r="D875" t="str">
        <f>TEXT(tbl_Kalender[[#This Row],[Datum]],"TTTT")</f>
        <v>Samstag</v>
      </c>
      <c r="E875">
        <f>WEEKDAY(tbl_Kalender[[#This Row],[Datum]],2)</f>
        <v>6</v>
      </c>
      <c r="F875">
        <f>MONTH(tbl_Kalender[[#This Row],[Datum]])</f>
        <v>5</v>
      </c>
      <c r="G875" t="str">
        <f>TEXT(tbl_Kalender[[#This Row],[Datum]],"MMMM")</f>
        <v>Mai</v>
      </c>
      <c r="H875">
        <f>ROUNDUP(tbl_Kalender[[#This Row],[Monat]]/3,0)</f>
        <v>2</v>
      </c>
      <c r="I875" t="str">
        <f>"Q "&amp;tbl_Kalender[[#This Row],[Quartal]]</f>
        <v>Q 2</v>
      </c>
      <c r="J875" t="str">
        <f>tbl_Kalender[[#This Row],[Quartal]]&amp;". Quartal"</f>
        <v>2. Quartal</v>
      </c>
      <c r="K875">
        <f>_xlfn.ISOWEEKNUM(tbl_Kalender[[#This Row],[Datum]])</f>
        <v>21</v>
      </c>
    </row>
    <row r="876" spans="1:11" x14ac:dyDescent="0.25">
      <c r="A876" s="1">
        <v>46166</v>
      </c>
      <c r="B876">
        <f>YEAR(tbl_Kalender[[#This Row],[Datum]])</f>
        <v>2026</v>
      </c>
      <c r="C876">
        <f>DAY(tbl_Kalender[[#This Row],[Datum]])</f>
        <v>24</v>
      </c>
      <c r="D876" t="str">
        <f>TEXT(tbl_Kalender[[#This Row],[Datum]],"TTTT")</f>
        <v>Sonntag</v>
      </c>
      <c r="E876">
        <f>WEEKDAY(tbl_Kalender[[#This Row],[Datum]],2)</f>
        <v>7</v>
      </c>
      <c r="F876">
        <f>MONTH(tbl_Kalender[[#This Row],[Datum]])</f>
        <v>5</v>
      </c>
      <c r="G876" t="str">
        <f>TEXT(tbl_Kalender[[#This Row],[Datum]],"MMMM")</f>
        <v>Mai</v>
      </c>
      <c r="H876">
        <f>ROUNDUP(tbl_Kalender[[#This Row],[Monat]]/3,0)</f>
        <v>2</v>
      </c>
      <c r="I876" t="str">
        <f>"Q "&amp;tbl_Kalender[[#This Row],[Quartal]]</f>
        <v>Q 2</v>
      </c>
      <c r="J876" t="str">
        <f>tbl_Kalender[[#This Row],[Quartal]]&amp;". Quartal"</f>
        <v>2. Quartal</v>
      </c>
      <c r="K876">
        <f>_xlfn.ISOWEEKNUM(tbl_Kalender[[#This Row],[Datum]])</f>
        <v>21</v>
      </c>
    </row>
    <row r="877" spans="1:11" x14ac:dyDescent="0.25">
      <c r="A877" s="1">
        <v>46167</v>
      </c>
      <c r="B877">
        <f>YEAR(tbl_Kalender[[#This Row],[Datum]])</f>
        <v>2026</v>
      </c>
      <c r="C877">
        <f>DAY(tbl_Kalender[[#This Row],[Datum]])</f>
        <v>25</v>
      </c>
      <c r="D877" t="str">
        <f>TEXT(tbl_Kalender[[#This Row],[Datum]],"TTTT")</f>
        <v>Montag</v>
      </c>
      <c r="E877">
        <f>WEEKDAY(tbl_Kalender[[#This Row],[Datum]],2)</f>
        <v>1</v>
      </c>
      <c r="F877">
        <f>MONTH(tbl_Kalender[[#This Row],[Datum]])</f>
        <v>5</v>
      </c>
      <c r="G877" t="str">
        <f>TEXT(tbl_Kalender[[#This Row],[Datum]],"MMMM")</f>
        <v>Mai</v>
      </c>
      <c r="H877">
        <f>ROUNDUP(tbl_Kalender[[#This Row],[Monat]]/3,0)</f>
        <v>2</v>
      </c>
      <c r="I877" t="str">
        <f>"Q "&amp;tbl_Kalender[[#This Row],[Quartal]]</f>
        <v>Q 2</v>
      </c>
      <c r="J877" t="str">
        <f>tbl_Kalender[[#This Row],[Quartal]]&amp;". Quartal"</f>
        <v>2. Quartal</v>
      </c>
      <c r="K877">
        <f>_xlfn.ISOWEEKNUM(tbl_Kalender[[#This Row],[Datum]])</f>
        <v>22</v>
      </c>
    </row>
    <row r="878" spans="1:11" x14ac:dyDescent="0.25">
      <c r="A878" s="1">
        <v>46168</v>
      </c>
      <c r="B878">
        <f>YEAR(tbl_Kalender[[#This Row],[Datum]])</f>
        <v>2026</v>
      </c>
      <c r="C878">
        <f>DAY(tbl_Kalender[[#This Row],[Datum]])</f>
        <v>26</v>
      </c>
      <c r="D878" t="str">
        <f>TEXT(tbl_Kalender[[#This Row],[Datum]],"TTTT")</f>
        <v>Dienstag</v>
      </c>
      <c r="E878">
        <f>WEEKDAY(tbl_Kalender[[#This Row],[Datum]],2)</f>
        <v>2</v>
      </c>
      <c r="F878">
        <f>MONTH(tbl_Kalender[[#This Row],[Datum]])</f>
        <v>5</v>
      </c>
      <c r="G878" t="str">
        <f>TEXT(tbl_Kalender[[#This Row],[Datum]],"MMMM")</f>
        <v>Mai</v>
      </c>
      <c r="H878">
        <f>ROUNDUP(tbl_Kalender[[#This Row],[Monat]]/3,0)</f>
        <v>2</v>
      </c>
      <c r="I878" t="str">
        <f>"Q "&amp;tbl_Kalender[[#This Row],[Quartal]]</f>
        <v>Q 2</v>
      </c>
      <c r="J878" t="str">
        <f>tbl_Kalender[[#This Row],[Quartal]]&amp;". Quartal"</f>
        <v>2. Quartal</v>
      </c>
      <c r="K878">
        <f>_xlfn.ISOWEEKNUM(tbl_Kalender[[#This Row],[Datum]])</f>
        <v>22</v>
      </c>
    </row>
    <row r="879" spans="1:11" x14ac:dyDescent="0.25">
      <c r="A879" s="1">
        <v>46169</v>
      </c>
      <c r="B879">
        <f>YEAR(tbl_Kalender[[#This Row],[Datum]])</f>
        <v>2026</v>
      </c>
      <c r="C879">
        <f>DAY(tbl_Kalender[[#This Row],[Datum]])</f>
        <v>27</v>
      </c>
      <c r="D879" t="str">
        <f>TEXT(tbl_Kalender[[#This Row],[Datum]],"TTTT")</f>
        <v>Mittwoch</v>
      </c>
      <c r="E879">
        <f>WEEKDAY(tbl_Kalender[[#This Row],[Datum]],2)</f>
        <v>3</v>
      </c>
      <c r="F879">
        <f>MONTH(tbl_Kalender[[#This Row],[Datum]])</f>
        <v>5</v>
      </c>
      <c r="G879" t="str">
        <f>TEXT(tbl_Kalender[[#This Row],[Datum]],"MMMM")</f>
        <v>Mai</v>
      </c>
      <c r="H879">
        <f>ROUNDUP(tbl_Kalender[[#This Row],[Monat]]/3,0)</f>
        <v>2</v>
      </c>
      <c r="I879" t="str">
        <f>"Q "&amp;tbl_Kalender[[#This Row],[Quartal]]</f>
        <v>Q 2</v>
      </c>
      <c r="J879" t="str">
        <f>tbl_Kalender[[#This Row],[Quartal]]&amp;". Quartal"</f>
        <v>2. Quartal</v>
      </c>
      <c r="K879">
        <f>_xlfn.ISOWEEKNUM(tbl_Kalender[[#This Row],[Datum]])</f>
        <v>22</v>
      </c>
    </row>
    <row r="880" spans="1:11" x14ac:dyDescent="0.25">
      <c r="A880" s="1">
        <v>46170</v>
      </c>
      <c r="B880">
        <f>YEAR(tbl_Kalender[[#This Row],[Datum]])</f>
        <v>2026</v>
      </c>
      <c r="C880">
        <f>DAY(tbl_Kalender[[#This Row],[Datum]])</f>
        <v>28</v>
      </c>
      <c r="D880" t="str">
        <f>TEXT(tbl_Kalender[[#This Row],[Datum]],"TTTT")</f>
        <v>Donnerstag</v>
      </c>
      <c r="E880">
        <f>WEEKDAY(tbl_Kalender[[#This Row],[Datum]],2)</f>
        <v>4</v>
      </c>
      <c r="F880">
        <f>MONTH(tbl_Kalender[[#This Row],[Datum]])</f>
        <v>5</v>
      </c>
      <c r="G880" t="str">
        <f>TEXT(tbl_Kalender[[#This Row],[Datum]],"MMMM")</f>
        <v>Mai</v>
      </c>
      <c r="H880">
        <f>ROUNDUP(tbl_Kalender[[#This Row],[Monat]]/3,0)</f>
        <v>2</v>
      </c>
      <c r="I880" t="str">
        <f>"Q "&amp;tbl_Kalender[[#This Row],[Quartal]]</f>
        <v>Q 2</v>
      </c>
      <c r="J880" t="str">
        <f>tbl_Kalender[[#This Row],[Quartal]]&amp;". Quartal"</f>
        <v>2. Quartal</v>
      </c>
      <c r="K880">
        <f>_xlfn.ISOWEEKNUM(tbl_Kalender[[#This Row],[Datum]])</f>
        <v>22</v>
      </c>
    </row>
    <row r="881" spans="1:11" x14ac:dyDescent="0.25">
      <c r="A881" s="1">
        <v>46171</v>
      </c>
      <c r="B881">
        <f>YEAR(tbl_Kalender[[#This Row],[Datum]])</f>
        <v>2026</v>
      </c>
      <c r="C881">
        <f>DAY(tbl_Kalender[[#This Row],[Datum]])</f>
        <v>29</v>
      </c>
      <c r="D881" t="str">
        <f>TEXT(tbl_Kalender[[#This Row],[Datum]],"TTTT")</f>
        <v>Freitag</v>
      </c>
      <c r="E881">
        <f>WEEKDAY(tbl_Kalender[[#This Row],[Datum]],2)</f>
        <v>5</v>
      </c>
      <c r="F881">
        <f>MONTH(tbl_Kalender[[#This Row],[Datum]])</f>
        <v>5</v>
      </c>
      <c r="G881" t="str">
        <f>TEXT(tbl_Kalender[[#This Row],[Datum]],"MMMM")</f>
        <v>Mai</v>
      </c>
      <c r="H881">
        <f>ROUNDUP(tbl_Kalender[[#This Row],[Monat]]/3,0)</f>
        <v>2</v>
      </c>
      <c r="I881" t="str">
        <f>"Q "&amp;tbl_Kalender[[#This Row],[Quartal]]</f>
        <v>Q 2</v>
      </c>
      <c r="J881" t="str">
        <f>tbl_Kalender[[#This Row],[Quartal]]&amp;". Quartal"</f>
        <v>2. Quartal</v>
      </c>
      <c r="K881">
        <f>_xlfn.ISOWEEKNUM(tbl_Kalender[[#This Row],[Datum]])</f>
        <v>22</v>
      </c>
    </row>
    <row r="882" spans="1:11" x14ac:dyDescent="0.25">
      <c r="A882" s="1">
        <v>46172</v>
      </c>
      <c r="B882">
        <f>YEAR(tbl_Kalender[[#This Row],[Datum]])</f>
        <v>2026</v>
      </c>
      <c r="C882">
        <f>DAY(tbl_Kalender[[#This Row],[Datum]])</f>
        <v>30</v>
      </c>
      <c r="D882" t="str">
        <f>TEXT(tbl_Kalender[[#This Row],[Datum]],"TTTT")</f>
        <v>Samstag</v>
      </c>
      <c r="E882">
        <f>WEEKDAY(tbl_Kalender[[#This Row],[Datum]],2)</f>
        <v>6</v>
      </c>
      <c r="F882">
        <f>MONTH(tbl_Kalender[[#This Row],[Datum]])</f>
        <v>5</v>
      </c>
      <c r="G882" t="str">
        <f>TEXT(tbl_Kalender[[#This Row],[Datum]],"MMMM")</f>
        <v>Mai</v>
      </c>
      <c r="H882">
        <f>ROUNDUP(tbl_Kalender[[#This Row],[Monat]]/3,0)</f>
        <v>2</v>
      </c>
      <c r="I882" t="str">
        <f>"Q "&amp;tbl_Kalender[[#This Row],[Quartal]]</f>
        <v>Q 2</v>
      </c>
      <c r="J882" t="str">
        <f>tbl_Kalender[[#This Row],[Quartal]]&amp;". Quartal"</f>
        <v>2. Quartal</v>
      </c>
      <c r="K882">
        <f>_xlfn.ISOWEEKNUM(tbl_Kalender[[#This Row],[Datum]])</f>
        <v>22</v>
      </c>
    </row>
    <row r="883" spans="1:11" x14ac:dyDescent="0.25">
      <c r="A883" s="1">
        <v>46173</v>
      </c>
      <c r="B883">
        <f>YEAR(tbl_Kalender[[#This Row],[Datum]])</f>
        <v>2026</v>
      </c>
      <c r="C883">
        <f>DAY(tbl_Kalender[[#This Row],[Datum]])</f>
        <v>31</v>
      </c>
      <c r="D883" t="str">
        <f>TEXT(tbl_Kalender[[#This Row],[Datum]],"TTTT")</f>
        <v>Sonntag</v>
      </c>
      <c r="E883">
        <f>WEEKDAY(tbl_Kalender[[#This Row],[Datum]],2)</f>
        <v>7</v>
      </c>
      <c r="F883">
        <f>MONTH(tbl_Kalender[[#This Row],[Datum]])</f>
        <v>5</v>
      </c>
      <c r="G883" t="str">
        <f>TEXT(tbl_Kalender[[#This Row],[Datum]],"MMMM")</f>
        <v>Mai</v>
      </c>
      <c r="H883">
        <f>ROUNDUP(tbl_Kalender[[#This Row],[Monat]]/3,0)</f>
        <v>2</v>
      </c>
      <c r="I883" t="str">
        <f>"Q "&amp;tbl_Kalender[[#This Row],[Quartal]]</f>
        <v>Q 2</v>
      </c>
      <c r="J883" t="str">
        <f>tbl_Kalender[[#This Row],[Quartal]]&amp;". Quartal"</f>
        <v>2. Quartal</v>
      </c>
      <c r="K883">
        <f>_xlfn.ISOWEEKNUM(tbl_Kalender[[#This Row],[Datum]])</f>
        <v>22</v>
      </c>
    </row>
    <row r="884" spans="1:11" x14ac:dyDescent="0.25">
      <c r="A884" s="1">
        <v>46174</v>
      </c>
      <c r="B884">
        <f>YEAR(tbl_Kalender[[#This Row],[Datum]])</f>
        <v>2026</v>
      </c>
      <c r="C884">
        <f>DAY(tbl_Kalender[[#This Row],[Datum]])</f>
        <v>1</v>
      </c>
      <c r="D884" t="str">
        <f>TEXT(tbl_Kalender[[#This Row],[Datum]],"TTTT")</f>
        <v>Montag</v>
      </c>
      <c r="E884">
        <f>WEEKDAY(tbl_Kalender[[#This Row],[Datum]],2)</f>
        <v>1</v>
      </c>
      <c r="F884">
        <f>MONTH(tbl_Kalender[[#This Row],[Datum]])</f>
        <v>6</v>
      </c>
      <c r="G884" t="str">
        <f>TEXT(tbl_Kalender[[#This Row],[Datum]],"MMMM")</f>
        <v>Juni</v>
      </c>
      <c r="H884">
        <f>ROUNDUP(tbl_Kalender[[#This Row],[Monat]]/3,0)</f>
        <v>2</v>
      </c>
      <c r="I884" t="str">
        <f>"Q "&amp;tbl_Kalender[[#This Row],[Quartal]]</f>
        <v>Q 2</v>
      </c>
      <c r="J884" t="str">
        <f>tbl_Kalender[[#This Row],[Quartal]]&amp;". Quartal"</f>
        <v>2. Quartal</v>
      </c>
      <c r="K884">
        <f>_xlfn.ISOWEEKNUM(tbl_Kalender[[#This Row],[Datum]])</f>
        <v>23</v>
      </c>
    </row>
    <row r="885" spans="1:11" x14ac:dyDescent="0.25">
      <c r="A885" s="1">
        <v>46175</v>
      </c>
      <c r="B885">
        <f>YEAR(tbl_Kalender[[#This Row],[Datum]])</f>
        <v>2026</v>
      </c>
      <c r="C885">
        <f>DAY(tbl_Kalender[[#This Row],[Datum]])</f>
        <v>2</v>
      </c>
      <c r="D885" t="str">
        <f>TEXT(tbl_Kalender[[#This Row],[Datum]],"TTTT")</f>
        <v>Dienstag</v>
      </c>
      <c r="E885">
        <f>WEEKDAY(tbl_Kalender[[#This Row],[Datum]],2)</f>
        <v>2</v>
      </c>
      <c r="F885">
        <f>MONTH(tbl_Kalender[[#This Row],[Datum]])</f>
        <v>6</v>
      </c>
      <c r="G885" t="str">
        <f>TEXT(tbl_Kalender[[#This Row],[Datum]],"MMMM")</f>
        <v>Juni</v>
      </c>
      <c r="H885">
        <f>ROUNDUP(tbl_Kalender[[#This Row],[Monat]]/3,0)</f>
        <v>2</v>
      </c>
      <c r="I885" t="str">
        <f>"Q "&amp;tbl_Kalender[[#This Row],[Quartal]]</f>
        <v>Q 2</v>
      </c>
      <c r="J885" t="str">
        <f>tbl_Kalender[[#This Row],[Quartal]]&amp;". Quartal"</f>
        <v>2. Quartal</v>
      </c>
      <c r="K885">
        <f>_xlfn.ISOWEEKNUM(tbl_Kalender[[#This Row],[Datum]])</f>
        <v>23</v>
      </c>
    </row>
    <row r="886" spans="1:11" x14ac:dyDescent="0.25">
      <c r="A886" s="1">
        <v>46176</v>
      </c>
      <c r="B886">
        <f>YEAR(tbl_Kalender[[#This Row],[Datum]])</f>
        <v>2026</v>
      </c>
      <c r="C886">
        <f>DAY(tbl_Kalender[[#This Row],[Datum]])</f>
        <v>3</v>
      </c>
      <c r="D886" t="str">
        <f>TEXT(tbl_Kalender[[#This Row],[Datum]],"TTTT")</f>
        <v>Mittwoch</v>
      </c>
      <c r="E886">
        <f>WEEKDAY(tbl_Kalender[[#This Row],[Datum]],2)</f>
        <v>3</v>
      </c>
      <c r="F886">
        <f>MONTH(tbl_Kalender[[#This Row],[Datum]])</f>
        <v>6</v>
      </c>
      <c r="G886" t="str">
        <f>TEXT(tbl_Kalender[[#This Row],[Datum]],"MMMM")</f>
        <v>Juni</v>
      </c>
      <c r="H886">
        <f>ROUNDUP(tbl_Kalender[[#This Row],[Monat]]/3,0)</f>
        <v>2</v>
      </c>
      <c r="I886" t="str">
        <f>"Q "&amp;tbl_Kalender[[#This Row],[Quartal]]</f>
        <v>Q 2</v>
      </c>
      <c r="J886" t="str">
        <f>tbl_Kalender[[#This Row],[Quartal]]&amp;". Quartal"</f>
        <v>2. Quartal</v>
      </c>
      <c r="K886">
        <f>_xlfn.ISOWEEKNUM(tbl_Kalender[[#This Row],[Datum]])</f>
        <v>23</v>
      </c>
    </row>
    <row r="887" spans="1:11" x14ac:dyDescent="0.25">
      <c r="A887" s="1">
        <v>46177</v>
      </c>
      <c r="B887">
        <f>YEAR(tbl_Kalender[[#This Row],[Datum]])</f>
        <v>2026</v>
      </c>
      <c r="C887">
        <f>DAY(tbl_Kalender[[#This Row],[Datum]])</f>
        <v>4</v>
      </c>
      <c r="D887" t="str">
        <f>TEXT(tbl_Kalender[[#This Row],[Datum]],"TTTT")</f>
        <v>Donnerstag</v>
      </c>
      <c r="E887">
        <f>WEEKDAY(tbl_Kalender[[#This Row],[Datum]],2)</f>
        <v>4</v>
      </c>
      <c r="F887">
        <f>MONTH(tbl_Kalender[[#This Row],[Datum]])</f>
        <v>6</v>
      </c>
      <c r="G887" t="str">
        <f>TEXT(tbl_Kalender[[#This Row],[Datum]],"MMMM")</f>
        <v>Juni</v>
      </c>
      <c r="H887">
        <f>ROUNDUP(tbl_Kalender[[#This Row],[Monat]]/3,0)</f>
        <v>2</v>
      </c>
      <c r="I887" t="str">
        <f>"Q "&amp;tbl_Kalender[[#This Row],[Quartal]]</f>
        <v>Q 2</v>
      </c>
      <c r="J887" t="str">
        <f>tbl_Kalender[[#This Row],[Quartal]]&amp;". Quartal"</f>
        <v>2. Quartal</v>
      </c>
      <c r="K887">
        <f>_xlfn.ISOWEEKNUM(tbl_Kalender[[#This Row],[Datum]])</f>
        <v>23</v>
      </c>
    </row>
    <row r="888" spans="1:11" x14ac:dyDescent="0.25">
      <c r="A888" s="1">
        <v>46178</v>
      </c>
      <c r="B888">
        <f>YEAR(tbl_Kalender[[#This Row],[Datum]])</f>
        <v>2026</v>
      </c>
      <c r="C888">
        <f>DAY(tbl_Kalender[[#This Row],[Datum]])</f>
        <v>5</v>
      </c>
      <c r="D888" t="str">
        <f>TEXT(tbl_Kalender[[#This Row],[Datum]],"TTTT")</f>
        <v>Freitag</v>
      </c>
      <c r="E888">
        <f>WEEKDAY(tbl_Kalender[[#This Row],[Datum]],2)</f>
        <v>5</v>
      </c>
      <c r="F888">
        <f>MONTH(tbl_Kalender[[#This Row],[Datum]])</f>
        <v>6</v>
      </c>
      <c r="G888" t="str">
        <f>TEXT(tbl_Kalender[[#This Row],[Datum]],"MMMM")</f>
        <v>Juni</v>
      </c>
      <c r="H888">
        <f>ROUNDUP(tbl_Kalender[[#This Row],[Monat]]/3,0)</f>
        <v>2</v>
      </c>
      <c r="I888" t="str">
        <f>"Q "&amp;tbl_Kalender[[#This Row],[Quartal]]</f>
        <v>Q 2</v>
      </c>
      <c r="J888" t="str">
        <f>tbl_Kalender[[#This Row],[Quartal]]&amp;". Quartal"</f>
        <v>2. Quartal</v>
      </c>
      <c r="K888">
        <f>_xlfn.ISOWEEKNUM(tbl_Kalender[[#This Row],[Datum]])</f>
        <v>23</v>
      </c>
    </row>
    <row r="889" spans="1:11" x14ac:dyDescent="0.25">
      <c r="A889" s="1">
        <v>46179</v>
      </c>
      <c r="B889">
        <f>YEAR(tbl_Kalender[[#This Row],[Datum]])</f>
        <v>2026</v>
      </c>
      <c r="C889">
        <f>DAY(tbl_Kalender[[#This Row],[Datum]])</f>
        <v>6</v>
      </c>
      <c r="D889" t="str">
        <f>TEXT(tbl_Kalender[[#This Row],[Datum]],"TTTT")</f>
        <v>Samstag</v>
      </c>
      <c r="E889">
        <f>WEEKDAY(tbl_Kalender[[#This Row],[Datum]],2)</f>
        <v>6</v>
      </c>
      <c r="F889">
        <f>MONTH(tbl_Kalender[[#This Row],[Datum]])</f>
        <v>6</v>
      </c>
      <c r="G889" t="str">
        <f>TEXT(tbl_Kalender[[#This Row],[Datum]],"MMMM")</f>
        <v>Juni</v>
      </c>
      <c r="H889">
        <f>ROUNDUP(tbl_Kalender[[#This Row],[Monat]]/3,0)</f>
        <v>2</v>
      </c>
      <c r="I889" t="str">
        <f>"Q "&amp;tbl_Kalender[[#This Row],[Quartal]]</f>
        <v>Q 2</v>
      </c>
      <c r="J889" t="str">
        <f>tbl_Kalender[[#This Row],[Quartal]]&amp;". Quartal"</f>
        <v>2. Quartal</v>
      </c>
      <c r="K889">
        <f>_xlfn.ISOWEEKNUM(tbl_Kalender[[#This Row],[Datum]])</f>
        <v>23</v>
      </c>
    </row>
    <row r="890" spans="1:11" x14ac:dyDescent="0.25">
      <c r="A890" s="1">
        <v>46180</v>
      </c>
      <c r="B890">
        <f>YEAR(tbl_Kalender[[#This Row],[Datum]])</f>
        <v>2026</v>
      </c>
      <c r="C890">
        <f>DAY(tbl_Kalender[[#This Row],[Datum]])</f>
        <v>7</v>
      </c>
      <c r="D890" t="str">
        <f>TEXT(tbl_Kalender[[#This Row],[Datum]],"TTTT")</f>
        <v>Sonntag</v>
      </c>
      <c r="E890">
        <f>WEEKDAY(tbl_Kalender[[#This Row],[Datum]],2)</f>
        <v>7</v>
      </c>
      <c r="F890">
        <f>MONTH(tbl_Kalender[[#This Row],[Datum]])</f>
        <v>6</v>
      </c>
      <c r="G890" t="str">
        <f>TEXT(tbl_Kalender[[#This Row],[Datum]],"MMMM")</f>
        <v>Juni</v>
      </c>
      <c r="H890">
        <f>ROUNDUP(tbl_Kalender[[#This Row],[Monat]]/3,0)</f>
        <v>2</v>
      </c>
      <c r="I890" t="str">
        <f>"Q "&amp;tbl_Kalender[[#This Row],[Quartal]]</f>
        <v>Q 2</v>
      </c>
      <c r="J890" t="str">
        <f>tbl_Kalender[[#This Row],[Quartal]]&amp;". Quartal"</f>
        <v>2. Quartal</v>
      </c>
      <c r="K890">
        <f>_xlfn.ISOWEEKNUM(tbl_Kalender[[#This Row],[Datum]])</f>
        <v>23</v>
      </c>
    </row>
    <row r="891" spans="1:11" x14ac:dyDescent="0.25">
      <c r="A891" s="1">
        <v>46181</v>
      </c>
      <c r="B891">
        <f>YEAR(tbl_Kalender[[#This Row],[Datum]])</f>
        <v>2026</v>
      </c>
      <c r="C891">
        <f>DAY(tbl_Kalender[[#This Row],[Datum]])</f>
        <v>8</v>
      </c>
      <c r="D891" t="str">
        <f>TEXT(tbl_Kalender[[#This Row],[Datum]],"TTTT")</f>
        <v>Montag</v>
      </c>
      <c r="E891">
        <f>WEEKDAY(tbl_Kalender[[#This Row],[Datum]],2)</f>
        <v>1</v>
      </c>
      <c r="F891">
        <f>MONTH(tbl_Kalender[[#This Row],[Datum]])</f>
        <v>6</v>
      </c>
      <c r="G891" t="str">
        <f>TEXT(tbl_Kalender[[#This Row],[Datum]],"MMMM")</f>
        <v>Juni</v>
      </c>
      <c r="H891">
        <f>ROUNDUP(tbl_Kalender[[#This Row],[Monat]]/3,0)</f>
        <v>2</v>
      </c>
      <c r="I891" t="str">
        <f>"Q "&amp;tbl_Kalender[[#This Row],[Quartal]]</f>
        <v>Q 2</v>
      </c>
      <c r="J891" t="str">
        <f>tbl_Kalender[[#This Row],[Quartal]]&amp;". Quartal"</f>
        <v>2. Quartal</v>
      </c>
      <c r="K891">
        <f>_xlfn.ISOWEEKNUM(tbl_Kalender[[#This Row],[Datum]])</f>
        <v>24</v>
      </c>
    </row>
    <row r="892" spans="1:11" x14ac:dyDescent="0.25">
      <c r="A892" s="1">
        <v>46182</v>
      </c>
      <c r="B892">
        <f>YEAR(tbl_Kalender[[#This Row],[Datum]])</f>
        <v>2026</v>
      </c>
      <c r="C892">
        <f>DAY(tbl_Kalender[[#This Row],[Datum]])</f>
        <v>9</v>
      </c>
      <c r="D892" t="str">
        <f>TEXT(tbl_Kalender[[#This Row],[Datum]],"TTTT")</f>
        <v>Dienstag</v>
      </c>
      <c r="E892">
        <f>WEEKDAY(tbl_Kalender[[#This Row],[Datum]],2)</f>
        <v>2</v>
      </c>
      <c r="F892">
        <f>MONTH(tbl_Kalender[[#This Row],[Datum]])</f>
        <v>6</v>
      </c>
      <c r="G892" t="str">
        <f>TEXT(tbl_Kalender[[#This Row],[Datum]],"MMMM")</f>
        <v>Juni</v>
      </c>
      <c r="H892">
        <f>ROUNDUP(tbl_Kalender[[#This Row],[Monat]]/3,0)</f>
        <v>2</v>
      </c>
      <c r="I892" t="str">
        <f>"Q "&amp;tbl_Kalender[[#This Row],[Quartal]]</f>
        <v>Q 2</v>
      </c>
      <c r="J892" t="str">
        <f>tbl_Kalender[[#This Row],[Quartal]]&amp;". Quartal"</f>
        <v>2. Quartal</v>
      </c>
      <c r="K892">
        <f>_xlfn.ISOWEEKNUM(tbl_Kalender[[#This Row],[Datum]])</f>
        <v>24</v>
      </c>
    </row>
    <row r="893" spans="1:11" x14ac:dyDescent="0.25">
      <c r="A893" s="1">
        <v>46183</v>
      </c>
      <c r="B893">
        <f>YEAR(tbl_Kalender[[#This Row],[Datum]])</f>
        <v>2026</v>
      </c>
      <c r="C893">
        <f>DAY(tbl_Kalender[[#This Row],[Datum]])</f>
        <v>10</v>
      </c>
      <c r="D893" t="str">
        <f>TEXT(tbl_Kalender[[#This Row],[Datum]],"TTTT")</f>
        <v>Mittwoch</v>
      </c>
      <c r="E893">
        <f>WEEKDAY(tbl_Kalender[[#This Row],[Datum]],2)</f>
        <v>3</v>
      </c>
      <c r="F893">
        <f>MONTH(tbl_Kalender[[#This Row],[Datum]])</f>
        <v>6</v>
      </c>
      <c r="G893" t="str">
        <f>TEXT(tbl_Kalender[[#This Row],[Datum]],"MMMM")</f>
        <v>Juni</v>
      </c>
      <c r="H893">
        <f>ROUNDUP(tbl_Kalender[[#This Row],[Monat]]/3,0)</f>
        <v>2</v>
      </c>
      <c r="I893" t="str">
        <f>"Q "&amp;tbl_Kalender[[#This Row],[Quartal]]</f>
        <v>Q 2</v>
      </c>
      <c r="J893" t="str">
        <f>tbl_Kalender[[#This Row],[Quartal]]&amp;". Quartal"</f>
        <v>2. Quartal</v>
      </c>
      <c r="K893">
        <f>_xlfn.ISOWEEKNUM(tbl_Kalender[[#This Row],[Datum]])</f>
        <v>24</v>
      </c>
    </row>
    <row r="894" spans="1:11" x14ac:dyDescent="0.25">
      <c r="A894" s="1">
        <v>46184</v>
      </c>
      <c r="B894">
        <f>YEAR(tbl_Kalender[[#This Row],[Datum]])</f>
        <v>2026</v>
      </c>
      <c r="C894">
        <f>DAY(tbl_Kalender[[#This Row],[Datum]])</f>
        <v>11</v>
      </c>
      <c r="D894" t="str">
        <f>TEXT(tbl_Kalender[[#This Row],[Datum]],"TTTT")</f>
        <v>Donnerstag</v>
      </c>
      <c r="E894">
        <f>WEEKDAY(tbl_Kalender[[#This Row],[Datum]],2)</f>
        <v>4</v>
      </c>
      <c r="F894">
        <f>MONTH(tbl_Kalender[[#This Row],[Datum]])</f>
        <v>6</v>
      </c>
      <c r="G894" t="str">
        <f>TEXT(tbl_Kalender[[#This Row],[Datum]],"MMMM")</f>
        <v>Juni</v>
      </c>
      <c r="H894">
        <f>ROUNDUP(tbl_Kalender[[#This Row],[Monat]]/3,0)</f>
        <v>2</v>
      </c>
      <c r="I894" t="str">
        <f>"Q "&amp;tbl_Kalender[[#This Row],[Quartal]]</f>
        <v>Q 2</v>
      </c>
      <c r="J894" t="str">
        <f>tbl_Kalender[[#This Row],[Quartal]]&amp;". Quartal"</f>
        <v>2. Quartal</v>
      </c>
      <c r="K894">
        <f>_xlfn.ISOWEEKNUM(tbl_Kalender[[#This Row],[Datum]])</f>
        <v>24</v>
      </c>
    </row>
    <row r="895" spans="1:11" x14ac:dyDescent="0.25">
      <c r="A895" s="1">
        <v>46185</v>
      </c>
      <c r="B895">
        <f>YEAR(tbl_Kalender[[#This Row],[Datum]])</f>
        <v>2026</v>
      </c>
      <c r="C895">
        <f>DAY(tbl_Kalender[[#This Row],[Datum]])</f>
        <v>12</v>
      </c>
      <c r="D895" t="str">
        <f>TEXT(tbl_Kalender[[#This Row],[Datum]],"TTTT")</f>
        <v>Freitag</v>
      </c>
      <c r="E895">
        <f>WEEKDAY(tbl_Kalender[[#This Row],[Datum]],2)</f>
        <v>5</v>
      </c>
      <c r="F895">
        <f>MONTH(tbl_Kalender[[#This Row],[Datum]])</f>
        <v>6</v>
      </c>
      <c r="G895" t="str">
        <f>TEXT(tbl_Kalender[[#This Row],[Datum]],"MMMM")</f>
        <v>Juni</v>
      </c>
      <c r="H895">
        <f>ROUNDUP(tbl_Kalender[[#This Row],[Monat]]/3,0)</f>
        <v>2</v>
      </c>
      <c r="I895" t="str">
        <f>"Q "&amp;tbl_Kalender[[#This Row],[Quartal]]</f>
        <v>Q 2</v>
      </c>
      <c r="J895" t="str">
        <f>tbl_Kalender[[#This Row],[Quartal]]&amp;". Quartal"</f>
        <v>2. Quartal</v>
      </c>
      <c r="K895">
        <f>_xlfn.ISOWEEKNUM(tbl_Kalender[[#This Row],[Datum]])</f>
        <v>24</v>
      </c>
    </row>
    <row r="896" spans="1:11" x14ac:dyDescent="0.25">
      <c r="A896" s="1">
        <v>46186</v>
      </c>
      <c r="B896">
        <f>YEAR(tbl_Kalender[[#This Row],[Datum]])</f>
        <v>2026</v>
      </c>
      <c r="C896">
        <f>DAY(tbl_Kalender[[#This Row],[Datum]])</f>
        <v>13</v>
      </c>
      <c r="D896" t="str">
        <f>TEXT(tbl_Kalender[[#This Row],[Datum]],"TTTT")</f>
        <v>Samstag</v>
      </c>
      <c r="E896">
        <f>WEEKDAY(tbl_Kalender[[#This Row],[Datum]],2)</f>
        <v>6</v>
      </c>
      <c r="F896">
        <f>MONTH(tbl_Kalender[[#This Row],[Datum]])</f>
        <v>6</v>
      </c>
      <c r="G896" t="str">
        <f>TEXT(tbl_Kalender[[#This Row],[Datum]],"MMMM")</f>
        <v>Juni</v>
      </c>
      <c r="H896">
        <f>ROUNDUP(tbl_Kalender[[#This Row],[Monat]]/3,0)</f>
        <v>2</v>
      </c>
      <c r="I896" t="str">
        <f>"Q "&amp;tbl_Kalender[[#This Row],[Quartal]]</f>
        <v>Q 2</v>
      </c>
      <c r="J896" t="str">
        <f>tbl_Kalender[[#This Row],[Quartal]]&amp;". Quartal"</f>
        <v>2. Quartal</v>
      </c>
      <c r="K896">
        <f>_xlfn.ISOWEEKNUM(tbl_Kalender[[#This Row],[Datum]])</f>
        <v>24</v>
      </c>
    </row>
    <row r="897" spans="1:11" x14ac:dyDescent="0.25">
      <c r="A897" s="1">
        <v>46187</v>
      </c>
      <c r="B897">
        <f>YEAR(tbl_Kalender[[#This Row],[Datum]])</f>
        <v>2026</v>
      </c>
      <c r="C897">
        <f>DAY(tbl_Kalender[[#This Row],[Datum]])</f>
        <v>14</v>
      </c>
      <c r="D897" t="str">
        <f>TEXT(tbl_Kalender[[#This Row],[Datum]],"TTTT")</f>
        <v>Sonntag</v>
      </c>
      <c r="E897">
        <f>WEEKDAY(tbl_Kalender[[#This Row],[Datum]],2)</f>
        <v>7</v>
      </c>
      <c r="F897">
        <f>MONTH(tbl_Kalender[[#This Row],[Datum]])</f>
        <v>6</v>
      </c>
      <c r="G897" t="str">
        <f>TEXT(tbl_Kalender[[#This Row],[Datum]],"MMMM")</f>
        <v>Juni</v>
      </c>
      <c r="H897">
        <f>ROUNDUP(tbl_Kalender[[#This Row],[Monat]]/3,0)</f>
        <v>2</v>
      </c>
      <c r="I897" t="str">
        <f>"Q "&amp;tbl_Kalender[[#This Row],[Quartal]]</f>
        <v>Q 2</v>
      </c>
      <c r="J897" t="str">
        <f>tbl_Kalender[[#This Row],[Quartal]]&amp;". Quartal"</f>
        <v>2. Quartal</v>
      </c>
      <c r="K897">
        <f>_xlfn.ISOWEEKNUM(tbl_Kalender[[#This Row],[Datum]])</f>
        <v>24</v>
      </c>
    </row>
    <row r="898" spans="1:11" x14ac:dyDescent="0.25">
      <c r="A898" s="1">
        <v>46188</v>
      </c>
      <c r="B898">
        <f>YEAR(tbl_Kalender[[#This Row],[Datum]])</f>
        <v>2026</v>
      </c>
      <c r="C898">
        <f>DAY(tbl_Kalender[[#This Row],[Datum]])</f>
        <v>15</v>
      </c>
      <c r="D898" t="str">
        <f>TEXT(tbl_Kalender[[#This Row],[Datum]],"TTTT")</f>
        <v>Montag</v>
      </c>
      <c r="E898">
        <f>WEEKDAY(tbl_Kalender[[#This Row],[Datum]],2)</f>
        <v>1</v>
      </c>
      <c r="F898">
        <f>MONTH(tbl_Kalender[[#This Row],[Datum]])</f>
        <v>6</v>
      </c>
      <c r="G898" t="str">
        <f>TEXT(tbl_Kalender[[#This Row],[Datum]],"MMMM")</f>
        <v>Juni</v>
      </c>
      <c r="H898">
        <f>ROUNDUP(tbl_Kalender[[#This Row],[Monat]]/3,0)</f>
        <v>2</v>
      </c>
      <c r="I898" t="str">
        <f>"Q "&amp;tbl_Kalender[[#This Row],[Quartal]]</f>
        <v>Q 2</v>
      </c>
      <c r="J898" t="str">
        <f>tbl_Kalender[[#This Row],[Quartal]]&amp;". Quartal"</f>
        <v>2. Quartal</v>
      </c>
      <c r="K898">
        <f>_xlfn.ISOWEEKNUM(tbl_Kalender[[#This Row],[Datum]])</f>
        <v>25</v>
      </c>
    </row>
    <row r="899" spans="1:11" x14ac:dyDescent="0.25">
      <c r="A899" s="1">
        <v>46189</v>
      </c>
      <c r="B899">
        <f>YEAR(tbl_Kalender[[#This Row],[Datum]])</f>
        <v>2026</v>
      </c>
      <c r="C899">
        <f>DAY(tbl_Kalender[[#This Row],[Datum]])</f>
        <v>16</v>
      </c>
      <c r="D899" t="str">
        <f>TEXT(tbl_Kalender[[#This Row],[Datum]],"TTTT")</f>
        <v>Dienstag</v>
      </c>
      <c r="E899">
        <f>WEEKDAY(tbl_Kalender[[#This Row],[Datum]],2)</f>
        <v>2</v>
      </c>
      <c r="F899">
        <f>MONTH(tbl_Kalender[[#This Row],[Datum]])</f>
        <v>6</v>
      </c>
      <c r="G899" t="str">
        <f>TEXT(tbl_Kalender[[#This Row],[Datum]],"MMMM")</f>
        <v>Juni</v>
      </c>
      <c r="H899">
        <f>ROUNDUP(tbl_Kalender[[#This Row],[Monat]]/3,0)</f>
        <v>2</v>
      </c>
      <c r="I899" t="str">
        <f>"Q "&amp;tbl_Kalender[[#This Row],[Quartal]]</f>
        <v>Q 2</v>
      </c>
      <c r="J899" t="str">
        <f>tbl_Kalender[[#This Row],[Quartal]]&amp;". Quartal"</f>
        <v>2. Quartal</v>
      </c>
      <c r="K899">
        <f>_xlfn.ISOWEEKNUM(tbl_Kalender[[#This Row],[Datum]])</f>
        <v>25</v>
      </c>
    </row>
    <row r="900" spans="1:11" x14ac:dyDescent="0.25">
      <c r="A900" s="1">
        <v>46190</v>
      </c>
      <c r="B900">
        <f>YEAR(tbl_Kalender[[#This Row],[Datum]])</f>
        <v>2026</v>
      </c>
      <c r="C900">
        <f>DAY(tbl_Kalender[[#This Row],[Datum]])</f>
        <v>17</v>
      </c>
      <c r="D900" t="str">
        <f>TEXT(tbl_Kalender[[#This Row],[Datum]],"TTTT")</f>
        <v>Mittwoch</v>
      </c>
      <c r="E900">
        <f>WEEKDAY(tbl_Kalender[[#This Row],[Datum]],2)</f>
        <v>3</v>
      </c>
      <c r="F900">
        <f>MONTH(tbl_Kalender[[#This Row],[Datum]])</f>
        <v>6</v>
      </c>
      <c r="G900" t="str">
        <f>TEXT(tbl_Kalender[[#This Row],[Datum]],"MMMM")</f>
        <v>Juni</v>
      </c>
      <c r="H900">
        <f>ROUNDUP(tbl_Kalender[[#This Row],[Monat]]/3,0)</f>
        <v>2</v>
      </c>
      <c r="I900" t="str">
        <f>"Q "&amp;tbl_Kalender[[#This Row],[Quartal]]</f>
        <v>Q 2</v>
      </c>
      <c r="J900" t="str">
        <f>tbl_Kalender[[#This Row],[Quartal]]&amp;". Quartal"</f>
        <v>2. Quartal</v>
      </c>
      <c r="K900">
        <f>_xlfn.ISOWEEKNUM(tbl_Kalender[[#This Row],[Datum]])</f>
        <v>25</v>
      </c>
    </row>
    <row r="901" spans="1:11" x14ac:dyDescent="0.25">
      <c r="A901" s="1">
        <v>46191</v>
      </c>
      <c r="B901">
        <f>YEAR(tbl_Kalender[[#This Row],[Datum]])</f>
        <v>2026</v>
      </c>
      <c r="C901">
        <f>DAY(tbl_Kalender[[#This Row],[Datum]])</f>
        <v>18</v>
      </c>
      <c r="D901" t="str">
        <f>TEXT(tbl_Kalender[[#This Row],[Datum]],"TTTT")</f>
        <v>Donnerstag</v>
      </c>
      <c r="E901">
        <f>WEEKDAY(tbl_Kalender[[#This Row],[Datum]],2)</f>
        <v>4</v>
      </c>
      <c r="F901">
        <f>MONTH(tbl_Kalender[[#This Row],[Datum]])</f>
        <v>6</v>
      </c>
      <c r="G901" t="str">
        <f>TEXT(tbl_Kalender[[#This Row],[Datum]],"MMMM")</f>
        <v>Juni</v>
      </c>
      <c r="H901">
        <f>ROUNDUP(tbl_Kalender[[#This Row],[Monat]]/3,0)</f>
        <v>2</v>
      </c>
      <c r="I901" t="str">
        <f>"Q "&amp;tbl_Kalender[[#This Row],[Quartal]]</f>
        <v>Q 2</v>
      </c>
      <c r="J901" t="str">
        <f>tbl_Kalender[[#This Row],[Quartal]]&amp;". Quartal"</f>
        <v>2. Quartal</v>
      </c>
      <c r="K901">
        <f>_xlfn.ISOWEEKNUM(tbl_Kalender[[#This Row],[Datum]])</f>
        <v>25</v>
      </c>
    </row>
    <row r="902" spans="1:11" x14ac:dyDescent="0.25">
      <c r="A902" s="1">
        <v>46192</v>
      </c>
      <c r="B902">
        <f>YEAR(tbl_Kalender[[#This Row],[Datum]])</f>
        <v>2026</v>
      </c>
      <c r="C902">
        <f>DAY(tbl_Kalender[[#This Row],[Datum]])</f>
        <v>19</v>
      </c>
      <c r="D902" t="str">
        <f>TEXT(tbl_Kalender[[#This Row],[Datum]],"TTTT")</f>
        <v>Freitag</v>
      </c>
      <c r="E902">
        <f>WEEKDAY(tbl_Kalender[[#This Row],[Datum]],2)</f>
        <v>5</v>
      </c>
      <c r="F902">
        <f>MONTH(tbl_Kalender[[#This Row],[Datum]])</f>
        <v>6</v>
      </c>
      <c r="G902" t="str">
        <f>TEXT(tbl_Kalender[[#This Row],[Datum]],"MMMM")</f>
        <v>Juni</v>
      </c>
      <c r="H902">
        <f>ROUNDUP(tbl_Kalender[[#This Row],[Monat]]/3,0)</f>
        <v>2</v>
      </c>
      <c r="I902" t="str">
        <f>"Q "&amp;tbl_Kalender[[#This Row],[Quartal]]</f>
        <v>Q 2</v>
      </c>
      <c r="J902" t="str">
        <f>tbl_Kalender[[#This Row],[Quartal]]&amp;". Quartal"</f>
        <v>2. Quartal</v>
      </c>
      <c r="K902">
        <f>_xlfn.ISOWEEKNUM(tbl_Kalender[[#This Row],[Datum]])</f>
        <v>25</v>
      </c>
    </row>
    <row r="903" spans="1:11" x14ac:dyDescent="0.25">
      <c r="A903" s="1">
        <v>46193</v>
      </c>
      <c r="B903">
        <f>YEAR(tbl_Kalender[[#This Row],[Datum]])</f>
        <v>2026</v>
      </c>
      <c r="C903">
        <f>DAY(tbl_Kalender[[#This Row],[Datum]])</f>
        <v>20</v>
      </c>
      <c r="D903" t="str">
        <f>TEXT(tbl_Kalender[[#This Row],[Datum]],"TTTT")</f>
        <v>Samstag</v>
      </c>
      <c r="E903">
        <f>WEEKDAY(tbl_Kalender[[#This Row],[Datum]],2)</f>
        <v>6</v>
      </c>
      <c r="F903">
        <f>MONTH(tbl_Kalender[[#This Row],[Datum]])</f>
        <v>6</v>
      </c>
      <c r="G903" t="str">
        <f>TEXT(tbl_Kalender[[#This Row],[Datum]],"MMMM")</f>
        <v>Juni</v>
      </c>
      <c r="H903">
        <f>ROUNDUP(tbl_Kalender[[#This Row],[Monat]]/3,0)</f>
        <v>2</v>
      </c>
      <c r="I903" t="str">
        <f>"Q "&amp;tbl_Kalender[[#This Row],[Quartal]]</f>
        <v>Q 2</v>
      </c>
      <c r="J903" t="str">
        <f>tbl_Kalender[[#This Row],[Quartal]]&amp;". Quartal"</f>
        <v>2. Quartal</v>
      </c>
      <c r="K903">
        <f>_xlfn.ISOWEEKNUM(tbl_Kalender[[#This Row],[Datum]])</f>
        <v>25</v>
      </c>
    </row>
    <row r="904" spans="1:11" x14ac:dyDescent="0.25">
      <c r="A904" s="1">
        <v>46194</v>
      </c>
      <c r="B904">
        <f>YEAR(tbl_Kalender[[#This Row],[Datum]])</f>
        <v>2026</v>
      </c>
      <c r="C904">
        <f>DAY(tbl_Kalender[[#This Row],[Datum]])</f>
        <v>21</v>
      </c>
      <c r="D904" t="str">
        <f>TEXT(tbl_Kalender[[#This Row],[Datum]],"TTTT")</f>
        <v>Sonntag</v>
      </c>
      <c r="E904">
        <f>WEEKDAY(tbl_Kalender[[#This Row],[Datum]],2)</f>
        <v>7</v>
      </c>
      <c r="F904">
        <f>MONTH(tbl_Kalender[[#This Row],[Datum]])</f>
        <v>6</v>
      </c>
      <c r="G904" t="str">
        <f>TEXT(tbl_Kalender[[#This Row],[Datum]],"MMMM")</f>
        <v>Juni</v>
      </c>
      <c r="H904">
        <f>ROUNDUP(tbl_Kalender[[#This Row],[Monat]]/3,0)</f>
        <v>2</v>
      </c>
      <c r="I904" t="str">
        <f>"Q "&amp;tbl_Kalender[[#This Row],[Quartal]]</f>
        <v>Q 2</v>
      </c>
      <c r="J904" t="str">
        <f>tbl_Kalender[[#This Row],[Quartal]]&amp;". Quartal"</f>
        <v>2. Quartal</v>
      </c>
      <c r="K904">
        <f>_xlfn.ISOWEEKNUM(tbl_Kalender[[#This Row],[Datum]])</f>
        <v>25</v>
      </c>
    </row>
    <row r="905" spans="1:11" x14ac:dyDescent="0.25">
      <c r="A905" s="1">
        <v>46195</v>
      </c>
      <c r="B905">
        <f>YEAR(tbl_Kalender[[#This Row],[Datum]])</f>
        <v>2026</v>
      </c>
      <c r="C905">
        <f>DAY(tbl_Kalender[[#This Row],[Datum]])</f>
        <v>22</v>
      </c>
      <c r="D905" t="str">
        <f>TEXT(tbl_Kalender[[#This Row],[Datum]],"TTTT")</f>
        <v>Montag</v>
      </c>
      <c r="E905">
        <f>WEEKDAY(tbl_Kalender[[#This Row],[Datum]],2)</f>
        <v>1</v>
      </c>
      <c r="F905">
        <f>MONTH(tbl_Kalender[[#This Row],[Datum]])</f>
        <v>6</v>
      </c>
      <c r="G905" t="str">
        <f>TEXT(tbl_Kalender[[#This Row],[Datum]],"MMMM")</f>
        <v>Juni</v>
      </c>
      <c r="H905">
        <f>ROUNDUP(tbl_Kalender[[#This Row],[Monat]]/3,0)</f>
        <v>2</v>
      </c>
      <c r="I905" t="str">
        <f>"Q "&amp;tbl_Kalender[[#This Row],[Quartal]]</f>
        <v>Q 2</v>
      </c>
      <c r="J905" t="str">
        <f>tbl_Kalender[[#This Row],[Quartal]]&amp;". Quartal"</f>
        <v>2. Quartal</v>
      </c>
      <c r="K905">
        <f>_xlfn.ISOWEEKNUM(tbl_Kalender[[#This Row],[Datum]])</f>
        <v>26</v>
      </c>
    </row>
    <row r="906" spans="1:11" x14ac:dyDescent="0.25">
      <c r="A906" s="1">
        <v>46196</v>
      </c>
      <c r="B906">
        <f>YEAR(tbl_Kalender[[#This Row],[Datum]])</f>
        <v>2026</v>
      </c>
      <c r="C906">
        <f>DAY(tbl_Kalender[[#This Row],[Datum]])</f>
        <v>23</v>
      </c>
      <c r="D906" t="str">
        <f>TEXT(tbl_Kalender[[#This Row],[Datum]],"TTTT")</f>
        <v>Dienstag</v>
      </c>
      <c r="E906">
        <f>WEEKDAY(tbl_Kalender[[#This Row],[Datum]],2)</f>
        <v>2</v>
      </c>
      <c r="F906">
        <f>MONTH(tbl_Kalender[[#This Row],[Datum]])</f>
        <v>6</v>
      </c>
      <c r="G906" t="str">
        <f>TEXT(tbl_Kalender[[#This Row],[Datum]],"MMMM")</f>
        <v>Juni</v>
      </c>
      <c r="H906">
        <f>ROUNDUP(tbl_Kalender[[#This Row],[Monat]]/3,0)</f>
        <v>2</v>
      </c>
      <c r="I906" t="str">
        <f>"Q "&amp;tbl_Kalender[[#This Row],[Quartal]]</f>
        <v>Q 2</v>
      </c>
      <c r="J906" t="str">
        <f>tbl_Kalender[[#This Row],[Quartal]]&amp;". Quartal"</f>
        <v>2. Quartal</v>
      </c>
      <c r="K906">
        <f>_xlfn.ISOWEEKNUM(tbl_Kalender[[#This Row],[Datum]])</f>
        <v>26</v>
      </c>
    </row>
    <row r="907" spans="1:11" x14ac:dyDescent="0.25">
      <c r="A907" s="1">
        <v>46197</v>
      </c>
      <c r="B907">
        <f>YEAR(tbl_Kalender[[#This Row],[Datum]])</f>
        <v>2026</v>
      </c>
      <c r="C907">
        <f>DAY(tbl_Kalender[[#This Row],[Datum]])</f>
        <v>24</v>
      </c>
      <c r="D907" t="str">
        <f>TEXT(tbl_Kalender[[#This Row],[Datum]],"TTTT")</f>
        <v>Mittwoch</v>
      </c>
      <c r="E907">
        <f>WEEKDAY(tbl_Kalender[[#This Row],[Datum]],2)</f>
        <v>3</v>
      </c>
      <c r="F907">
        <f>MONTH(tbl_Kalender[[#This Row],[Datum]])</f>
        <v>6</v>
      </c>
      <c r="G907" t="str">
        <f>TEXT(tbl_Kalender[[#This Row],[Datum]],"MMMM")</f>
        <v>Juni</v>
      </c>
      <c r="H907">
        <f>ROUNDUP(tbl_Kalender[[#This Row],[Monat]]/3,0)</f>
        <v>2</v>
      </c>
      <c r="I907" t="str">
        <f>"Q "&amp;tbl_Kalender[[#This Row],[Quartal]]</f>
        <v>Q 2</v>
      </c>
      <c r="J907" t="str">
        <f>tbl_Kalender[[#This Row],[Quartal]]&amp;". Quartal"</f>
        <v>2. Quartal</v>
      </c>
      <c r="K907">
        <f>_xlfn.ISOWEEKNUM(tbl_Kalender[[#This Row],[Datum]])</f>
        <v>26</v>
      </c>
    </row>
    <row r="908" spans="1:11" x14ac:dyDescent="0.25">
      <c r="A908" s="1">
        <v>46198</v>
      </c>
      <c r="B908">
        <f>YEAR(tbl_Kalender[[#This Row],[Datum]])</f>
        <v>2026</v>
      </c>
      <c r="C908">
        <f>DAY(tbl_Kalender[[#This Row],[Datum]])</f>
        <v>25</v>
      </c>
      <c r="D908" t="str">
        <f>TEXT(tbl_Kalender[[#This Row],[Datum]],"TTTT")</f>
        <v>Donnerstag</v>
      </c>
      <c r="E908">
        <f>WEEKDAY(tbl_Kalender[[#This Row],[Datum]],2)</f>
        <v>4</v>
      </c>
      <c r="F908">
        <f>MONTH(tbl_Kalender[[#This Row],[Datum]])</f>
        <v>6</v>
      </c>
      <c r="G908" t="str">
        <f>TEXT(tbl_Kalender[[#This Row],[Datum]],"MMMM")</f>
        <v>Juni</v>
      </c>
      <c r="H908">
        <f>ROUNDUP(tbl_Kalender[[#This Row],[Monat]]/3,0)</f>
        <v>2</v>
      </c>
      <c r="I908" t="str">
        <f>"Q "&amp;tbl_Kalender[[#This Row],[Quartal]]</f>
        <v>Q 2</v>
      </c>
      <c r="J908" t="str">
        <f>tbl_Kalender[[#This Row],[Quartal]]&amp;". Quartal"</f>
        <v>2. Quartal</v>
      </c>
      <c r="K908">
        <f>_xlfn.ISOWEEKNUM(tbl_Kalender[[#This Row],[Datum]])</f>
        <v>26</v>
      </c>
    </row>
    <row r="909" spans="1:11" x14ac:dyDescent="0.25">
      <c r="A909" s="1">
        <v>46199</v>
      </c>
      <c r="B909">
        <f>YEAR(tbl_Kalender[[#This Row],[Datum]])</f>
        <v>2026</v>
      </c>
      <c r="C909">
        <f>DAY(tbl_Kalender[[#This Row],[Datum]])</f>
        <v>26</v>
      </c>
      <c r="D909" t="str">
        <f>TEXT(tbl_Kalender[[#This Row],[Datum]],"TTTT")</f>
        <v>Freitag</v>
      </c>
      <c r="E909">
        <f>WEEKDAY(tbl_Kalender[[#This Row],[Datum]],2)</f>
        <v>5</v>
      </c>
      <c r="F909">
        <f>MONTH(tbl_Kalender[[#This Row],[Datum]])</f>
        <v>6</v>
      </c>
      <c r="G909" t="str">
        <f>TEXT(tbl_Kalender[[#This Row],[Datum]],"MMMM")</f>
        <v>Juni</v>
      </c>
      <c r="H909">
        <f>ROUNDUP(tbl_Kalender[[#This Row],[Monat]]/3,0)</f>
        <v>2</v>
      </c>
      <c r="I909" t="str">
        <f>"Q "&amp;tbl_Kalender[[#This Row],[Quartal]]</f>
        <v>Q 2</v>
      </c>
      <c r="J909" t="str">
        <f>tbl_Kalender[[#This Row],[Quartal]]&amp;". Quartal"</f>
        <v>2. Quartal</v>
      </c>
      <c r="K909">
        <f>_xlfn.ISOWEEKNUM(tbl_Kalender[[#This Row],[Datum]])</f>
        <v>26</v>
      </c>
    </row>
    <row r="910" spans="1:11" x14ac:dyDescent="0.25">
      <c r="A910" s="1">
        <v>46200</v>
      </c>
      <c r="B910">
        <f>YEAR(tbl_Kalender[[#This Row],[Datum]])</f>
        <v>2026</v>
      </c>
      <c r="C910">
        <f>DAY(tbl_Kalender[[#This Row],[Datum]])</f>
        <v>27</v>
      </c>
      <c r="D910" t="str">
        <f>TEXT(tbl_Kalender[[#This Row],[Datum]],"TTTT")</f>
        <v>Samstag</v>
      </c>
      <c r="E910">
        <f>WEEKDAY(tbl_Kalender[[#This Row],[Datum]],2)</f>
        <v>6</v>
      </c>
      <c r="F910">
        <f>MONTH(tbl_Kalender[[#This Row],[Datum]])</f>
        <v>6</v>
      </c>
      <c r="G910" t="str">
        <f>TEXT(tbl_Kalender[[#This Row],[Datum]],"MMMM")</f>
        <v>Juni</v>
      </c>
      <c r="H910">
        <f>ROUNDUP(tbl_Kalender[[#This Row],[Monat]]/3,0)</f>
        <v>2</v>
      </c>
      <c r="I910" t="str">
        <f>"Q "&amp;tbl_Kalender[[#This Row],[Quartal]]</f>
        <v>Q 2</v>
      </c>
      <c r="J910" t="str">
        <f>tbl_Kalender[[#This Row],[Quartal]]&amp;". Quartal"</f>
        <v>2. Quartal</v>
      </c>
      <c r="K910">
        <f>_xlfn.ISOWEEKNUM(tbl_Kalender[[#This Row],[Datum]])</f>
        <v>26</v>
      </c>
    </row>
    <row r="911" spans="1:11" x14ac:dyDescent="0.25">
      <c r="A911" s="1">
        <v>46201</v>
      </c>
      <c r="B911">
        <f>YEAR(tbl_Kalender[[#This Row],[Datum]])</f>
        <v>2026</v>
      </c>
      <c r="C911">
        <f>DAY(tbl_Kalender[[#This Row],[Datum]])</f>
        <v>28</v>
      </c>
      <c r="D911" t="str">
        <f>TEXT(tbl_Kalender[[#This Row],[Datum]],"TTTT")</f>
        <v>Sonntag</v>
      </c>
      <c r="E911">
        <f>WEEKDAY(tbl_Kalender[[#This Row],[Datum]],2)</f>
        <v>7</v>
      </c>
      <c r="F911">
        <f>MONTH(tbl_Kalender[[#This Row],[Datum]])</f>
        <v>6</v>
      </c>
      <c r="G911" t="str">
        <f>TEXT(tbl_Kalender[[#This Row],[Datum]],"MMMM")</f>
        <v>Juni</v>
      </c>
      <c r="H911">
        <f>ROUNDUP(tbl_Kalender[[#This Row],[Monat]]/3,0)</f>
        <v>2</v>
      </c>
      <c r="I911" t="str">
        <f>"Q "&amp;tbl_Kalender[[#This Row],[Quartal]]</f>
        <v>Q 2</v>
      </c>
      <c r="J911" t="str">
        <f>tbl_Kalender[[#This Row],[Quartal]]&amp;". Quartal"</f>
        <v>2. Quartal</v>
      </c>
      <c r="K911">
        <f>_xlfn.ISOWEEKNUM(tbl_Kalender[[#This Row],[Datum]])</f>
        <v>26</v>
      </c>
    </row>
    <row r="912" spans="1:11" x14ac:dyDescent="0.25">
      <c r="A912" s="1">
        <v>46202</v>
      </c>
      <c r="B912">
        <f>YEAR(tbl_Kalender[[#This Row],[Datum]])</f>
        <v>2026</v>
      </c>
      <c r="C912">
        <f>DAY(tbl_Kalender[[#This Row],[Datum]])</f>
        <v>29</v>
      </c>
      <c r="D912" t="str">
        <f>TEXT(tbl_Kalender[[#This Row],[Datum]],"TTTT")</f>
        <v>Montag</v>
      </c>
      <c r="E912">
        <f>WEEKDAY(tbl_Kalender[[#This Row],[Datum]],2)</f>
        <v>1</v>
      </c>
      <c r="F912">
        <f>MONTH(tbl_Kalender[[#This Row],[Datum]])</f>
        <v>6</v>
      </c>
      <c r="G912" t="str">
        <f>TEXT(tbl_Kalender[[#This Row],[Datum]],"MMMM")</f>
        <v>Juni</v>
      </c>
      <c r="H912">
        <f>ROUNDUP(tbl_Kalender[[#This Row],[Monat]]/3,0)</f>
        <v>2</v>
      </c>
      <c r="I912" t="str">
        <f>"Q "&amp;tbl_Kalender[[#This Row],[Quartal]]</f>
        <v>Q 2</v>
      </c>
      <c r="J912" t="str">
        <f>tbl_Kalender[[#This Row],[Quartal]]&amp;". Quartal"</f>
        <v>2. Quartal</v>
      </c>
      <c r="K912">
        <f>_xlfn.ISOWEEKNUM(tbl_Kalender[[#This Row],[Datum]])</f>
        <v>27</v>
      </c>
    </row>
    <row r="913" spans="1:11" x14ac:dyDescent="0.25">
      <c r="A913" s="1">
        <v>46203</v>
      </c>
      <c r="B913">
        <f>YEAR(tbl_Kalender[[#This Row],[Datum]])</f>
        <v>2026</v>
      </c>
      <c r="C913">
        <f>DAY(tbl_Kalender[[#This Row],[Datum]])</f>
        <v>30</v>
      </c>
      <c r="D913" t="str">
        <f>TEXT(tbl_Kalender[[#This Row],[Datum]],"TTTT")</f>
        <v>Dienstag</v>
      </c>
      <c r="E913">
        <f>WEEKDAY(tbl_Kalender[[#This Row],[Datum]],2)</f>
        <v>2</v>
      </c>
      <c r="F913">
        <f>MONTH(tbl_Kalender[[#This Row],[Datum]])</f>
        <v>6</v>
      </c>
      <c r="G913" t="str">
        <f>TEXT(tbl_Kalender[[#This Row],[Datum]],"MMMM")</f>
        <v>Juni</v>
      </c>
      <c r="H913">
        <f>ROUNDUP(tbl_Kalender[[#This Row],[Monat]]/3,0)</f>
        <v>2</v>
      </c>
      <c r="I913" t="str">
        <f>"Q "&amp;tbl_Kalender[[#This Row],[Quartal]]</f>
        <v>Q 2</v>
      </c>
      <c r="J913" t="str">
        <f>tbl_Kalender[[#This Row],[Quartal]]&amp;". Quartal"</f>
        <v>2. Quartal</v>
      </c>
      <c r="K913">
        <f>_xlfn.ISOWEEKNUM(tbl_Kalender[[#This Row],[Datum]])</f>
        <v>27</v>
      </c>
    </row>
    <row r="914" spans="1:11" x14ac:dyDescent="0.25">
      <c r="A914" s="1">
        <v>46204</v>
      </c>
      <c r="B914">
        <f>YEAR(tbl_Kalender[[#This Row],[Datum]])</f>
        <v>2026</v>
      </c>
      <c r="C914">
        <f>DAY(tbl_Kalender[[#This Row],[Datum]])</f>
        <v>1</v>
      </c>
      <c r="D914" t="str">
        <f>TEXT(tbl_Kalender[[#This Row],[Datum]],"TTTT")</f>
        <v>Mittwoch</v>
      </c>
      <c r="E914">
        <f>WEEKDAY(tbl_Kalender[[#This Row],[Datum]],2)</f>
        <v>3</v>
      </c>
      <c r="F914">
        <f>MONTH(tbl_Kalender[[#This Row],[Datum]])</f>
        <v>7</v>
      </c>
      <c r="G914" t="str">
        <f>TEXT(tbl_Kalender[[#This Row],[Datum]],"MMMM")</f>
        <v>Juli</v>
      </c>
      <c r="H914">
        <f>ROUNDUP(tbl_Kalender[[#This Row],[Monat]]/3,0)</f>
        <v>3</v>
      </c>
      <c r="I914" t="str">
        <f>"Q "&amp;tbl_Kalender[[#This Row],[Quartal]]</f>
        <v>Q 3</v>
      </c>
      <c r="J914" t="str">
        <f>tbl_Kalender[[#This Row],[Quartal]]&amp;". Quartal"</f>
        <v>3. Quartal</v>
      </c>
      <c r="K914">
        <f>_xlfn.ISOWEEKNUM(tbl_Kalender[[#This Row],[Datum]])</f>
        <v>27</v>
      </c>
    </row>
    <row r="915" spans="1:11" x14ac:dyDescent="0.25">
      <c r="A915" s="1">
        <v>46205</v>
      </c>
      <c r="B915">
        <f>YEAR(tbl_Kalender[[#This Row],[Datum]])</f>
        <v>2026</v>
      </c>
      <c r="C915">
        <f>DAY(tbl_Kalender[[#This Row],[Datum]])</f>
        <v>2</v>
      </c>
      <c r="D915" t="str">
        <f>TEXT(tbl_Kalender[[#This Row],[Datum]],"TTTT")</f>
        <v>Donnerstag</v>
      </c>
      <c r="E915">
        <f>WEEKDAY(tbl_Kalender[[#This Row],[Datum]],2)</f>
        <v>4</v>
      </c>
      <c r="F915">
        <f>MONTH(tbl_Kalender[[#This Row],[Datum]])</f>
        <v>7</v>
      </c>
      <c r="G915" t="str">
        <f>TEXT(tbl_Kalender[[#This Row],[Datum]],"MMMM")</f>
        <v>Juli</v>
      </c>
      <c r="H915">
        <f>ROUNDUP(tbl_Kalender[[#This Row],[Monat]]/3,0)</f>
        <v>3</v>
      </c>
      <c r="I915" t="str">
        <f>"Q "&amp;tbl_Kalender[[#This Row],[Quartal]]</f>
        <v>Q 3</v>
      </c>
      <c r="J915" t="str">
        <f>tbl_Kalender[[#This Row],[Quartal]]&amp;". Quartal"</f>
        <v>3. Quartal</v>
      </c>
      <c r="K915">
        <f>_xlfn.ISOWEEKNUM(tbl_Kalender[[#This Row],[Datum]])</f>
        <v>27</v>
      </c>
    </row>
    <row r="916" spans="1:11" x14ac:dyDescent="0.25">
      <c r="A916" s="1">
        <v>46206</v>
      </c>
      <c r="B916">
        <f>YEAR(tbl_Kalender[[#This Row],[Datum]])</f>
        <v>2026</v>
      </c>
      <c r="C916">
        <f>DAY(tbl_Kalender[[#This Row],[Datum]])</f>
        <v>3</v>
      </c>
      <c r="D916" t="str">
        <f>TEXT(tbl_Kalender[[#This Row],[Datum]],"TTTT")</f>
        <v>Freitag</v>
      </c>
      <c r="E916">
        <f>WEEKDAY(tbl_Kalender[[#This Row],[Datum]],2)</f>
        <v>5</v>
      </c>
      <c r="F916">
        <f>MONTH(tbl_Kalender[[#This Row],[Datum]])</f>
        <v>7</v>
      </c>
      <c r="G916" t="str">
        <f>TEXT(tbl_Kalender[[#This Row],[Datum]],"MMMM")</f>
        <v>Juli</v>
      </c>
      <c r="H916">
        <f>ROUNDUP(tbl_Kalender[[#This Row],[Monat]]/3,0)</f>
        <v>3</v>
      </c>
      <c r="I916" t="str">
        <f>"Q "&amp;tbl_Kalender[[#This Row],[Quartal]]</f>
        <v>Q 3</v>
      </c>
      <c r="J916" t="str">
        <f>tbl_Kalender[[#This Row],[Quartal]]&amp;". Quartal"</f>
        <v>3. Quartal</v>
      </c>
      <c r="K916">
        <f>_xlfn.ISOWEEKNUM(tbl_Kalender[[#This Row],[Datum]])</f>
        <v>27</v>
      </c>
    </row>
    <row r="917" spans="1:11" x14ac:dyDescent="0.25">
      <c r="A917" s="1">
        <v>46207</v>
      </c>
      <c r="B917">
        <f>YEAR(tbl_Kalender[[#This Row],[Datum]])</f>
        <v>2026</v>
      </c>
      <c r="C917">
        <f>DAY(tbl_Kalender[[#This Row],[Datum]])</f>
        <v>4</v>
      </c>
      <c r="D917" t="str">
        <f>TEXT(tbl_Kalender[[#This Row],[Datum]],"TTTT")</f>
        <v>Samstag</v>
      </c>
      <c r="E917">
        <f>WEEKDAY(tbl_Kalender[[#This Row],[Datum]],2)</f>
        <v>6</v>
      </c>
      <c r="F917">
        <f>MONTH(tbl_Kalender[[#This Row],[Datum]])</f>
        <v>7</v>
      </c>
      <c r="G917" t="str">
        <f>TEXT(tbl_Kalender[[#This Row],[Datum]],"MMMM")</f>
        <v>Juli</v>
      </c>
      <c r="H917">
        <f>ROUNDUP(tbl_Kalender[[#This Row],[Monat]]/3,0)</f>
        <v>3</v>
      </c>
      <c r="I917" t="str">
        <f>"Q "&amp;tbl_Kalender[[#This Row],[Quartal]]</f>
        <v>Q 3</v>
      </c>
      <c r="J917" t="str">
        <f>tbl_Kalender[[#This Row],[Quartal]]&amp;". Quartal"</f>
        <v>3. Quartal</v>
      </c>
      <c r="K917">
        <f>_xlfn.ISOWEEKNUM(tbl_Kalender[[#This Row],[Datum]])</f>
        <v>27</v>
      </c>
    </row>
    <row r="918" spans="1:11" x14ac:dyDescent="0.25">
      <c r="A918" s="1">
        <v>46208</v>
      </c>
      <c r="B918">
        <f>YEAR(tbl_Kalender[[#This Row],[Datum]])</f>
        <v>2026</v>
      </c>
      <c r="C918">
        <f>DAY(tbl_Kalender[[#This Row],[Datum]])</f>
        <v>5</v>
      </c>
      <c r="D918" t="str">
        <f>TEXT(tbl_Kalender[[#This Row],[Datum]],"TTTT")</f>
        <v>Sonntag</v>
      </c>
      <c r="E918">
        <f>WEEKDAY(tbl_Kalender[[#This Row],[Datum]],2)</f>
        <v>7</v>
      </c>
      <c r="F918">
        <f>MONTH(tbl_Kalender[[#This Row],[Datum]])</f>
        <v>7</v>
      </c>
      <c r="G918" t="str">
        <f>TEXT(tbl_Kalender[[#This Row],[Datum]],"MMMM")</f>
        <v>Juli</v>
      </c>
      <c r="H918">
        <f>ROUNDUP(tbl_Kalender[[#This Row],[Monat]]/3,0)</f>
        <v>3</v>
      </c>
      <c r="I918" t="str">
        <f>"Q "&amp;tbl_Kalender[[#This Row],[Quartal]]</f>
        <v>Q 3</v>
      </c>
      <c r="J918" t="str">
        <f>tbl_Kalender[[#This Row],[Quartal]]&amp;". Quartal"</f>
        <v>3. Quartal</v>
      </c>
      <c r="K918">
        <f>_xlfn.ISOWEEKNUM(tbl_Kalender[[#This Row],[Datum]])</f>
        <v>27</v>
      </c>
    </row>
    <row r="919" spans="1:11" x14ac:dyDescent="0.25">
      <c r="A919" s="1">
        <v>46209</v>
      </c>
      <c r="B919">
        <f>YEAR(tbl_Kalender[[#This Row],[Datum]])</f>
        <v>2026</v>
      </c>
      <c r="C919">
        <f>DAY(tbl_Kalender[[#This Row],[Datum]])</f>
        <v>6</v>
      </c>
      <c r="D919" t="str">
        <f>TEXT(tbl_Kalender[[#This Row],[Datum]],"TTTT")</f>
        <v>Montag</v>
      </c>
      <c r="E919">
        <f>WEEKDAY(tbl_Kalender[[#This Row],[Datum]],2)</f>
        <v>1</v>
      </c>
      <c r="F919">
        <f>MONTH(tbl_Kalender[[#This Row],[Datum]])</f>
        <v>7</v>
      </c>
      <c r="G919" t="str">
        <f>TEXT(tbl_Kalender[[#This Row],[Datum]],"MMMM")</f>
        <v>Juli</v>
      </c>
      <c r="H919">
        <f>ROUNDUP(tbl_Kalender[[#This Row],[Monat]]/3,0)</f>
        <v>3</v>
      </c>
      <c r="I919" t="str">
        <f>"Q "&amp;tbl_Kalender[[#This Row],[Quartal]]</f>
        <v>Q 3</v>
      </c>
      <c r="J919" t="str">
        <f>tbl_Kalender[[#This Row],[Quartal]]&amp;". Quartal"</f>
        <v>3. Quartal</v>
      </c>
      <c r="K919">
        <f>_xlfn.ISOWEEKNUM(tbl_Kalender[[#This Row],[Datum]])</f>
        <v>28</v>
      </c>
    </row>
    <row r="920" spans="1:11" x14ac:dyDescent="0.25">
      <c r="A920" s="1">
        <v>46210</v>
      </c>
      <c r="B920">
        <f>YEAR(tbl_Kalender[[#This Row],[Datum]])</f>
        <v>2026</v>
      </c>
      <c r="C920">
        <f>DAY(tbl_Kalender[[#This Row],[Datum]])</f>
        <v>7</v>
      </c>
      <c r="D920" t="str">
        <f>TEXT(tbl_Kalender[[#This Row],[Datum]],"TTTT")</f>
        <v>Dienstag</v>
      </c>
      <c r="E920">
        <f>WEEKDAY(tbl_Kalender[[#This Row],[Datum]],2)</f>
        <v>2</v>
      </c>
      <c r="F920">
        <f>MONTH(tbl_Kalender[[#This Row],[Datum]])</f>
        <v>7</v>
      </c>
      <c r="G920" t="str">
        <f>TEXT(tbl_Kalender[[#This Row],[Datum]],"MMMM")</f>
        <v>Juli</v>
      </c>
      <c r="H920">
        <f>ROUNDUP(tbl_Kalender[[#This Row],[Monat]]/3,0)</f>
        <v>3</v>
      </c>
      <c r="I920" t="str">
        <f>"Q "&amp;tbl_Kalender[[#This Row],[Quartal]]</f>
        <v>Q 3</v>
      </c>
      <c r="J920" t="str">
        <f>tbl_Kalender[[#This Row],[Quartal]]&amp;". Quartal"</f>
        <v>3. Quartal</v>
      </c>
      <c r="K920">
        <f>_xlfn.ISOWEEKNUM(tbl_Kalender[[#This Row],[Datum]])</f>
        <v>28</v>
      </c>
    </row>
    <row r="921" spans="1:11" x14ac:dyDescent="0.25">
      <c r="A921" s="1">
        <v>46211</v>
      </c>
      <c r="B921">
        <f>YEAR(tbl_Kalender[[#This Row],[Datum]])</f>
        <v>2026</v>
      </c>
      <c r="C921">
        <f>DAY(tbl_Kalender[[#This Row],[Datum]])</f>
        <v>8</v>
      </c>
      <c r="D921" t="str">
        <f>TEXT(tbl_Kalender[[#This Row],[Datum]],"TTTT")</f>
        <v>Mittwoch</v>
      </c>
      <c r="E921">
        <f>WEEKDAY(tbl_Kalender[[#This Row],[Datum]],2)</f>
        <v>3</v>
      </c>
      <c r="F921">
        <f>MONTH(tbl_Kalender[[#This Row],[Datum]])</f>
        <v>7</v>
      </c>
      <c r="G921" t="str">
        <f>TEXT(tbl_Kalender[[#This Row],[Datum]],"MMMM")</f>
        <v>Juli</v>
      </c>
      <c r="H921">
        <f>ROUNDUP(tbl_Kalender[[#This Row],[Monat]]/3,0)</f>
        <v>3</v>
      </c>
      <c r="I921" t="str">
        <f>"Q "&amp;tbl_Kalender[[#This Row],[Quartal]]</f>
        <v>Q 3</v>
      </c>
      <c r="J921" t="str">
        <f>tbl_Kalender[[#This Row],[Quartal]]&amp;". Quartal"</f>
        <v>3. Quartal</v>
      </c>
      <c r="K921">
        <f>_xlfn.ISOWEEKNUM(tbl_Kalender[[#This Row],[Datum]])</f>
        <v>28</v>
      </c>
    </row>
    <row r="922" spans="1:11" x14ac:dyDescent="0.25">
      <c r="A922" s="1">
        <v>46212</v>
      </c>
      <c r="B922">
        <f>YEAR(tbl_Kalender[[#This Row],[Datum]])</f>
        <v>2026</v>
      </c>
      <c r="C922">
        <f>DAY(tbl_Kalender[[#This Row],[Datum]])</f>
        <v>9</v>
      </c>
      <c r="D922" t="str">
        <f>TEXT(tbl_Kalender[[#This Row],[Datum]],"TTTT")</f>
        <v>Donnerstag</v>
      </c>
      <c r="E922">
        <f>WEEKDAY(tbl_Kalender[[#This Row],[Datum]],2)</f>
        <v>4</v>
      </c>
      <c r="F922">
        <f>MONTH(tbl_Kalender[[#This Row],[Datum]])</f>
        <v>7</v>
      </c>
      <c r="G922" t="str">
        <f>TEXT(tbl_Kalender[[#This Row],[Datum]],"MMMM")</f>
        <v>Juli</v>
      </c>
      <c r="H922">
        <f>ROUNDUP(tbl_Kalender[[#This Row],[Monat]]/3,0)</f>
        <v>3</v>
      </c>
      <c r="I922" t="str">
        <f>"Q "&amp;tbl_Kalender[[#This Row],[Quartal]]</f>
        <v>Q 3</v>
      </c>
      <c r="J922" t="str">
        <f>tbl_Kalender[[#This Row],[Quartal]]&amp;". Quartal"</f>
        <v>3. Quartal</v>
      </c>
      <c r="K922">
        <f>_xlfn.ISOWEEKNUM(tbl_Kalender[[#This Row],[Datum]])</f>
        <v>28</v>
      </c>
    </row>
    <row r="923" spans="1:11" x14ac:dyDescent="0.25">
      <c r="A923" s="1">
        <v>46213</v>
      </c>
      <c r="B923">
        <f>YEAR(tbl_Kalender[[#This Row],[Datum]])</f>
        <v>2026</v>
      </c>
      <c r="C923">
        <f>DAY(tbl_Kalender[[#This Row],[Datum]])</f>
        <v>10</v>
      </c>
      <c r="D923" t="str">
        <f>TEXT(tbl_Kalender[[#This Row],[Datum]],"TTTT")</f>
        <v>Freitag</v>
      </c>
      <c r="E923">
        <f>WEEKDAY(tbl_Kalender[[#This Row],[Datum]],2)</f>
        <v>5</v>
      </c>
      <c r="F923">
        <f>MONTH(tbl_Kalender[[#This Row],[Datum]])</f>
        <v>7</v>
      </c>
      <c r="G923" t="str">
        <f>TEXT(tbl_Kalender[[#This Row],[Datum]],"MMMM")</f>
        <v>Juli</v>
      </c>
      <c r="H923">
        <f>ROUNDUP(tbl_Kalender[[#This Row],[Monat]]/3,0)</f>
        <v>3</v>
      </c>
      <c r="I923" t="str">
        <f>"Q "&amp;tbl_Kalender[[#This Row],[Quartal]]</f>
        <v>Q 3</v>
      </c>
      <c r="J923" t="str">
        <f>tbl_Kalender[[#This Row],[Quartal]]&amp;". Quartal"</f>
        <v>3. Quartal</v>
      </c>
      <c r="K923">
        <f>_xlfn.ISOWEEKNUM(tbl_Kalender[[#This Row],[Datum]])</f>
        <v>28</v>
      </c>
    </row>
    <row r="924" spans="1:11" x14ac:dyDescent="0.25">
      <c r="A924" s="1">
        <v>46214</v>
      </c>
      <c r="B924">
        <f>YEAR(tbl_Kalender[[#This Row],[Datum]])</f>
        <v>2026</v>
      </c>
      <c r="C924">
        <f>DAY(tbl_Kalender[[#This Row],[Datum]])</f>
        <v>11</v>
      </c>
      <c r="D924" t="str">
        <f>TEXT(tbl_Kalender[[#This Row],[Datum]],"TTTT")</f>
        <v>Samstag</v>
      </c>
      <c r="E924">
        <f>WEEKDAY(tbl_Kalender[[#This Row],[Datum]],2)</f>
        <v>6</v>
      </c>
      <c r="F924">
        <f>MONTH(tbl_Kalender[[#This Row],[Datum]])</f>
        <v>7</v>
      </c>
      <c r="G924" t="str">
        <f>TEXT(tbl_Kalender[[#This Row],[Datum]],"MMMM")</f>
        <v>Juli</v>
      </c>
      <c r="H924">
        <f>ROUNDUP(tbl_Kalender[[#This Row],[Monat]]/3,0)</f>
        <v>3</v>
      </c>
      <c r="I924" t="str">
        <f>"Q "&amp;tbl_Kalender[[#This Row],[Quartal]]</f>
        <v>Q 3</v>
      </c>
      <c r="J924" t="str">
        <f>tbl_Kalender[[#This Row],[Quartal]]&amp;". Quartal"</f>
        <v>3. Quartal</v>
      </c>
      <c r="K924">
        <f>_xlfn.ISOWEEKNUM(tbl_Kalender[[#This Row],[Datum]])</f>
        <v>28</v>
      </c>
    </row>
    <row r="925" spans="1:11" x14ac:dyDescent="0.25">
      <c r="A925" s="1">
        <v>46215</v>
      </c>
      <c r="B925">
        <f>YEAR(tbl_Kalender[[#This Row],[Datum]])</f>
        <v>2026</v>
      </c>
      <c r="C925">
        <f>DAY(tbl_Kalender[[#This Row],[Datum]])</f>
        <v>12</v>
      </c>
      <c r="D925" t="str">
        <f>TEXT(tbl_Kalender[[#This Row],[Datum]],"TTTT")</f>
        <v>Sonntag</v>
      </c>
      <c r="E925">
        <f>WEEKDAY(tbl_Kalender[[#This Row],[Datum]],2)</f>
        <v>7</v>
      </c>
      <c r="F925">
        <f>MONTH(tbl_Kalender[[#This Row],[Datum]])</f>
        <v>7</v>
      </c>
      <c r="G925" t="str">
        <f>TEXT(tbl_Kalender[[#This Row],[Datum]],"MMMM")</f>
        <v>Juli</v>
      </c>
      <c r="H925">
        <f>ROUNDUP(tbl_Kalender[[#This Row],[Monat]]/3,0)</f>
        <v>3</v>
      </c>
      <c r="I925" t="str">
        <f>"Q "&amp;tbl_Kalender[[#This Row],[Quartal]]</f>
        <v>Q 3</v>
      </c>
      <c r="J925" t="str">
        <f>tbl_Kalender[[#This Row],[Quartal]]&amp;". Quartal"</f>
        <v>3. Quartal</v>
      </c>
      <c r="K925">
        <f>_xlfn.ISOWEEKNUM(tbl_Kalender[[#This Row],[Datum]])</f>
        <v>28</v>
      </c>
    </row>
    <row r="926" spans="1:11" x14ac:dyDescent="0.25">
      <c r="A926" s="1">
        <v>46216</v>
      </c>
      <c r="B926">
        <f>YEAR(tbl_Kalender[[#This Row],[Datum]])</f>
        <v>2026</v>
      </c>
      <c r="C926">
        <f>DAY(tbl_Kalender[[#This Row],[Datum]])</f>
        <v>13</v>
      </c>
      <c r="D926" t="str">
        <f>TEXT(tbl_Kalender[[#This Row],[Datum]],"TTTT")</f>
        <v>Montag</v>
      </c>
      <c r="E926">
        <f>WEEKDAY(tbl_Kalender[[#This Row],[Datum]],2)</f>
        <v>1</v>
      </c>
      <c r="F926">
        <f>MONTH(tbl_Kalender[[#This Row],[Datum]])</f>
        <v>7</v>
      </c>
      <c r="G926" t="str">
        <f>TEXT(tbl_Kalender[[#This Row],[Datum]],"MMMM")</f>
        <v>Juli</v>
      </c>
      <c r="H926">
        <f>ROUNDUP(tbl_Kalender[[#This Row],[Monat]]/3,0)</f>
        <v>3</v>
      </c>
      <c r="I926" t="str">
        <f>"Q "&amp;tbl_Kalender[[#This Row],[Quartal]]</f>
        <v>Q 3</v>
      </c>
      <c r="J926" t="str">
        <f>tbl_Kalender[[#This Row],[Quartal]]&amp;". Quartal"</f>
        <v>3. Quartal</v>
      </c>
      <c r="K926">
        <f>_xlfn.ISOWEEKNUM(tbl_Kalender[[#This Row],[Datum]])</f>
        <v>29</v>
      </c>
    </row>
    <row r="927" spans="1:11" x14ac:dyDescent="0.25">
      <c r="A927" s="1">
        <v>46217</v>
      </c>
      <c r="B927">
        <f>YEAR(tbl_Kalender[[#This Row],[Datum]])</f>
        <v>2026</v>
      </c>
      <c r="C927">
        <f>DAY(tbl_Kalender[[#This Row],[Datum]])</f>
        <v>14</v>
      </c>
      <c r="D927" t="str">
        <f>TEXT(tbl_Kalender[[#This Row],[Datum]],"TTTT")</f>
        <v>Dienstag</v>
      </c>
      <c r="E927">
        <f>WEEKDAY(tbl_Kalender[[#This Row],[Datum]],2)</f>
        <v>2</v>
      </c>
      <c r="F927">
        <f>MONTH(tbl_Kalender[[#This Row],[Datum]])</f>
        <v>7</v>
      </c>
      <c r="G927" t="str">
        <f>TEXT(tbl_Kalender[[#This Row],[Datum]],"MMMM")</f>
        <v>Juli</v>
      </c>
      <c r="H927">
        <f>ROUNDUP(tbl_Kalender[[#This Row],[Monat]]/3,0)</f>
        <v>3</v>
      </c>
      <c r="I927" t="str">
        <f>"Q "&amp;tbl_Kalender[[#This Row],[Quartal]]</f>
        <v>Q 3</v>
      </c>
      <c r="J927" t="str">
        <f>tbl_Kalender[[#This Row],[Quartal]]&amp;". Quartal"</f>
        <v>3. Quartal</v>
      </c>
      <c r="K927">
        <f>_xlfn.ISOWEEKNUM(tbl_Kalender[[#This Row],[Datum]])</f>
        <v>29</v>
      </c>
    </row>
    <row r="928" spans="1:11" x14ac:dyDescent="0.25">
      <c r="A928" s="1">
        <v>46218</v>
      </c>
      <c r="B928">
        <f>YEAR(tbl_Kalender[[#This Row],[Datum]])</f>
        <v>2026</v>
      </c>
      <c r="C928">
        <f>DAY(tbl_Kalender[[#This Row],[Datum]])</f>
        <v>15</v>
      </c>
      <c r="D928" t="str">
        <f>TEXT(tbl_Kalender[[#This Row],[Datum]],"TTTT")</f>
        <v>Mittwoch</v>
      </c>
      <c r="E928">
        <f>WEEKDAY(tbl_Kalender[[#This Row],[Datum]],2)</f>
        <v>3</v>
      </c>
      <c r="F928">
        <f>MONTH(tbl_Kalender[[#This Row],[Datum]])</f>
        <v>7</v>
      </c>
      <c r="G928" t="str">
        <f>TEXT(tbl_Kalender[[#This Row],[Datum]],"MMMM")</f>
        <v>Juli</v>
      </c>
      <c r="H928">
        <f>ROUNDUP(tbl_Kalender[[#This Row],[Monat]]/3,0)</f>
        <v>3</v>
      </c>
      <c r="I928" t="str">
        <f>"Q "&amp;tbl_Kalender[[#This Row],[Quartal]]</f>
        <v>Q 3</v>
      </c>
      <c r="J928" t="str">
        <f>tbl_Kalender[[#This Row],[Quartal]]&amp;". Quartal"</f>
        <v>3. Quartal</v>
      </c>
      <c r="K928">
        <f>_xlfn.ISOWEEKNUM(tbl_Kalender[[#This Row],[Datum]])</f>
        <v>29</v>
      </c>
    </row>
    <row r="929" spans="1:11" x14ac:dyDescent="0.25">
      <c r="A929" s="1">
        <v>46219</v>
      </c>
      <c r="B929">
        <f>YEAR(tbl_Kalender[[#This Row],[Datum]])</f>
        <v>2026</v>
      </c>
      <c r="C929">
        <f>DAY(tbl_Kalender[[#This Row],[Datum]])</f>
        <v>16</v>
      </c>
      <c r="D929" t="str">
        <f>TEXT(tbl_Kalender[[#This Row],[Datum]],"TTTT")</f>
        <v>Donnerstag</v>
      </c>
      <c r="E929">
        <f>WEEKDAY(tbl_Kalender[[#This Row],[Datum]],2)</f>
        <v>4</v>
      </c>
      <c r="F929">
        <f>MONTH(tbl_Kalender[[#This Row],[Datum]])</f>
        <v>7</v>
      </c>
      <c r="G929" t="str">
        <f>TEXT(tbl_Kalender[[#This Row],[Datum]],"MMMM")</f>
        <v>Juli</v>
      </c>
      <c r="H929">
        <f>ROUNDUP(tbl_Kalender[[#This Row],[Monat]]/3,0)</f>
        <v>3</v>
      </c>
      <c r="I929" t="str">
        <f>"Q "&amp;tbl_Kalender[[#This Row],[Quartal]]</f>
        <v>Q 3</v>
      </c>
      <c r="J929" t="str">
        <f>tbl_Kalender[[#This Row],[Quartal]]&amp;". Quartal"</f>
        <v>3. Quartal</v>
      </c>
      <c r="K929">
        <f>_xlfn.ISOWEEKNUM(tbl_Kalender[[#This Row],[Datum]])</f>
        <v>29</v>
      </c>
    </row>
    <row r="930" spans="1:11" x14ac:dyDescent="0.25">
      <c r="A930" s="1">
        <v>46220</v>
      </c>
      <c r="B930">
        <f>YEAR(tbl_Kalender[[#This Row],[Datum]])</f>
        <v>2026</v>
      </c>
      <c r="C930">
        <f>DAY(tbl_Kalender[[#This Row],[Datum]])</f>
        <v>17</v>
      </c>
      <c r="D930" t="str">
        <f>TEXT(tbl_Kalender[[#This Row],[Datum]],"TTTT")</f>
        <v>Freitag</v>
      </c>
      <c r="E930">
        <f>WEEKDAY(tbl_Kalender[[#This Row],[Datum]],2)</f>
        <v>5</v>
      </c>
      <c r="F930">
        <f>MONTH(tbl_Kalender[[#This Row],[Datum]])</f>
        <v>7</v>
      </c>
      <c r="G930" t="str">
        <f>TEXT(tbl_Kalender[[#This Row],[Datum]],"MMMM")</f>
        <v>Juli</v>
      </c>
      <c r="H930">
        <f>ROUNDUP(tbl_Kalender[[#This Row],[Monat]]/3,0)</f>
        <v>3</v>
      </c>
      <c r="I930" t="str">
        <f>"Q "&amp;tbl_Kalender[[#This Row],[Quartal]]</f>
        <v>Q 3</v>
      </c>
      <c r="J930" t="str">
        <f>tbl_Kalender[[#This Row],[Quartal]]&amp;". Quartal"</f>
        <v>3. Quartal</v>
      </c>
      <c r="K930">
        <f>_xlfn.ISOWEEKNUM(tbl_Kalender[[#This Row],[Datum]])</f>
        <v>29</v>
      </c>
    </row>
    <row r="931" spans="1:11" x14ac:dyDescent="0.25">
      <c r="A931" s="1">
        <v>46221</v>
      </c>
      <c r="B931">
        <f>YEAR(tbl_Kalender[[#This Row],[Datum]])</f>
        <v>2026</v>
      </c>
      <c r="C931">
        <f>DAY(tbl_Kalender[[#This Row],[Datum]])</f>
        <v>18</v>
      </c>
      <c r="D931" t="str">
        <f>TEXT(tbl_Kalender[[#This Row],[Datum]],"TTTT")</f>
        <v>Samstag</v>
      </c>
      <c r="E931">
        <f>WEEKDAY(tbl_Kalender[[#This Row],[Datum]],2)</f>
        <v>6</v>
      </c>
      <c r="F931">
        <f>MONTH(tbl_Kalender[[#This Row],[Datum]])</f>
        <v>7</v>
      </c>
      <c r="G931" t="str">
        <f>TEXT(tbl_Kalender[[#This Row],[Datum]],"MMMM")</f>
        <v>Juli</v>
      </c>
      <c r="H931">
        <f>ROUNDUP(tbl_Kalender[[#This Row],[Monat]]/3,0)</f>
        <v>3</v>
      </c>
      <c r="I931" t="str">
        <f>"Q "&amp;tbl_Kalender[[#This Row],[Quartal]]</f>
        <v>Q 3</v>
      </c>
      <c r="J931" t="str">
        <f>tbl_Kalender[[#This Row],[Quartal]]&amp;". Quartal"</f>
        <v>3. Quartal</v>
      </c>
      <c r="K931">
        <f>_xlfn.ISOWEEKNUM(tbl_Kalender[[#This Row],[Datum]])</f>
        <v>29</v>
      </c>
    </row>
    <row r="932" spans="1:11" x14ac:dyDescent="0.25">
      <c r="A932" s="1">
        <v>46222</v>
      </c>
      <c r="B932">
        <f>YEAR(tbl_Kalender[[#This Row],[Datum]])</f>
        <v>2026</v>
      </c>
      <c r="C932">
        <f>DAY(tbl_Kalender[[#This Row],[Datum]])</f>
        <v>19</v>
      </c>
      <c r="D932" t="str">
        <f>TEXT(tbl_Kalender[[#This Row],[Datum]],"TTTT")</f>
        <v>Sonntag</v>
      </c>
      <c r="E932">
        <f>WEEKDAY(tbl_Kalender[[#This Row],[Datum]],2)</f>
        <v>7</v>
      </c>
      <c r="F932">
        <f>MONTH(tbl_Kalender[[#This Row],[Datum]])</f>
        <v>7</v>
      </c>
      <c r="G932" t="str">
        <f>TEXT(tbl_Kalender[[#This Row],[Datum]],"MMMM")</f>
        <v>Juli</v>
      </c>
      <c r="H932">
        <f>ROUNDUP(tbl_Kalender[[#This Row],[Monat]]/3,0)</f>
        <v>3</v>
      </c>
      <c r="I932" t="str">
        <f>"Q "&amp;tbl_Kalender[[#This Row],[Quartal]]</f>
        <v>Q 3</v>
      </c>
      <c r="J932" t="str">
        <f>tbl_Kalender[[#This Row],[Quartal]]&amp;". Quartal"</f>
        <v>3. Quartal</v>
      </c>
      <c r="K932">
        <f>_xlfn.ISOWEEKNUM(tbl_Kalender[[#This Row],[Datum]])</f>
        <v>29</v>
      </c>
    </row>
    <row r="933" spans="1:11" x14ac:dyDescent="0.25">
      <c r="A933" s="1">
        <v>46223</v>
      </c>
      <c r="B933">
        <f>YEAR(tbl_Kalender[[#This Row],[Datum]])</f>
        <v>2026</v>
      </c>
      <c r="C933">
        <f>DAY(tbl_Kalender[[#This Row],[Datum]])</f>
        <v>20</v>
      </c>
      <c r="D933" t="str">
        <f>TEXT(tbl_Kalender[[#This Row],[Datum]],"TTTT")</f>
        <v>Montag</v>
      </c>
      <c r="E933">
        <f>WEEKDAY(tbl_Kalender[[#This Row],[Datum]],2)</f>
        <v>1</v>
      </c>
      <c r="F933">
        <f>MONTH(tbl_Kalender[[#This Row],[Datum]])</f>
        <v>7</v>
      </c>
      <c r="G933" t="str">
        <f>TEXT(tbl_Kalender[[#This Row],[Datum]],"MMMM")</f>
        <v>Juli</v>
      </c>
      <c r="H933">
        <f>ROUNDUP(tbl_Kalender[[#This Row],[Monat]]/3,0)</f>
        <v>3</v>
      </c>
      <c r="I933" t="str">
        <f>"Q "&amp;tbl_Kalender[[#This Row],[Quartal]]</f>
        <v>Q 3</v>
      </c>
      <c r="J933" t="str">
        <f>tbl_Kalender[[#This Row],[Quartal]]&amp;". Quartal"</f>
        <v>3. Quartal</v>
      </c>
      <c r="K933">
        <f>_xlfn.ISOWEEKNUM(tbl_Kalender[[#This Row],[Datum]])</f>
        <v>30</v>
      </c>
    </row>
    <row r="934" spans="1:11" x14ac:dyDescent="0.25">
      <c r="A934" s="1">
        <v>46224</v>
      </c>
      <c r="B934">
        <f>YEAR(tbl_Kalender[[#This Row],[Datum]])</f>
        <v>2026</v>
      </c>
      <c r="C934">
        <f>DAY(tbl_Kalender[[#This Row],[Datum]])</f>
        <v>21</v>
      </c>
      <c r="D934" t="str">
        <f>TEXT(tbl_Kalender[[#This Row],[Datum]],"TTTT")</f>
        <v>Dienstag</v>
      </c>
      <c r="E934">
        <f>WEEKDAY(tbl_Kalender[[#This Row],[Datum]],2)</f>
        <v>2</v>
      </c>
      <c r="F934">
        <f>MONTH(tbl_Kalender[[#This Row],[Datum]])</f>
        <v>7</v>
      </c>
      <c r="G934" t="str">
        <f>TEXT(tbl_Kalender[[#This Row],[Datum]],"MMMM")</f>
        <v>Juli</v>
      </c>
      <c r="H934">
        <f>ROUNDUP(tbl_Kalender[[#This Row],[Monat]]/3,0)</f>
        <v>3</v>
      </c>
      <c r="I934" t="str">
        <f>"Q "&amp;tbl_Kalender[[#This Row],[Quartal]]</f>
        <v>Q 3</v>
      </c>
      <c r="J934" t="str">
        <f>tbl_Kalender[[#This Row],[Quartal]]&amp;". Quartal"</f>
        <v>3. Quartal</v>
      </c>
      <c r="K934">
        <f>_xlfn.ISOWEEKNUM(tbl_Kalender[[#This Row],[Datum]])</f>
        <v>30</v>
      </c>
    </row>
    <row r="935" spans="1:11" x14ac:dyDescent="0.25">
      <c r="A935" s="1">
        <v>46225</v>
      </c>
      <c r="B935">
        <f>YEAR(tbl_Kalender[[#This Row],[Datum]])</f>
        <v>2026</v>
      </c>
      <c r="C935">
        <f>DAY(tbl_Kalender[[#This Row],[Datum]])</f>
        <v>22</v>
      </c>
      <c r="D935" t="str">
        <f>TEXT(tbl_Kalender[[#This Row],[Datum]],"TTTT")</f>
        <v>Mittwoch</v>
      </c>
      <c r="E935">
        <f>WEEKDAY(tbl_Kalender[[#This Row],[Datum]],2)</f>
        <v>3</v>
      </c>
      <c r="F935">
        <f>MONTH(tbl_Kalender[[#This Row],[Datum]])</f>
        <v>7</v>
      </c>
      <c r="G935" t="str">
        <f>TEXT(tbl_Kalender[[#This Row],[Datum]],"MMMM")</f>
        <v>Juli</v>
      </c>
      <c r="H935">
        <f>ROUNDUP(tbl_Kalender[[#This Row],[Monat]]/3,0)</f>
        <v>3</v>
      </c>
      <c r="I935" t="str">
        <f>"Q "&amp;tbl_Kalender[[#This Row],[Quartal]]</f>
        <v>Q 3</v>
      </c>
      <c r="J935" t="str">
        <f>tbl_Kalender[[#This Row],[Quartal]]&amp;". Quartal"</f>
        <v>3. Quartal</v>
      </c>
      <c r="K935">
        <f>_xlfn.ISOWEEKNUM(tbl_Kalender[[#This Row],[Datum]])</f>
        <v>30</v>
      </c>
    </row>
    <row r="936" spans="1:11" x14ac:dyDescent="0.25">
      <c r="A936" s="1">
        <v>46226</v>
      </c>
      <c r="B936">
        <f>YEAR(tbl_Kalender[[#This Row],[Datum]])</f>
        <v>2026</v>
      </c>
      <c r="C936">
        <f>DAY(tbl_Kalender[[#This Row],[Datum]])</f>
        <v>23</v>
      </c>
      <c r="D936" t="str">
        <f>TEXT(tbl_Kalender[[#This Row],[Datum]],"TTTT")</f>
        <v>Donnerstag</v>
      </c>
      <c r="E936">
        <f>WEEKDAY(tbl_Kalender[[#This Row],[Datum]],2)</f>
        <v>4</v>
      </c>
      <c r="F936">
        <f>MONTH(tbl_Kalender[[#This Row],[Datum]])</f>
        <v>7</v>
      </c>
      <c r="G936" t="str">
        <f>TEXT(tbl_Kalender[[#This Row],[Datum]],"MMMM")</f>
        <v>Juli</v>
      </c>
      <c r="H936">
        <f>ROUNDUP(tbl_Kalender[[#This Row],[Monat]]/3,0)</f>
        <v>3</v>
      </c>
      <c r="I936" t="str">
        <f>"Q "&amp;tbl_Kalender[[#This Row],[Quartal]]</f>
        <v>Q 3</v>
      </c>
      <c r="J936" t="str">
        <f>tbl_Kalender[[#This Row],[Quartal]]&amp;". Quartal"</f>
        <v>3. Quartal</v>
      </c>
      <c r="K936">
        <f>_xlfn.ISOWEEKNUM(tbl_Kalender[[#This Row],[Datum]])</f>
        <v>30</v>
      </c>
    </row>
    <row r="937" spans="1:11" x14ac:dyDescent="0.25">
      <c r="A937" s="1">
        <v>46227</v>
      </c>
      <c r="B937">
        <f>YEAR(tbl_Kalender[[#This Row],[Datum]])</f>
        <v>2026</v>
      </c>
      <c r="C937">
        <f>DAY(tbl_Kalender[[#This Row],[Datum]])</f>
        <v>24</v>
      </c>
      <c r="D937" t="str">
        <f>TEXT(tbl_Kalender[[#This Row],[Datum]],"TTTT")</f>
        <v>Freitag</v>
      </c>
      <c r="E937">
        <f>WEEKDAY(tbl_Kalender[[#This Row],[Datum]],2)</f>
        <v>5</v>
      </c>
      <c r="F937">
        <f>MONTH(tbl_Kalender[[#This Row],[Datum]])</f>
        <v>7</v>
      </c>
      <c r="G937" t="str">
        <f>TEXT(tbl_Kalender[[#This Row],[Datum]],"MMMM")</f>
        <v>Juli</v>
      </c>
      <c r="H937">
        <f>ROUNDUP(tbl_Kalender[[#This Row],[Monat]]/3,0)</f>
        <v>3</v>
      </c>
      <c r="I937" t="str">
        <f>"Q "&amp;tbl_Kalender[[#This Row],[Quartal]]</f>
        <v>Q 3</v>
      </c>
      <c r="J937" t="str">
        <f>tbl_Kalender[[#This Row],[Quartal]]&amp;". Quartal"</f>
        <v>3. Quartal</v>
      </c>
      <c r="K937">
        <f>_xlfn.ISOWEEKNUM(tbl_Kalender[[#This Row],[Datum]])</f>
        <v>30</v>
      </c>
    </row>
    <row r="938" spans="1:11" x14ac:dyDescent="0.25">
      <c r="A938" s="1">
        <v>46228</v>
      </c>
      <c r="B938">
        <f>YEAR(tbl_Kalender[[#This Row],[Datum]])</f>
        <v>2026</v>
      </c>
      <c r="C938">
        <f>DAY(tbl_Kalender[[#This Row],[Datum]])</f>
        <v>25</v>
      </c>
      <c r="D938" t="str">
        <f>TEXT(tbl_Kalender[[#This Row],[Datum]],"TTTT")</f>
        <v>Samstag</v>
      </c>
      <c r="E938">
        <f>WEEKDAY(tbl_Kalender[[#This Row],[Datum]],2)</f>
        <v>6</v>
      </c>
      <c r="F938">
        <f>MONTH(tbl_Kalender[[#This Row],[Datum]])</f>
        <v>7</v>
      </c>
      <c r="G938" t="str">
        <f>TEXT(tbl_Kalender[[#This Row],[Datum]],"MMMM")</f>
        <v>Juli</v>
      </c>
      <c r="H938">
        <f>ROUNDUP(tbl_Kalender[[#This Row],[Monat]]/3,0)</f>
        <v>3</v>
      </c>
      <c r="I938" t="str">
        <f>"Q "&amp;tbl_Kalender[[#This Row],[Quartal]]</f>
        <v>Q 3</v>
      </c>
      <c r="J938" t="str">
        <f>tbl_Kalender[[#This Row],[Quartal]]&amp;". Quartal"</f>
        <v>3. Quartal</v>
      </c>
      <c r="K938">
        <f>_xlfn.ISOWEEKNUM(tbl_Kalender[[#This Row],[Datum]])</f>
        <v>30</v>
      </c>
    </row>
    <row r="939" spans="1:11" x14ac:dyDescent="0.25">
      <c r="A939" s="1">
        <v>46229</v>
      </c>
      <c r="B939">
        <f>YEAR(tbl_Kalender[[#This Row],[Datum]])</f>
        <v>2026</v>
      </c>
      <c r="C939">
        <f>DAY(tbl_Kalender[[#This Row],[Datum]])</f>
        <v>26</v>
      </c>
      <c r="D939" t="str">
        <f>TEXT(tbl_Kalender[[#This Row],[Datum]],"TTTT")</f>
        <v>Sonntag</v>
      </c>
      <c r="E939">
        <f>WEEKDAY(tbl_Kalender[[#This Row],[Datum]],2)</f>
        <v>7</v>
      </c>
      <c r="F939">
        <f>MONTH(tbl_Kalender[[#This Row],[Datum]])</f>
        <v>7</v>
      </c>
      <c r="G939" t="str">
        <f>TEXT(tbl_Kalender[[#This Row],[Datum]],"MMMM")</f>
        <v>Juli</v>
      </c>
      <c r="H939">
        <f>ROUNDUP(tbl_Kalender[[#This Row],[Monat]]/3,0)</f>
        <v>3</v>
      </c>
      <c r="I939" t="str">
        <f>"Q "&amp;tbl_Kalender[[#This Row],[Quartal]]</f>
        <v>Q 3</v>
      </c>
      <c r="J939" t="str">
        <f>tbl_Kalender[[#This Row],[Quartal]]&amp;". Quartal"</f>
        <v>3. Quartal</v>
      </c>
      <c r="K939">
        <f>_xlfn.ISOWEEKNUM(tbl_Kalender[[#This Row],[Datum]])</f>
        <v>30</v>
      </c>
    </row>
    <row r="940" spans="1:11" x14ac:dyDescent="0.25">
      <c r="A940" s="1">
        <v>46230</v>
      </c>
      <c r="B940">
        <f>YEAR(tbl_Kalender[[#This Row],[Datum]])</f>
        <v>2026</v>
      </c>
      <c r="C940">
        <f>DAY(tbl_Kalender[[#This Row],[Datum]])</f>
        <v>27</v>
      </c>
      <c r="D940" t="str">
        <f>TEXT(tbl_Kalender[[#This Row],[Datum]],"TTTT")</f>
        <v>Montag</v>
      </c>
      <c r="E940">
        <f>WEEKDAY(tbl_Kalender[[#This Row],[Datum]],2)</f>
        <v>1</v>
      </c>
      <c r="F940">
        <f>MONTH(tbl_Kalender[[#This Row],[Datum]])</f>
        <v>7</v>
      </c>
      <c r="G940" t="str">
        <f>TEXT(tbl_Kalender[[#This Row],[Datum]],"MMMM")</f>
        <v>Juli</v>
      </c>
      <c r="H940">
        <f>ROUNDUP(tbl_Kalender[[#This Row],[Monat]]/3,0)</f>
        <v>3</v>
      </c>
      <c r="I940" t="str">
        <f>"Q "&amp;tbl_Kalender[[#This Row],[Quartal]]</f>
        <v>Q 3</v>
      </c>
      <c r="J940" t="str">
        <f>tbl_Kalender[[#This Row],[Quartal]]&amp;". Quartal"</f>
        <v>3. Quartal</v>
      </c>
      <c r="K940">
        <f>_xlfn.ISOWEEKNUM(tbl_Kalender[[#This Row],[Datum]])</f>
        <v>31</v>
      </c>
    </row>
    <row r="941" spans="1:11" x14ac:dyDescent="0.25">
      <c r="A941" s="1">
        <v>46231</v>
      </c>
      <c r="B941">
        <f>YEAR(tbl_Kalender[[#This Row],[Datum]])</f>
        <v>2026</v>
      </c>
      <c r="C941">
        <f>DAY(tbl_Kalender[[#This Row],[Datum]])</f>
        <v>28</v>
      </c>
      <c r="D941" t="str">
        <f>TEXT(tbl_Kalender[[#This Row],[Datum]],"TTTT")</f>
        <v>Dienstag</v>
      </c>
      <c r="E941">
        <f>WEEKDAY(tbl_Kalender[[#This Row],[Datum]],2)</f>
        <v>2</v>
      </c>
      <c r="F941">
        <f>MONTH(tbl_Kalender[[#This Row],[Datum]])</f>
        <v>7</v>
      </c>
      <c r="G941" t="str">
        <f>TEXT(tbl_Kalender[[#This Row],[Datum]],"MMMM")</f>
        <v>Juli</v>
      </c>
      <c r="H941">
        <f>ROUNDUP(tbl_Kalender[[#This Row],[Monat]]/3,0)</f>
        <v>3</v>
      </c>
      <c r="I941" t="str">
        <f>"Q "&amp;tbl_Kalender[[#This Row],[Quartal]]</f>
        <v>Q 3</v>
      </c>
      <c r="J941" t="str">
        <f>tbl_Kalender[[#This Row],[Quartal]]&amp;". Quartal"</f>
        <v>3. Quartal</v>
      </c>
      <c r="K941">
        <f>_xlfn.ISOWEEKNUM(tbl_Kalender[[#This Row],[Datum]])</f>
        <v>31</v>
      </c>
    </row>
    <row r="942" spans="1:11" x14ac:dyDescent="0.25">
      <c r="A942" s="1">
        <v>46232</v>
      </c>
      <c r="B942">
        <f>YEAR(tbl_Kalender[[#This Row],[Datum]])</f>
        <v>2026</v>
      </c>
      <c r="C942">
        <f>DAY(tbl_Kalender[[#This Row],[Datum]])</f>
        <v>29</v>
      </c>
      <c r="D942" t="str">
        <f>TEXT(tbl_Kalender[[#This Row],[Datum]],"TTTT")</f>
        <v>Mittwoch</v>
      </c>
      <c r="E942">
        <f>WEEKDAY(tbl_Kalender[[#This Row],[Datum]],2)</f>
        <v>3</v>
      </c>
      <c r="F942">
        <f>MONTH(tbl_Kalender[[#This Row],[Datum]])</f>
        <v>7</v>
      </c>
      <c r="G942" t="str">
        <f>TEXT(tbl_Kalender[[#This Row],[Datum]],"MMMM")</f>
        <v>Juli</v>
      </c>
      <c r="H942">
        <f>ROUNDUP(tbl_Kalender[[#This Row],[Monat]]/3,0)</f>
        <v>3</v>
      </c>
      <c r="I942" t="str">
        <f>"Q "&amp;tbl_Kalender[[#This Row],[Quartal]]</f>
        <v>Q 3</v>
      </c>
      <c r="J942" t="str">
        <f>tbl_Kalender[[#This Row],[Quartal]]&amp;". Quartal"</f>
        <v>3. Quartal</v>
      </c>
      <c r="K942">
        <f>_xlfn.ISOWEEKNUM(tbl_Kalender[[#This Row],[Datum]])</f>
        <v>31</v>
      </c>
    </row>
    <row r="943" spans="1:11" x14ac:dyDescent="0.25">
      <c r="A943" s="1">
        <v>46233</v>
      </c>
      <c r="B943">
        <f>YEAR(tbl_Kalender[[#This Row],[Datum]])</f>
        <v>2026</v>
      </c>
      <c r="C943">
        <f>DAY(tbl_Kalender[[#This Row],[Datum]])</f>
        <v>30</v>
      </c>
      <c r="D943" t="str">
        <f>TEXT(tbl_Kalender[[#This Row],[Datum]],"TTTT")</f>
        <v>Donnerstag</v>
      </c>
      <c r="E943">
        <f>WEEKDAY(tbl_Kalender[[#This Row],[Datum]],2)</f>
        <v>4</v>
      </c>
      <c r="F943">
        <f>MONTH(tbl_Kalender[[#This Row],[Datum]])</f>
        <v>7</v>
      </c>
      <c r="G943" t="str">
        <f>TEXT(tbl_Kalender[[#This Row],[Datum]],"MMMM")</f>
        <v>Juli</v>
      </c>
      <c r="H943">
        <f>ROUNDUP(tbl_Kalender[[#This Row],[Monat]]/3,0)</f>
        <v>3</v>
      </c>
      <c r="I943" t="str">
        <f>"Q "&amp;tbl_Kalender[[#This Row],[Quartal]]</f>
        <v>Q 3</v>
      </c>
      <c r="J943" t="str">
        <f>tbl_Kalender[[#This Row],[Quartal]]&amp;". Quartal"</f>
        <v>3. Quartal</v>
      </c>
      <c r="K943">
        <f>_xlfn.ISOWEEKNUM(tbl_Kalender[[#This Row],[Datum]])</f>
        <v>31</v>
      </c>
    </row>
    <row r="944" spans="1:11" x14ac:dyDescent="0.25">
      <c r="A944" s="1">
        <v>46234</v>
      </c>
      <c r="B944">
        <f>YEAR(tbl_Kalender[[#This Row],[Datum]])</f>
        <v>2026</v>
      </c>
      <c r="C944">
        <f>DAY(tbl_Kalender[[#This Row],[Datum]])</f>
        <v>31</v>
      </c>
      <c r="D944" t="str">
        <f>TEXT(tbl_Kalender[[#This Row],[Datum]],"TTTT")</f>
        <v>Freitag</v>
      </c>
      <c r="E944">
        <f>WEEKDAY(tbl_Kalender[[#This Row],[Datum]],2)</f>
        <v>5</v>
      </c>
      <c r="F944">
        <f>MONTH(tbl_Kalender[[#This Row],[Datum]])</f>
        <v>7</v>
      </c>
      <c r="G944" t="str">
        <f>TEXT(tbl_Kalender[[#This Row],[Datum]],"MMMM")</f>
        <v>Juli</v>
      </c>
      <c r="H944">
        <f>ROUNDUP(tbl_Kalender[[#This Row],[Monat]]/3,0)</f>
        <v>3</v>
      </c>
      <c r="I944" t="str">
        <f>"Q "&amp;tbl_Kalender[[#This Row],[Quartal]]</f>
        <v>Q 3</v>
      </c>
      <c r="J944" t="str">
        <f>tbl_Kalender[[#This Row],[Quartal]]&amp;". Quartal"</f>
        <v>3. Quartal</v>
      </c>
      <c r="K944">
        <f>_xlfn.ISOWEEKNUM(tbl_Kalender[[#This Row],[Datum]])</f>
        <v>31</v>
      </c>
    </row>
    <row r="945" spans="1:11" x14ac:dyDescent="0.25">
      <c r="A945" s="1">
        <v>46235</v>
      </c>
      <c r="B945">
        <f>YEAR(tbl_Kalender[[#This Row],[Datum]])</f>
        <v>2026</v>
      </c>
      <c r="C945">
        <f>DAY(tbl_Kalender[[#This Row],[Datum]])</f>
        <v>1</v>
      </c>
      <c r="D945" t="str">
        <f>TEXT(tbl_Kalender[[#This Row],[Datum]],"TTTT")</f>
        <v>Samstag</v>
      </c>
      <c r="E945">
        <f>WEEKDAY(tbl_Kalender[[#This Row],[Datum]],2)</f>
        <v>6</v>
      </c>
      <c r="F945">
        <f>MONTH(tbl_Kalender[[#This Row],[Datum]])</f>
        <v>8</v>
      </c>
      <c r="G945" t="str">
        <f>TEXT(tbl_Kalender[[#This Row],[Datum]],"MMMM")</f>
        <v>August</v>
      </c>
      <c r="H945">
        <f>ROUNDUP(tbl_Kalender[[#This Row],[Monat]]/3,0)</f>
        <v>3</v>
      </c>
      <c r="I945" t="str">
        <f>"Q "&amp;tbl_Kalender[[#This Row],[Quartal]]</f>
        <v>Q 3</v>
      </c>
      <c r="J945" t="str">
        <f>tbl_Kalender[[#This Row],[Quartal]]&amp;". Quartal"</f>
        <v>3. Quartal</v>
      </c>
      <c r="K945">
        <f>_xlfn.ISOWEEKNUM(tbl_Kalender[[#This Row],[Datum]])</f>
        <v>31</v>
      </c>
    </row>
    <row r="946" spans="1:11" x14ac:dyDescent="0.25">
      <c r="A946" s="1">
        <v>46236</v>
      </c>
      <c r="B946">
        <f>YEAR(tbl_Kalender[[#This Row],[Datum]])</f>
        <v>2026</v>
      </c>
      <c r="C946">
        <f>DAY(tbl_Kalender[[#This Row],[Datum]])</f>
        <v>2</v>
      </c>
      <c r="D946" t="str">
        <f>TEXT(tbl_Kalender[[#This Row],[Datum]],"TTTT")</f>
        <v>Sonntag</v>
      </c>
      <c r="E946">
        <f>WEEKDAY(tbl_Kalender[[#This Row],[Datum]],2)</f>
        <v>7</v>
      </c>
      <c r="F946">
        <f>MONTH(tbl_Kalender[[#This Row],[Datum]])</f>
        <v>8</v>
      </c>
      <c r="G946" t="str">
        <f>TEXT(tbl_Kalender[[#This Row],[Datum]],"MMMM")</f>
        <v>August</v>
      </c>
      <c r="H946">
        <f>ROUNDUP(tbl_Kalender[[#This Row],[Monat]]/3,0)</f>
        <v>3</v>
      </c>
      <c r="I946" t="str">
        <f>"Q "&amp;tbl_Kalender[[#This Row],[Quartal]]</f>
        <v>Q 3</v>
      </c>
      <c r="J946" t="str">
        <f>tbl_Kalender[[#This Row],[Quartal]]&amp;". Quartal"</f>
        <v>3. Quartal</v>
      </c>
      <c r="K946">
        <f>_xlfn.ISOWEEKNUM(tbl_Kalender[[#This Row],[Datum]])</f>
        <v>31</v>
      </c>
    </row>
    <row r="947" spans="1:11" x14ac:dyDescent="0.25">
      <c r="A947" s="1">
        <v>46237</v>
      </c>
      <c r="B947">
        <f>YEAR(tbl_Kalender[[#This Row],[Datum]])</f>
        <v>2026</v>
      </c>
      <c r="C947">
        <f>DAY(tbl_Kalender[[#This Row],[Datum]])</f>
        <v>3</v>
      </c>
      <c r="D947" t="str">
        <f>TEXT(tbl_Kalender[[#This Row],[Datum]],"TTTT")</f>
        <v>Montag</v>
      </c>
      <c r="E947">
        <f>WEEKDAY(tbl_Kalender[[#This Row],[Datum]],2)</f>
        <v>1</v>
      </c>
      <c r="F947">
        <f>MONTH(tbl_Kalender[[#This Row],[Datum]])</f>
        <v>8</v>
      </c>
      <c r="G947" t="str">
        <f>TEXT(tbl_Kalender[[#This Row],[Datum]],"MMMM")</f>
        <v>August</v>
      </c>
      <c r="H947">
        <f>ROUNDUP(tbl_Kalender[[#This Row],[Monat]]/3,0)</f>
        <v>3</v>
      </c>
      <c r="I947" t="str">
        <f>"Q "&amp;tbl_Kalender[[#This Row],[Quartal]]</f>
        <v>Q 3</v>
      </c>
      <c r="J947" t="str">
        <f>tbl_Kalender[[#This Row],[Quartal]]&amp;". Quartal"</f>
        <v>3. Quartal</v>
      </c>
      <c r="K947">
        <f>_xlfn.ISOWEEKNUM(tbl_Kalender[[#This Row],[Datum]])</f>
        <v>32</v>
      </c>
    </row>
    <row r="948" spans="1:11" x14ac:dyDescent="0.25">
      <c r="A948" s="1">
        <v>46238</v>
      </c>
      <c r="B948">
        <f>YEAR(tbl_Kalender[[#This Row],[Datum]])</f>
        <v>2026</v>
      </c>
      <c r="C948">
        <f>DAY(tbl_Kalender[[#This Row],[Datum]])</f>
        <v>4</v>
      </c>
      <c r="D948" t="str">
        <f>TEXT(tbl_Kalender[[#This Row],[Datum]],"TTTT")</f>
        <v>Dienstag</v>
      </c>
      <c r="E948">
        <f>WEEKDAY(tbl_Kalender[[#This Row],[Datum]],2)</f>
        <v>2</v>
      </c>
      <c r="F948">
        <f>MONTH(tbl_Kalender[[#This Row],[Datum]])</f>
        <v>8</v>
      </c>
      <c r="G948" t="str">
        <f>TEXT(tbl_Kalender[[#This Row],[Datum]],"MMMM")</f>
        <v>August</v>
      </c>
      <c r="H948">
        <f>ROUNDUP(tbl_Kalender[[#This Row],[Monat]]/3,0)</f>
        <v>3</v>
      </c>
      <c r="I948" t="str">
        <f>"Q "&amp;tbl_Kalender[[#This Row],[Quartal]]</f>
        <v>Q 3</v>
      </c>
      <c r="J948" t="str">
        <f>tbl_Kalender[[#This Row],[Quartal]]&amp;". Quartal"</f>
        <v>3. Quartal</v>
      </c>
      <c r="K948">
        <f>_xlfn.ISOWEEKNUM(tbl_Kalender[[#This Row],[Datum]])</f>
        <v>32</v>
      </c>
    </row>
    <row r="949" spans="1:11" x14ac:dyDescent="0.25">
      <c r="A949" s="1">
        <v>46239</v>
      </c>
      <c r="B949">
        <f>YEAR(tbl_Kalender[[#This Row],[Datum]])</f>
        <v>2026</v>
      </c>
      <c r="C949">
        <f>DAY(tbl_Kalender[[#This Row],[Datum]])</f>
        <v>5</v>
      </c>
      <c r="D949" t="str">
        <f>TEXT(tbl_Kalender[[#This Row],[Datum]],"TTTT")</f>
        <v>Mittwoch</v>
      </c>
      <c r="E949">
        <f>WEEKDAY(tbl_Kalender[[#This Row],[Datum]],2)</f>
        <v>3</v>
      </c>
      <c r="F949">
        <f>MONTH(tbl_Kalender[[#This Row],[Datum]])</f>
        <v>8</v>
      </c>
      <c r="G949" t="str">
        <f>TEXT(tbl_Kalender[[#This Row],[Datum]],"MMMM")</f>
        <v>August</v>
      </c>
      <c r="H949">
        <f>ROUNDUP(tbl_Kalender[[#This Row],[Monat]]/3,0)</f>
        <v>3</v>
      </c>
      <c r="I949" t="str">
        <f>"Q "&amp;tbl_Kalender[[#This Row],[Quartal]]</f>
        <v>Q 3</v>
      </c>
      <c r="J949" t="str">
        <f>tbl_Kalender[[#This Row],[Quartal]]&amp;". Quartal"</f>
        <v>3. Quartal</v>
      </c>
      <c r="K949">
        <f>_xlfn.ISOWEEKNUM(tbl_Kalender[[#This Row],[Datum]])</f>
        <v>32</v>
      </c>
    </row>
    <row r="950" spans="1:11" x14ac:dyDescent="0.25">
      <c r="A950" s="1">
        <v>46240</v>
      </c>
      <c r="B950">
        <f>YEAR(tbl_Kalender[[#This Row],[Datum]])</f>
        <v>2026</v>
      </c>
      <c r="C950">
        <f>DAY(tbl_Kalender[[#This Row],[Datum]])</f>
        <v>6</v>
      </c>
      <c r="D950" t="str">
        <f>TEXT(tbl_Kalender[[#This Row],[Datum]],"TTTT")</f>
        <v>Donnerstag</v>
      </c>
      <c r="E950">
        <f>WEEKDAY(tbl_Kalender[[#This Row],[Datum]],2)</f>
        <v>4</v>
      </c>
      <c r="F950">
        <f>MONTH(tbl_Kalender[[#This Row],[Datum]])</f>
        <v>8</v>
      </c>
      <c r="G950" t="str">
        <f>TEXT(tbl_Kalender[[#This Row],[Datum]],"MMMM")</f>
        <v>August</v>
      </c>
      <c r="H950">
        <f>ROUNDUP(tbl_Kalender[[#This Row],[Monat]]/3,0)</f>
        <v>3</v>
      </c>
      <c r="I950" t="str">
        <f>"Q "&amp;tbl_Kalender[[#This Row],[Quartal]]</f>
        <v>Q 3</v>
      </c>
      <c r="J950" t="str">
        <f>tbl_Kalender[[#This Row],[Quartal]]&amp;". Quartal"</f>
        <v>3. Quartal</v>
      </c>
      <c r="K950">
        <f>_xlfn.ISOWEEKNUM(tbl_Kalender[[#This Row],[Datum]])</f>
        <v>32</v>
      </c>
    </row>
    <row r="951" spans="1:11" x14ac:dyDescent="0.25">
      <c r="A951" s="1">
        <v>46241</v>
      </c>
      <c r="B951">
        <f>YEAR(tbl_Kalender[[#This Row],[Datum]])</f>
        <v>2026</v>
      </c>
      <c r="C951">
        <f>DAY(tbl_Kalender[[#This Row],[Datum]])</f>
        <v>7</v>
      </c>
      <c r="D951" t="str">
        <f>TEXT(tbl_Kalender[[#This Row],[Datum]],"TTTT")</f>
        <v>Freitag</v>
      </c>
      <c r="E951">
        <f>WEEKDAY(tbl_Kalender[[#This Row],[Datum]],2)</f>
        <v>5</v>
      </c>
      <c r="F951">
        <f>MONTH(tbl_Kalender[[#This Row],[Datum]])</f>
        <v>8</v>
      </c>
      <c r="G951" t="str">
        <f>TEXT(tbl_Kalender[[#This Row],[Datum]],"MMMM")</f>
        <v>August</v>
      </c>
      <c r="H951">
        <f>ROUNDUP(tbl_Kalender[[#This Row],[Monat]]/3,0)</f>
        <v>3</v>
      </c>
      <c r="I951" t="str">
        <f>"Q "&amp;tbl_Kalender[[#This Row],[Quartal]]</f>
        <v>Q 3</v>
      </c>
      <c r="J951" t="str">
        <f>tbl_Kalender[[#This Row],[Quartal]]&amp;". Quartal"</f>
        <v>3. Quartal</v>
      </c>
      <c r="K951">
        <f>_xlfn.ISOWEEKNUM(tbl_Kalender[[#This Row],[Datum]])</f>
        <v>32</v>
      </c>
    </row>
    <row r="952" spans="1:11" x14ac:dyDescent="0.25">
      <c r="A952" s="1">
        <v>46242</v>
      </c>
      <c r="B952">
        <f>YEAR(tbl_Kalender[[#This Row],[Datum]])</f>
        <v>2026</v>
      </c>
      <c r="C952">
        <f>DAY(tbl_Kalender[[#This Row],[Datum]])</f>
        <v>8</v>
      </c>
      <c r="D952" t="str">
        <f>TEXT(tbl_Kalender[[#This Row],[Datum]],"TTTT")</f>
        <v>Samstag</v>
      </c>
      <c r="E952">
        <f>WEEKDAY(tbl_Kalender[[#This Row],[Datum]],2)</f>
        <v>6</v>
      </c>
      <c r="F952">
        <f>MONTH(tbl_Kalender[[#This Row],[Datum]])</f>
        <v>8</v>
      </c>
      <c r="G952" t="str">
        <f>TEXT(tbl_Kalender[[#This Row],[Datum]],"MMMM")</f>
        <v>August</v>
      </c>
      <c r="H952">
        <f>ROUNDUP(tbl_Kalender[[#This Row],[Monat]]/3,0)</f>
        <v>3</v>
      </c>
      <c r="I952" t="str">
        <f>"Q "&amp;tbl_Kalender[[#This Row],[Quartal]]</f>
        <v>Q 3</v>
      </c>
      <c r="J952" t="str">
        <f>tbl_Kalender[[#This Row],[Quartal]]&amp;". Quartal"</f>
        <v>3. Quartal</v>
      </c>
      <c r="K952">
        <f>_xlfn.ISOWEEKNUM(tbl_Kalender[[#This Row],[Datum]])</f>
        <v>32</v>
      </c>
    </row>
    <row r="953" spans="1:11" x14ac:dyDescent="0.25">
      <c r="A953" s="1">
        <v>46243</v>
      </c>
      <c r="B953">
        <f>YEAR(tbl_Kalender[[#This Row],[Datum]])</f>
        <v>2026</v>
      </c>
      <c r="C953">
        <f>DAY(tbl_Kalender[[#This Row],[Datum]])</f>
        <v>9</v>
      </c>
      <c r="D953" t="str">
        <f>TEXT(tbl_Kalender[[#This Row],[Datum]],"TTTT")</f>
        <v>Sonntag</v>
      </c>
      <c r="E953">
        <f>WEEKDAY(tbl_Kalender[[#This Row],[Datum]],2)</f>
        <v>7</v>
      </c>
      <c r="F953">
        <f>MONTH(tbl_Kalender[[#This Row],[Datum]])</f>
        <v>8</v>
      </c>
      <c r="G953" t="str">
        <f>TEXT(tbl_Kalender[[#This Row],[Datum]],"MMMM")</f>
        <v>August</v>
      </c>
      <c r="H953">
        <f>ROUNDUP(tbl_Kalender[[#This Row],[Monat]]/3,0)</f>
        <v>3</v>
      </c>
      <c r="I953" t="str">
        <f>"Q "&amp;tbl_Kalender[[#This Row],[Quartal]]</f>
        <v>Q 3</v>
      </c>
      <c r="J953" t="str">
        <f>tbl_Kalender[[#This Row],[Quartal]]&amp;". Quartal"</f>
        <v>3. Quartal</v>
      </c>
      <c r="K953">
        <f>_xlfn.ISOWEEKNUM(tbl_Kalender[[#This Row],[Datum]])</f>
        <v>32</v>
      </c>
    </row>
    <row r="954" spans="1:11" x14ac:dyDescent="0.25">
      <c r="A954" s="1">
        <v>46244</v>
      </c>
      <c r="B954">
        <f>YEAR(tbl_Kalender[[#This Row],[Datum]])</f>
        <v>2026</v>
      </c>
      <c r="C954">
        <f>DAY(tbl_Kalender[[#This Row],[Datum]])</f>
        <v>10</v>
      </c>
      <c r="D954" t="str">
        <f>TEXT(tbl_Kalender[[#This Row],[Datum]],"TTTT")</f>
        <v>Montag</v>
      </c>
      <c r="E954">
        <f>WEEKDAY(tbl_Kalender[[#This Row],[Datum]],2)</f>
        <v>1</v>
      </c>
      <c r="F954">
        <f>MONTH(tbl_Kalender[[#This Row],[Datum]])</f>
        <v>8</v>
      </c>
      <c r="G954" t="str">
        <f>TEXT(tbl_Kalender[[#This Row],[Datum]],"MMMM")</f>
        <v>August</v>
      </c>
      <c r="H954">
        <f>ROUNDUP(tbl_Kalender[[#This Row],[Monat]]/3,0)</f>
        <v>3</v>
      </c>
      <c r="I954" t="str">
        <f>"Q "&amp;tbl_Kalender[[#This Row],[Quartal]]</f>
        <v>Q 3</v>
      </c>
      <c r="J954" t="str">
        <f>tbl_Kalender[[#This Row],[Quartal]]&amp;". Quartal"</f>
        <v>3. Quartal</v>
      </c>
      <c r="K954">
        <f>_xlfn.ISOWEEKNUM(tbl_Kalender[[#This Row],[Datum]])</f>
        <v>33</v>
      </c>
    </row>
    <row r="955" spans="1:11" x14ac:dyDescent="0.25">
      <c r="A955" s="1">
        <v>46245</v>
      </c>
      <c r="B955">
        <f>YEAR(tbl_Kalender[[#This Row],[Datum]])</f>
        <v>2026</v>
      </c>
      <c r="C955">
        <f>DAY(tbl_Kalender[[#This Row],[Datum]])</f>
        <v>11</v>
      </c>
      <c r="D955" t="str">
        <f>TEXT(tbl_Kalender[[#This Row],[Datum]],"TTTT")</f>
        <v>Dienstag</v>
      </c>
      <c r="E955">
        <f>WEEKDAY(tbl_Kalender[[#This Row],[Datum]],2)</f>
        <v>2</v>
      </c>
      <c r="F955">
        <f>MONTH(tbl_Kalender[[#This Row],[Datum]])</f>
        <v>8</v>
      </c>
      <c r="G955" t="str">
        <f>TEXT(tbl_Kalender[[#This Row],[Datum]],"MMMM")</f>
        <v>August</v>
      </c>
      <c r="H955">
        <f>ROUNDUP(tbl_Kalender[[#This Row],[Monat]]/3,0)</f>
        <v>3</v>
      </c>
      <c r="I955" t="str">
        <f>"Q "&amp;tbl_Kalender[[#This Row],[Quartal]]</f>
        <v>Q 3</v>
      </c>
      <c r="J955" t="str">
        <f>tbl_Kalender[[#This Row],[Quartal]]&amp;". Quartal"</f>
        <v>3. Quartal</v>
      </c>
      <c r="K955">
        <f>_xlfn.ISOWEEKNUM(tbl_Kalender[[#This Row],[Datum]])</f>
        <v>33</v>
      </c>
    </row>
    <row r="956" spans="1:11" x14ac:dyDescent="0.25">
      <c r="A956" s="1">
        <v>46246</v>
      </c>
      <c r="B956">
        <f>YEAR(tbl_Kalender[[#This Row],[Datum]])</f>
        <v>2026</v>
      </c>
      <c r="C956">
        <f>DAY(tbl_Kalender[[#This Row],[Datum]])</f>
        <v>12</v>
      </c>
      <c r="D956" t="str">
        <f>TEXT(tbl_Kalender[[#This Row],[Datum]],"TTTT")</f>
        <v>Mittwoch</v>
      </c>
      <c r="E956">
        <f>WEEKDAY(tbl_Kalender[[#This Row],[Datum]],2)</f>
        <v>3</v>
      </c>
      <c r="F956">
        <f>MONTH(tbl_Kalender[[#This Row],[Datum]])</f>
        <v>8</v>
      </c>
      <c r="G956" t="str">
        <f>TEXT(tbl_Kalender[[#This Row],[Datum]],"MMMM")</f>
        <v>August</v>
      </c>
      <c r="H956">
        <f>ROUNDUP(tbl_Kalender[[#This Row],[Monat]]/3,0)</f>
        <v>3</v>
      </c>
      <c r="I956" t="str">
        <f>"Q "&amp;tbl_Kalender[[#This Row],[Quartal]]</f>
        <v>Q 3</v>
      </c>
      <c r="J956" t="str">
        <f>tbl_Kalender[[#This Row],[Quartal]]&amp;". Quartal"</f>
        <v>3. Quartal</v>
      </c>
      <c r="K956">
        <f>_xlfn.ISOWEEKNUM(tbl_Kalender[[#This Row],[Datum]])</f>
        <v>33</v>
      </c>
    </row>
    <row r="957" spans="1:11" x14ac:dyDescent="0.25">
      <c r="A957" s="1">
        <v>46247</v>
      </c>
      <c r="B957">
        <f>YEAR(tbl_Kalender[[#This Row],[Datum]])</f>
        <v>2026</v>
      </c>
      <c r="C957">
        <f>DAY(tbl_Kalender[[#This Row],[Datum]])</f>
        <v>13</v>
      </c>
      <c r="D957" t="str">
        <f>TEXT(tbl_Kalender[[#This Row],[Datum]],"TTTT")</f>
        <v>Donnerstag</v>
      </c>
      <c r="E957">
        <f>WEEKDAY(tbl_Kalender[[#This Row],[Datum]],2)</f>
        <v>4</v>
      </c>
      <c r="F957">
        <f>MONTH(tbl_Kalender[[#This Row],[Datum]])</f>
        <v>8</v>
      </c>
      <c r="G957" t="str">
        <f>TEXT(tbl_Kalender[[#This Row],[Datum]],"MMMM")</f>
        <v>August</v>
      </c>
      <c r="H957">
        <f>ROUNDUP(tbl_Kalender[[#This Row],[Monat]]/3,0)</f>
        <v>3</v>
      </c>
      <c r="I957" t="str">
        <f>"Q "&amp;tbl_Kalender[[#This Row],[Quartal]]</f>
        <v>Q 3</v>
      </c>
      <c r="J957" t="str">
        <f>tbl_Kalender[[#This Row],[Quartal]]&amp;". Quartal"</f>
        <v>3. Quartal</v>
      </c>
      <c r="K957">
        <f>_xlfn.ISOWEEKNUM(tbl_Kalender[[#This Row],[Datum]])</f>
        <v>33</v>
      </c>
    </row>
    <row r="958" spans="1:11" x14ac:dyDescent="0.25">
      <c r="A958" s="1">
        <v>46248</v>
      </c>
      <c r="B958">
        <f>YEAR(tbl_Kalender[[#This Row],[Datum]])</f>
        <v>2026</v>
      </c>
      <c r="C958">
        <f>DAY(tbl_Kalender[[#This Row],[Datum]])</f>
        <v>14</v>
      </c>
      <c r="D958" t="str">
        <f>TEXT(tbl_Kalender[[#This Row],[Datum]],"TTTT")</f>
        <v>Freitag</v>
      </c>
      <c r="E958">
        <f>WEEKDAY(tbl_Kalender[[#This Row],[Datum]],2)</f>
        <v>5</v>
      </c>
      <c r="F958">
        <f>MONTH(tbl_Kalender[[#This Row],[Datum]])</f>
        <v>8</v>
      </c>
      <c r="G958" t="str">
        <f>TEXT(tbl_Kalender[[#This Row],[Datum]],"MMMM")</f>
        <v>August</v>
      </c>
      <c r="H958">
        <f>ROUNDUP(tbl_Kalender[[#This Row],[Monat]]/3,0)</f>
        <v>3</v>
      </c>
      <c r="I958" t="str">
        <f>"Q "&amp;tbl_Kalender[[#This Row],[Quartal]]</f>
        <v>Q 3</v>
      </c>
      <c r="J958" t="str">
        <f>tbl_Kalender[[#This Row],[Quartal]]&amp;". Quartal"</f>
        <v>3. Quartal</v>
      </c>
      <c r="K958">
        <f>_xlfn.ISOWEEKNUM(tbl_Kalender[[#This Row],[Datum]])</f>
        <v>33</v>
      </c>
    </row>
    <row r="959" spans="1:11" x14ac:dyDescent="0.25">
      <c r="A959" s="1">
        <v>46249</v>
      </c>
      <c r="B959">
        <f>YEAR(tbl_Kalender[[#This Row],[Datum]])</f>
        <v>2026</v>
      </c>
      <c r="C959">
        <f>DAY(tbl_Kalender[[#This Row],[Datum]])</f>
        <v>15</v>
      </c>
      <c r="D959" t="str">
        <f>TEXT(tbl_Kalender[[#This Row],[Datum]],"TTTT")</f>
        <v>Samstag</v>
      </c>
      <c r="E959">
        <f>WEEKDAY(tbl_Kalender[[#This Row],[Datum]],2)</f>
        <v>6</v>
      </c>
      <c r="F959">
        <f>MONTH(tbl_Kalender[[#This Row],[Datum]])</f>
        <v>8</v>
      </c>
      <c r="G959" t="str">
        <f>TEXT(tbl_Kalender[[#This Row],[Datum]],"MMMM")</f>
        <v>August</v>
      </c>
      <c r="H959">
        <f>ROUNDUP(tbl_Kalender[[#This Row],[Monat]]/3,0)</f>
        <v>3</v>
      </c>
      <c r="I959" t="str">
        <f>"Q "&amp;tbl_Kalender[[#This Row],[Quartal]]</f>
        <v>Q 3</v>
      </c>
      <c r="J959" t="str">
        <f>tbl_Kalender[[#This Row],[Quartal]]&amp;". Quartal"</f>
        <v>3. Quartal</v>
      </c>
      <c r="K959">
        <f>_xlfn.ISOWEEKNUM(tbl_Kalender[[#This Row],[Datum]])</f>
        <v>33</v>
      </c>
    </row>
    <row r="960" spans="1:11" x14ac:dyDescent="0.25">
      <c r="A960" s="1">
        <v>46250</v>
      </c>
      <c r="B960">
        <f>YEAR(tbl_Kalender[[#This Row],[Datum]])</f>
        <v>2026</v>
      </c>
      <c r="C960">
        <f>DAY(tbl_Kalender[[#This Row],[Datum]])</f>
        <v>16</v>
      </c>
      <c r="D960" t="str">
        <f>TEXT(tbl_Kalender[[#This Row],[Datum]],"TTTT")</f>
        <v>Sonntag</v>
      </c>
      <c r="E960">
        <f>WEEKDAY(tbl_Kalender[[#This Row],[Datum]],2)</f>
        <v>7</v>
      </c>
      <c r="F960">
        <f>MONTH(tbl_Kalender[[#This Row],[Datum]])</f>
        <v>8</v>
      </c>
      <c r="G960" t="str">
        <f>TEXT(tbl_Kalender[[#This Row],[Datum]],"MMMM")</f>
        <v>August</v>
      </c>
      <c r="H960">
        <f>ROUNDUP(tbl_Kalender[[#This Row],[Monat]]/3,0)</f>
        <v>3</v>
      </c>
      <c r="I960" t="str">
        <f>"Q "&amp;tbl_Kalender[[#This Row],[Quartal]]</f>
        <v>Q 3</v>
      </c>
      <c r="J960" t="str">
        <f>tbl_Kalender[[#This Row],[Quartal]]&amp;". Quartal"</f>
        <v>3. Quartal</v>
      </c>
      <c r="K960">
        <f>_xlfn.ISOWEEKNUM(tbl_Kalender[[#This Row],[Datum]])</f>
        <v>33</v>
      </c>
    </row>
    <row r="961" spans="1:11" x14ac:dyDescent="0.25">
      <c r="A961" s="1">
        <v>46251</v>
      </c>
      <c r="B961">
        <f>YEAR(tbl_Kalender[[#This Row],[Datum]])</f>
        <v>2026</v>
      </c>
      <c r="C961">
        <f>DAY(tbl_Kalender[[#This Row],[Datum]])</f>
        <v>17</v>
      </c>
      <c r="D961" t="str">
        <f>TEXT(tbl_Kalender[[#This Row],[Datum]],"TTTT")</f>
        <v>Montag</v>
      </c>
      <c r="E961">
        <f>WEEKDAY(tbl_Kalender[[#This Row],[Datum]],2)</f>
        <v>1</v>
      </c>
      <c r="F961">
        <f>MONTH(tbl_Kalender[[#This Row],[Datum]])</f>
        <v>8</v>
      </c>
      <c r="G961" t="str">
        <f>TEXT(tbl_Kalender[[#This Row],[Datum]],"MMMM")</f>
        <v>August</v>
      </c>
      <c r="H961">
        <f>ROUNDUP(tbl_Kalender[[#This Row],[Monat]]/3,0)</f>
        <v>3</v>
      </c>
      <c r="I961" t="str">
        <f>"Q "&amp;tbl_Kalender[[#This Row],[Quartal]]</f>
        <v>Q 3</v>
      </c>
      <c r="J961" t="str">
        <f>tbl_Kalender[[#This Row],[Quartal]]&amp;". Quartal"</f>
        <v>3. Quartal</v>
      </c>
      <c r="K961">
        <f>_xlfn.ISOWEEKNUM(tbl_Kalender[[#This Row],[Datum]])</f>
        <v>34</v>
      </c>
    </row>
    <row r="962" spans="1:11" x14ac:dyDescent="0.25">
      <c r="A962" s="1">
        <v>46252</v>
      </c>
      <c r="B962">
        <f>YEAR(tbl_Kalender[[#This Row],[Datum]])</f>
        <v>2026</v>
      </c>
      <c r="C962">
        <f>DAY(tbl_Kalender[[#This Row],[Datum]])</f>
        <v>18</v>
      </c>
      <c r="D962" t="str">
        <f>TEXT(tbl_Kalender[[#This Row],[Datum]],"TTTT")</f>
        <v>Dienstag</v>
      </c>
      <c r="E962">
        <f>WEEKDAY(tbl_Kalender[[#This Row],[Datum]],2)</f>
        <v>2</v>
      </c>
      <c r="F962">
        <f>MONTH(tbl_Kalender[[#This Row],[Datum]])</f>
        <v>8</v>
      </c>
      <c r="G962" t="str">
        <f>TEXT(tbl_Kalender[[#This Row],[Datum]],"MMMM")</f>
        <v>August</v>
      </c>
      <c r="H962">
        <f>ROUNDUP(tbl_Kalender[[#This Row],[Monat]]/3,0)</f>
        <v>3</v>
      </c>
      <c r="I962" t="str">
        <f>"Q "&amp;tbl_Kalender[[#This Row],[Quartal]]</f>
        <v>Q 3</v>
      </c>
      <c r="J962" t="str">
        <f>tbl_Kalender[[#This Row],[Quartal]]&amp;". Quartal"</f>
        <v>3. Quartal</v>
      </c>
      <c r="K962">
        <f>_xlfn.ISOWEEKNUM(tbl_Kalender[[#This Row],[Datum]])</f>
        <v>34</v>
      </c>
    </row>
    <row r="963" spans="1:11" x14ac:dyDescent="0.25">
      <c r="A963" s="1">
        <v>46253</v>
      </c>
      <c r="B963">
        <f>YEAR(tbl_Kalender[[#This Row],[Datum]])</f>
        <v>2026</v>
      </c>
      <c r="C963">
        <f>DAY(tbl_Kalender[[#This Row],[Datum]])</f>
        <v>19</v>
      </c>
      <c r="D963" t="str">
        <f>TEXT(tbl_Kalender[[#This Row],[Datum]],"TTTT")</f>
        <v>Mittwoch</v>
      </c>
      <c r="E963">
        <f>WEEKDAY(tbl_Kalender[[#This Row],[Datum]],2)</f>
        <v>3</v>
      </c>
      <c r="F963">
        <f>MONTH(tbl_Kalender[[#This Row],[Datum]])</f>
        <v>8</v>
      </c>
      <c r="G963" t="str">
        <f>TEXT(tbl_Kalender[[#This Row],[Datum]],"MMMM")</f>
        <v>August</v>
      </c>
      <c r="H963">
        <f>ROUNDUP(tbl_Kalender[[#This Row],[Monat]]/3,0)</f>
        <v>3</v>
      </c>
      <c r="I963" t="str">
        <f>"Q "&amp;tbl_Kalender[[#This Row],[Quartal]]</f>
        <v>Q 3</v>
      </c>
      <c r="J963" t="str">
        <f>tbl_Kalender[[#This Row],[Quartal]]&amp;". Quartal"</f>
        <v>3. Quartal</v>
      </c>
      <c r="K963">
        <f>_xlfn.ISOWEEKNUM(tbl_Kalender[[#This Row],[Datum]])</f>
        <v>34</v>
      </c>
    </row>
    <row r="964" spans="1:11" x14ac:dyDescent="0.25">
      <c r="A964" s="1">
        <v>46254</v>
      </c>
      <c r="B964">
        <f>YEAR(tbl_Kalender[[#This Row],[Datum]])</f>
        <v>2026</v>
      </c>
      <c r="C964">
        <f>DAY(tbl_Kalender[[#This Row],[Datum]])</f>
        <v>20</v>
      </c>
      <c r="D964" t="str">
        <f>TEXT(tbl_Kalender[[#This Row],[Datum]],"TTTT")</f>
        <v>Donnerstag</v>
      </c>
      <c r="E964">
        <f>WEEKDAY(tbl_Kalender[[#This Row],[Datum]],2)</f>
        <v>4</v>
      </c>
      <c r="F964">
        <f>MONTH(tbl_Kalender[[#This Row],[Datum]])</f>
        <v>8</v>
      </c>
      <c r="G964" t="str">
        <f>TEXT(tbl_Kalender[[#This Row],[Datum]],"MMMM")</f>
        <v>August</v>
      </c>
      <c r="H964">
        <f>ROUNDUP(tbl_Kalender[[#This Row],[Monat]]/3,0)</f>
        <v>3</v>
      </c>
      <c r="I964" t="str">
        <f>"Q "&amp;tbl_Kalender[[#This Row],[Quartal]]</f>
        <v>Q 3</v>
      </c>
      <c r="J964" t="str">
        <f>tbl_Kalender[[#This Row],[Quartal]]&amp;". Quartal"</f>
        <v>3. Quartal</v>
      </c>
      <c r="K964">
        <f>_xlfn.ISOWEEKNUM(tbl_Kalender[[#This Row],[Datum]])</f>
        <v>34</v>
      </c>
    </row>
    <row r="965" spans="1:11" x14ac:dyDescent="0.25">
      <c r="A965" s="1">
        <v>46255</v>
      </c>
      <c r="B965">
        <f>YEAR(tbl_Kalender[[#This Row],[Datum]])</f>
        <v>2026</v>
      </c>
      <c r="C965">
        <f>DAY(tbl_Kalender[[#This Row],[Datum]])</f>
        <v>21</v>
      </c>
      <c r="D965" t="str">
        <f>TEXT(tbl_Kalender[[#This Row],[Datum]],"TTTT")</f>
        <v>Freitag</v>
      </c>
      <c r="E965">
        <f>WEEKDAY(tbl_Kalender[[#This Row],[Datum]],2)</f>
        <v>5</v>
      </c>
      <c r="F965">
        <f>MONTH(tbl_Kalender[[#This Row],[Datum]])</f>
        <v>8</v>
      </c>
      <c r="G965" t="str">
        <f>TEXT(tbl_Kalender[[#This Row],[Datum]],"MMMM")</f>
        <v>August</v>
      </c>
      <c r="H965">
        <f>ROUNDUP(tbl_Kalender[[#This Row],[Monat]]/3,0)</f>
        <v>3</v>
      </c>
      <c r="I965" t="str">
        <f>"Q "&amp;tbl_Kalender[[#This Row],[Quartal]]</f>
        <v>Q 3</v>
      </c>
      <c r="J965" t="str">
        <f>tbl_Kalender[[#This Row],[Quartal]]&amp;". Quartal"</f>
        <v>3. Quartal</v>
      </c>
      <c r="K965">
        <f>_xlfn.ISOWEEKNUM(tbl_Kalender[[#This Row],[Datum]])</f>
        <v>34</v>
      </c>
    </row>
    <row r="966" spans="1:11" x14ac:dyDescent="0.25">
      <c r="A966" s="1">
        <v>46256</v>
      </c>
      <c r="B966">
        <f>YEAR(tbl_Kalender[[#This Row],[Datum]])</f>
        <v>2026</v>
      </c>
      <c r="C966">
        <f>DAY(tbl_Kalender[[#This Row],[Datum]])</f>
        <v>22</v>
      </c>
      <c r="D966" t="str">
        <f>TEXT(tbl_Kalender[[#This Row],[Datum]],"TTTT")</f>
        <v>Samstag</v>
      </c>
      <c r="E966">
        <f>WEEKDAY(tbl_Kalender[[#This Row],[Datum]],2)</f>
        <v>6</v>
      </c>
      <c r="F966">
        <f>MONTH(tbl_Kalender[[#This Row],[Datum]])</f>
        <v>8</v>
      </c>
      <c r="G966" t="str">
        <f>TEXT(tbl_Kalender[[#This Row],[Datum]],"MMMM")</f>
        <v>August</v>
      </c>
      <c r="H966">
        <f>ROUNDUP(tbl_Kalender[[#This Row],[Monat]]/3,0)</f>
        <v>3</v>
      </c>
      <c r="I966" t="str">
        <f>"Q "&amp;tbl_Kalender[[#This Row],[Quartal]]</f>
        <v>Q 3</v>
      </c>
      <c r="J966" t="str">
        <f>tbl_Kalender[[#This Row],[Quartal]]&amp;". Quartal"</f>
        <v>3. Quartal</v>
      </c>
      <c r="K966">
        <f>_xlfn.ISOWEEKNUM(tbl_Kalender[[#This Row],[Datum]])</f>
        <v>34</v>
      </c>
    </row>
    <row r="967" spans="1:11" x14ac:dyDescent="0.25">
      <c r="A967" s="1">
        <v>46257</v>
      </c>
      <c r="B967">
        <f>YEAR(tbl_Kalender[[#This Row],[Datum]])</f>
        <v>2026</v>
      </c>
      <c r="C967">
        <f>DAY(tbl_Kalender[[#This Row],[Datum]])</f>
        <v>23</v>
      </c>
      <c r="D967" t="str">
        <f>TEXT(tbl_Kalender[[#This Row],[Datum]],"TTTT")</f>
        <v>Sonntag</v>
      </c>
      <c r="E967">
        <f>WEEKDAY(tbl_Kalender[[#This Row],[Datum]],2)</f>
        <v>7</v>
      </c>
      <c r="F967">
        <f>MONTH(tbl_Kalender[[#This Row],[Datum]])</f>
        <v>8</v>
      </c>
      <c r="G967" t="str">
        <f>TEXT(tbl_Kalender[[#This Row],[Datum]],"MMMM")</f>
        <v>August</v>
      </c>
      <c r="H967">
        <f>ROUNDUP(tbl_Kalender[[#This Row],[Monat]]/3,0)</f>
        <v>3</v>
      </c>
      <c r="I967" t="str">
        <f>"Q "&amp;tbl_Kalender[[#This Row],[Quartal]]</f>
        <v>Q 3</v>
      </c>
      <c r="J967" t="str">
        <f>tbl_Kalender[[#This Row],[Quartal]]&amp;". Quartal"</f>
        <v>3. Quartal</v>
      </c>
      <c r="K967">
        <f>_xlfn.ISOWEEKNUM(tbl_Kalender[[#This Row],[Datum]])</f>
        <v>34</v>
      </c>
    </row>
    <row r="968" spans="1:11" x14ac:dyDescent="0.25">
      <c r="A968" s="1">
        <v>46258</v>
      </c>
      <c r="B968">
        <f>YEAR(tbl_Kalender[[#This Row],[Datum]])</f>
        <v>2026</v>
      </c>
      <c r="C968">
        <f>DAY(tbl_Kalender[[#This Row],[Datum]])</f>
        <v>24</v>
      </c>
      <c r="D968" t="str">
        <f>TEXT(tbl_Kalender[[#This Row],[Datum]],"TTTT")</f>
        <v>Montag</v>
      </c>
      <c r="E968">
        <f>WEEKDAY(tbl_Kalender[[#This Row],[Datum]],2)</f>
        <v>1</v>
      </c>
      <c r="F968">
        <f>MONTH(tbl_Kalender[[#This Row],[Datum]])</f>
        <v>8</v>
      </c>
      <c r="G968" t="str">
        <f>TEXT(tbl_Kalender[[#This Row],[Datum]],"MMMM")</f>
        <v>August</v>
      </c>
      <c r="H968">
        <f>ROUNDUP(tbl_Kalender[[#This Row],[Monat]]/3,0)</f>
        <v>3</v>
      </c>
      <c r="I968" t="str">
        <f>"Q "&amp;tbl_Kalender[[#This Row],[Quartal]]</f>
        <v>Q 3</v>
      </c>
      <c r="J968" t="str">
        <f>tbl_Kalender[[#This Row],[Quartal]]&amp;". Quartal"</f>
        <v>3. Quartal</v>
      </c>
      <c r="K968">
        <f>_xlfn.ISOWEEKNUM(tbl_Kalender[[#This Row],[Datum]])</f>
        <v>35</v>
      </c>
    </row>
    <row r="969" spans="1:11" x14ac:dyDescent="0.25">
      <c r="A969" s="1">
        <v>46259</v>
      </c>
      <c r="B969">
        <f>YEAR(tbl_Kalender[[#This Row],[Datum]])</f>
        <v>2026</v>
      </c>
      <c r="C969">
        <f>DAY(tbl_Kalender[[#This Row],[Datum]])</f>
        <v>25</v>
      </c>
      <c r="D969" t="str">
        <f>TEXT(tbl_Kalender[[#This Row],[Datum]],"TTTT")</f>
        <v>Dienstag</v>
      </c>
      <c r="E969">
        <f>WEEKDAY(tbl_Kalender[[#This Row],[Datum]],2)</f>
        <v>2</v>
      </c>
      <c r="F969">
        <f>MONTH(tbl_Kalender[[#This Row],[Datum]])</f>
        <v>8</v>
      </c>
      <c r="G969" t="str">
        <f>TEXT(tbl_Kalender[[#This Row],[Datum]],"MMMM")</f>
        <v>August</v>
      </c>
      <c r="H969">
        <f>ROUNDUP(tbl_Kalender[[#This Row],[Monat]]/3,0)</f>
        <v>3</v>
      </c>
      <c r="I969" t="str">
        <f>"Q "&amp;tbl_Kalender[[#This Row],[Quartal]]</f>
        <v>Q 3</v>
      </c>
      <c r="J969" t="str">
        <f>tbl_Kalender[[#This Row],[Quartal]]&amp;". Quartal"</f>
        <v>3. Quartal</v>
      </c>
      <c r="K969">
        <f>_xlfn.ISOWEEKNUM(tbl_Kalender[[#This Row],[Datum]])</f>
        <v>35</v>
      </c>
    </row>
    <row r="970" spans="1:11" x14ac:dyDescent="0.25">
      <c r="A970" s="1">
        <v>46260</v>
      </c>
      <c r="B970">
        <f>YEAR(tbl_Kalender[[#This Row],[Datum]])</f>
        <v>2026</v>
      </c>
      <c r="C970">
        <f>DAY(tbl_Kalender[[#This Row],[Datum]])</f>
        <v>26</v>
      </c>
      <c r="D970" t="str">
        <f>TEXT(tbl_Kalender[[#This Row],[Datum]],"TTTT")</f>
        <v>Mittwoch</v>
      </c>
      <c r="E970">
        <f>WEEKDAY(tbl_Kalender[[#This Row],[Datum]],2)</f>
        <v>3</v>
      </c>
      <c r="F970">
        <f>MONTH(tbl_Kalender[[#This Row],[Datum]])</f>
        <v>8</v>
      </c>
      <c r="G970" t="str">
        <f>TEXT(tbl_Kalender[[#This Row],[Datum]],"MMMM")</f>
        <v>August</v>
      </c>
      <c r="H970">
        <f>ROUNDUP(tbl_Kalender[[#This Row],[Monat]]/3,0)</f>
        <v>3</v>
      </c>
      <c r="I970" t="str">
        <f>"Q "&amp;tbl_Kalender[[#This Row],[Quartal]]</f>
        <v>Q 3</v>
      </c>
      <c r="J970" t="str">
        <f>tbl_Kalender[[#This Row],[Quartal]]&amp;". Quartal"</f>
        <v>3. Quartal</v>
      </c>
      <c r="K970">
        <f>_xlfn.ISOWEEKNUM(tbl_Kalender[[#This Row],[Datum]])</f>
        <v>35</v>
      </c>
    </row>
    <row r="971" spans="1:11" x14ac:dyDescent="0.25">
      <c r="A971" s="1">
        <v>46261</v>
      </c>
      <c r="B971">
        <f>YEAR(tbl_Kalender[[#This Row],[Datum]])</f>
        <v>2026</v>
      </c>
      <c r="C971">
        <f>DAY(tbl_Kalender[[#This Row],[Datum]])</f>
        <v>27</v>
      </c>
      <c r="D971" t="str">
        <f>TEXT(tbl_Kalender[[#This Row],[Datum]],"TTTT")</f>
        <v>Donnerstag</v>
      </c>
      <c r="E971">
        <f>WEEKDAY(tbl_Kalender[[#This Row],[Datum]],2)</f>
        <v>4</v>
      </c>
      <c r="F971">
        <f>MONTH(tbl_Kalender[[#This Row],[Datum]])</f>
        <v>8</v>
      </c>
      <c r="G971" t="str">
        <f>TEXT(tbl_Kalender[[#This Row],[Datum]],"MMMM")</f>
        <v>August</v>
      </c>
      <c r="H971">
        <f>ROUNDUP(tbl_Kalender[[#This Row],[Monat]]/3,0)</f>
        <v>3</v>
      </c>
      <c r="I971" t="str">
        <f>"Q "&amp;tbl_Kalender[[#This Row],[Quartal]]</f>
        <v>Q 3</v>
      </c>
      <c r="J971" t="str">
        <f>tbl_Kalender[[#This Row],[Quartal]]&amp;". Quartal"</f>
        <v>3. Quartal</v>
      </c>
      <c r="K971">
        <f>_xlfn.ISOWEEKNUM(tbl_Kalender[[#This Row],[Datum]])</f>
        <v>35</v>
      </c>
    </row>
    <row r="972" spans="1:11" x14ac:dyDescent="0.25">
      <c r="A972" s="1">
        <v>46262</v>
      </c>
      <c r="B972">
        <f>YEAR(tbl_Kalender[[#This Row],[Datum]])</f>
        <v>2026</v>
      </c>
      <c r="C972">
        <f>DAY(tbl_Kalender[[#This Row],[Datum]])</f>
        <v>28</v>
      </c>
      <c r="D972" t="str">
        <f>TEXT(tbl_Kalender[[#This Row],[Datum]],"TTTT")</f>
        <v>Freitag</v>
      </c>
      <c r="E972">
        <f>WEEKDAY(tbl_Kalender[[#This Row],[Datum]],2)</f>
        <v>5</v>
      </c>
      <c r="F972">
        <f>MONTH(tbl_Kalender[[#This Row],[Datum]])</f>
        <v>8</v>
      </c>
      <c r="G972" t="str">
        <f>TEXT(tbl_Kalender[[#This Row],[Datum]],"MMMM")</f>
        <v>August</v>
      </c>
      <c r="H972">
        <f>ROUNDUP(tbl_Kalender[[#This Row],[Monat]]/3,0)</f>
        <v>3</v>
      </c>
      <c r="I972" t="str">
        <f>"Q "&amp;tbl_Kalender[[#This Row],[Quartal]]</f>
        <v>Q 3</v>
      </c>
      <c r="J972" t="str">
        <f>tbl_Kalender[[#This Row],[Quartal]]&amp;". Quartal"</f>
        <v>3. Quartal</v>
      </c>
      <c r="K972">
        <f>_xlfn.ISOWEEKNUM(tbl_Kalender[[#This Row],[Datum]])</f>
        <v>35</v>
      </c>
    </row>
    <row r="973" spans="1:11" x14ac:dyDescent="0.25">
      <c r="A973" s="1">
        <v>46263</v>
      </c>
      <c r="B973">
        <f>YEAR(tbl_Kalender[[#This Row],[Datum]])</f>
        <v>2026</v>
      </c>
      <c r="C973">
        <f>DAY(tbl_Kalender[[#This Row],[Datum]])</f>
        <v>29</v>
      </c>
      <c r="D973" t="str">
        <f>TEXT(tbl_Kalender[[#This Row],[Datum]],"TTTT")</f>
        <v>Samstag</v>
      </c>
      <c r="E973">
        <f>WEEKDAY(tbl_Kalender[[#This Row],[Datum]],2)</f>
        <v>6</v>
      </c>
      <c r="F973">
        <f>MONTH(tbl_Kalender[[#This Row],[Datum]])</f>
        <v>8</v>
      </c>
      <c r="G973" t="str">
        <f>TEXT(tbl_Kalender[[#This Row],[Datum]],"MMMM")</f>
        <v>August</v>
      </c>
      <c r="H973">
        <f>ROUNDUP(tbl_Kalender[[#This Row],[Monat]]/3,0)</f>
        <v>3</v>
      </c>
      <c r="I973" t="str">
        <f>"Q "&amp;tbl_Kalender[[#This Row],[Quartal]]</f>
        <v>Q 3</v>
      </c>
      <c r="J973" t="str">
        <f>tbl_Kalender[[#This Row],[Quartal]]&amp;". Quartal"</f>
        <v>3. Quartal</v>
      </c>
      <c r="K973">
        <f>_xlfn.ISOWEEKNUM(tbl_Kalender[[#This Row],[Datum]])</f>
        <v>35</v>
      </c>
    </row>
    <row r="974" spans="1:11" x14ac:dyDescent="0.25">
      <c r="A974" s="1">
        <v>46264</v>
      </c>
      <c r="B974">
        <f>YEAR(tbl_Kalender[[#This Row],[Datum]])</f>
        <v>2026</v>
      </c>
      <c r="C974">
        <f>DAY(tbl_Kalender[[#This Row],[Datum]])</f>
        <v>30</v>
      </c>
      <c r="D974" t="str">
        <f>TEXT(tbl_Kalender[[#This Row],[Datum]],"TTTT")</f>
        <v>Sonntag</v>
      </c>
      <c r="E974">
        <f>WEEKDAY(tbl_Kalender[[#This Row],[Datum]],2)</f>
        <v>7</v>
      </c>
      <c r="F974">
        <f>MONTH(tbl_Kalender[[#This Row],[Datum]])</f>
        <v>8</v>
      </c>
      <c r="G974" t="str">
        <f>TEXT(tbl_Kalender[[#This Row],[Datum]],"MMMM")</f>
        <v>August</v>
      </c>
      <c r="H974">
        <f>ROUNDUP(tbl_Kalender[[#This Row],[Monat]]/3,0)</f>
        <v>3</v>
      </c>
      <c r="I974" t="str">
        <f>"Q "&amp;tbl_Kalender[[#This Row],[Quartal]]</f>
        <v>Q 3</v>
      </c>
      <c r="J974" t="str">
        <f>tbl_Kalender[[#This Row],[Quartal]]&amp;". Quartal"</f>
        <v>3. Quartal</v>
      </c>
      <c r="K974">
        <f>_xlfn.ISOWEEKNUM(tbl_Kalender[[#This Row],[Datum]])</f>
        <v>35</v>
      </c>
    </row>
    <row r="975" spans="1:11" x14ac:dyDescent="0.25">
      <c r="A975" s="1">
        <v>46265</v>
      </c>
      <c r="B975">
        <f>YEAR(tbl_Kalender[[#This Row],[Datum]])</f>
        <v>2026</v>
      </c>
      <c r="C975">
        <f>DAY(tbl_Kalender[[#This Row],[Datum]])</f>
        <v>31</v>
      </c>
      <c r="D975" t="str">
        <f>TEXT(tbl_Kalender[[#This Row],[Datum]],"TTTT")</f>
        <v>Montag</v>
      </c>
      <c r="E975">
        <f>WEEKDAY(tbl_Kalender[[#This Row],[Datum]],2)</f>
        <v>1</v>
      </c>
      <c r="F975">
        <f>MONTH(tbl_Kalender[[#This Row],[Datum]])</f>
        <v>8</v>
      </c>
      <c r="G975" t="str">
        <f>TEXT(tbl_Kalender[[#This Row],[Datum]],"MMMM")</f>
        <v>August</v>
      </c>
      <c r="H975">
        <f>ROUNDUP(tbl_Kalender[[#This Row],[Monat]]/3,0)</f>
        <v>3</v>
      </c>
      <c r="I975" t="str">
        <f>"Q "&amp;tbl_Kalender[[#This Row],[Quartal]]</f>
        <v>Q 3</v>
      </c>
      <c r="J975" t="str">
        <f>tbl_Kalender[[#This Row],[Quartal]]&amp;". Quartal"</f>
        <v>3. Quartal</v>
      </c>
      <c r="K975">
        <f>_xlfn.ISOWEEKNUM(tbl_Kalender[[#This Row],[Datum]])</f>
        <v>36</v>
      </c>
    </row>
    <row r="976" spans="1:11" x14ac:dyDescent="0.25">
      <c r="A976" s="1">
        <v>46266</v>
      </c>
      <c r="B976">
        <f>YEAR(tbl_Kalender[[#This Row],[Datum]])</f>
        <v>2026</v>
      </c>
      <c r="C976">
        <f>DAY(tbl_Kalender[[#This Row],[Datum]])</f>
        <v>1</v>
      </c>
      <c r="D976" t="str">
        <f>TEXT(tbl_Kalender[[#This Row],[Datum]],"TTTT")</f>
        <v>Dienstag</v>
      </c>
      <c r="E976">
        <f>WEEKDAY(tbl_Kalender[[#This Row],[Datum]],2)</f>
        <v>2</v>
      </c>
      <c r="F976">
        <f>MONTH(tbl_Kalender[[#This Row],[Datum]])</f>
        <v>9</v>
      </c>
      <c r="G976" t="str">
        <f>TEXT(tbl_Kalender[[#This Row],[Datum]],"MMMM")</f>
        <v>September</v>
      </c>
      <c r="H976">
        <f>ROUNDUP(tbl_Kalender[[#This Row],[Monat]]/3,0)</f>
        <v>3</v>
      </c>
      <c r="I976" t="str">
        <f>"Q "&amp;tbl_Kalender[[#This Row],[Quartal]]</f>
        <v>Q 3</v>
      </c>
      <c r="J976" t="str">
        <f>tbl_Kalender[[#This Row],[Quartal]]&amp;". Quartal"</f>
        <v>3. Quartal</v>
      </c>
      <c r="K976">
        <f>_xlfn.ISOWEEKNUM(tbl_Kalender[[#This Row],[Datum]])</f>
        <v>36</v>
      </c>
    </row>
    <row r="977" spans="1:11" x14ac:dyDescent="0.25">
      <c r="A977" s="1">
        <v>46267</v>
      </c>
      <c r="B977">
        <f>YEAR(tbl_Kalender[[#This Row],[Datum]])</f>
        <v>2026</v>
      </c>
      <c r="C977">
        <f>DAY(tbl_Kalender[[#This Row],[Datum]])</f>
        <v>2</v>
      </c>
      <c r="D977" t="str">
        <f>TEXT(tbl_Kalender[[#This Row],[Datum]],"TTTT")</f>
        <v>Mittwoch</v>
      </c>
      <c r="E977">
        <f>WEEKDAY(tbl_Kalender[[#This Row],[Datum]],2)</f>
        <v>3</v>
      </c>
      <c r="F977">
        <f>MONTH(tbl_Kalender[[#This Row],[Datum]])</f>
        <v>9</v>
      </c>
      <c r="G977" t="str">
        <f>TEXT(tbl_Kalender[[#This Row],[Datum]],"MMMM")</f>
        <v>September</v>
      </c>
      <c r="H977">
        <f>ROUNDUP(tbl_Kalender[[#This Row],[Monat]]/3,0)</f>
        <v>3</v>
      </c>
      <c r="I977" t="str">
        <f>"Q "&amp;tbl_Kalender[[#This Row],[Quartal]]</f>
        <v>Q 3</v>
      </c>
      <c r="J977" t="str">
        <f>tbl_Kalender[[#This Row],[Quartal]]&amp;". Quartal"</f>
        <v>3. Quartal</v>
      </c>
      <c r="K977">
        <f>_xlfn.ISOWEEKNUM(tbl_Kalender[[#This Row],[Datum]])</f>
        <v>36</v>
      </c>
    </row>
    <row r="978" spans="1:11" x14ac:dyDescent="0.25">
      <c r="A978" s="1">
        <v>46268</v>
      </c>
      <c r="B978">
        <f>YEAR(tbl_Kalender[[#This Row],[Datum]])</f>
        <v>2026</v>
      </c>
      <c r="C978">
        <f>DAY(tbl_Kalender[[#This Row],[Datum]])</f>
        <v>3</v>
      </c>
      <c r="D978" t="str">
        <f>TEXT(tbl_Kalender[[#This Row],[Datum]],"TTTT")</f>
        <v>Donnerstag</v>
      </c>
      <c r="E978">
        <f>WEEKDAY(tbl_Kalender[[#This Row],[Datum]],2)</f>
        <v>4</v>
      </c>
      <c r="F978">
        <f>MONTH(tbl_Kalender[[#This Row],[Datum]])</f>
        <v>9</v>
      </c>
      <c r="G978" t="str">
        <f>TEXT(tbl_Kalender[[#This Row],[Datum]],"MMMM")</f>
        <v>September</v>
      </c>
      <c r="H978">
        <f>ROUNDUP(tbl_Kalender[[#This Row],[Monat]]/3,0)</f>
        <v>3</v>
      </c>
      <c r="I978" t="str">
        <f>"Q "&amp;tbl_Kalender[[#This Row],[Quartal]]</f>
        <v>Q 3</v>
      </c>
      <c r="J978" t="str">
        <f>tbl_Kalender[[#This Row],[Quartal]]&amp;". Quartal"</f>
        <v>3. Quartal</v>
      </c>
      <c r="K978">
        <f>_xlfn.ISOWEEKNUM(tbl_Kalender[[#This Row],[Datum]])</f>
        <v>36</v>
      </c>
    </row>
    <row r="979" spans="1:11" x14ac:dyDescent="0.25">
      <c r="A979" s="1">
        <v>46269</v>
      </c>
      <c r="B979">
        <f>YEAR(tbl_Kalender[[#This Row],[Datum]])</f>
        <v>2026</v>
      </c>
      <c r="C979">
        <f>DAY(tbl_Kalender[[#This Row],[Datum]])</f>
        <v>4</v>
      </c>
      <c r="D979" t="str">
        <f>TEXT(tbl_Kalender[[#This Row],[Datum]],"TTTT")</f>
        <v>Freitag</v>
      </c>
      <c r="E979">
        <f>WEEKDAY(tbl_Kalender[[#This Row],[Datum]],2)</f>
        <v>5</v>
      </c>
      <c r="F979">
        <f>MONTH(tbl_Kalender[[#This Row],[Datum]])</f>
        <v>9</v>
      </c>
      <c r="G979" t="str">
        <f>TEXT(tbl_Kalender[[#This Row],[Datum]],"MMMM")</f>
        <v>September</v>
      </c>
      <c r="H979">
        <f>ROUNDUP(tbl_Kalender[[#This Row],[Monat]]/3,0)</f>
        <v>3</v>
      </c>
      <c r="I979" t="str">
        <f>"Q "&amp;tbl_Kalender[[#This Row],[Quartal]]</f>
        <v>Q 3</v>
      </c>
      <c r="J979" t="str">
        <f>tbl_Kalender[[#This Row],[Quartal]]&amp;". Quartal"</f>
        <v>3. Quartal</v>
      </c>
      <c r="K979">
        <f>_xlfn.ISOWEEKNUM(tbl_Kalender[[#This Row],[Datum]])</f>
        <v>36</v>
      </c>
    </row>
    <row r="980" spans="1:11" x14ac:dyDescent="0.25">
      <c r="A980" s="1">
        <v>46270</v>
      </c>
      <c r="B980">
        <f>YEAR(tbl_Kalender[[#This Row],[Datum]])</f>
        <v>2026</v>
      </c>
      <c r="C980">
        <f>DAY(tbl_Kalender[[#This Row],[Datum]])</f>
        <v>5</v>
      </c>
      <c r="D980" t="str">
        <f>TEXT(tbl_Kalender[[#This Row],[Datum]],"TTTT")</f>
        <v>Samstag</v>
      </c>
      <c r="E980">
        <f>WEEKDAY(tbl_Kalender[[#This Row],[Datum]],2)</f>
        <v>6</v>
      </c>
      <c r="F980">
        <f>MONTH(tbl_Kalender[[#This Row],[Datum]])</f>
        <v>9</v>
      </c>
      <c r="G980" t="str">
        <f>TEXT(tbl_Kalender[[#This Row],[Datum]],"MMMM")</f>
        <v>September</v>
      </c>
      <c r="H980">
        <f>ROUNDUP(tbl_Kalender[[#This Row],[Monat]]/3,0)</f>
        <v>3</v>
      </c>
      <c r="I980" t="str">
        <f>"Q "&amp;tbl_Kalender[[#This Row],[Quartal]]</f>
        <v>Q 3</v>
      </c>
      <c r="J980" t="str">
        <f>tbl_Kalender[[#This Row],[Quartal]]&amp;". Quartal"</f>
        <v>3. Quartal</v>
      </c>
      <c r="K980">
        <f>_xlfn.ISOWEEKNUM(tbl_Kalender[[#This Row],[Datum]])</f>
        <v>36</v>
      </c>
    </row>
    <row r="981" spans="1:11" x14ac:dyDescent="0.25">
      <c r="A981" s="1">
        <v>46271</v>
      </c>
      <c r="B981">
        <f>YEAR(tbl_Kalender[[#This Row],[Datum]])</f>
        <v>2026</v>
      </c>
      <c r="C981">
        <f>DAY(tbl_Kalender[[#This Row],[Datum]])</f>
        <v>6</v>
      </c>
      <c r="D981" t="str">
        <f>TEXT(tbl_Kalender[[#This Row],[Datum]],"TTTT")</f>
        <v>Sonntag</v>
      </c>
      <c r="E981">
        <f>WEEKDAY(tbl_Kalender[[#This Row],[Datum]],2)</f>
        <v>7</v>
      </c>
      <c r="F981">
        <f>MONTH(tbl_Kalender[[#This Row],[Datum]])</f>
        <v>9</v>
      </c>
      <c r="G981" t="str">
        <f>TEXT(tbl_Kalender[[#This Row],[Datum]],"MMMM")</f>
        <v>September</v>
      </c>
      <c r="H981">
        <f>ROUNDUP(tbl_Kalender[[#This Row],[Monat]]/3,0)</f>
        <v>3</v>
      </c>
      <c r="I981" t="str">
        <f>"Q "&amp;tbl_Kalender[[#This Row],[Quartal]]</f>
        <v>Q 3</v>
      </c>
      <c r="J981" t="str">
        <f>tbl_Kalender[[#This Row],[Quartal]]&amp;". Quartal"</f>
        <v>3. Quartal</v>
      </c>
      <c r="K981">
        <f>_xlfn.ISOWEEKNUM(tbl_Kalender[[#This Row],[Datum]])</f>
        <v>36</v>
      </c>
    </row>
    <row r="982" spans="1:11" x14ac:dyDescent="0.25">
      <c r="A982" s="1">
        <v>46272</v>
      </c>
      <c r="B982">
        <f>YEAR(tbl_Kalender[[#This Row],[Datum]])</f>
        <v>2026</v>
      </c>
      <c r="C982">
        <f>DAY(tbl_Kalender[[#This Row],[Datum]])</f>
        <v>7</v>
      </c>
      <c r="D982" t="str">
        <f>TEXT(tbl_Kalender[[#This Row],[Datum]],"TTTT")</f>
        <v>Montag</v>
      </c>
      <c r="E982">
        <f>WEEKDAY(tbl_Kalender[[#This Row],[Datum]],2)</f>
        <v>1</v>
      </c>
      <c r="F982">
        <f>MONTH(tbl_Kalender[[#This Row],[Datum]])</f>
        <v>9</v>
      </c>
      <c r="G982" t="str">
        <f>TEXT(tbl_Kalender[[#This Row],[Datum]],"MMMM")</f>
        <v>September</v>
      </c>
      <c r="H982">
        <f>ROUNDUP(tbl_Kalender[[#This Row],[Monat]]/3,0)</f>
        <v>3</v>
      </c>
      <c r="I982" t="str">
        <f>"Q "&amp;tbl_Kalender[[#This Row],[Quartal]]</f>
        <v>Q 3</v>
      </c>
      <c r="J982" t="str">
        <f>tbl_Kalender[[#This Row],[Quartal]]&amp;". Quartal"</f>
        <v>3. Quartal</v>
      </c>
      <c r="K982">
        <f>_xlfn.ISOWEEKNUM(tbl_Kalender[[#This Row],[Datum]])</f>
        <v>37</v>
      </c>
    </row>
    <row r="983" spans="1:11" x14ac:dyDescent="0.25">
      <c r="A983" s="1">
        <v>46273</v>
      </c>
      <c r="B983">
        <f>YEAR(tbl_Kalender[[#This Row],[Datum]])</f>
        <v>2026</v>
      </c>
      <c r="C983">
        <f>DAY(tbl_Kalender[[#This Row],[Datum]])</f>
        <v>8</v>
      </c>
      <c r="D983" t="str">
        <f>TEXT(tbl_Kalender[[#This Row],[Datum]],"TTTT")</f>
        <v>Dienstag</v>
      </c>
      <c r="E983">
        <f>WEEKDAY(tbl_Kalender[[#This Row],[Datum]],2)</f>
        <v>2</v>
      </c>
      <c r="F983">
        <f>MONTH(tbl_Kalender[[#This Row],[Datum]])</f>
        <v>9</v>
      </c>
      <c r="G983" t="str">
        <f>TEXT(tbl_Kalender[[#This Row],[Datum]],"MMMM")</f>
        <v>September</v>
      </c>
      <c r="H983">
        <f>ROUNDUP(tbl_Kalender[[#This Row],[Monat]]/3,0)</f>
        <v>3</v>
      </c>
      <c r="I983" t="str">
        <f>"Q "&amp;tbl_Kalender[[#This Row],[Quartal]]</f>
        <v>Q 3</v>
      </c>
      <c r="J983" t="str">
        <f>tbl_Kalender[[#This Row],[Quartal]]&amp;". Quartal"</f>
        <v>3. Quartal</v>
      </c>
      <c r="K983">
        <f>_xlfn.ISOWEEKNUM(tbl_Kalender[[#This Row],[Datum]])</f>
        <v>37</v>
      </c>
    </row>
    <row r="984" spans="1:11" x14ac:dyDescent="0.25">
      <c r="A984" s="1">
        <v>46274</v>
      </c>
      <c r="B984">
        <f>YEAR(tbl_Kalender[[#This Row],[Datum]])</f>
        <v>2026</v>
      </c>
      <c r="C984">
        <f>DAY(tbl_Kalender[[#This Row],[Datum]])</f>
        <v>9</v>
      </c>
      <c r="D984" t="str">
        <f>TEXT(tbl_Kalender[[#This Row],[Datum]],"TTTT")</f>
        <v>Mittwoch</v>
      </c>
      <c r="E984">
        <f>WEEKDAY(tbl_Kalender[[#This Row],[Datum]],2)</f>
        <v>3</v>
      </c>
      <c r="F984">
        <f>MONTH(tbl_Kalender[[#This Row],[Datum]])</f>
        <v>9</v>
      </c>
      <c r="G984" t="str">
        <f>TEXT(tbl_Kalender[[#This Row],[Datum]],"MMMM")</f>
        <v>September</v>
      </c>
      <c r="H984">
        <f>ROUNDUP(tbl_Kalender[[#This Row],[Monat]]/3,0)</f>
        <v>3</v>
      </c>
      <c r="I984" t="str">
        <f>"Q "&amp;tbl_Kalender[[#This Row],[Quartal]]</f>
        <v>Q 3</v>
      </c>
      <c r="J984" t="str">
        <f>tbl_Kalender[[#This Row],[Quartal]]&amp;". Quartal"</f>
        <v>3. Quartal</v>
      </c>
      <c r="K984">
        <f>_xlfn.ISOWEEKNUM(tbl_Kalender[[#This Row],[Datum]])</f>
        <v>37</v>
      </c>
    </row>
    <row r="985" spans="1:11" x14ac:dyDescent="0.25">
      <c r="A985" s="1">
        <v>46275</v>
      </c>
      <c r="B985">
        <f>YEAR(tbl_Kalender[[#This Row],[Datum]])</f>
        <v>2026</v>
      </c>
      <c r="C985">
        <f>DAY(tbl_Kalender[[#This Row],[Datum]])</f>
        <v>10</v>
      </c>
      <c r="D985" t="str">
        <f>TEXT(tbl_Kalender[[#This Row],[Datum]],"TTTT")</f>
        <v>Donnerstag</v>
      </c>
      <c r="E985">
        <f>WEEKDAY(tbl_Kalender[[#This Row],[Datum]],2)</f>
        <v>4</v>
      </c>
      <c r="F985">
        <f>MONTH(tbl_Kalender[[#This Row],[Datum]])</f>
        <v>9</v>
      </c>
      <c r="G985" t="str">
        <f>TEXT(tbl_Kalender[[#This Row],[Datum]],"MMMM")</f>
        <v>September</v>
      </c>
      <c r="H985">
        <f>ROUNDUP(tbl_Kalender[[#This Row],[Monat]]/3,0)</f>
        <v>3</v>
      </c>
      <c r="I985" t="str">
        <f>"Q "&amp;tbl_Kalender[[#This Row],[Quartal]]</f>
        <v>Q 3</v>
      </c>
      <c r="J985" t="str">
        <f>tbl_Kalender[[#This Row],[Quartal]]&amp;". Quartal"</f>
        <v>3. Quartal</v>
      </c>
      <c r="K985">
        <f>_xlfn.ISOWEEKNUM(tbl_Kalender[[#This Row],[Datum]])</f>
        <v>37</v>
      </c>
    </row>
    <row r="986" spans="1:11" x14ac:dyDescent="0.25">
      <c r="A986" s="1">
        <v>46276</v>
      </c>
      <c r="B986">
        <f>YEAR(tbl_Kalender[[#This Row],[Datum]])</f>
        <v>2026</v>
      </c>
      <c r="C986">
        <f>DAY(tbl_Kalender[[#This Row],[Datum]])</f>
        <v>11</v>
      </c>
      <c r="D986" t="str">
        <f>TEXT(tbl_Kalender[[#This Row],[Datum]],"TTTT")</f>
        <v>Freitag</v>
      </c>
      <c r="E986">
        <f>WEEKDAY(tbl_Kalender[[#This Row],[Datum]],2)</f>
        <v>5</v>
      </c>
      <c r="F986">
        <f>MONTH(tbl_Kalender[[#This Row],[Datum]])</f>
        <v>9</v>
      </c>
      <c r="G986" t="str">
        <f>TEXT(tbl_Kalender[[#This Row],[Datum]],"MMMM")</f>
        <v>September</v>
      </c>
      <c r="H986">
        <f>ROUNDUP(tbl_Kalender[[#This Row],[Monat]]/3,0)</f>
        <v>3</v>
      </c>
      <c r="I986" t="str">
        <f>"Q "&amp;tbl_Kalender[[#This Row],[Quartal]]</f>
        <v>Q 3</v>
      </c>
      <c r="J986" t="str">
        <f>tbl_Kalender[[#This Row],[Quartal]]&amp;". Quartal"</f>
        <v>3. Quartal</v>
      </c>
      <c r="K986">
        <f>_xlfn.ISOWEEKNUM(tbl_Kalender[[#This Row],[Datum]])</f>
        <v>37</v>
      </c>
    </row>
    <row r="987" spans="1:11" x14ac:dyDescent="0.25">
      <c r="A987" s="1">
        <v>46277</v>
      </c>
      <c r="B987">
        <f>YEAR(tbl_Kalender[[#This Row],[Datum]])</f>
        <v>2026</v>
      </c>
      <c r="C987">
        <f>DAY(tbl_Kalender[[#This Row],[Datum]])</f>
        <v>12</v>
      </c>
      <c r="D987" t="str">
        <f>TEXT(tbl_Kalender[[#This Row],[Datum]],"TTTT")</f>
        <v>Samstag</v>
      </c>
      <c r="E987">
        <f>WEEKDAY(tbl_Kalender[[#This Row],[Datum]],2)</f>
        <v>6</v>
      </c>
      <c r="F987">
        <f>MONTH(tbl_Kalender[[#This Row],[Datum]])</f>
        <v>9</v>
      </c>
      <c r="G987" t="str">
        <f>TEXT(tbl_Kalender[[#This Row],[Datum]],"MMMM")</f>
        <v>September</v>
      </c>
      <c r="H987">
        <f>ROUNDUP(tbl_Kalender[[#This Row],[Monat]]/3,0)</f>
        <v>3</v>
      </c>
      <c r="I987" t="str">
        <f>"Q "&amp;tbl_Kalender[[#This Row],[Quartal]]</f>
        <v>Q 3</v>
      </c>
      <c r="J987" t="str">
        <f>tbl_Kalender[[#This Row],[Quartal]]&amp;". Quartal"</f>
        <v>3. Quartal</v>
      </c>
      <c r="K987">
        <f>_xlfn.ISOWEEKNUM(tbl_Kalender[[#This Row],[Datum]])</f>
        <v>37</v>
      </c>
    </row>
    <row r="988" spans="1:11" x14ac:dyDescent="0.25">
      <c r="A988" s="1">
        <v>46278</v>
      </c>
      <c r="B988">
        <f>YEAR(tbl_Kalender[[#This Row],[Datum]])</f>
        <v>2026</v>
      </c>
      <c r="C988">
        <f>DAY(tbl_Kalender[[#This Row],[Datum]])</f>
        <v>13</v>
      </c>
      <c r="D988" t="str">
        <f>TEXT(tbl_Kalender[[#This Row],[Datum]],"TTTT")</f>
        <v>Sonntag</v>
      </c>
      <c r="E988">
        <f>WEEKDAY(tbl_Kalender[[#This Row],[Datum]],2)</f>
        <v>7</v>
      </c>
      <c r="F988">
        <f>MONTH(tbl_Kalender[[#This Row],[Datum]])</f>
        <v>9</v>
      </c>
      <c r="G988" t="str">
        <f>TEXT(tbl_Kalender[[#This Row],[Datum]],"MMMM")</f>
        <v>September</v>
      </c>
      <c r="H988">
        <f>ROUNDUP(tbl_Kalender[[#This Row],[Monat]]/3,0)</f>
        <v>3</v>
      </c>
      <c r="I988" t="str">
        <f>"Q "&amp;tbl_Kalender[[#This Row],[Quartal]]</f>
        <v>Q 3</v>
      </c>
      <c r="J988" t="str">
        <f>tbl_Kalender[[#This Row],[Quartal]]&amp;". Quartal"</f>
        <v>3. Quartal</v>
      </c>
      <c r="K988">
        <f>_xlfn.ISOWEEKNUM(tbl_Kalender[[#This Row],[Datum]])</f>
        <v>37</v>
      </c>
    </row>
    <row r="989" spans="1:11" x14ac:dyDescent="0.25">
      <c r="A989" s="1">
        <v>46279</v>
      </c>
      <c r="B989">
        <f>YEAR(tbl_Kalender[[#This Row],[Datum]])</f>
        <v>2026</v>
      </c>
      <c r="C989">
        <f>DAY(tbl_Kalender[[#This Row],[Datum]])</f>
        <v>14</v>
      </c>
      <c r="D989" t="str">
        <f>TEXT(tbl_Kalender[[#This Row],[Datum]],"TTTT")</f>
        <v>Montag</v>
      </c>
      <c r="E989">
        <f>WEEKDAY(tbl_Kalender[[#This Row],[Datum]],2)</f>
        <v>1</v>
      </c>
      <c r="F989">
        <f>MONTH(tbl_Kalender[[#This Row],[Datum]])</f>
        <v>9</v>
      </c>
      <c r="G989" t="str">
        <f>TEXT(tbl_Kalender[[#This Row],[Datum]],"MMMM")</f>
        <v>September</v>
      </c>
      <c r="H989">
        <f>ROUNDUP(tbl_Kalender[[#This Row],[Monat]]/3,0)</f>
        <v>3</v>
      </c>
      <c r="I989" t="str">
        <f>"Q "&amp;tbl_Kalender[[#This Row],[Quartal]]</f>
        <v>Q 3</v>
      </c>
      <c r="J989" t="str">
        <f>tbl_Kalender[[#This Row],[Quartal]]&amp;". Quartal"</f>
        <v>3. Quartal</v>
      </c>
      <c r="K989">
        <f>_xlfn.ISOWEEKNUM(tbl_Kalender[[#This Row],[Datum]])</f>
        <v>38</v>
      </c>
    </row>
    <row r="990" spans="1:11" x14ac:dyDescent="0.25">
      <c r="A990" s="1">
        <v>46280</v>
      </c>
      <c r="B990">
        <f>YEAR(tbl_Kalender[[#This Row],[Datum]])</f>
        <v>2026</v>
      </c>
      <c r="C990">
        <f>DAY(tbl_Kalender[[#This Row],[Datum]])</f>
        <v>15</v>
      </c>
      <c r="D990" t="str">
        <f>TEXT(tbl_Kalender[[#This Row],[Datum]],"TTTT")</f>
        <v>Dienstag</v>
      </c>
      <c r="E990">
        <f>WEEKDAY(tbl_Kalender[[#This Row],[Datum]],2)</f>
        <v>2</v>
      </c>
      <c r="F990">
        <f>MONTH(tbl_Kalender[[#This Row],[Datum]])</f>
        <v>9</v>
      </c>
      <c r="G990" t="str">
        <f>TEXT(tbl_Kalender[[#This Row],[Datum]],"MMMM")</f>
        <v>September</v>
      </c>
      <c r="H990">
        <f>ROUNDUP(tbl_Kalender[[#This Row],[Monat]]/3,0)</f>
        <v>3</v>
      </c>
      <c r="I990" t="str">
        <f>"Q "&amp;tbl_Kalender[[#This Row],[Quartal]]</f>
        <v>Q 3</v>
      </c>
      <c r="J990" t="str">
        <f>tbl_Kalender[[#This Row],[Quartal]]&amp;". Quartal"</f>
        <v>3. Quartal</v>
      </c>
      <c r="K990">
        <f>_xlfn.ISOWEEKNUM(tbl_Kalender[[#This Row],[Datum]])</f>
        <v>38</v>
      </c>
    </row>
    <row r="991" spans="1:11" x14ac:dyDescent="0.25">
      <c r="A991" s="1">
        <v>46281</v>
      </c>
      <c r="B991">
        <f>YEAR(tbl_Kalender[[#This Row],[Datum]])</f>
        <v>2026</v>
      </c>
      <c r="C991">
        <f>DAY(tbl_Kalender[[#This Row],[Datum]])</f>
        <v>16</v>
      </c>
      <c r="D991" t="str">
        <f>TEXT(tbl_Kalender[[#This Row],[Datum]],"TTTT")</f>
        <v>Mittwoch</v>
      </c>
      <c r="E991">
        <f>WEEKDAY(tbl_Kalender[[#This Row],[Datum]],2)</f>
        <v>3</v>
      </c>
      <c r="F991">
        <f>MONTH(tbl_Kalender[[#This Row],[Datum]])</f>
        <v>9</v>
      </c>
      <c r="G991" t="str">
        <f>TEXT(tbl_Kalender[[#This Row],[Datum]],"MMMM")</f>
        <v>September</v>
      </c>
      <c r="H991">
        <f>ROUNDUP(tbl_Kalender[[#This Row],[Monat]]/3,0)</f>
        <v>3</v>
      </c>
      <c r="I991" t="str">
        <f>"Q "&amp;tbl_Kalender[[#This Row],[Quartal]]</f>
        <v>Q 3</v>
      </c>
      <c r="J991" t="str">
        <f>tbl_Kalender[[#This Row],[Quartal]]&amp;". Quartal"</f>
        <v>3. Quartal</v>
      </c>
      <c r="K991">
        <f>_xlfn.ISOWEEKNUM(tbl_Kalender[[#This Row],[Datum]])</f>
        <v>38</v>
      </c>
    </row>
    <row r="992" spans="1:11" x14ac:dyDescent="0.25">
      <c r="A992" s="1">
        <v>46282</v>
      </c>
      <c r="B992">
        <f>YEAR(tbl_Kalender[[#This Row],[Datum]])</f>
        <v>2026</v>
      </c>
      <c r="C992">
        <f>DAY(tbl_Kalender[[#This Row],[Datum]])</f>
        <v>17</v>
      </c>
      <c r="D992" t="str">
        <f>TEXT(tbl_Kalender[[#This Row],[Datum]],"TTTT")</f>
        <v>Donnerstag</v>
      </c>
      <c r="E992">
        <f>WEEKDAY(tbl_Kalender[[#This Row],[Datum]],2)</f>
        <v>4</v>
      </c>
      <c r="F992">
        <f>MONTH(tbl_Kalender[[#This Row],[Datum]])</f>
        <v>9</v>
      </c>
      <c r="G992" t="str">
        <f>TEXT(tbl_Kalender[[#This Row],[Datum]],"MMMM")</f>
        <v>September</v>
      </c>
      <c r="H992">
        <f>ROUNDUP(tbl_Kalender[[#This Row],[Monat]]/3,0)</f>
        <v>3</v>
      </c>
      <c r="I992" t="str">
        <f>"Q "&amp;tbl_Kalender[[#This Row],[Quartal]]</f>
        <v>Q 3</v>
      </c>
      <c r="J992" t="str">
        <f>tbl_Kalender[[#This Row],[Quartal]]&amp;". Quartal"</f>
        <v>3. Quartal</v>
      </c>
      <c r="K992">
        <f>_xlfn.ISOWEEKNUM(tbl_Kalender[[#This Row],[Datum]])</f>
        <v>38</v>
      </c>
    </row>
    <row r="993" spans="1:11" x14ac:dyDescent="0.25">
      <c r="A993" s="1">
        <v>46283</v>
      </c>
      <c r="B993">
        <f>YEAR(tbl_Kalender[[#This Row],[Datum]])</f>
        <v>2026</v>
      </c>
      <c r="C993">
        <f>DAY(tbl_Kalender[[#This Row],[Datum]])</f>
        <v>18</v>
      </c>
      <c r="D993" t="str">
        <f>TEXT(tbl_Kalender[[#This Row],[Datum]],"TTTT")</f>
        <v>Freitag</v>
      </c>
      <c r="E993">
        <f>WEEKDAY(tbl_Kalender[[#This Row],[Datum]],2)</f>
        <v>5</v>
      </c>
      <c r="F993">
        <f>MONTH(tbl_Kalender[[#This Row],[Datum]])</f>
        <v>9</v>
      </c>
      <c r="G993" t="str">
        <f>TEXT(tbl_Kalender[[#This Row],[Datum]],"MMMM")</f>
        <v>September</v>
      </c>
      <c r="H993">
        <f>ROUNDUP(tbl_Kalender[[#This Row],[Monat]]/3,0)</f>
        <v>3</v>
      </c>
      <c r="I993" t="str">
        <f>"Q "&amp;tbl_Kalender[[#This Row],[Quartal]]</f>
        <v>Q 3</v>
      </c>
      <c r="J993" t="str">
        <f>tbl_Kalender[[#This Row],[Quartal]]&amp;". Quartal"</f>
        <v>3. Quartal</v>
      </c>
      <c r="K993">
        <f>_xlfn.ISOWEEKNUM(tbl_Kalender[[#This Row],[Datum]])</f>
        <v>38</v>
      </c>
    </row>
    <row r="994" spans="1:11" x14ac:dyDescent="0.25">
      <c r="A994" s="1">
        <v>46284</v>
      </c>
      <c r="B994">
        <f>YEAR(tbl_Kalender[[#This Row],[Datum]])</f>
        <v>2026</v>
      </c>
      <c r="C994">
        <f>DAY(tbl_Kalender[[#This Row],[Datum]])</f>
        <v>19</v>
      </c>
      <c r="D994" t="str">
        <f>TEXT(tbl_Kalender[[#This Row],[Datum]],"TTTT")</f>
        <v>Samstag</v>
      </c>
      <c r="E994">
        <f>WEEKDAY(tbl_Kalender[[#This Row],[Datum]],2)</f>
        <v>6</v>
      </c>
      <c r="F994">
        <f>MONTH(tbl_Kalender[[#This Row],[Datum]])</f>
        <v>9</v>
      </c>
      <c r="G994" t="str">
        <f>TEXT(tbl_Kalender[[#This Row],[Datum]],"MMMM")</f>
        <v>September</v>
      </c>
      <c r="H994">
        <f>ROUNDUP(tbl_Kalender[[#This Row],[Monat]]/3,0)</f>
        <v>3</v>
      </c>
      <c r="I994" t="str">
        <f>"Q "&amp;tbl_Kalender[[#This Row],[Quartal]]</f>
        <v>Q 3</v>
      </c>
      <c r="J994" t="str">
        <f>tbl_Kalender[[#This Row],[Quartal]]&amp;". Quartal"</f>
        <v>3. Quartal</v>
      </c>
      <c r="K994">
        <f>_xlfn.ISOWEEKNUM(tbl_Kalender[[#This Row],[Datum]])</f>
        <v>38</v>
      </c>
    </row>
    <row r="995" spans="1:11" x14ac:dyDescent="0.25">
      <c r="A995" s="1">
        <v>46285</v>
      </c>
      <c r="B995">
        <f>YEAR(tbl_Kalender[[#This Row],[Datum]])</f>
        <v>2026</v>
      </c>
      <c r="C995">
        <f>DAY(tbl_Kalender[[#This Row],[Datum]])</f>
        <v>20</v>
      </c>
      <c r="D995" t="str">
        <f>TEXT(tbl_Kalender[[#This Row],[Datum]],"TTTT")</f>
        <v>Sonntag</v>
      </c>
      <c r="E995">
        <f>WEEKDAY(tbl_Kalender[[#This Row],[Datum]],2)</f>
        <v>7</v>
      </c>
      <c r="F995">
        <f>MONTH(tbl_Kalender[[#This Row],[Datum]])</f>
        <v>9</v>
      </c>
      <c r="G995" t="str">
        <f>TEXT(tbl_Kalender[[#This Row],[Datum]],"MMMM")</f>
        <v>September</v>
      </c>
      <c r="H995">
        <f>ROUNDUP(tbl_Kalender[[#This Row],[Monat]]/3,0)</f>
        <v>3</v>
      </c>
      <c r="I995" t="str">
        <f>"Q "&amp;tbl_Kalender[[#This Row],[Quartal]]</f>
        <v>Q 3</v>
      </c>
      <c r="J995" t="str">
        <f>tbl_Kalender[[#This Row],[Quartal]]&amp;". Quartal"</f>
        <v>3. Quartal</v>
      </c>
      <c r="K995">
        <f>_xlfn.ISOWEEKNUM(tbl_Kalender[[#This Row],[Datum]])</f>
        <v>38</v>
      </c>
    </row>
    <row r="996" spans="1:11" x14ac:dyDescent="0.25">
      <c r="A996" s="1">
        <v>46286</v>
      </c>
      <c r="B996">
        <f>YEAR(tbl_Kalender[[#This Row],[Datum]])</f>
        <v>2026</v>
      </c>
      <c r="C996">
        <f>DAY(tbl_Kalender[[#This Row],[Datum]])</f>
        <v>21</v>
      </c>
      <c r="D996" t="str">
        <f>TEXT(tbl_Kalender[[#This Row],[Datum]],"TTTT")</f>
        <v>Montag</v>
      </c>
      <c r="E996">
        <f>WEEKDAY(tbl_Kalender[[#This Row],[Datum]],2)</f>
        <v>1</v>
      </c>
      <c r="F996">
        <f>MONTH(tbl_Kalender[[#This Row],[Datum]])</f>
        <v>9</v>
      </c>
      <c r="G996" t="str">
        <f>TEXT(tbl_Kalender[[#This Row],[Datum]],"MMMM")</f>
        <v>September</v>
      </c>
      <c r="H996">
        <f>ROUNDUP(tbl_Kalender[[#This Row],[Monat]]/3,0)</f>
        <v>3</v>
      </c>
      <c r="I996" t="str">
        <f>"Q "&amp;tbl_Kalender[[#This Row],[Quartal]]</f>
        <v>Q 3</v>
      </c>
      <c r="J996" t="str">
        <f>tbl_Kalender[[#This Row],[Quartal]]&amp;". Quartal"</f>
        <v>3. Quartal</v>
      </c>
      <c r="K996">
        <f>_xlfn.ISOWEEKNUM(tbl_Kalender[[#This Row],[Datum]])</f>
        <v>39</v>
      </c>
    </row>
    <row r="997" spans="1:11" x14ac:dyDescent="0.25">
      <c r="A997" s="1">
        <v>46287</v>
      </c>
      <c r="B997">
        <f>YEAR(tbl_Kalender[[#This Row],[Datum]])</f>
        <v>2026</v>
      </c>
      <c r="C997">
        <f>DAY(tbl_Kalender[[#This Row],[Datum]])</f>
        <v>22</v>
      </c>
      <c r="D997" t="str">
        <f>TEXT(tbl_Kalender[[#This Row],[Datum]],"TTTT")</f>
        <v>Dienstag</v>
      </c>
      <c r="E997">
        <f>WEEKDAY(tbl_Kalender[[#This Row],[Datum]],2)</f>
        <v>2</v>
      </c>
      <c r="F997">
        <f>MONTH(tbl_Kalender[[#This Row],[Datum]])</f>
        <v>9</v>
      </c>
      <c r="G997" t="str">
        <f>TEXT(tbl_Kalender[[#This Row],[Datum]],"MMMM")</f>
        <v>September</v>
      </c>
      <c r="H997">
        <f>ROUNDUP(tbl_Kalender[[#This Row],[Monat]]/3,0)</f>
        <v>3</v>
      </c>
      <c r="I997" t="str">
        <f>"Q "&amp;tbl_Kalender[[#This Row],[Quartal]]</f>
        <v>Q 3</v>
      </c>
      <c r="J997" t="str">
        <f>tbl_Kalender[[#This Row],[Quartal]]&amp;". Quartal"</f>
        <v>3. Quartal</v>
      </c>
      <c r="K997">
        <f>_xlfn.ISOWEEKNUM(tbl_Kalender[[#This Row],[Datum]])</f>
        <v>39</v>
      </c>
    </row>
    <row r="998" spans="1:11" x14ac:dyDescent="0.25">
      <c r="A998" s="1">
        <v>46288</v>
      </c>
      <c r="B998">
        <f>YEAR(tbl_Kalender[[#This Row],[Datum]])</f>
        <v>2026</v>
      </c>
      <c r="C998">
        <f>DAY(tbl_Kalender[[#This Row],[Datum]])</f>
        <v>23</v>
      </c>
      <c r="D998" t="str">
        <f>TEXT(tbl_Kalender[[#This Row],[Datum]],"TTTT")</f>
        <v>Mittwoch</v>
      </c>
      <c r="E998">
        <f>WEEKDAY(tbl_Kalender[[#This Row],[Datum]],2)</f>
        <v>3</v>
      </c>
      <c r="F998">
        <f>MONTH(tbl_Kalender[[#This Row],[Datum]])</f>
        <v>9</v>
      </c>
      <c r="G998" t="str">
        <f>TEXT(tbl_Kalender[[#This Row],[Datum]],"MMMM")</f>
        <v>September</v>
      </c>
      <c r="H998">
        <f>ROUNDUP(tbl_Kalender[[#This Row],[Monat]]/3,0)</f>
        <v>3</v>
      </c>
      <c r="I998" t="str">
        <f>"Q "&amp;tbl_Kalender[[#This Row],[Quartal]]</f>
        <v>Q 3</v>
      </c>
      <c r="J998" t="str">
        <f>tbl_Kalender[[#This Row],[Quartal]]&amp;". Quartal"</f>
        <v>3. Quartal</v>
      </c>
      <c r="K998">
        <f>_xlfn.ISOWEEKNUM(tbl_Kalender[[#This Row],[Datum]])</f>
        <v>39</v>
      </c>
    </row>
    <row r="999" spans="1:11" x14ac:dyDescent="0.25">
      <c r="A999" s="1">
        <v>46289</v>
      </c>
      <c r="B999">
        <f>YEAR(tbl_Kalender[[#This Row],[Datum]])</f>
        <v>2026</v>
      </c>
      <c r="C999">
        <f>DAY(tbl_Kalender[[#This Row],[Datum]])</f>
        <v>24</v>
      </c>
      <c r="D999" t="str">
        <f>TEXT(tbl_Kalender[[#This Row],[Datum]],"TTTT")</f>
        <v>Donnerstag</v>
      </c>
      <c r="E999">
        <f>WEEKDAY(tbl_Kalender[[#This Row],[Datum]],2)</f>
        <v>4</v>
      </c>
      <c r="F999">
        <f>MONTH(tbl_Kalender[[#This Row],[Datum]])</f>
        <v>9</v>
      </c>
      <c r="G999" t="str">
        <f>TEXT(tbl_Kalender[[#This Row],[Datum]],"MMMM")</f>
        <v>September</v>
      </c>
      <c r="H999">
        <f>ROUNDUP(tbl_Kalender[[#This Row],[Monat]]/3,0)</f>
        <v>3</v>
      </c>
      <c r="I999" t="str">
        <f>"Q "&amp;tbl_Kalender[[#This Row],[Quartal]]</f>
        <v>Q 3</v>
      </c>
      <c r="J999" t="str">
        <f>tbl_Kalender[[#This Row],[Quartal]]&amp;". Quartal"</f>
        <v>3. Quartal</v>
      </c>
      <c r="K999">
        <f>_xlfn.ISOWEEKNUM(tbl_Kalender[[#This Row],[Datum]])</f>
        <v>39</v>
      </c>
    </row>
    <row r="1000" spans="1:11" x14ac:dyDescent="0.25">
      <c r="A1000" s="1">
        <v>46290</v>
      </c>
      <c r="B1000">
        <f>YEAR(tbl_Kalender[[#This Row],[Datum]])</f>
        <v>2026</v>
      </c>
      <c r="C1000">
        <f>DAY(tbl_Kalender[[#This Row],[Datum]])</f>
        <v>25</v>
      </c>
      <c r="D1000" t="str">
        <f>TEXT(tbl_Kalender[[#This Row],[Datum]],"TTTT")</f>
        <v>Freitag</v>
      </c>
      <c r="E1000">
        <f>WEEKDAY(tbl_Kalender[[#This Row],[Datum]],2)</f>
        <v>5</v>
      </c>
      <c r="F1000">
        <f>MONTH(tbl_Kalender[[#This Row],[Datum]])</f>
        <v>9</v>
      </c>
      <c r="G1000" t="str">
        <f>TEXT(tbl_Kalender[[#This Row],[Datum]],"MMMM")</f>
        <v>September</v>
      </c>
      <c r="H1000">
        <f>ROUNDUP(tbl_Kalender[[#This Row],[Monat]]/3,0)</f>
        <v>3</v>
      </c>
      <c r="I1000" t="str">
        <f>"Q "&amp;tbl_Kalender[[#This Row],[Quartal]]</f>
        <v>Q 3</v>
      </c>
      <c r="J1000" t="str">
        <f>tbl_Kalender[[#This Row],[Quartal]]&amp;". Quartal"</f>
        <v>3. Quartal</v>
      </c>
      <c r="K1000">
        <f>_xlfn.ISOWEEKNUM(tbl_Kalender[[#This Row],[Datum]])</f>
        <v>39</v>
      </c>
    </row>
    <row r="1001" spans="1:11" x14ac:dyDescent="0.25">
      <c r="A1001" s="1">
        <v>46291</v>
      </c>
      <c r="B1001">
        <f>YEAR(tbl_Kalender[[#This Row],[Datum]])</f>
        <v>2026</v>
      </c>
      <c r="C1001">
        <f>DAY(tbl_Kalender[[#This Row],[Datum]])</f>
        <v>26</v>
      </c>
      <c r="D1001" t="str">
        <f>TEXT(tbl_Kalender[[#This Row],[Datum]],"TTTT")</f>
        <v>Samstag</v>
      </c>
      <c r="E1001">
        <f>WEEKDAY(tbl_Kalender[[#This Row],[Datum]],2)</f>
        <v>6</v>
      </c>
      <c r="F1001">
        <f>MONTH(tbl_Kalender[[#This Row],[Datum]])</f>
        <v>9</v>
      </c>
      <c r="G1001" t="str">
        <f>TEXT(tbl_Kalender[[#This Row],[Datum]],"MMMM")</f>
        <v>September</v>
      </c>
      <c r="H1001">
        <f>ROUNDUP(tbl_Kalender[[#This Row],[Monat]]/3,0)</f>
        <v>3</v>
      </c>
      <c r="I1001" t="str">
        <f>"Q "&amp;tbl_Kalender[[#This Row],[Quartal]]</f>
        <v>Q 3</v>
      </c>
      <c r="J1001" t="str">
        <f>tbl_Kalender[[#This Row],[Quartal]]&amp;". Quartal"</f>
        <v>3. Quartal</v>
      </c>
      <c r="K1001">
        <f>_xlfn.ISOWEEKNUM(tbl_Kalender[[#This Row],[Datum]])</f>
        <v>39</v>
      </c>
    </row>
    <row r="1002" spans="1:11" x14ac:dyDescent="0.25">
      <c r="A1002" s="1">
        <v>46292</v>
      </c>
      <c r="B1002">
        <f>YEAR(tbl_Kalender[[#This Row],[Datum]])</f>
        <v>2026</v>
      </c>
      <c r="C1002">
        <f>DAY(tbl_Kalender[[#This Row],[Datum]])</f>
        <v>27</v>
      </c>
      <c r="D1002" t="str">
        <f>TEXT(tbl_Kalender[[#This Row],[Datum]],"TTTT")</f>
        <v>Sonntag</v>
      </c>
      <c r="E1002">
        <f>WEEKDAY(tbl_Kalender[[#This Row],[Datum]],2)</f>
        <v>7</v>
      </c>
      <c r="F1002">
        <f>MONTH(tbl_Kalender[[#This Row],[Datum]])</f>
        <v>9</v>
      </c>
      <c r="G1002" t="str">
        <f>TEXT(tbl_Kalender[[#This Row],[Datum]],"MMMM")</f>
        <v>September</v>
      </c>
      <c r="H1002">
        <f>ROUNDUP(tbl_Kalender[[#This Row],[Monat]]/3,0)</f>
        <v>3</v>
      </c>
      <c r="I1002" t="str">
        <f>"Q "&amp;tbl_Kalender[[#This Row],[Quartal]]</f>
        <v>Q 3</v>
      </c>
      <c r="J1002" t="str">
        <f>tbl_Kalender[[#This Row],[Quartal]]&amp;". Quartal"</f>
        <v>3. Quartal</v>
      </c>
      <c r="K1002">
        <f>_xlfn.ISOWEEKNUM(tbl_Kalender[[#This Row],[Datum]])</f>
        <v>39</v>
      </c>
    </row>
    <row r="1003" spans="1:11" x14ac:dyDescent="0.25">
      <c r="A1003" s="1">
        <v>46293</v>
      </c>
      <c r="B1003">
        <f>YEAR(tbl_Kalender[[#This Row],[Datum]])</f>
        <v>2026</v>
      </c>
      <c r="C1003">
        <f>DAY(tbl_Kalender[[#This Row],[Datum]])</f>
        <v>28</v>
      </c>
      <c r="D1003" t="str">
        <f>TEXT(tbl_Kalender[[#This Row],[Datum]],"TTTT")</f>
        <v>Montag</v>
      </c>
      <c r="E1003">
        <f>WEEKDAY(tbl_Kalender[[#This Row],[Datum]],2)</f>
        <v>1</v>
      </c>
      <c r="F1003">
        <f>MONTH(tbl_Kalender[[#This Row],[Datum]])</f>
        <v>9</v>
      </c>
      <c r="G1003" t="str">
        <f>TEXT(tbl_Kalender[[#This Row],[Datum]],"MMMM")</f>
        <v>September</v>
      </c>
      <c r="H1003">
        <f>ROUNDUP(tbl_Kalender[[#This Row],[Monat]]/3,0)</f>
        <v>3</v>
      </c>
      <c r="I1003" t="str">
        <f>"Q "&amp;tbl_Kalender[[#This Row],[Quartal]]</f>
        <v>Q 3</v>
      </c>
      <c r="J1003" t="str">
        <f>tbl_Kalender[[#This Row],[Quartal]]&amp;". Quartal"</f>
        <v>3. Quartal</v>
      </c>
      <c r="K1003">
        <f>_xlfn.ISOWEEKNUM(tbl_Kalender[[#This Row],[Datum]])</f>
        <v>40</v>
      </c>
    </row>
    <row r="1004" spans="1:11" x14ac:dyDescent="0.25">
      <c r="A1004" s="1">
        <v>46294</v>
      </c>
      <c r="B1004">
        <f>YEAR(tbl_Kalender[[#This Row],[Datum]])</f>
        <v>2026</v>
      </c>
      <c r="C1004">
        <f>DAY(tbl_Kalender[[#This Row],[Datum]])</f>
        <v>29</v>
      </c>
      <c r="D1004" t="str">
        <f>TEXT(tbl_Kalender[[#This Row],[Datum]],"TTTT")</f>
        <v>Dienstag</v>
      </c>
      <c r="E1004">
        <f>WEEKDAY(tbl_Kalender[[#This Row],[Datum]],2)</f>
        <v>2</v>
      </c>
      <c r="F1004">
        <f>MONTH(tbl_Kalender[[#This Row],[Datum]])</f>
        <v>9</v>
      </c>
      <c r="G1004" t="str">
        <f>TEXT(tbl_Kalender[[#This Row],[Datum]],"MMMM")</f>
        <v>September</v>
      </c>
      <c r="H1004">
        <f>ROUNDUP(tbl_Kalender[[#This Row],[Monat]]/3,0)</f>
        <v>3</v>
      </c>
      <c r="I1004" t="str">
        <f>"Q "&amp;tbl_Kalender[[#This Row],[Quartal]]</f>
        <v>Q 3</v>
      </c>
      <c r="J1004" t="str">
        <f>tbl_Kalender[[#This Row],[Quartal]]&amp;". Quartal"</f>
        <v>3. Quartal</v>
      </c>
      <c r="K1004">
        <f>_xlfn.ISOWEEKNUM(tbl_Kalender[[#This Row],[Datum]])</f>
        <v>40</v>
      </c>
    </row>
    <row r="1005" spans="1:11" x14ac:dyDescent="0.25">
      <c r="A1005" s="1">
        <v>46295</v>
      </c>
      <c r="B1005">
        <f>YEAR(tbl_Kalender[[#This Row],[Datum]])</f>
        <v>2026</v>
      </c>
      <c r="C1005">
        <f>DAY(tbl_Kalender[[#This Row],[Datum]])</f>
        <v>30</v>
      </c>
      <c r="D1005" t="str">
        <f>TEXT(tbl_Kalender[[#This Row],[Datum]],"TTTT")</f>
        <v>Mittwoch</v>
      </c>
      <c r="E1005">
        <f>WEEKDAY(tbl_Kalender[[#This Row],[Datum]],2)</f>
        <v>3</v>
      </c>
      <c r="F1005">
        <f>MONTH(tbl_Kalender[[#This Row],[Datum]])</f>
        <v>9</v>
      </c>
      <c r="G1005" t="str">
        <f>TEXT(tbl_Kalender[[#This Row],[Datum]],"MMMM")</f>
        <v>September</v>
      </c>
      <c r="H1005">
        <f>ROUNDUP(tbl_Kalender[[#This Row],[Monat]]/3,0)</f>
        <v>3</v>
      </c>
      <c r="I1005" t="str">
        <f>"Q "&amp;tbl_Kalender[[#This Row],[Quartal]]</f>
        <v>Q 3</v>
      </c>
      <c r="J1005" t="str">
        <f>tbl_Kalender[[#This Row],[Quartal]]&amp;". Quartal"</f>
        <v>3. Quartal</v>
      </c>
      <c r="K1005">
        <f>_xlfn.ISOWEEKNUM(tbl_Kalender[[#This Row],[Datum]])</f>
        <v>40</v>
      </c>
    </row>
    <row r="1006" spans="1:11" x14ac:dyDescent="0.25">
      <c r="A1006" s="1">
        <v>46296</v>
      </c>
      <c r="B1006">
        <f>YEAR(tbl_Kalender[[#This Row],[Datum]])</f>
        <v>2026</v>
      </c>
      <c r="C1006">
        <f>DAY(tbl_Kalender[[#This Row],[Datum]])</f>
        <v>1</v>
      </c>
      <c r="D1006" t="str">
        <f>TEXT(tbl_Kalender[[#This Row],[Datum]],"TTTT")</f>
        <v>Donnerstag</v>
      </c>
      <c r="E1006">
        <f>WEEKDAY(tbl_Kalender[[#This Row],[Datum]],2)</f>
        <v>4</v>
      </c>
      <c r="F1006">
        <f>MONTH(tbl_Kalender[[#This Row],[Datum]])</f>
        <v>10</v>
      </c>
      <c r="G1006" t="str">
        <f>TEXT(tbl_Kalender[[#This Row],[Datum]],"MMMM")</f>
        <v>Oktober</v>
      </c>
      <c r="H1006">
        <f>ROUNDUP(tbl_Kalender[[#This Row],[Monat]]/3,0)</f>
        <v>4</v>
      </c>
      <c r="I1006" t="str">
        <f>"Q "&amp;tbl_Kalender[[#This Row],[Quartal]]</f>
        <v>Q 4</v>
      </c>
      <c r="J1006" t="str">
        <f>tbl_Kalender[[#This Row],[Quartal]]&amp;". Quartal"</f>
        <v>4. Quartal</v>
      </c>
      <c r="K1006">
        <f>_xlfn.ISOWEEKNUM(tbl_Kalender[[#This Row],[Datum]])</f>
        <v>40</v>
      </c>
    </row>
    <row r="1007" spans="1:11" x14ac:dyDescent="0.25">
      <c r="A1007" s="1">
        <v>46297</v>
      </c>
      <c r="B1007">
        <f>YEAR(tbl_Kalender[[#This Row],[Datum]])</f>
        <v>2026</v>
      </c>
      <c r="C1007">
        <f>DAY(tbl_Kalender[[#This Row],[Datum]])</f>
        <v>2</v>
      </c>
      <c r="D1007" t="str">
        <f>TEXT(tbl_Kalender[[#This Row],[Datum]],"TTTT")</f>
        <v>Freitag</v>
      </c>
      <c r="E1007">
        <f>WEEKDAY(tbl_Kalender[[#This Row],[Datum]],2)</f>
        <v>5</v>
      </c>
      <c r="F1007">
        <f>MONTH(tbl_Kalender[[#This Row],[Datum]])</f>
        <v>10</v>
      </c>
      <c r="G1007" t="str">
        <f>TEXT(tbl_Kalender[[#This Row],[Datum]],"MMMM")</f>
        <v>Oktober</v>
      </c>
      <c r="H1007">
        <f>ROUNDUP(tbl_Kalender[[#This Row],[Monat]]/3,0)</f>
        <v>4</v>
      </c>
      <c r="I1007" t="str">
        <f>"Q "&amp;tbl_Kalender[[#This Row],[Quartal]]</f>
        <v>Q 4</v>
      </c>
      <c r="J1007" t="str">
        <f>tbl_Kalender[[#This Row],[Quartal]]&amp;". Quartal"</f>
        <v>4. Quartal</v>
      </c>
      <c r="K1007">
        <f>_xlfn.ISOWEEKNUM(tbl_Kalender[[#This Row],[Datum]])</f>
        <v>40</v>
      </c>
    </row>
    <row r="1008" spans="1:11" x14ac:dyDescent="0.25">
      <c r="A1008" s="1">
        <v>46298</v>
      </c>
      <c r="B1008">
        <f>YEAR(tbl_Kalender[[#This Row],[Datum]])</f>
        <v>2026</v>
      </c>
      <c r="C1008">
        <f>DAY(tbl_Kalender[[#This Row],[Datum]])</f>
        <v>3</v>
      </c>
      <c r="D1008" t="str">
        <f>TEXT(tbl_Kalender[[#This Row],[Datum]],"TTTT")</f>
        <v>Samstag</v>
      </c>
      <c r="E1008">
        <f>WEEKDAY(tbl_Kalender[[#This Row],[Datum]],2)</f>
        <v>6</v>
      </c>
      <c r="F1008">
        <f>MONTH(tbl_Kalender[[#This Row],[Datum]])</f>
        <v>10</v>
      </c>
      <c r="G1008" t="str">
        <f>TEXT(tbl_Kalender[[#This Row],[Datum]],"MMMM")</f>
        <v>Oktober</v>
      </c>
      <c r="H1008">
        <f>ROUNDUP(tbl_Kalender[[#This Row],[Monat]]/3,0)</f>
        <v>4</v>
      </c>
      <c r="I1008" t="str">
        <f>"Q "&amp;tbl_Kalender[[#This Row],[Quartal]]</f>
        <v>Q 4</v>
      </c>
      <c r="J1008" t="str">
        <f>tbl_Kalender[[#This Row],[Quartal]]&amp;". Quartal"</f>
        <v>4. Quartal</v>
      </c>
      <c r="K1008">
        <f>_xlfn.ISOWEEKNUM(tbl_Kalender[[#This Row],[Datum]])</f>
        <v>40</v>
      </c>
    </row>
    <row r="1009" spans="1:11" x14ac:dyDescent="0.25">
      <c r="A1009" s="1">
        <v>46299</v>
      </c>
      <c r="B1009">
        <f>YEAR(tbl_Kalender[[#This Row],[Datum]])</f>
        <v>2026</v>
      </c>
      <c r="C1009">
        <f>DAY(tbl_Kalender[[#This Row],[Datum]])</f>
        <v>4</v>
      </c>
      <c r="D1009" t="str">
        <f>TEXT(tbl_Kalender[[#This Row],[Datum]],"TTTT")</f>
        <v>Sonntag</v>
      </c>
      <c r="E1009">
        <f>WEEKDAY(tbl_Kalender[[#This Row],[Datum]],2)</f>
        <v>7</v>
      </c>
      <c r="F1009">
        <f>MONTH(tbl_Kalender[[#This Row],[Datum]])</f>
        <v>10</v>
      </c>
      <c r="G1009" t="str">
        <f>TEXT(tbl_Kalender[[#This Row],[Datum]],"MMMM")</f>
        <v>Oktober</v>
      </c>
      <c r="H1009">
        <f>ROUNDUP(tbl_Kalender[[#This Row],[Monat]]/3,0)</f>
        <v>4</v>
      </c>
      <c r="I1009" t="str">
        <f>"Q "&amp;tbl_Kalender[[#This Row],[Quartal]]</f>
        <v>Q 4</v>
      </c>
      <c r="J1009" t="str">
        <f>tbl_Kalender[[#This Row],[Quartal]]&amp;". Quartal"</f>
        <v>4. Quartal</v>
      </c>
      <c r="K1009">
        <f>_xlfn.ISOWEEKNUM(tbl_Kalender[[#This Row],[Datum]])</f>
        <v>40</v>
      </c>
    </row>
    <row r="1010" spans="1:11" x14ac:dyDescent="0.25">
      <c r="A1010" s="1">
        <v>46300</v>
      </c>
      <c r="B1010">
        <f>YEAR(tbl_Kalender[[#This Row],[Datum]])</f>
        <v>2026</v>
      </c>
      <c r="C1010">
        <f>DAY(tbl_Kalender[[#This Row],[Datum]])</f>
        <v>5</v>
      </c>
      <c r="D1010" t="str">
        <f>TEXT(tbl_Kalender[[#This Row],[Datum]],"TTTT")</f>
        <v>Montag</v>
      </c>
      <c r="E1010">
        <f>WEEKDAY(tbl_Kalender[[#This Row],[Datum]],2)</f>
        <v>1</v>
      </c>
      <c r="F1010">
        <f>MONTH(tbl_Kalender[[#This Row],[Datum]])</f>
        <v>10</v>
      </c>
      <c r="G1010" t="str">
        <f>TEXT(tbl_Kalender[[#This Row],[Datum]],"MMMM")</f>
        <v>Oktober</v>
      </c>
      <c r="H1010">
        <f>ROUNDUP(tbl_Kalender[[#This Row],[Monat]]/3,0)</f>
        <v>4</v>
      </c>
      <c r="I1010" t="str">
        <f>"Q "&amp;tbl_Kalender[[#This Row],[Quartal]]</f>
        <v>Q 4</v>
      </c>
      <c r="J1010" t="str">
        <f>tbl_Kalender[[#This Row],[Quartal]]&amp;". Quartal"</f>
        <v>4. Quartal</v>
      </c>
      <c r="K1010">
        <f>_xlfn.ISOWEEKNUM(tbl_Kalender[[#This Row],[Datum]])</f>
        <v>41</v>
      </c>
    </row>
    <row r="1011" spans="1:11" x14ac:dyDescent="0.25">
      <c r="A1011" s="1">
        <v>46301</v>
      </c>
      <c r="B1011">
        <f>YEAR(tbl_Kalender[[#This Row],[Datum]])</f>
        <v>2026</v>
      </c>
      <c r="C1011">
        <f>DAY(tbl_Kalender[[#This Row],[Datum]])</f>
        <v>6</v>
      </c>
      <c r="D1011" t="str">
        <f>TEXT(tbl_Kalender[[#This Row],[Datum]],"TTTT")</f>
        <v>Dienstag</v>
      </c>
      <c r="E1011">
        <f>WEEKDAY(tbl_Kalender[[#This Row],[Datum]],2)</f>
        <v>2</v>
      </c>
      <c r="F1011">
        <f>MONTH(tbl_Kalender[[#This Row],[Datum]])</f>
        <v>10</v>
      </c>
      <c r="G1011" t="str">
        <f>TEXT(tbl_Kalender[[#This Row],[Datum]],"MMMM")</f>
        <v>Oktober</v>
      </c>
      <c r="H1011">
        <f>ROUNDUP(tbl_Kalender[[#This Row],[Monat]]/3,0)</f>
        <v>4</v>
      </c>
      <c r="I1011" t="str">
        <f>"Q "&amp;tbl_Kalender[[#This Row],[Quartal]]</f>
        <v>Q 4</v>
      </c>
      <c r="J1011" t="str">
        <f>tbl_Kalender[[#This Row],[Quartal]]&amp;". Quartal"</f>
        <v>4. Quartal</v>
      </c>
      <c r="K1011">
        <f>_xlfn.ISOWEEKNUM(tbl_Kalender[[#This Row],[Datum]])</f>
        <v>41</v>
      </c>
    </row>
    <row r="1012" spans="1:11" x14ac:dyDescent="0.25">
      <c r="A1012" s="1">
        <v>46302</v>
      </c>
      <c r="B1012">
        <f>YEAR(tbl_Kalender[[#This Row],[Datum]])</f>
        <v>2026</v>
      </c>
      <c r="C1012">
        <f>DAY(tbl_Kalender[[#This Row],[Datum]])</f>
        <v>7</v>
      </c>
      <c r="D1012" t="str">
        <f>TEXT(tbl_Kalender[[#This Row],[Datum]],"TTTT")</f>
        <v>Mittwoch</v>
      </c>
      <c r="E1012">
        <f>WEEKDAY(tbl_Kalender[[#This Row],[Datum]],2)</f>
        <v>3</v>
      </c>
      <c r="F1012">
        <f>MONTH(tbl_Kalender[[#This Row],[Datum]])</f>
        <v>10</v>
      </c>
      <c r="G1012" t="str">
        <f>TEXT(tbl_Kalender[[#This Row],[Datum]],"MMMM")</f>
        <v>Oktober</v>
      </c>
      <c r="H1012">
        <f>ROUNDUP(tbl_Kalender[[#This Row],[Monat]]/3,0)</f>
        <v>4</v>
      </c>
      <c r="I1012" t="str">
        <f>"Q "&amp;tbl_Kalender[[#This Row],[Quartal]]</f>
        <v>Q 4</v>
      </c>
      <c r="J1012" t="str">
        <f>tbl_Kalender[[#This Row],[Quartal]]&amp;". Quartal"</f>
        <v>4. Quartal</v>
      </c>
      <c r="K1012">
        <f>_xlfn.ISOWEEKNUM(tbl_Kalender[[#This Row],[Datum]])</f>
        <v>41</v>
      </c>
    </row>
    <row r="1013" spans="1:11" x14ac:dyDescent="0.25">
      <c r="A1013" s="1">
        <v>46303</v>
      </c>
      <c r="B1013">
        <f>YEAR(tbl_Kalender[[#This Row],[Datum]])</f>
        <v>2026</v>
      </c>
      <c r="C1013">
        <f>DAY(tbl_Kalender[[#This Row],[Datum]])</f>
        <v>8</v>
      </c>
      <c r="D1013" t="str">
        <f>TEXT(tbl_Kalender[[#This Row],[Datum]],"TTTT")</f>
        <v>Donnerstag</v>
      </c>
      <c r="E1013">
        <f>WEEKDAY(tbl_Kalender[[#This Row],[Datum]],2)</f>
        <v>4</v>
      </c>
      <c r="F1013">
        <f>MONTH(tbl_Kalender[[#This Row],[Datum]])</f>
        <v>10</v>
      </c>
      <c r="G1013" t="str">
        <f>TEXT(tbl_Kalender[[#This Row],[Datum]],"MMMM")</f>
        <v>Oktober</v>
      </c>
      <c r="H1013">
        <f>ROUNDUP(tbl_Kalender[[#This Row],[Monat]]/3,0)</f>
        <v>4</v>
      </c>
      <c r="I1013" t="str">
        <f>"Q "&amp;tbl_Kalender[[#This Row],[Quartal]]</f>
        <v>Q 4</v>
      </c>
      <c r="J1013" t="str">
        <f>tbl_Kalender[[#This Row],[Quartal]]&amp;". Quartal"</f>
        <v>4. Quartal</v>
      </c>
      <c r="K1013">
        <f>_xlfn.ISOWEEKNUM(tbl_Kalender[[#This Row],[Datum]])</f>
        <v>41</v>
      </c>
    </row>
    <row r="1014" spans="1:11" x14ac:dyDescent="0.25">
      <c r="A1014" s="1">
        <v>46304</v>
      </c>
      <c r="B1014">
        <f>YEAR(tbl_Kalender[[#This Row],[Datum]])</f>
        <v>2026</v>
      </c>
      <c r="C1014">
        <f>DAY(tbl_Kalender[[#This Row],[Datum]])</f>
        <v>9</v>
      </c>
      <c r="D1014" t="str">
        <f>TEXT(tbl_Kalender[[#This Row],[Datum]],"TTTT")</f>
        <v>Freitag</v>
      </c>
      <c r="E1014">
        <f>WEEKDAY(tbl_Kalender[[#This Row],[Datum]],2)</f>
        <v>5</v>
      </c>
      <c r="F1014">
        <f>MONTH(tbl_Kalender[[#This Row],[Datum]])</f>
        <v>10</v>
      </c>
      <c r="G1014" t="str">
        <f>TEXT(tbl_Kalender[[#This Row],[Datum]],"MMMM")</f>
        <v>Oktober</v>
      </c>
      <c r="H1014">
        <f>ROUNDUP(tbl_Kalender[[#This Row],[Monat]]/3,0)</f>
        <v>4</v>
      </c>
      <c r="I1014" t="str">
        <f>"Q "&amp;tbl_Kalender[[#This Row],[Quartal]]</f>
        <v>Q 4</v>
      </c>
      <c r="J1014" t="str">
        <f>tbl_Kalender[[#This Row],[Quartal]]&amp;". Quartal"</f>
        <v>4. Quartal</v>
      </c>
      <c r="K1014">
        <f>_xlfn.ISOWEEKNUM(tbl_Kalender[[#This Row],[Datum]])</f>
        <v>41</v>
      </c>
    </row>
    <row r="1015" spans="1:11" x14ac:dyDescent="0.25">
      <c r="A1015" s="1">
        <v>46305</v>
      </c>
      <c r="B1015">
        <f>YEAR(tbl_Kalender[[#This Row],[Datum]])</f>
        <v>2026</v>
      </c>
      <c r="C1015">
        <f>DAY(tbl_Kalender[[#This Row],[Datum]])</f>
        <v>10</v>
      </c>
      <c r="D1015" t="str">
        <f>TEXT(tbl_Kalender[[#This Row],[Datum]],"TTTT")</f>
        <v>Samstag</v>
      </c>
      <c r="E1015">
        <f>WEEKDAY(tbl_Kalender[[#This Row],[Datum]],2)</f>
        <v>6</v>
      </c>
      <c r="F1015">
        <f>MONTH(tbl_Kalender[[#This Row],[Datum]])</f>
        <v>10</v>
      </c>
      <c r="G1015" t="str">
        <f>TEXT(tbl_Kalender[[#This Row],[Datum]],"MMMM")</f>
        <v>Oktober</v>
      </c>
      <c r="H1015">
        <f>ROUNDUP(tbl_Kalender[[#This Row],[Monat]]/3,0)</f>
        <v>4</v>
      </c>
      <c r="I1015" t="str">
        <f>"Q "&amp;tbl_Kalender[[#This Row],[Quartal]]</f>
        <v>Q 4</v>
      </c>
      <c r="J1015" t="str">
        <f>tbl_Kalender[[#This Row],[Quartal]]&amp;". Quartal"</f>
        <v>4. Quartal</v>
      </c>
      <c r="K1015">
        <f>_xlfn.ISOWEEKNUM(tbl_Kalender[[#This Row],[Datum]])</f>
        <v>41</v>
      </c>
    </row>
    <row r="1016" spans="1:11" x14ac:dyDescent="0.25">
      <c r="A1016" s="1">
        <v>46306</v>
      </c>
      <c r="B1016">
        <f>YEAR(tbl_Kalender[[#This Row],[Datum]])</f>
        <v>2026</v>
      </c>
      <c r="C1016">
        <f>DAY(tbl_Kalender[[#This Row],[Datum]])</f>
        <v>11</v>
      </c>
      <c r="D1016" t="str">
        <f>TEXT(tbl_Kalender[[#This Row],[Datum]],"TTTT")</f>
        <v>Sonntag</v>
      </c>
      <c r="E1016">
        <f>WEEKDAY(tbl_Kalender[[#This Row],[Datum]],2)</f>
        <v>7</v>
      </c>
      <c r="F1016">
        <f>MONTH(tbl_Kalender[[#This Row],[Datum]])</f>
        <v>10</v>
      </c>
      <c r="G1016" t="str">
        <f>TEXT(tbl_Kalender[[#This Row],[Datum]],"MMMM")</f>
        <v>Oktober</v>
      </c>
      <c r="H1016">
        <f>ROUNDUP(tbl_Kalender[[#This Row],[Monat]]/3,0)</f>
        <v>4</v>
      </c>
      <c r="I1016" t="str">
        <f>"Q "&amp;tbl_Kalender[[#This Row],[Quartal]]</f>
        <v>Q 4</v>
      </c>
      <c r="J1016" t="str">
        <f>tbl_Kalender[[#This Row],[Quartal]]&amp;". Quartal"</f>
        <v>4. Quartal</v>
      </c>
      <c r="K1016">
        <f>_xlfn.ISOWEEKNUM(tbl_Kalender[[#This Row],[Datum]])</f>
        <v>41</v>
      </c>
    </row>
    <row r="1017" spans="1:11" x14ac:dyDescent="0.25">
      <c r="A1017" s="1">
        <v>46307</v>
      </c>
      <c r="B1017">
        <f>YEAR(tbl_Kalender[[#This Row],[Datum]])</f>
        <v>2026</v>
      </c>
      <c r="C1017">
        <f>DAY(tbl_Kalender[[#This Row],[Datum]])</f>
        <v>12</v>
      </c>
      <c r="D1017" t="str">
        <f>TEXT(tbl_Kalender[[#This Row],[Datum]],"TTTT")</f>
        <v>Montag</v>
      </c>
      <c r="E1017">
        <f>WEEKDAY(tbl_Kalender[[#This Row],[Datum]],2)</f>
        <v>1</v>
      </c>
      <c r="F1017">
        <f>MONTH(tbl_Kalender[[#This Row],[Datum]])</f>
        <v>10</v>
      </c>
      <c r="G1017" t="str">
        <f>TEXT(tbl_Kalender[[#This Row],[Datum]],"MMMM")</f>
        <v>Oktober</v>
      </c>
      <c r="H1017">
        <f>ROUNDUP(tbl_Kalender[[#This Row],[Monat]]/3,0)</f>
        <v>4</v>
      </c>
      <c r="I1017" t="str">
        <f>"Q "&amp;tbl_Kalender[[#This Row],[Quartal]]</f>
        <v>Q 4</v>
      </c>
      <c r="J1017" t="str">
        <f>tbl_Kalender[[#This Row],[Quartal]]&amp;". Quartal"</f>
        <v>4. Quartal</v>
      </c>
      <c r="K1017">
        <f>_xlfn.ISOWEEKNUM(tbl_Kalender[[#This Row],[Datum]])</f>
        <v>42</v>
      </c>
    </row>
    <row r="1018" spans="1:11" x14ac:dyDescent="0.25">
      <c r="A1018" s="1">
        <v>46308</v>
      </c>
      <c r="B1018">
        <f>YEAR(tbl_Kalender[[#This Row],[Datum]])</f>
        <v>2026</v>
      </c>
      <c r="C1018">
        <f>DAY(tbl_Kalender[[#This Row],[Datum]])</f>
        <v>13</v>
      </c>
      <c r="D1018" t="str">
        <f>TEXT(tbl_Kalender[[#This Row],[Datum]],"TTTT")</f>
        <v>Dienstag</v>
      </c>
      <c r="E1018">
        <f>WEEKDAY(tbl_Kalender[[#This Row],[Datum]],2)</f>
        <v>2</v>
      </c>
      <c r="F1018">
        <f>MONTH(tbl_Kalender[[#This Row],[Datum]])</f>
        <v>10</v>
      </c>
      <c r="G1018" t="str">
        <f>TEXT(tbl_Kalender[[#This Row],[Datum]],"MMMM")</f>
        <v>Oktober</v>
      </c>
      <c r="H1018">
        <f>ROUNDUP(tbl_Kalender[[#This Row],[Monat]]/3,0)</f>
        <v>4</v>
      </c>
      <c r="I1018" t="str">
        <f>"Q "&amp;tbl_Kalender[[#This Row],[Quartal]]</f>
        <v>Q 4</v>
      </c>
      <c r="J1018" t="str">
        <f>tbl_Kalender[[#This Row],[Quartal]]&amp;". Quartal"</f>
        <v>4. Quartal</v>
      </c>
      <c r="K1018">
        <f>_xlfn.ISOWEEKNUM(tbl_Kalender[[#This Row],[Datum]])</f>
        <v>42</v>
      </c>
    </row>
    <row r="1019" spans="1:11" x14ac:dyDescent="0.25">
      <c r="A1019" s="1">
        <v>46309</v>
      </c>
      <c r="B1019">
        <f>YEAR(tbl_Kalender[[#This Row],[Datum]])</f>
        <v>2026</v>
      </c>
      <c r="C1019">
        <f>DAY(tbl_Kalender[[#This Row],[Datum]])</f>
        <v>14</v>
      </c>
      <c r="D1019" t="str">
        <f>TEXT(tbl_Kalender[[#This Row],[Datum]],"TTTT")</f>
        <v>Mittwoch</v>
      </c>
      <c r="E1019">
        <f>WEEKDAY(tbl_Kalender[[#This Row],[Datum]],2)</f>
        <v>3</v>
      </c>
      <c r="F1019">
        <f>MONTH(tbl_Kalender[[#This Row],[Datum]])</f>
        <v>10</v>
      </c>
      <c r="G1019" t="str">
        <f>TEXT(tbl_Kalender[[#This Row],[Datum]],"MMMM")</f>
        <v>Oktober</v>
      </c>
      <c r="H1019">
        <f>ROUNDUP(tbl_Kalender[[#This Row],[Monat]]/3,0)</f>
        <v>4</v>
      </c>
      <c r="I1019" t="str">
        <f>"Q "&amp;tbl_Kalender[[#This Row],[Quartal]]</f>
        <v>Q 4</v>
      </c>
      <c r="J1019" t="str">
        <f>tbl_Kalender[[#This Row],[Quartal]]&amp;". Quartal"</f>
        <v>4. Quartal</v>
      </c>
      <c r="K1019">
        <f>_xlfn.ISOWEEKNUM(tbl_Kalender[[#This Row],[Datum]])</f>
        <v>42</v>
      </c>
    </row>
    <row r="1020" spans="1:11" x14ac:dyDescent="0.25">
      <c r="A1020" s="1">
        <v>46310</v>
      </c>
      <c r="B1020">
        <f>YEAR(tbl_Kalender[[#This Row],[Datum]])</f>
        <v>2026</v>
      </c>
      <c r="C1020">
        <f>DAY(tbl_Kalender[[#This Row],[Datum]])</f>
        <v>15</v>
      </c>
      <c r="D1020" t="str">
        <f>TEXT(tbl_Kalender[[#This Row],[Datum]],"TTTT")</f>
        <v>Donnerstag</v>
      </c>
      <c r="E1020">
        <f>WEEKDAY(tbl_Kalender[[#This Row],[Datum]],2)</f>
        <v>4</v>
      </c>
      <c r="F1020">
        <f>MONTH(tbl_Kalender[[#This Row],[Datum]])</f>
        <v>10</v>
      </c>
      <c r="G1020" t="str">
        <f>TEXT(tbl_Kalender[[#This Row],[Datum]],"MMMM")</f>
        <v>Oktober</v>
      </c>
      <c r="H1020">
        <f>ROUNDUP(tbl_Kalender[[#This Row],[Monat]]/3,0)</f>
        <v>4</v>
      </c>
      <c r="I1020" t="str">
        <f>"Q "&amp;tbl_Kalender[[#This Row],[Quartal]]</f>
        <v>Q 4</v>
      </c>
      <c r="J1020" t="str">
        <f>tbl_Kalender[[#This Row],[Quartal]]&amp;". Quartal"</f>
        <v>4. Quartal</v>
      </c>
      <c r="K1020">
        <f>_xlfn.ISOWEEKNUM(tbl_Kalender[[#This Row],[Datum]])</f>
        <v>42</v>
      </c>
    </row>
    <row r="1021" spans="1:11" x14ac:dyDescent="0.25">
      <c r="A1021" s="1">
        <v>46311</v>
      </c>
      <c r="B1021">
        <f>YEAR(tbl_Kalender[[#This Row],[Datum]])</f>
        <v>2026</v>
      </c>
      <c r="C1021">
        <f>DAY(tbl_Kalender[[#This Row],[Datum]])</f>
        <v>16</v>
      </c>
      <c r="D1021" t="str">
        <f>TEXT(tbl_Kalender[[#This Row],[Datum]],"TTTT")</f>
        <v>Freitag</v>
      </c>
      <c r="E1021">
        <f>WEEKDAY(tbl_Kalender[[#This Row],[Datum]],2)</f>
        <v>5</v>
      </c>
      <c r="F1021">
        <f>MONTH(tbl_Kalender[[#This Row],[Datum]])</f>
        <v>10</v>
      </c>
      <c r="G1021" t="str">
        <f>TEXT(tbl_Kalender[[#This Row],[Datum]],"MMMM")</f>
        <v>Oktober</v>
      </c>
      <c r="H1021">
        <f>ROUNDUP(tbl_Kalender[[#This Row],[Monat]]/3,0)</f>
        <v>4</v>
      </c>
      <c r="I1021" t="str">
        <f>"Q "&amp;tbl_Kalender[[#This Row],[Quartal]]</f>
        <v>Q 4</v>
      </c>
      <c r="J1021" t="str">
        <f>tbl_Kalender[[#This Row],[Quartal]]&amp;". Quartal"</f>
        <v>4. Quartal</v>
      </c>
      <c r="K1021">
        <f>_xlfn.ISOWEEKNUM(tbl_Kalender[[#This Row],[Datum]])</f>
        <v>42</v>
      </c>
    </row>
    <row r="1022" spans="1:11" x14ac:dyDescent="0.25">
      <c r="A1022" s="1">
        <v>46312</v>
      </c>
      <c r="B1022">
        <f>YEAR(tbl_Kalender[[#This Row],[Datum]])</f>
        <v>2026</v>
      </c>
      <c r="C1022">
        <f>DAY(tbl_Kalender[[#This Row],[Datum]])</f>
        <v>17</v>
      </c>
      <c r="D1022" t="str">
        <f>TEXT(tbl_Kalender[[#This Row],[Datum]],"TTTT")</f>
        <v>Samstag</v>
      </c>
      <c r="E1022">
        <f>WEEKDAY(tbl_Kalender[[#This Row],[Datum]],2)</f>
        <v>6</v>
      </c>
      <c r="F1022">
        <f>MONTH(tbl_Kalender[[#This Row],[Datum]])</f>
        <v>10</v>
      </c>
      <c r="G1022" t="str">
        <f>TEXT(tbl_Kalender[[#This Row],[Datum]],"MMMM")</f>
        <v>Oktober</v>
      </c>
      <c r="H1022">
        <f>ROUNDUP(tbl_Kalender[[#This Row],[Monat]]/3,0)</f>
        <v>4</v>
      </c>
      <c r="I1022" t="str">
        <f>"Q "&amp;tbl_Kalender[[#This Row],[Quartal]]</f>
        <v>Q 4</v>
      </c>
      <c r="J1022" t="str">
        <f>tbl_Kalender[[#This Row],[Quartal]]&amp;". Quartal"</f>
        <v>4. Quartal</v>
      </c>
      <c r="K1022">
        <f>_xlfn.ISOWEEKNUM(tbl_Kalender[[#This Row],[Datum]])</f>
        <v>42</v>
      </c>
    </row>
    <row r="1023" spans="1:11" x14ac:dyDescent="0.25">
      <c r="A1023" s="1">
        <v>46313</v>
      </c>
      <c r="B1023">
        <f>YEAR(tbl_Kalender[[#This Row],[Datum]])</f>
        <v>2026</v>
      </c>
      <c r="C1023">
        <f>DAY(tbl_Kalender[[#This Row],[Datum]])</f>
        <v>18</v>
      </c>
      <c r="D1023" t="str">
        <f>TEXT(tbl_Kalender[[#This Row],[Datum]],"TTTT")</f>
        <v>Sonntag</v>
      </c>
      <c r="E1023">
        <f>WEEKDAY(tbl_Kalender[[#This Row],[Datum]],2)</f>
        <v>7</v>
      </c>
      <c r="F1023">
        <f>MONTH(tbl_Kalender[[#This Row],[Datum]])</f>
        <v>10</v>
      </c>
      <c r="G1023" t="str">
        <f>TEXT(tbl_Kalender[[#This Row],[Datum]],"MMMM")</f>
        <v>Oktober</v>
      </c>
      <c r="H1023">
        <f>ROUNDUP(tbl_Kalender[[#This Row],[Monat]]/3,0)</f>
        <v>4</v>
      </c>
      <c r="I1023" t="str">
        <f>"Q "&amp;tbl_Kalender[[#This Row],[Quartal]]</f>
        <v>Q 4</v>
      </c>
      <c r="J1023" t="str">
        <f>tbl_Kalender[[#This Row],[Quartal]]&amp;". Quartal"</f>
        <v>4. Quartal</v>
      </c>
      <c r="K1023">
        <f>_xlfn.ISOWEEKNUM(tbl_Kalender[[#This Row],[Datum]])</f>
        <v>42</v>
      </c>
    </row>
    <row r="1024" spans="1:11" x14ac:dyDescent="0.25">
      <c r="A1024" s="1">
        <v>46314</v>
      </c>
      <c r="B1024">
        <f>YEAR(tbl_Kalender[[#This Row],[Datum]])</f>
        <v>2026</v>
      </c>
      <c r="C1024">
        <f>DAY(tbl_Kalender[[#This Row],[Datum]])</f>
        <v>19</v>
      </c>
      <c r="D1024" t="str">
        <f>TEXT(tbl_Kalender[[#This Row],[Datum]],"TTTT")</f>
        <v>Montag</v>
      </c>
      <c r="E1024">
        <f>WEEKDAY(tbl_Kalender[[#This Row],[Datum]],2)</f>
        <v>1</v>
      </c>
      <c r="F1024">
        <f>MONTH(tbl_Kalender[[#This Row],[Datum]])</f>
        <v>10</v>
      </c>
      <c r="G1024" t="str">
        <f>TEXT(tbl_Kalender[[#This Row],[Datum]],"MMMM")</f>
        <v>Oktober</v>
      </c>
      <c r="H1024">
        <f>ROUNDUP(tbl_Kalender[[#This Row],[Monat]]/3,0)</f>
        <v>4</v>
      </c>
      <c r="I1024" t="str">
        <f>"Q "&amp;tbl_Kalender[[#This Row],[Quartal]]</f>
        <v>Q 4</v>
      </c>
      <c r="J1024" t="str">
        <f>tbl_Kalender[[#This Row],[Quartal]]&amp;". Quartal"</f>
        <v>4. Quartal</v>
      </c>
      <c r="K1024">
        <f>_xlfn.ISOWEEKNUM(tbl_Kalender[[#This Row],[Datum]])</f>
        <v>43</v>
      </c>
    </row>
    <row r="1025" spans="1:11" x14ac:dyDescent="0.25">
      <c r="A1025" s="1">
        <v>46315</v>
      </c>
      <c r="B1025">
        <f>YEAR(tbl_Kalender[[#This Row],[Datum]])</f>
        <v>2026</v>
      </c>
      <c r="C1025">
        <f>DAY(tbl_Kalender[[#This Row],[Datum]])</f>
        <v>20</v>
      </c>
      <c r="D1025" t="str">
        <f>TEXT(tbl_Kalender[[#This Row],[Datum]],"TTTT")</f>
        <v>Dienstag</v>
      </c>
      <c r="E1025">
        <f>WEEKDAY(tbl_Kalender[[#This Row],[Datum]],2)</f>
        <v>2</v>
      </c>
      <c r="F1025">
        <f>MONTH(tbl_Kalender[[#This Row],[Datum]])</f>
        <v>10</v>
      </c>
      <c r="G1025" t="str">
        <f>TEXT(tbl_Kalender[[#This Row],[Datum]],"MMMM")</f>
        <v>Oktober</v>
      </c>
      <c r="H1025">
        <f>ROUNDUP(tbl_Kalender[[#This Row],[Monat]]/3,0)</f>
        <v>4</v>
      </c>
      <c r="I1025" t="str">
        <f>"Q "&amp;tbl_Kalender[[#This Row],[Quartal]]</f>
        <v>Q 4</v>
      </c>
      <c r="J1025" t="str">
        <f>tbl_Kalender[[#This Row],[Quartal]]&amp;". Quartal"</f>
        <v>4. Quartal</v>
      </c>
      <c r="K1025">
        <f>_xlfn.ISOWEEKNUM(tbl_Kalender[[#This Row],[Datum]])</f>
        <v>43</v>
      </c>
    </row>
    <row r="1026" spans="1:11" x14ac:dyDescent="0.25">
      <c r="A1026" s="1">
        <v>46316</v>
      </c>
      <c r="B1026">
        <f>YEAR(tbl_Kalender[[#This Row],[Datum]])</f>
        <v>2026</v>
      </c>
      <c r="C1026">
        <f>DAY(tbl_Kalender[[#This Row],[Datum]])</f>
        <v>21</v>
      </c>
      <c r="D1026" t="str">
        <f>TEXT(tbl_Kalender[[#This Row],[Datum]],"TTTT")</f>
        <v>Mittwoch</v>
      </c>
      <c r="E1026">
        <f>WEEKDAY(tbl_Kalender[[#This Row],[Datum]],2)</f>
        <v>3</v>
      </c>
      <c r="F1026">
        <f>MONTH(tbl_Kalender[[#This Row],[Datum]])</f>
        <v>10</v>
      </c>
      <c r="G1026" t="str">
        <f>TEXT(tbl_Kalender[[#This Row],[Datum]],"MMMM")</f>
        <v>Oktober</v>
      </c>
      <c r="H1026">
        <f>ROUNDUP(tbl_Kalender[[#This Row],[Monat]]/3,0)</f>
        <v>4</v>
      </c>
      <c r="I1026" t="str">
        <f>"Q "&amp;tbl_Kalender[[#This Row],[Quartal]]</f>
        <v>Q 4</v>
      </c>
      <c r="J1026" t="str">
        <f>tbl_Kalender[[#This Row],[Quartal]]&amp;". Quartal"</f>
        <v>4. Quartal</v>
      </c>
      <c r="K1026">
        <f>_xlfn.ISOWEEKNUM(tbl_Kalender[[#This Row],[Datum]])</f>
        <v>43</v>
      </c>
    </row>
    <row r="1027" spans="1:11" x14ac:dyDescent="0.25">
      <c r="A1027" s="1">
        <v>46317</v>
      </c>
      <c r="B1027">
        <f>YEAR(tbl_Kalender[[#This Row],[Datum]])</f>
        <v>2026</v>
      </c>
      <c r="C1027">
        <f>DAY(tbl_Kalender[[#This Row],[Datum]])</f>
        <v>22</v>
      </c>
      <c r="D1027" t="str">
        <f>TEXT(tbl_Kalender[[#This Row],[Datum]],"TTTT")</f>
        <v>Donnerstag</v>
      </c>
      <c r="E1027">
        <f>WEEKDAY(tbl_Kalender[[#This Row],[Datum]],2)</f>
        <v>4</v>
      </c>
      <c r="F1027">
        <f>MONTH(tbl_Kalender[[#This Row],[Datum]])</f>
        <v>10</v>
      </c>
      <c r="G1027" t="str">
        <f>TEXT(tbl_Kalender[[#This Row],[Datum]],"MMMM")</f>
        <v>Oktober</v>
      </c>
      <c r="H1027">
        <f>ROUNDUP(tbl_Kalender[[#This Row],[Monat]]/3,0)</f>
        <v>4</v>
      </c>
      <c r="I1027" t="str">
        <f>"Q "&amp;tbl_Kalender[[#This Row],[Quartal]]</f>
        <v>Q 4</v>
      </c>
      <c r="J1027" t="str">
        <f>tbl_Kalender[[#This Row],[Quartal]]&amp;". Quartal"</f>
        <v>4. Quartal</v>
      </c>
      <c r="K1027">
        <f>_xlfn.ISOWEEKNUM(tbl_Kalender[[#This Row],[Datum]])</f>
        <v>43</v>
      </c>
    </row>
    <row r="1028" spans="1:11" x14ac:dyDescent="0.25">
      <c r="A1028" s="1">
        <v>46318</v>
      </c>
      <c r="B1028">
        <f>YEAR(tbl_Kalender[[#This Row],[Datum]])</f>
        <v>2026</v>
      </c>
      <c r="C1028">
        <f>DAY(tbl_Kalender[[#This Row],[Datum]])</f>
        <v>23</v>
      </c>
      <c r="D1028" t="str">
        <f>TEXT(tbl_Kalender[[#This Row],[Datum]],"TTTT")</f>
        <v>Freitag</v>
      </c>
      <c r="E1028">
        <f>WEEKDAY(tbl_Kalender[[#This Row],[Datum]],2)</f>
        <v>5</v>
      </c>
      <c r="F1028">
        <f>MONTH(tbl_Kalender[[#This Row],[Datum]])</f>
        <v>10</v>
      </c>
      <c r="G1028" t="str">
        <f>TEXT(tbl_Kalender[[#This Row],[Datum]],"MMMM")</f>
        <v>Oktober</v>
      </c>
      <c r="H1028">
        <f>ROUNDUP(tbl_Kalender[[#This Row],[Monat]]/3,0)</f>
        <v>4</v>
      </c>
      <c r="I1028" t="str">
        <f>"Q "&amp;tbl_Kalender[[#This Row],[Quartal]]</f>
        <v>Q 4</v>
      </c>
      <c r="J1028" t="str">
        <f>tbl_Kalender[[#This Row],[Quartal]]&amp;". Quartal"</f>
        <v>4. Quartal</v>
      </c>
      <c r="K1028">
        <f>_xlfn.ISOWEEKNUM(tbl_Kalender[[#This Row],[Datum]])</f>
        <v>43</v>
      </c>
    </row>
    <row r="1029" spans="1:11" x14ac:dyDescent="0.25">
      <c r="A1029" s="1">
        <v>46319</v>
      </c>
      <c r="B1029">
        <f>YEAR(tbl_Kalender[[#This Row],[Datum]])</f>
        <v>2026</v>
      </c>
      <c r="C1029">
        <f>DAY(tbl_Kalender[[#This Row],[Datum]])</f>
        <v>24</v>
      </c>
      <c r="D1029" t="str">
        <f>TEXT(tbl_Kalender[[#This Row],[Datum]],"TTTT")</f>
        <v>Samstag</v>
      </c>
      <c r="E1029">
        <f>WEEKDAY(tbl_Kalender[[#This Row],[Datum]],2)</f>
        <v>6</v>
      </c>
      <c r="F1029">
        <f>MONTH(tbl_Kalender[[#This Row],[Datum]])</f>
        <v>10</v>
      </c>
      <c r="G1029" t="str">
        <f>TEXT(tbl_Kalender[[#This Row],[Datum]],"MMMM")</f>
        <v>Oktober</v>
      </c>
      <c r="H1029">
        <f>ROUNDUP(tbl_Kalender[[#This Row],[Monat]]/3,0)</f>
        <v>4</v>
      </c>
      <c r="I1029" t="str">
        <f>"Q "&amp;tbl_Kalender[[#This Row],[Quartal]]</f>
        <v>Q 4</v>
      </c>
      <c r="J1029" t="str">
        <f>tbl_Kalender[[#This Row],[Quartal]]&amp;". Quartal"</f>
        <v>4. Quartal</v>
      </c>
      <c r="K1029">
        <f>_xlfn.ISOWEEKNUM(tbl_Kalender[[#This Row],[Datum]])</f>
        <v>43</v>
      </c>
    </row>
    <row r="1030" spans="1:11" x14ac:dyDescent="0.25">
      <c r="A1030" s="1">
        <v>46320</v>
      </c>
      <c r="B1030">
        <f>YEAR(tbl_Kalender[[#This Row],[Datum]])</f>
        <v>2026</v>
      </c>
      <c r="C1030">
        <f>DAY(tbl_Kalender[[#This Row],[Datum]])</f>
        <v>25</v>
      </c>
      <c r="D1030" t="str">
        <f>TEXT(tbl_Kalender[[#This Row],[Datum]],"TTTT")</f>
        <v>Sonntag</v>
      </c>
      <c r="E1030">
        <f>WEEKDAY(tbl_Kalender[[#This Row],[Datum]],2)</f>
        <v>7</v>
      </c>
      <c r="F1030">
        <f>MONTH(tbl_Kalender[[#This Row],[Datum]])</f>
        <v>10</v>
      </c>
      <c r="G1030" t="str">
        <f>TEXT(tbl_Kalender[[#This Row],[Datum]],"MMMM")</f>
        <v>Oktober</v>
      </c>
      <c r="H1030">
        <f>ROUNDUP(tbl_Kalender[[#This Row],[Monat]]/3,0)</f>
        <v>4</v>
      </c>
      <c r="I1030" t="str">
        <f>"Q "&amp;tbl_Kalender[[#This Row],[Quartal]]</f>
        <v>Q 4</v>
      </c>
      <c r="J1030" t="str">
        <f>tbl_Kalender[[#This Row],[Quartal]]&amp;". Quartal"</f>
        <v>4. Quartal</v>
      </c>
      <c r="K1030">
        <f>_xlfn.ISOWEEKNUM(tbl_Kalender[[#This Row],[Datum]])</f>
        <v>43</v>
      </c>
    </row>
    <row r="1031" spans="1:11" x14ac:dyDescent="0.25">
      <c r="A1031" s="1">
        <v>46321</v>
      </c>
      <c r="B1031">
        <f>YEAR(tbl_Kalender[[#This Row],[Datum]])</f>
        <v>2026</v>
      </c>
      <c r="C1031">
        <f>DAY(tbl_Kalender[[#This Row],[Datum]])</f>
        <v>26</v>
      </c>
      <c r="D1031" t="str">
        <f>TEXT(tbl_Kalender[[#This Row],[Datum]],"TTTT")</f>
        <v>Montag</v>
      </c>
      <c r="E1031">
        <f>WEEKDAY(tbl_Kalender[[#This Row],[Datum]],2)</f>
        <v>1</v>
      </c>
      <c r="F1031">
        <f>MONTH(tbl_Kalender[[#This Row],[Datum]])</f>
        <v>10</v>
      </c>
      <c r="G1031" t="str">
        <f>TEXT(tbl_Kalender[[#This Row],[Datum]],"MMMM")</f>
        <v>Oktober</v>
      </c>
      <c r="H1031">
        <f>ROUNDUP(tbl_Kalender[[#This Row],[Monat]]/3,0)</f>
        <v>4</v>
      </c>
      <c r="I1031" t="str">
        <f>"Q "&amp;tbl_Kalender[[#This Row],[Quartal]]</f>
        <v>Q 4</v>
      </c>
      <c r="J1031" t="str">
        <f>tbl_Kalender[[#This Row],[Quartal]]&amp;". Quartal"</f>
        <v>4. Quartal</v>
      </c>
      <c r="K1031">
        <f>_xlfn.ISOWEEKNUM(tbl_Kalender[[#This Row],[Datum]])</f>
        <v>44</v>
      </c>
    </row>
    <row r="1032" spans="1:11" x14ac:dyDescent="0.25">
      <c r="A1032" s="1">
        <v>46322</v>
      </c>
      <c r="B1032">
        <f>YEAR(tbl_Kalender[[#This Row],[Datum]])</f>
        <v>2026</v>
      </c>
      <c r="C1032">
        <f>DAY(tbl_Kalender[[#This Row],[Datum]])</f>
        <v>27</v>
      </c>
      <c r="D1032" t="str">
        <f>TEXT(tbl_Kalender[[#This Row],[Datum]],"TTTT")</f>
        <v>Dienstag</v>
      </c>
      <c r="E1032">
        <f>WEEKDAY(tbl_Kalender[[#This Row],[Datum]],2)</f>
        <v>2</v>
      </c>
      <c r="F1032">
        <f>MONTH(tbl_Kalender[[#This Row],[Datum]])</f>
        <v>10</v>
      </c>
      <c r="G1032" t="str">
        <f>TEXT(tbl_Kalender[[#This Row],[Datum]],"MMMM")</f>
        <v>Oktober</v>
      </c>
      <c r="H1032">
        <f>ROUNDUP(tbl_Kalender[[#This Row],[Monat]]/3,0)</f>
        <v>4</v>
      </c>
      <c r="I1032" t="str">
        <f>"Q "&amp;tbl_Kalender[[#This Row],[Quartal]]</f>
        <v>Q 4</v>
      </c>
      <c r="J1032" t="str">
        <f>tbl_Kalender[[#This Row],[Quartal]]&amp;". Quartal"</f>
        <v>4. Quartal</v>
      </c>
      <c r="K1032">
        <f>_xlfn.ISOWEEKNUM(tbl_Kalender[[#This Row],[Datum]])</f>
        <v>44</v>
      </c>
    </row>
    <row r="1033" spans="1:11" x14ac:dyDescent="0.25">
      <c r="A1033" s="1">
        <v>46323</v>
      </c>
      <c r="B1033">
        <f>YEAR(tbl_Kalender[[#This Row],[Datum]])</f>
        <v>2026</v>
      </c>
      <c r="C1033">
        <f>DAY(tbl_Kalender[[#This Row],[Datum]])</f>
        <v>28</v>
      </c>
      <c r="D1033" t="str">
        <f>TEXT(tbl_Kalender[[#This Row],[Datum]],"TTTT")</f>
        <v>Mittwoch</v>
      </c>
      <c r="E1033">
        <f>WEEKDAY(tbl_Kalender[[#This Row],[Datum]],2)</f>
        <v>3</v>
      </c>
      <c r="F1033">
        <f>MONTH(tbl_Kalender[[#This Row],[Datum]])</f>
        <v>10</v>
      </c>
      <c r="G1033" t="str">
        <f>TEXT(tbl_Kalender[[#This Row],[Datum]],"MMMM")</f>
        <v>Oktober</v>
      </c>
      <c r="H1033">
        <f>ROUNDUP(tbl_Kalender[[#This Row],[Monat]]/3,0)</f>
        <v>4</v>
      </c>
      <c r="I1033" t="str">
        <f>"Q "&amp;tbl_Kalender[[#This Row],[Quartal]]</f>
        <v>Q 4</v>
      </c>
      <c r="J1033" t="str">
        <f>tbl_Kalender[[#This Row],[Quartal]]&amp;". Quartal"</f>
        <v>4. Quartal</v>
      </c>
      <c r="K1033">
        <f>_xlfn.ISOWEEKNUM(tbl_Kalender[[#This Row],[Datum]])</f>
        <v>44</v>
      </c>
    </row>
    <row r="1034" spans="1:11" x14ac:dyDescent="0.25">
      <c r="A1034" s="1">
        <v>46324</v>
      </c>
      <c r="B1034">
        <f>YEAR(tbl_Kalender[[#This Row],[Datum]])</f>
        <v>2026</v>
      </c>
      <c r="C1034">
        <f>DAY(tbl_Kalender[[#This Row],[Datum]])</f>
        <v>29</v>
      </c>
      <c r="D1034" t="str">
        <f>TEXT(tbl_Kalender[[#This Row],[Datum]],"TTTT")</f>
        <v>Donnerstag</v>
      </c>
      <c r="E1034">
        <f>WEEKDAY(tbl_Kalender[[#This Row],[Datum]],2)</f>
        <v>4</v>
      </c>
      <c r="F1034">
        <f>MONTH(tbl_Kalender[[#This Row],[Datum]])</f>
        <v>10</v>
      </c>
      <c r="G1034" t="str">
        <f>TEXT(tbl_Kalender[[#This Row],[Datum]],"MMMM")</f>
        <v>Oktober</v>
      </c>
      <c r="H1034">
        <f>ROUNDUP(tbl_Kalender[[#This Row],[Monat]]/3,0)</f>
        <v>4</v>
      </c>
      <c r="I1034" t="str">
        <f>"Q "&amp;tbl_Kalender[[#This Row],[Quartal]]</f>
        <v>Q 4</v>
      </c>
      <c r="J1034" t="str">
        <f>tbl_Kalender[[#This Row],[Quartal]]&amp;". Quartal"</f>
        <v>4. Quartal</v>
      </c>
      <c r="K1034">
        <f>_xlfn.ISOWEEKNUM(tbl_Kalender[[#This Row],[Datum]])</f>
        <v>44</v>
      </c>
    </row>
    <row r="1035" spans="1:11" x14ac:dyDescent="0.25">
      <c r="A1035" s="1">
        <v>46325</v>
      </c>
      <c r="B1035">
        <f>YEAR(tbl_Kalender[[#This Row],[Datum]])</f>
        <v>2026</v>
      </c>
      <c r="C1035">
        <f>DAY(tbl_Kalender[[#This Row],[Datum]])</f>
        <v>30</v>
      </c>
      <c r="D1035" t="str">
        <f>TEXT(tbl_Kalender[[#This Row],[Datum]],"TTTT")</f>
        <v>Freitag</v>
      </c>
      <c r="E1035">
        <f>WEEKDAY(tbl_Kalender[[#This Row],[Datum]],2)</f>
        <v>5</v>
      </c>
      <c r="F1035">
        <f>MONTH(tbl_Kalender[[#This Row],[Datum]])</f>
        <v>10</v>
      </c>
      <c r="G1035" t="str">
        <f>TEXT(tbl_Kalender[[#This Row],[Datum]],"MMMM")</f>
        <v>Oktober</v>
      </c>
      <c r="H1035">
        <f>ROUNDUP(tbl_Kalender[[#This Row],[Monat]]/3,0)</f>
        <v>4</v>
      </c>
      <c r="I1035" t="str">
        <f>"Q "&amp;tbl_Kalender[[#This Row],[Quartal]]</f>
        <v>Q 4</v>
      </c>
      <c r="J1035" t="str">
        <f>tbl_Kalender[[#This Row],[Quartal]]&amp;". Quartal"</f>
        <v>4. Quartal</v>
      </c>
      <c r="K1035">
        <f>_xlfn.ISOWEEKNUM(tbl_Kalender[[#This Row],[Datum]])</f>
        <v>44</v>
      </c>
    </row>
    <row r="1036" spans="1:11" x14ac:dyDescent="0.25">
      <c r="A1036" s="1">
        <v>46326</v>
      </c>
      <c r="B1036">
        <f>YEAR(tbl_Kalender[[#This Row],[Datum]])</f>
        <v>2026</v>
      </c>
      <c r="C1036">
        <f>DAY(tbl_Kalender[[#This Row],[Datum]])</f>
        <v>31</v>
      </c>
      <c r="D1036" t="str">
        <f>TEXT(tbl_Kalender[[#This Row],[Datum]],"TTTT")</f>
        <v>Samstag</v>
      </c>
      <c r="E1036">
        <f>WEEKDAY(tbl_Kalender[[#This Row],[Datum]],2)</f>
        <v>6</v>
      </c>
      <c r="F1036">
        <f>MONTH(tbl_Kalender[[#This Row],[Datum]])</f>
        <v>10</v>
      </c>
      <c r="G1036" t="str">
        <f>TEXT(tbl_Kalender[[#This Row],[Datum]],"MMMM")</f>
        <v>Oktober</v>
      </c>
      <c r="H1036">
        <f>ROUNDUP(tbl_Kalender[[#This Row],[Monat]]/3,0)</f>
        <v>4</v>
      </c>
      <c r="I1036" t="str">
        <f>"Q "&amp;tbl_Kalender[[#This Row],[Quartal]]</f>
        <v>Q 4</v>
      </c>
      <c r="J1036" t="str">
        <f>tbl_Kalender[[#This Row],[Quartal]]&amp;". Quartal"</f>
        <v>4. Quartal</v>
      </c>
      <c r="K1036">
        <f>_xlfn.ISOWEEKNUM(tbl_Kalender[[#This Row],[Datum]])</f>
        <v>44</v>
      </c>
    </row>
    <row r="1037" spans="1:11" x14ac:dyDescent="0.25">
      <c r="A1037" s="1">
        <v>46327</v>
      </c>
      <c r="B1037">
        <f>YEAR(tbl_Kalender[[#This Row],[Datum]])</f>
        <v>2026</v>
      </c>
      <c r="C1037">
        <f>DAY(tbl_Kalender[[#This Row],[Datum]])</f>
        <v>1</v>
      </c>
      <c r="D1037" t="str">
        <f>TEXT(tbl_Kalender[[#This Row],[Datum]],"TTTT")</f>
        <v>Sonntag</v>
      </c>
      <c r="E1037">
        <f>WEEKDAY(tbl_Kalender[[#This Row],[Datum]],2)</f>
        <v>7</v>
      </c>
      <c r="F1037">
        <f>MONTH(tbl_Kalender[[#This Row],[Datum]])</f>
        <v>11</v>
      </c>
      <c r="G1037" t="str">
        <f>TEXT(tbl_Kalender[[#This Row],[Datum]],"MMMM")</f>
        <v>November</v>
      </c>
      <c r="H1037">
        <f>ROUNDUP(tbl_Kalender[[#This Row],[Monat]]/3,0)</f>
        <v>4</v>
      </c>
      <c r="I1037" t="str">
        <f>"Q "&amp;tbl_Kalender[[#This Row],[Quartal]]</f>
        <v>Q 4</v>
      </c>
      <c r="J1037" t="str">
        <f>tbl_Kalender[[#This Row],[Quartal]]&amp;". Quartal"</f>
        <v>4. Quartal</v>
      </c>
      <c r="K1037">
        <f>_xlfn.ISOWEEKNUM(tbl_Kalender[[#This Row],[Datum]])</f>
        <v>44</v>
      </c>
    </row>
    <row r="1038" spans="1:11" x14ac:dyDescent="0.25">
      <c r="A1038" s="1">
        <v>46328</v>
      </c>
      <c r="B1038">
        <f>YEAR(tbl_Kalender[[#This Row],[Datum]])</f>
        <v>2026</v>
      </c>
      <c r="C1038">
        <f>DAY(tbl_Kalender[[#This Row],[Datum]])</f>
        <v>2</v>
      </c>
      <c r="D1038" t="str">
        <f>TEXT(tbl_Kalender[[#This Row],[Datum]],"TTTT")</f>
        <v>Montag</v>
      </c>
      <c r="E1038">
        <f>WEEKDAY(tbl_Kalender[[#This Row],[Datum]],2)</f>
        <v>1</v>
      </c>
      <c r="F1038">
        <f>MONTH(tbl_Kalender[[#This Row],[Datum]])</f>
        <v>11</v>
      </c>
      <c r="G1038" t="str">
        <f>TEXT(tbl_Kalender[[#This Row],[Datum]],"MMMM")</f>
        <v>November</v>
      </c>
      <c r="H1038">
        <f>ROUNDUP(tbl_Kalender[[#This Row],[Monat]]/3,0)</f>
        <v>4</v>
      </c>
      <c r="I1038" t="str">
        <f>"Q "&amp;tbl_Kalender[[#This Row],[Quartal]]</f>
        <v>Q 4</v>
      </c>
      <c r="J1038" t="str">
        <f>tbl_Kalender[[#This Row],[Quartal]]&amp;". Quartal"</f>
        <v>4. Quartal</v>
      </c>
      <c r="K1038">
        <f>_xlfn.ISOWEEKNUM(tbl_Kalender[[#This Row],[Datum]])</f>
        <v>45</v>
      </c>
    </row>
    <row r="1039" spans="1:11" x14ac:dyDescent="0.25">
      <c r="A1039" s="1">
        <v>46329</v>
      </c>
      <c r="B1039">
        <f>YEAR(tbl_Kalender[[#This Row],[Datum]])</f>
        <v>2026</v>
      </c>
      <c r="C1039">
        <f>DAY(tbl_Kalender[[#This Row],[Datum]])</f>
        <v>3</v>
      </c>
      <c r="D1039" t="str">
        <f>TEXT(tbl_Kalender[[#This Row],[Datum]],"TTTT")</f>
        <v>Dienstag</v>
      </c>
      <c r="E1039">
        <f>WEEKDAY(tbl_Kalender[[#This Row],[Datum]],2)</f>
        <v>2</v>
      </c>
      <c r="F1039">
        <f>MONTH(tbl_Kalender[[#This Row],[Datum]])</f>
        <v>11</v>
      </c>
      <c r="G1039" t="str">
        <f>TEXT(tbl_Kalender[[#This Row],[Datum]],"MMMM")</f>
        <v>November</v>
      </c>
      <c r="H1039">
        <f>ROUNDUP(tbl_Kalender[[#This Row],[Monat]]/3,0)</f>
        <v>4</v>
      </c>
      <c r="I1039" t="str">
        <f>"Q "&amp;tbl_Kalender[[#This Row],[Quartal]]</f>
        <v>Q 4</v>
      </c>
      <c r="J1039" t="str">
        <f>tbl_Kalender[[#This Row],[Quartal]]&amp;". Quartal"</f>
        <v>4. Quartal</v>
      </c>
      <c r="K1039">
        <f>_xlfn.ISOWEEKNUM(tbl_Kalender[[#This Row],[Datum]])</f>
        <v>45</v>
      </c>
    </row>
    <row r="1040" spans="1:11" x14ac:dyDescent="0.25">
      <c r="A1040" s="1">
        <v>46330</v>
      </c>
      <c r="B1040">
        <f>YEAR(tbl_Kalender[[#This Row],[Datum]])</f>
        <v>2026</v>
      </c>
      <c r="C1040">
        <f>DAY(tbl_Kalender[[#This Row],[Datum]])</f>
        <v>4</v>
      </c>
      <c r="D1040" t="str">
        <f>TEXT(tbl_Kalender[[#This Row],[Datum]],"TTTT")</f>
        <v>Mittwoch</v>
      </c>
      <c r="E1040">
        <f>WEEKDAY(tbl_Kalender[[#This Row],[Datum]],2)</f>
        <v>3</v>
      </c>
      <c r="F1040">
        <f>MONTH(tbl_Kalender[[#This Row],[Datum]])</f>
        <v>11</v>
      </c>
      <c r="G1040" t="str">
        <f>TEXT(tbl_Kalender[[#This Row],[Datum]],"MMMM")</f>
        <v>November</v>
      </c>
      <c r="H1040">
        <f>ROUNDUP(tbl_Kalender[[#This Row],[Monat]]/3,0)</f>
        <v>4</v>
      </c>
      <c r="I1040" t="str">
        <f>"Q "&amp;tbl_Kalender[[#This Row],[Quartal]]</f>
        <v>Q 4</v>
      </c>
      <c r="J1040" t="str">
        <f>tbl_Kalender[[#This Row],[Quartal]]&amp;". Quartal"</f>
        <v>4. Quartal</v>
      </c>
      <c r="K1040">
        <f>_xlfn.ISOWEEKNUM(tbl_Kalender[[#This Row],[Datum]])</f>
        <v>45</v>
      </c>
    </row>
    <row r="1041" spans="1:11" x14ac:dyDescent="0.25">
      <c r="A1041" s="1">
        <v>46331</v>
      </c>
      <c r="B1041">
        <f>YEAR(tbl_Kalender[[#This Row],[Datum]])</f>
        <v>2026</v>
      </c>
      <c r="C1041">
        <f>DAY(tbl_Kalender[[#This Row],[Datum]])</f>
        <v>5</v>
      </c>
      <c r="D1041" t="str">
        <f>TEXT(tbl_Kalender[[#This Row],[Datum]],"TTTT")</f>
        <v>Donnerstag</v>
      </c>
      <c r="E1041">
        <f>WEEKDAY(tbl_Kalender[[#This Row],[Datum]],2)</f>
        <v>4</v>
      </c>
      <c r="F1041">
        <f>MONTH(tbl_Kalender[[#This Row],[Datum]])</f>
        <v>11</v>
      </c>
      <c r="G1041" t="str">
        <f>TEXT(tbl_Kalender[[#This Row],[Datum]],"MMMM")</f>
        <v>November</v>
      </c>
      <c r="H1041">
        <f>ROUNDUP(tbl_Kalender[[#This Row],[Monat]]/3,0)</f>
        <v>4</v>
      </c>
      <c r="I1041" t="str">
        <f>"Q "&amp;tbl_Kalender[[#This Row],[Quartal]]</f>
        <v>Q 4</v>
      </c>
      <c r="J1041" t="str">
        <f>tbl_Kalender[[#This Row],[Quartal]]&amp;". Quartal"</f>
        <v>4. Quartal</v>
      </c>
      <c r="K1041">
        <f>_xlfn.ISOWEEKNUM(tbl_Kalender[[#This Row],[Datum]])</f>
        <v>45</v>
      </c>
    </row>
    <row r="1042" spans="1:11" x14ac:dyDescent="0.25">
      <c r="A1042" s="1">
        <v>46332</v>
      </c>
      <c r="B1042">
        <f>YEAR(tbl_Kalender[[#This Row],[Datum]])</f>
        <v>2026</v>
      </c>
      <c r="C1042">
        <f>DAY(tbl_Kalender[[#This Row],[Datum]])</f>
        <v>6</v>
      </c>
      <c r="D1042" t="str">
        <f>TEXT(tbl_Kalender[[#This Row],[Datum]],"TTTT")</f>
        <v>Freitag</v>
      </c>
      <c r="E1042">
        <f>WEEKDAY(tbl_Kalender[[#This Row],[Datum]],2)</f>
        <v>5</v>
      </c>
      <c r="F1042">
        <f>MONTH(tbl_Kalender[[#This Row],[Datum]])</f>
        <v>11</v>
      </c>
      <c r="G1042" t="str">
        <f>TEXT(tbl_Kalender[[#This Row],[Datum]],"MMMM")</f>
        <v>November</v>
      </c>
      <c r="H1042">
        <f>ROUNDUP(tbl_Kalender[[#This Row],[Monat]]/3,0)</f>
        <v>4</v>
      </c>
      <c r="I1042" t="str">
        <f>"Q "&amp;tbl_Kalender[[#This Row],[Quartal]]</f>
        <v>Q 4</v>
      </c>
      <c r="J1042" t="str">
        <f>tbl_Kalender[[#This Row],[Quartal]]&amp;". Quartal"</f>
        <v>4. Quartal</v>
      </c>
      <c r="K1042">
        <f>_xlfn.ISOWEEKNUM(tbl_Kalender[[#This Row],[Datum]])</f>
        <v>45</v>
      </c>
    </row>
    <row r="1043" spans="1:11" x14ac:dyDescent="0.25">
      <c r="A1043" s="1">
        <v>46333</v>
      </c>
      <c r="B1043">
        <f>YEAR(tbl_Kalender[[#This Row],[Datum]])</f>
        <v>2026</v>
      </c>
      <c r="C1043">
        <f>DAY(tbl_Kalender[[#This Row],[Datum]])</f>
        <v>7</v>
      </c>
      <c r="D1043" t="str">
        <f>TEXT(tbl_Kalender[[#This Row],[Datum]],"TTTT")</f>
        <v>Samstag</v>
      </c>
      <c r="E1043">
        <f>WEEKDAY(tbl_Kalender[[#This Row],[Datum]],2)</f>
        <v>6</v>
      </c>
      <c r="F1043">
        <f>MONTH(tbl_Kalender[[#This Row],[Datum]])</f>
        <v>11</v>
      </c>
      <c r="G1043" t="str">
        <f>TEXT(tbl_Kalender[[#This Row],[Datum]],"MMMM")</f>
        <v>November</v>
      </c>
      <c r="H1043">
        <f>ROUNDUP(tbl_Kalender[[#This Row],[Monat]]/3,0)</f>
        <v>4</v>
      </c>
      <c r="I1043" t="str">
        <f>"Q "&amp;tbl_Kalender[[#This Row],[Quartal]]</f>
        <v>Q 4</v>
      </c>
      <c r="J1043" t="str">
        <f>tbl_Kalender[[#This Row],[Quartal]]&amp;". Quartal"</f>
        <v>4. Quartal</v>
      </c>
      <c r="K1043">
        <f>_xlfn.ISOWEEKNUM(tbl_Kalender[[#This Row],[Datum]])</f>
        <v>45</v>
      </c>
    </row>
    <row r="1044" spans="1:11" x14ac:dyDescent="0.25">
      <c r="A1044" s="1">
        <v>46334</v>
      </c>
      <c r="B1044">
        <f>YEAR(tbl_Kalender[[#This Row],[Datum]])</f>
        <v>2026</v>
      </c>
      <c r="C1044">
        <f>DAY(tbl_Kalender[[#This Row],[Datum]])</f>
        <v>8</v>
      </c>
      <c r="D1044" t="str">
        <f>TEXT(tbl_Kalender[[#This Row],[Datum]],"TTTT")</f>
        <v>Sonntag</v>
      </c>
      <c r="E1044">
        <f>WEEKDAY(tbl_Kalender[[#This Row],[Datum]],2)</f>
        <v>7</v>
      </c>
      <c r="F1044">
        <f>MONTH(tbl_Kalender[[#This Row],[Datum]])</f>
        <v>11</v>
      </c>
      <c r="G1044" t="str">
        <f>TEXT(tbl_Kalender[[#This Row],[Datum]],"MMMM")</f>
        <v>November</v>
      </c>
      <c r="H1044">
        <f>ROUNDUP(tbl_Kalender[[#This Row],[Monat]]/3,0)</f>
        <v>4</v>
      </c>
      <c r="I1044" t="str">
        <f>"Q "&amp;tbl_Kalender[[#This Row],[Quartal]]</f>
        <v>Q 4</v>
      </c>
      <c r="J1044" t="str">
        <f>tbl_Kalender[[#This Row],[Quartal]]&amp;". Quartal"</f>
        <v>4. Quartal</v>
      </c>
      <c r="K1044">
        <f>_xlfn.ISOWEEKNUM(tbl_Kalender[[#This Row],[Datum]])</f>
        <v>45</v>
      </c>
    </row>
    <row r="1045" spans="1:11" x14ac:dyDescent="0.25">
      <c r="A1045" s="1">
        <v>46335</v>
      </c>
      <c r="B1045">
        <f>YEAR(tbl_Kalender[[#This Row],[Datum]])</f>
        <v>2026</v>
      </c>
      <c r="C1045">
        <f>DAY(tbl_Kalender[[#This Row],[Datum]])</f>
        <v>9</v>
      </c>
      <c r="D1045" t="str">
        <f>TEXT(tbl_Kalender[[#This Row],[Datum]],"TTTT")</f>
        <v>Montag</v>
      </c>
      <c r="E1045">
        <f>WEEKDAY(tbl_Kalender[[#This Row],[Datum]],2)</f>
        <v>1</v>
      </c>
      <c r="F1045">
        <f>MONTH(tbl_Kalender[[#This Row],[Datum]])</f>
        <v>11</v>
      </c>
      <c r="G1045" t="str">
        <f>TEXT(tbl_Kalender[[#This Row],[Datum]],"MMMM")</f>
        <v>November</v>
      </c>
      <c r="H1045">
        <f>ROUNDUP(tbl_Kalender[[#This Row],[Monat]]/3,0)</f>
        <v>4</v>
      </c>
      <c r="I1045" t="str">
        <f>"Q "&amp;tbl_Kalender[[#This Row],[Quartal]]</f>
        <v>Q 4</v>
      </c>
      <c r="J1045" t="str">
        <f>tbl_Kalender[[#This Row],[Quartal]]&amp;". Quartal"</f>
        <v>4. Quartal</v>
      </c>
      <c r="K1045">
        <f>_xlfn.ISOWEEKNUM(tbl_Kalender[[#This Row],[Datum]])</f>
        <v>46</v>
      </c>
    </row>
    <row r="1046" spans="1:11" x14ac:dyDescent="0.25">
      <c r="A1046" s="1">
        <v>46336</v>
      </c>
      <c r="B1046">
        <f>YEAR(tbl_Kalender[[#This Row],[Datum]])</f>
        <v>2026</v>
      </c>
      <c r="C1046">
        <f>DAY(tbl_Kalender[[#This Row],[Datum]])</f>
        <v>10</v>
      </c>
      <c r="D1046" t="str">
        <f>TEXT(tbl_Kalender[[#This Row],[Datum]],"TTTT")</f>
        <v>Dienstag</v>
      </c>
      <c r="E1046">
        <f>WEEKDAY(tbl_Kalender[[#This Row],[Datum]],2)</f>
        <v>2</v>
      </c>
      <c r="F1046">
        <f>MONTH(tbl_Kalender[[#This Row],[Datum]])</f>
        <v>11</v>
      </c>
      <c r="G1046" t="str">
        <f>TEXT(tbl_Kalender[[#This Row],[Datum]],"MMMM")</f>
        <v>November</v>
      </c>
      <c r="H1046">
        <f>ROUNDUP(tbl_Kalender[[#This Row],[Monat]]/3,0)</f>
        <v>4</v>
      </c>
      <c r="I1046" t="str">
        <f>"Q "&amp;tbl_Kalender[[#This Row],[Quartal]]</f>
        <v>Q 4</v>
      </c>
      <c r="J1046" t="str">
        <f>tbl_Kalender[[#This Row],[Quartal]]&amp;". Quartal"</f>
        <v>4. Quartal</v>
      </c>
      <c r="K1046">
        <f>_xlfn.ISOWEEKNUM(tbl_Kalender[[#This Row],[Datum]])</f>
        <v>46</v>
      </c>
    </row>
    <row r="1047" spans="1:11" x14ac:dyDescent="0.25">
      <c r="A1047" s="1">
        <v>46337</v>
      </c>
      <c r="B1047">
        <f>YEAR(tbl_Kalender[[#This Row],[Datum]])</f>
        <v>2026</v>
      </c>
      <c r="C1047">
        <f>DAY(tbl_Kalender[[#This Row],[Datum]])</f>
        <v>11</v>
      </c>
      <c r="D1047" t="str">
        <f>TEXT(tbl_Kalender[[#This Row],[Datum]],"TTTT")</f>
        <v>Mittwoch</v>
      </c>
      <c r="E1047">
        <f>WEEKDAY(tbl_Kalender[[#This Row],[Datum]],2)</f>
        <v>3</v>
      </c>
      <c r="F1047">
        <f>MONTH(tbl_Kalender[[#This Row],[Datum]])</f>
        <v>11</v>
      </c>
      <c r="G1047" t="str">
        <f>TEXT(tbl_Kalender[[#This Row],[Datum]],"MMMM")</f>
        <v>November</v>
      </c>
      <c r="H1047">
        <f>ROUNDUP(tbl_Kalender[[#This Row],[Monat]]/3,0)</f>
        <v>4</v>
      </c>
      <c r="I1047" t="str">
        <f>"Q "&amp;tbl_Kalender[[#This Row],[Quartal]]</f>
        <v>Q 4</v>
      </c>
      <c r="J1047" t="str">
        <f>tbl_Kalender[[#This Row],[Quartal]]&amp;". Quartal"</f>
        <v>4. Quartal</v>
      </c>
      <c r="K1047">
        <f>_xlfn.ISOWEEKNUM(tbl_Kalender[[#This Row],[Datum]])</f>
        <v>46</v>
      </c>
    </row>
    <row r="1048" spans="1:11" x14ac:dyDescent="0.25">
      <c r="A1048" s="1">
        <v>46338</v>
      </c>
      <c r="B1048">
        <f>YEAR(tbl_Kalender[[#This Row],[Datum]])</f>
        <v>2026</v>
      </c>
      <c r="C1048">
        <f>DAY(tbl_Kalender[[#This Row],[Datum]])</f>
        <v>12</v>
      </c>
      <c r="D1048" t="str">
        <f>TEXT(tbl_Kalender[[#This Row],[Datum]],"TTTT")</f>
        <v>Donnerstag</v>
      </c>
      <c r="E1048">
        <f>WEEKDAY(tbl_Kalender[[#This Row],[Datum]],2)</f>
        <v>4</v>
      </c>
      <c r="F1048">
        <f>MONTH(tbl_Kalender[[#This Row],[Datum]])</f>
        <v>11</v>
      </c>
      <c r="G1048" t="str">
        <f>TEXT(tbl_Kalender[[#This Row],[Datum]],"MMMM")</f>
        <v>November</v>
      </c>
      <c r="H1048">
        <f>ROUNDUP(tbl_Kalender[[#This Row],[Monat]]/3,0)</f>
        <v>4</v>
      </c>
      <c r="I1048" t="str">
        <f>"Q "&amp;tbl_Kalender[[#This Row],[Quartal]]</f>
        <v>Q 4</v>
      </c>
      <c r="J1048" t="str">
        <f>tbl_Kalender[[#This Row],[Quartal]]&amp;". Quartal"</f>
        <v>4. Quartal</v>
      </c>
      <c r="K1048">
        <f>_xlfn.ISOWEEKNUM(tbl_Kalender[[#This Row],[Datum]])</f>
        <v>46</v>
      </c>
    </row>
    <row r="1049" spans="1:11" x14ac:dyDescent="0.25">
      <c r="A1049" s="1">
        <v>46339</v>
      </c>
      <c r="B1049">
        <f>YEAR(tbl_Kalender[[#This Row],[Datum]])</f>
        <v>2026</v>
      </c>
      <c r="C1049">
        <f>DAY(tbl_Kalender[[#This Row],[Datum]])</f>
        <v>13</v>
      </c>
      <c r="D1049" t="str">
        <f>TEXT(tbl_Kalender[[#This Row],[Datum]],"TTTT")</f>
        <v>Freitag</v>
      </c>
      <c r="E1049">
        <f>WEEKDAY(tbl_Kalender[[#This Row],[Datum]],2)</f>
        <v>5</v>
      </c>
      <c r="F1049">
        <f>MONTH(tbl_Kalender[[#This Row],[Datum]])</f>
        <v>11</v>
      </c>
      <c r="G1049" t="str">
        <f>TEXT(tbl_Kalender[[#This Row],[Datum]],"MMMM")</f>
        <v>November</v>
      </c>
      <c r="H1049">
        <f>ROUNDUP(tbl_Kalender[[#This Row],[Monat]]/3,0)</f>
        <v>4</v>
      </c>
      <c r="I1049" t="str">
        <f>"Q "&amp;tbl_Kalender[[#This Row],[Quartal]]</f>
        <v>Q 4</v>
      </c>
      <c r="J1049" t="str">
        <f>tbl_Kalender[[#This Row],[Quartal]]&amp;". Quartal"</f>
        <v>4. Quartal</v>
      </c>
      <c r="K1049">
        <f>_xlfn.ISOWEEKNUM(tbl_Kalender[[#This Row],[Datum]])</f>
        <v>46</v>
      </c>
    </row>
    <row r="1050" spans="1:11" x14ac:dyDescent="0.25">
      <c r="A1050" s="1">
        <v>46340</v>
      </c>
      <c r="B1050">
        <f>YEAR(tbl_Kalender[[#This Row],[Datum]])</f>
        <v>2026</v>
      </c>
      <c r="C1050">
        <f>DAY(tbl_Kalender[[#This Row],[Datum]])</f>
        <v>14</v>
      </c>
      <c r="D1050" t="str">
        <f>TEXT(tbl_Kalender[[#This Row],[Datum]],"TTTT")</f>
        <v>Samstag</v>
      </c>
      <c r="E1050">
        <f>WEEKDAY(tbl_Kalender[[#This Row],[Datum]],2)</f>
        <v>6</v>
      </c>
      <c r="F1050">
        <f>MONTH(tbl_Kalender[[#This Row],[Datum]])</f>
        <v>11</v>
      </c>
      <c r="G1050" t="str">
        <f>TEXT(tbl_Kalender[[#This Row],[Datum]],"MMMM")</f>
        <v>November</v>
      </c>
      <c r="H1050">
        <f>ROUNDUP(tbl_Kalender[[#This Row],[Monat]]/3,0)</f>
        <v>4</v>
      </c>
      <c r="I1050" t="str">
        <f>"Q "&amp;tbl_Kalender[[#This Row],[Quartal]]</f>
        <v>Q 4</v>
      </c>
      <c r="J1050" t="str">
        <f>tbl_Kalender[[#This Row],[Quartal]]&amp;". Quartal"</f>
        <v>4. Quartal</v>
      </c>
      <c r="K1050">
        <f>_xlfn.ISOWEEKNUM(tbl_Kalender[[#This Row],[Datum]])</f>
        <v>46</v>
      </c>
    </row>
    <row r="1051" spans="1:11" x14ac:dyDescent="0.25">
      <c r="A1051" s="1">
        <v>46341</v>
      </c>
      <c r="B1051">
        <f>YEAR(tbl_Kalender[[#This Row],[Datum]])</f>
        <v>2026</v>
      </c>
      <c r="C1051">
        <f>DAY(tbl_Kalender[[#This Row],[Datum]])</f>
        <v>15</v>
      </c>
      <c r="D1051" t="str">
        <f>TEXT(tbl_Kalender[[#This Row],[Datum]],"TTTT")</f>
        <v>Sonntag</v>
      </c>
      <c r="E1051">
        <f>WEEKDAY(tbl_Kalender[[#This Row],[Datum]],2)</f>
        <v>7</v>
      </c>
      <c r="F1051">
        <f>MONTH(tbl_Kalender[[#This Row],[Datum]])</f>
        <v>11</v>
      </c>
      <c r="G1051" t="str">
        <f>TEXT(tbl_Kalender[[#This Row],[Datum]],"MMMM")</f>
        <v>November</v>
      </c>
      <c r="H1051">
        <f>ROUNDUP(tbl_Kalender[[#This Row],[Monat]]/3,0)</f>
        <v>4</v>
      </c>
      <c r="I1051" t="str">
        <f>"Q "&amp;tbl_Kalender[[#This Row],[Quartal]]</f>
        <v>Q 4</v>
      </c>
      <c r="J1051" t="str">
        <f>tbl_Kalender[[#This Row],[Quartal]]&amp;". Quartal"</f>
        <v>4. Quartal</v>
      </c>
      <c r="K1051">
        <f>_xlfn.ISOWEEKNUM(tbl_Kalender[[#This Row],[Datum]])</f>
        <v>46</v>
      </c>
    </row>
    <row r="1052" spans="1:11" x14ac:dyDescent="0.25">
      <c r="A1052" s="1">
        <v>46342</v>
      </c>
      <c r="B1052">
        <f>YEAR(tbl_Kalender[[#This Row],[Datum]])</f>
        <v>2026</v>
      </c>
      <c r="C1052">
        <f>DAY(tbl_Kalender[[#This Row],[Datum]])</f>
        <v>16</v>
      </c>
      <c r="D1052" t="str">
        <f>TEXT(tbl_Kalender[[#This Row],[Datum]],"TTTT")</f>
        <v>Montag</v>
      </c>
      <c r="E1052">
        <f>WEEKDAY(tbl_Kalender[[#This Row],[Datum]],2)</f>
        <v>1</v>
      </c>
      <c r="F1052">
        <f>MONTH(tbl_Kalender[[#This Row],[Datum]])</f>
        <v>11</v>
      </c>
      <c r="G1052" t="str">
        <f>TEXT(tbl_Kalender[[#This Row],[Datum]],"MMMM")</f>
        <v>November</v>
      </c>
      <c r="H1052">
        <f>ROUNDUP(tbl_Kalender[[#This Row],[Monat]]/3,0)</f>
        <v>4</v>
      </c>
      <c r="I1052" t="str">
        <f>"Q "&amp;tbl_Kalender[[#This Row],[Quartal]]</f>
        <v>Q 4</v>
      </c>
      <c r="J1052" t="str">
        <f>tbl_Kalender[[#This Row],[Quartal]]&amp;". Quartal"</f>
        <v>4. Quartal</v>
      </c>
      <c r="K1052">
        <f>_xlfn.ISOWEEKNUM(tbl_Kalender[[#This Row],[Datum]])</f>
        <v>47</v>
      </c>
    </row>
    <row r="1053" spans="1:11" x14ac:dyDescent="0.25">
      <c r="A1053" s="1">
        <v>46343</v>
      </c>
      <c r="B1053">
        <f>YEAR(tbl_Kalender[[#This Row],[Datum]])</f>
        <v>2026</v>
      </c>
      <c r="C1053">
        <f>DAY(tbl_Kalender[[#This Row],[Datum]])</f>
        <v>17</v>
      </c>
      <c r="D1053" t="str">
        <f>TEXT(tbl_Kalender[[#This Row],[Datum]],"TTTT")</f>
        <v>Dienstag</v>
      </c>
      <c r="E1053">
        <f>WEEKDAY(tbl_Kalender[[#This Row],[Datum]],2)</f>
        <v>2</v>
      </c>
      <c r="F1053">
        <f>MONTH(tbl_Kalender[[#This Row],[Datum]])</f>
        <v>11</v>
      </c>
      <c r="G1053" t="str">
        <f>TEXT(tbl_Kalender[[#This Row],[Datum]],"MMMM")</f>
        <v>November</v>
      </c>
      <c r="H1053">
        <f>ROUNDUP(tbl_Kalender[[#This Row],[Monat]]/3,0)</f>
        <v>4</v>
      </c>
      <c r="I1053" t="str">
        <f>"Q "&amp;tbl_Kalender[[#This Row],[Quartal]]</f>
        <v>Q 4</v>
      </c>
      <c r="J1053" t="str">
        <f>tbl_Kalender[[#This Row],[Quartal]]&amp;". Quartal"</f>
        <v>4. Quartal</v>
      </c>
      <c r="K1053">
        <f>_xlfn.ISOWEEKNUM(tbl_Kalender[[#This Row],[Datum]])</f>
        <v>47</v>
      </c>
    </row>
    <row r="1054" spans="1:11" x14ac:dyDescent="0.25">
      <c r="A1054" s="1">
        <v>46344</v>
      </c>
      <c r="B1054">
        <f>YEAR(tbl_Kalender[[#This Row],[Datum]])</f>
        <v>2026</v>
      </c>
      <c r="C1054">
        <f>DAY(tbl_Kalender[[#This Row],[Datum]])</f>
        <v>18</v>
      </c>
      <c r="D1054" t="str">
        <f>TEXT(tbl_Kalender[[#This Row],[Datum]],"TTTT")</f>
        <v>Mittwoch</v>
      </c>
      <c r="E1054">
        <f>WEEKDAY(tbl_Kalender[[#This Row],[Datum]],2)</f>
        <v>3</v>
      </c>
      <c r="F1054">
        <f>MONTH(tbl_Kalender[[#This Row],[Datum]])</f>
        <v>11</v>
      </c>
      <c r="G1054" t="str">
        <f>TEXT(tbl_Kalender[[#This Row],[Datum]],"MMMM")</f>
        <v>November</v>
      </c>
      <c r="H1054">
        <f>ROUNDUP(tbl_Kalender[[#This Row],[Monat]]/3,0)</f>
        <v>4</v>
      </c>
      <c r="I1054" t="str">
        <f>"Q "&amp;tbl_Kalender[[#This Row],[Quartal]]</f>
        <v>Q 4</v>
      </c>
      <c r="J1054" t="str">
        <f>tbl_Kalender[[#This Row],[Quartal]]&amp;". Quartal"</f>
        <v>4. Quartal</v>
      </c>
      <c r="K1054">
        <f>_xlfn.ISOWEEKNUM(tbl_Kalender[[#This Row],[Datum]])</f>
        <v>47</v>
      </c>
    </row>
    <row r="1055" spans="1:11" x14ac:dyDescent="0.25">
      <c r="A1055" s="1">
        <v>46345</v>
      </c>
      <c r="B1055">
        <f>YEAR(tbl_Kalender[[#This Row],[Datum]])</f>
        <v>2026</v>
      </c>
      <c r="C1055">
        <f>DAY(tbl_Kalender[[#This Row],[Datum]])</f>
        <v>19</v>
      </c>
      <c r="D1055" t="str">
        <f>TEXT(tbl_Kalender[[#This Row],[Datum]],"TTTT")</f>
        <v>Donnerstag</v>
      </c>
      <c r="E1055">
        <f>WEEKDAY(tbl_Kalender[[#This Row],[Datum]],2)</f>
        <v>4</v>
      </c>
      <c r="F1055">
        <f>MONTH(tbl_Kalender[[#This Row],[Datum]])</f>
        <v>11</v>
      </c>
      <c r="G1055" t="str">
        <f>TEXT(tbl_Kalender[[#This Row],[Datum]],"MMMM")</f>
        <v>November</v>
      </c>
      <c r="H1055">
        <f>ROUNDUP(tbl_Kalender[[#This Row],[Monat]]/3,0)</f>
        <v>4</v>
      </c>
      <c r="I1055" t="str">
        <f>"Q "&amp;tbl_Kalender[[#This Row],[Quartal]]</f>
        <v>Q 4</v>
      </c>
      <c r="J1055" t="str">
        <f>tbl_Kalender[[#This Row],[Quartal]]&amp;". Quartal"</f>
        <v>4. Quartal</v>
      </c>
      <c r="K1055">
        <f>_xlfn.ISOWEEKNUM(tbl_Kalender[[#This Row],[Datum]])</f>
        <v>47</v>
      </c>
    </row>
    <row r="1056" spans="1:11" x14ac:dyDescent="0.25">
      <c r="A1056" s="1">
        <v>46346</v>
      </c>
      <c r="B1056">
        <f>YEAR(tbl_Kalender[[#This Row],[Datum]])</f>
        <v>2026</v>
      </c>
      <c r="C1056">
        <f>DAY(tbl_Kalender[[#This Row],[Datum]])</f>
        <v>20</v>
      </c>
      <c r="D1056" t="str">
        <f>TEXT(tbl_Kalender[[#This Row],[Datum]],"TTTT")</f>
        <v>Freitag</v>
      </c>
      <c r="E1056">
        <f>WEEKDAY(tbl_Kalender[[#This Row],[Datum]],2)</f>
        <v>5</v>
      </c>
      <c r="F1056">
        <f>MONTH(tbl_Kalender[[#This Row],[Datum]])</f>
        <v>11</v>
      </c>
      <c r="G1056" t="str">
        <f>TEXT(tbl_Kalender[[#This Row],[Datum]],"MMMM")</f>
        <v>November</v>
      </c>
      <c r="H1056">
        <f>ROUNDUP(tbl_Kalender[[#This Row],[Monat]]/3,0)</f>
        <v>4</v>
      </c>
      <c r="I1056" t="str">
        <f>"Q "&amp;tbl_Kalender[[#This Row],[Quartal]]</f>
        <v>Q 4</v>
      </c>
      <c r="J1056" t="str">
        <f>tbl_Kalender[[#This Row],[Quartal]]&amp;". Quartal"</f>
        <v>4. Quartal</v>
      </c>
      <c r="K1056">
        <f>_xlfn.ISOWEEKNUM(tbl_Kalender[[#This Row],[Datum]])</f>
        <v>47</v>
      </c>
    </row>
    <row r="1057" spans="1:11" x14ac:dyDescent="0.25">
      <c r="A1057" s="1">
        <v>46347</v>
      </c>
      <c r="B1057">
        <f>YEAR(tbl_Kalender[[#This Row],[Datum]])</f>
        <v>2026</v>
      </c>
      <c r="C1057">
        <f>DAY(tbl_Kalender[[#This Row],[Datum]])</f>
        <v>21</v>
      </c>
      <c r="D1057" t="str">
        <f>TEXT(tbl_Kalender[[#This Row],[Datum]],"TTTT")</f>
        <v>Samstag</v>
      </c>
      <c r="E1057">
        <f>WEEKDAY(tbl_Kalender[[#This Row],[Datum]],2)</f>
        <v>6</v>
      </c>
      <c r="F1057">
        <f>MONTH(tbl_Kalender[[#This Row],[Datum]])</f>
        <v>11</v>
      </c>
      <c r="G1057" t="str">
        <f>TEXT(tbl_Kalender[[#This Row],[Datum]],"MMMM")</f>
        <v>November</v>
      </c>
      <c r="H1057">
        <f>ROUNDUP(tbl_Kalender[[#This Row],[Monat]]/3,0)</f>
        <v>4</v>
      </c>
      <c r="I1057" t="str">
        <f>"Q "&amp;tbl_Kalender[[#This Row],[Quartal]]</f>
        <v>Q 4</v>
      </c>
      <c r="J1057" t="str">
        <f>tbl_Kalender[[#This Row],[Quartal]]&amp;". Quartal"</f>
        <v>4. Quartal</v>
      </c>
      <c r="K1057">
        <f>_xlfn.ISOWEEKNUM(tbl_Kalender[[#This Row],[Datum]])</f>
        <v>47</v>
      </c>
    </row>
    <row r="1058" spans="1:11" x14ac:dyDescent="0.25">
      <c r="A1058" s="1">
        <v>46348</v>
      </c>
      <c r="B1058">
        <f>YEAR(tbl_Kalender[[#This Row],[Datum]])</f>
        <v>2026</v>
      </c>
      <c r="C1058">
        <f>DAY(tbl_Kalender[[#This Row],[Datum]])</f>
        <v>22</v>
      </c>
      <c r="D1058" t="str">
        <f>TEXT(tbl_Kalender[[#This Row],[Datum]],"TTTT")</f>
        <v>Sonntag</v>
      </c>
      <c r="E1058">
        <f>WEEKDAY(tbl_Kalender[[#This Row],[Datum]],2)</f>
        <v>7</v>
      </c>
      <c r="F1058">
        <f>MONTH(tbl_Kalender[[#This Row],[Datum]])</f>
        <v>11</v>
      </c>
      <c r="G1058" t="str">
        <f>TEXT(tbl_Kalender[[#This Row],[Datum]],"MMMM")</f>
        <v>November</v>
      </c>
      <c r="H1058">
        <f>ROUNDUP(tbl_Kalender[[#This Row],[Monat]]/3,0)</f>
        <v>4</v>
      </c>
      <c r="I1058" t="str">
        <f>"Q "&amp;tbl_Kalender[[#This Row],[Quartal]]</f>
        <v>Q 4</v>
      </c>
      <c r="J1058" t="str">
        <f>tbl_Kalender[[#This Row],[Quartal]]&amp;". Quartal"</f>
        <v>4. Quartal</v>
      </c>
      <c r="K1058">
        <f>_xlfn.ISOWEEKNUM(tbl_Kalender[[#This Row],[Datum]])</f>
        <v>47</v>
      </c>
    </row>
    <row r="1059" spans="1:11" x14ac:dyDescent="0.25">
      <c r="A1059" s="1">
        <v>46349</v>
      </c>
      <c r="B1059">
        <f>YEAR(tbl_Kalender[[#This Row],[Datum]])</f>
        <v>2026</v>
      </c>
      <c r="C1059">
        <f>DAY(tbl_Kalender[[#This Row],[Datum]])</f>
        <v>23</v>
      </c>
      <c r="D1059" t="str">
        <f>TEXT(tbl_Kalender[[#This Row],[Datum]],"TTTT")</f>
        <v>Montag</v>
      </c>
      <c r="E1059">
        <f>WEEKDAY(tbl_Kalender[[#This Row],[Datum]],2)</f>
        <v>1</v>
      </c>
      <c r="F1059">
        <f>MONTH(tbl_Kalender[[#This Row],[Datum]])</f>
        <v>11</v>
      </c>
      <c r="G1059" t="str">
        <f>TEXT(tbl_Kalender[[#This Row],[Datum]],"MMMM")</f>
        <v>November</v>
      </c>
      <c r="H1059">
        <f>ROUNDUP(tbl_Kalender[[#This Row],[Monat]]/3,0)</f>
        <v>4</v>
      </c>
      <c r="I1059" t="str">
        <f>"Q "&amp;tbl_Kalender[[#This Row],[Quartal]]</f>
        <v>Q 4</v>
      </c>
      <c r="J1059" t="str">
        <f>tbl_Kalender[[#This Row],[Quartal]]&amp;". Quartal"</f>
        <v>4. Quartal</v>
      </c>
      <c r="K1059">
        <f>_xlfn.ISOWEEKNUM(tbl_Kalender[[#This Row],[Datum]])</f>
        <v>48</v>
      </c>
    </row>
    <row r="1060" spans="1:11" x14ac:dyDescent="0.25">
      <c r="A1060" s="1">
        <v>46350</v>
      </c>
      <c r="B1060">
        <f>YEAR(tbl_Kalender[[#This Row],[Datum]])</f>
        <v>2026</v>
      </c>
      <c r="C1060">
        <f>DAY(tbl_Kalender[[#This Row],[Datum]])</f>
        <v>24</v>
      </c>
      <c r="D1060" t="str">
        <f>TEXT(tbl_Kalender[[#This Row],[Datum]],"TTTT")</f>
        <v>Dienstag</v>
      </c>
      <c r="E1060">
        <f>WEEKDAY(tbl_Kalender[[#This Row],[Datum]],2)</f>
        <v>2</v>
      </c>
      <c r="F1060">
        <f>MONTH(tbl_Kalender[[#This Row],[Datum]])</f>
        <v>11</v>
      </c>
      <c r="G1060" t="str">
        <f>TEXT(tbl_Kalender[[#This Row],[Datum]],"MMMM")</f>
        <v>November</v>
      </c>
      <c r="H1060">
        <f>ROUNDUP(tbl_Kalender[[#This Row],[Monat]]/3,0)</f>
        <v>4</v>
      </c>
      <c r="I1060" t="str">
        <f>"Q "&amp;tbl_Kalender[[#This Row],[Quartal]]</f>
        <v>Q 4</v>
      </c>
      <c r="J1060" t="str">
        <f>tbl_Kalender[[#This Row],[Quartal]]&amp;". Quartal"</f>
        <v>4. Quartal</v>
      </c>
      <c r="K1060">
        <f>_xlfn.ISOWEEKNUM(tbl_Kalender[[#This Row],[Datum]])</f>
        <v>48</v>
      </c>
    </row>
    <row r="1061" spans="1:11" x14ac:dyDescent="0.25">
      <c r="A1061" s="1">
        <v>46351</v>
      </c>
      <c r="B1061">
        <f>YEAR(tbl_Kalender[[#This Row],[Datum]])</f>
        <v>2026</v>
      </c>
      <c r="C1061">
        <f>DAY(tbl_Kalender[[#This Row],[Datum]])</f>
        <v>25</v>
      </c>
      <c r="D1061" t="str">
        <f>TEXT(tbl_Kalender[[#This Row],[Datum]],"TTTT")</f>
        <v>Mittwoch</v>
      </c>
      <c r="E1061">
        <f>WEEKDAY(tbl_Kalender[[#This Row],[Datum]],2)</f>
        <v>3</v>
      </c>
      <c r="F1061">
        <f>MONTH(tbl_Kalender[[#This Row],[Datum]])</f>
        <v>11</v>
      </c>
      <c r="G1061" t="str">
        <f>TEXT(tbl_Kalender[[#This Row],[Datum]],"MMMM")</f>
        <v>November</v>
      </c>
      <c r="H1061">
        <f>ROUNDUP(tbl_Kalender[[#This Row],[Monat]]/3,0)</f>
        <v>4</v>
      </c>
      <c r="I1061" t="str">
        <f>"Q "&amp;tbl_Kalender[[#This Row],[Quartal]]</f>
        <v>Q 4</v>
      </c>
      <c r="J1061" t="str">
        <f>tbl_Kalender[[#This Row],[Quartal]]&amp;". Quartal"</f>
        <v>4. Quartal</v>
      </c>
      <c r="K1061">
        <f>_xlfn.ISOWEEKNUM(tbl_Kalender[[#This Row],[Datum]])</f>
        <v>48</v>
      </c>
    </row>
    <row r="1062" spans="1:11" x14ac:dyDescent="0.25">
      <c r="A1062" s="1">
        <v>46352</v>
      </c>
      <c r="B1062">
        <f>YEAR(tbl_Kalender[[#This Row],[Datum]])</f>
        <v>2026</v>
      </c>
      <c r="C1062">
        <f>DAY(tbl_Kalender[[#This Row],[Datum]])</f>
        <v>26</v>
      </c>
      <c r="D1062" t="str">
        <f>TEXT(tbl_Kalender[[#This Row],[Datum]],"TTTT")</f>
        <v>Donnerstag</v>
      </c>
      <c r="E1062">
        <f>WEEKDAY(tbl_Kalender[[#This Row],[Datum]],2)</f>
        <v>4</v>
      </c>
      <c r="F1062">
        <f>MONTH(tbl_Kalender[[#This Row],[Datum]])</f>
        <v>11</v>
      </c>
      <c r="G1062" t="str">
        <f>TEXT(tbl_Kalender[[#This Row],[Datum]],"MMMM")</f>
        <v>November</v>
      </c>
      <c r="H1062">
        <f>ROUNDUP(tbl_Kalender[[#This Row],[Monat]]/3,0)</f>
        <v>4</v>
      </c>
      <c r="I1062" t="str">
        <f>"Q "&amp;tbl_Kalender[[#This Row],[Quartal]]</f>
        <v>Q 4</v>
      </c>
      <c r="J1062" t="str">
        <f>tbl_Kalender[[#This Row],[Quartal]]&amp;". Quartal"</f>
        <v>4. Quartal</v>
      </c>
      <c r="K1062">
        <f>_xlfn.ISOWEEKNUM(tbl_Kalender[[#This Row],[Datum]])</f>
        <v>48</v>
      </c>
    </row>
    <row r="1063" spans="1:11" x14ac:dyDescent="0.25">
      <c r="A1063" s="1">
        <v>46353</v>
      </c>
      <c r="B1063">
        <f>YEAR(tbl_Kalender[[#This Row],[Datum]])</f>
        <v>2026</v>
      </c>
      <c r="C1063">
        <f>DAY(tbl_Kalender[[#This Row],[Datum]])</f>
        <v>27</v>
      </c>
      <c r="D1063" t="str">
        <f>TEXT(tbl_Kalender[[#This Row],[Datum]],"TTTT")</f>
        <v>Freitag</v>
      </c>
      <c r="E1063">
        <f>WEEKDAY(tbl_Kalender[[#This Row],[Datum]],2)</f>
        <v>5</v>
      </c>
      <c r="F1063">
        <f>MONTH(tbl_Kalender[[#This Row],[Datum]])</f>
        <v>11</v>
      </c>
      <c r="G1063" t="str">
        <f>TEXT(tbl_Kalender[[#This Row],[Datum]],"MMMM")</f>
        <v>November</v>
      </c>
      <c r="H1063">
        <f>ROUNDUP(tbl_Kalender[[#This Row],[Monat]]/3,0)</f>
        <v>4</v>
      </c>
      <c r="I1063" t="str">
        <f>"Q "&amp;tbl_Kalender[[#This Row],[Quartal]]</f>
        <v>Q 4</v>
      </c>
      <c r="J1063" t="str">
        <f>tbl_Kalender[[#This Row],[Quartal]]&amp;". Quartal"</f>
        <v>4. Quartal</v>
      </c>
      <c r="K1063">
        <f>_xlfn.ISOWEEKNUM(tbl_Kalender[[#This Row],[Datum]])</f>
        <v>48</v>
      </c>
    </row>
    <row r="1064" spans="1:11" x14ac:dyDescent="0.25">
      <c r="A1064" s="1">
        <v>46354</v>
      </c>
      <c r="B1064">
        <f>YEAR(tbl_Kalender[[#This Row],[Datum]])</f>
        <v>2026</v>
      </c>
      <c r="C1064">
        <f>DAY(tbl_Kalender[[#This Row],[Datum]])</f>
        <v>28</v>
      </c>
      <c r="D1064" t="str">
        <f>TEXT(tbl_Kalender[[#This Row],[Datum]],"TTTT")</f>
        <v>Samstag</v>
      </c>
      <c r="E1064">
        <f>WEEKDAY(tbl_Kalender[[#This Row],[Datum]],2)</f>
        <v>6</v>
      </c>
      <c r="F1064">
        <f>MONTH(tbl_Kalender[[#This Row],[Datum]])</f>
        <v>11</v>
      </c>
      <c r="G1064" t="str">
        <f>TEXT(tbl_Kalender[[#This Row],[Datum]],"MMMM")</f>
        <v>November</v>
      </c>
      <c r="H1064">
        <f>ROUNDUP(tbl_Kalender[[#This Row],[Monat]]/3,0)</f>
        <v>4</v>
      </c>
      <c r="I1064" t="str">
        <f>"Q "&amp;tbl_Kalender[[#This Row],[Quartal]]</f>
        <v>Q 4</v>
      </c>
      <c r="J1064" t="str">
        <f>tbl_Kalender[[#This Row],[Quartal]]&amp;". Quartal"</f>
        <v>4. Quartal</v>
      </c>
      <c r="K1064">
        <f>_xlfn.ISOWEEKNUM(tbl_Kalender[[#This Row],[Datum]])</f>
        <v>48</v>
      </c>
    </row>
    <row r="1065" spans="1:11" x14ac:dyDescent="0.25">
      <c r="A1065" s="1">
        <v>46355</v>
      </c>
      <c r="B1065">
        <f>YEAR(tbl_Kalender[[#This Row],[Datum]])</f>
        <v>2026</v>
      </c>
      <c r="C1065">
        <f>DAY(tbl_Kalender[[#This Row],[Datum]])</f>
        <v>29</v>
      </c>
      <c r="D1065" t="str">
        <f>TEXT(tbl_Kalender[[#This Row],[Datum]],"TTTT")</f>
        <v>Sonntag</v>
      </c>
      <c r="E1065">
        <f>WEEKDAY(tbl_Kalender[[#This Row],[Datum]],2)</f>
        <v>7</v>
      </c>
      <c r="F1065">
        <f>MONTH(tbl_Kalender[[#This Row],[Datum]])</f>
        <v>11</v>
      </c>
      <c r="G1065" t="str">
        <f>TEXT(tbl_Kalender[[#This Row],[Datum]],"MMMM")</f>
        <v>November</v>
      </c>
      <c r="H1065">
        <f>ROUNDUP(tbl_Kalender[[#This Row],[Monat]]/3,0)</f>
        <v>4</v>
      </c>
      <c r="I1065" t="str">
        <f>"Q "&amp;tbl_Kalender[[#This Row],[Quartal]]</f>
        <v>Q 4</v>
      </c>
      <c r="J1065" t="str">
        <f>tbl_Kalender[[#This Row],[Quartal]]&amp;". Quartal"</f>
        <v>4. Quartal</v>
      </c>
      <c r="K1065">
        <f>_xlfn.ISOWEEKNUM(tbl_Kalender[[#This Row],[Datum]])</f>
        <v>48</v>
      </c>
    </row>
    <row r="1066" spans="1:11" x14ac:dyDescent="0.25">
      <c r="A1066" s="1">
        <v>46356</v>
      </c>
      <c r="B1066">
        <f>YEAR(tbl_Kalender[[#This Row],[Datum]])</f>
        <v>2026</v>
      </c>
      <c r="C1066">
        <f>DAY(tbl_Kalender[[#This Row],[Datum]])</f>
        <v>30</v>
      </c>
      <c r="D1066" t="str">
        <f>TEXT(tbl_Kalender[[#This Row],[Datum]],"TTTT")</f>
        <v>Montag</v>
      </c>
      <c r="E1066">
        <f>WEEKDAY(tbl_Kalender[[#This Row],[Datum]],2)</f>
        <v>1</v>
      </c>
      <c r="F1066">
        <f>MONTH(tbl_Kalender[[#This Row],[Datum]])</f>
        <v>11</v>
      </c>
      <c r="G1066" t="str">
        <f>TEXT(tbl_Kalender[[#This Row],[Datum]],"MMMM")</f>
        <v>November</v>
      </c>
      <c r="H1066">
        <f>ROUNDUP(tbl_Kalender[[#This Row],[Monat]]/3,0)</f>
        <v>4</v>
      </c>
      <c r="I1066" t="str">
        <f>"Q "&amp;tbl_Kalender[[#This Row],[Quartal]]</f>
        <v>Q 4</v>
      </c>
      <c r="J1066" t="str">
        <f>tbl_Kalender[[#This Row],[Quartal]]&amp;". Quartal"</f>
        <v>4. Quartal</v>
      </c>
      <c r="K1066">
        <f>_xlfn.ISOWEEKNUM(tbl_Kalender[[#This Row],[Datum]])</f>
        <v>49</v>
      </c>
    </row>
    <row r="1067" spans="1:11" x14ac:dyDescent="0.25">
      <c r="A1067" s="1">
        <v>46357</v>
      </c>
      <c r="B1067">
        <f>YEAR(tbl_Kalender[[#This Row],[Datum]])</f>
        <v>2026</v>
      </c>
      <c r="C1067">
        <f>DAY(tbl_Kalender[[#This Row],[Datum]])</f>
        <v>1</v>
      </c>
      <c r="D1067" t="str">
        <f>TEXT(tbl_Kalender[[#This Row],[Datum]],"TTTT")</f>
        <v>Dienstag</v>
      </c>
      <c r="E1067">
        <f>WEEKDAY(tbl_Kalender[[#This Row],[Datum]],2)</f>
        <v>2</v>
      </c>
      <c r="F1067">
        <f>MONTH(tbl_Kalender[[#This Row],[Datum]])</f>
        <v>12</v>
      </c>
      <c r="G1067" t="str">
        <f>TEXT(tbl_Kalender[[#This Row],[Datum]],"MMMM")</f>
        <v>Dezember</v>
      </c>
      <c r="H1067">
        <f>ROUNDUP(tbl_Kalender[[#This Row],[Monat]]/3,0)</f>
        <v>4</v>
      </c>
      <c r="I1067" t="str">
        <f>"Q "&amp;tbl_Kalender[[#This Row],[Quartal]]</f>
        <v>Q 4</v>
      </c>
      <c r="J1067" t="str">
        <f>tbl_Kalender[[#This Row],[Quartal]]&amp;". Quartal"</f>
        <v>4. Quartal</v>
      </c>
      <c r="K1067">
        <f>_xlfn.ISOWEEKNUM(tbl_Kalender[[#This Row],[Datum]])</f>
        <v>49</v>
      </c>
    </row>
    <row r="1068" spans="1:11" x14ac:dyDescent="0.25">
      <c r="A1068" s="1">
        <v>46358</v>
      </c>
      <c r="B1068">
        <f>YEAR(tbl_Kalender[[#This Row],[Datum]])</f>
        <v>2026</v>
      </c>
      <c r="C1068">
        <f>DAY(tbl_Kalender[[#This Row],[Datum]])</f>
        <v>2</v>
      </c>
      <c r="D1068" t="str">
        <f>TEXT(tbl_Kalender[[#This Row],[Datum]],"TTTT")</f>
        <v>Mittwoch</v>
      </c>
      <c r="E1068">
        <f>WEEKDAY(tbl_Kalender[[#This Row],[Datum]],2)</f>
        <v>3</v>
      </c>
      <c r="F1068">
        <f>MONTH(tbl_Kalender[[#This Row],[Datum]])</f>
        <v>12</v>
      </c>
      <c r="G1068" t="str">
        <f>TEXT(tbl_Kalender[[#This Row],[Datum]],"MMMM")</f>
        <v>Dezember</v>
      </c>
      <c r="H1068">
        <f>ROUNDUP(tbl_Kalender[[#This Row],[Monat]]/3,0)</f>
        <v>4</v>
      </c>
      <c r="I1068" t="str">
        <f>"Q "&amp;tbl_Kalender[[#This Row],[Quartal]]</f>
        <v>Q 4</v>
      </c>
      <c r="J1068" t="str">
        <f>tbl_Kalender[[#This Row],[Quartal]]&amp;". Quartal"</f>
        <v>4. Quartal</v>
      </c>
      <c r="K1068">
        <f>_xlfn.ISOWEEKNUM(tbl_Kalender[[#This Row],[Datum]])</f>
        <v>49</v>
      </c>
    </row>
    <row r="1069" spans="1:11" x14ac:dyDescent="0.25">
      <c r="A1069" s="1">
        <v>46359</v>
      </c>
      <c r="B1069">
        <f>YEAR(tbl_Kalender[[#This Row],[Datum]])</f>
        <v>2026</v>
      </c>
      <c r="C1069">
        <f>DAY(tbl_Kalender[[#This Row],[Datum]])</f>
        <v>3</v>
      </c>
      <c r="D1069" t="str">
        <f>TEXT(tbl_Kalender[[#This Row],[Datum]],"TTTT")</f>
        <v>Donnerstag</v>
      </c>
      <c r="E1069">
        <f>WEEKDAY(tbl_Kalender[[#This Row],[Datum]],2)</f>
        <v>4</v>
      </c>
      <c r="F1069">
        <f>MONTH(tbl_Kalender[[#This Row],[Datum]])</f>
        <v>12</v>
      </c>
      <c r="G1069" t="str">
        <f>TEXT(tbl_Kalender[[#This Row],[Datum]],"MMMM")</f>
        <v>Dezember</v>
      </c>
      <c r="H1069">
        <f>ROUNDUP(tbl_Kalender[[#This Row],[Monat]]/3,0)</f>
        <v>4</v>
      </c>
      <c r="I1069" t="str">
        <f>"Q "&amp;tbl_Kalender[[#This Row],[Quartal]]</f>
        <v>Q 4</v>
      </c>
      <c r="J1069" t="str">
        <f>tbl_Kalender[[#This Row],[Quartal]]&amp;". Quartal"</f>
        <v>4. Quartal</v>
      </c>
      <c r="K1069">
        <f>_xlfn.ISOWEEKNUM(tbl_Kalender[[#This Row],[Datum]])</f>
        <v>49</v>
      </c>
    </row>
    <row r="1070" spans="1:11" x14ac:dyDescent="0.25">
      <c r="A1070" s="1">
        <v>46360</v>
      </c>
      <c r="B1070">
        <f>YEAR(tbl_Kalender[[#This Row],[Datum]])</f>
        <v>2026</v>
      </c>
      <c r="C1070">
        <f>DAY(tbl_Kalender[[#This Row],[Datum]])</f>
        <v>4</v>
      </c>
      <c r="D1070" t="str">
        <f>TEXT(tbl_Kalender[[#This Row],[Datum]],"TTTT")</f>
        <v>Freitag</v>
      </c>
      <c r="E1070">
        <f>WEEKDAY(tbl_Kalender[[#This Row],[Datum]],2)</f>
        <v>5</v>
      </c>
      <c r="F1070">
        <f>MONTH(tbl_Kalender[[#This Row],[Datum]])</f>
        <v>12</v>
      </c>
      <c r="G1070" t="str">
        <f>TEXT(tbl_Kalender[[#This Row],[Datum]],"MMMM")</f>
        <v>Dezember</v>
      </c>
      <c r="H1070">
        <f>ROUNDUP(tbl_Kalender[[#This Row],[Monat]]/3,0)</f>
        <v>4</v>
      </c>
      <c r="I1070" t="str">
        <f>"Q "&amp;tbl_Kalender[[#This Row],[Quartal]]</f>
        <v>Q 4</v>
      </c>
      <c r="J1070" t="str">
        <f>tbl_Kalender[[#This Row],[Quartal]]&amp;". Quartal"</f>
        <v>4. Quartal</v>
      </c>
      <c r="K1070">
        <f>_xlfn.ISOWEEKNUM(tbl_Kalender[[#This Row],[Datum]])</f>
        <v>49</v>
      </c>
    </row>
    <row r="1071" spans="1:11" x14ac:dyDescent="0.25">
      <c r="A1071" s="1">
        <v>46361</v>
      </c>
      <c r="B1071">
        <f>YEAR(tbl_Kalender[[#This Row],[Datum]])</f>
        <v>2026</v>
      </c>
      <c r="C1071">
        <f>DAY(tbl_Kalender[[#This Row],[Datum]])</f>
        <v>5</v>
      </c>
      <c r="D1071" t="str">
        <f>TEXT(tbl_Kalender[[#This Row],[Datum]],"TTTT")</f>
        <v>Samstag</v>
      </c>
      <c r="E1071">
        <f>WEEKDAY(tbl_Kalender[[#This Row],[Datum]],2)</f>
        <v>6</v>
      </c>
      <c r="F1071">
        <f>MONTH(tbl_Kalender[[#This Row],[Datum]])</f>
        <v>12</v>
      </c>
      <c r="G1071" t="str">
        <f>TEXT(tbl_Kalender[[#This Row],[Datum]],"MMMM")</f>
        <v>Dezember</v>
      </c>
      <c r="H1071">
        <f>ROUNDUP(tbl_Kalender[[#This Row],[Monat]]/3,0)</f>
        <v>4</v>
      </c>
      <c r="I1071" t="str">
        <f>"Q "&amp;tbl_Kalender[[#This Row],[Quartal]]</f>
        <v>Q 4</v>
      </c>
      <c r="J1071" t="str">
        <f>tbl_Kalender[[#This Row],[Quartal]]&amp;". Quartal"</f>
        <v>4. Quartal</v>
      </c>
      <c r="K1071">
        <f>_xlfn.ISOWEEKNUM(tbl_Kalender[[#This Row],[Datum]])</f>
        <v>49</v>
      </c>
    </row>
    <row r="1072" spans="1:11" x14ac:dyDescent="0.25">
      <c r="A1072" s="1">
        <v>46362</v>
      </c>
      <c r="B1072">
        <f>YEAR(tbl_Kalender[[#This Row],[Datum]])</f>
        <v>2026</v>
      </c>
      <c r="C1072">
        <f>DAY(tbl_Kalender[[#This Row],[Datum]])</f>
        <v>6</v>
      </c>
      <c r="D1072" t="str">
        <f>TEXT(tbl_Kalender[[#This Row],[Datum]],"TTTT")</f>
        <v>Sonntag</v>
      </c>
      <c r="E1072">
        <f>WEEKDAY(tbl_Kalender[[#This Row],[Datum]],2)</f>
        <v>7</v>
      </c>
      <c r="F1072">
        <f>MONTH(tbl_Kalender[[#This Row],[Datum]])</f>
        <v>12</v>
      </c>
      <c r="G1072" t="str">
        <f>TEXT(tbl_Kalender[[#This Row],[Datum]],"MMMM")</f>
        <v>Dezember</v>
      </c>
      <c r="H1072">
        <f>ROUNDUP(tbl_Kalender[[#This Row],[Monat]]/3,0)</f>
        <v>4</v>
      </c>
      <c r="I1072" t="str">
        <f>"Q "&amp;tbl_Kalender[[#This Row],[Quartal]]</f>
        <v>Q 4</v>
      </c>
      <c r="J1072" t="str">
        <f>tbl_Kalender[[#This Row],[Quartal]]&amp;". Quartal"</f>
        <v>4. Quartal</v>
      </c>
      <c r="K1072">
        <f>_xlfn.ISOWEEKNUM(tbl_Kalender[[#This Row],[Datum]])</f>
        <v>49</v>
      </c>
    </row>
    <row r="1073" spans="1:11" x14ac:dyDescent="0.25">
      <c r="A1073" s="1">
        <v>46363</v>
      </c>
      <c r="B1073">
        <f>YEAR(tbl_Kalender[[#This Row],[Datum]])</f>
        <v>2026</v>
      </c>
      <c r="C1073">
        <f>DAY(tbl_Kalender[[#This Row],[Datum]])</f>
        <v>7</v>
      </c>
      <c r="D1073" t="str">
        <f>TEXT(tbl_Kalender[[#This Row],[Datum]],"TTTT")</f>
        <v>Montag</v>
      </c>
      <c r="E1073">
        <f>WEEKDAY(tbl_Kalender[[#This Row],[Datum]],2)</f>
        <v>1</v>
      </c>
      <c r="F1073">
        <f>MONTH(tbl_Kalender[[#This Row],[Datum]])</f>
        <v>12</v>
      </c>
      <c r="G1073" t="str">
        <f>TEXT(tbl_Kalender[[#This Row],[Datum]],"MMMM")</f>
        <v>Dezember</v>
      </c>
      <c r="H1073">
        <f>ROUNDUP(tbl_Kalender[[#This Row],[Monat]]/3,0)</f>
        <v>4</v>
      </c>
      <c r="I1073" t="str">
        <f>"Q "&amp;tbl_Kalender[[#This Row],[Quartal]]</f>
        <v>Q 4</v>
      </c>
      <c r="J1073" t="str">
        <f>tbl_Kalender[[#This Row],[Quartal]]&amp;". Quartal"</f>
        <v>4. Quartal</v>
      </c>
      <c r="K1073">
        <f>_xlfn.ISOWEEKNUM(tbl_Kalender[[#This Row],[Datum]])</f>
        <v>50</v>
      </c>
    </row>
    <row r="1074" spans="1:11" x14ac:dyDescent="0.25">
      <c r="A1074" s="1">
        <v>46364</v>
      </c>
      <c r="B1074">
        <f>YEAR(tbl_Kalender[[#This Row],[Datum]])</f>
        <v>2026</v>
      </c>
      <c r="C1074">
        <f>DAY(tbl_Kalender[[#This Row],[Datum]])</f>
        <v>8</v>
      </c>
      <c r="D1074" t="str">
        <f>TEXT(tbl_Kalender[[#This Row],[Datum]],"TTTT")</f>
        <v>Dienstag</v>
      </c>
      <c r="E1074">
        <f>WEEKDAY(tbl_Kalender[[#This Row],[Datum]],2)</f>
        <v>2</v>
      </c>
      <c r="F1074">
        <f>MONTH(tbl_Kalender[[#This Row],[Datum]])</f>
        <v>12</v>
      </c>
      <c r="G1074" t="str">
        <f>TEXT(tbl_Kalender[[#This Row],[Datum]],"MMMM")</f>
        <v>Dezember</v>
      </c>
      <c r="H1074">
        <f>ROUNDUP(tbl_Kalender[[#This Row],[Monat]]/3,0)</f>
        <v>4</v>
      </c>
      <c r="I1074" t="str">
        <f>"Q "&amp;tbl_Kalender[[#This Row],[Quartal]]</f>
        <v>Q 4</v>
      </c>
      <c r="J1074" t="str">
        <f>tbl_Kalender[[#This Row],[Quartal]]&amp;". Quartal"</f>
        <v>4. Quartal</v>
      </c>
      <c r="K1074">
        <f>_xlfn.ISOWEEKNUM(tbl_Kalender[[#This Row],[Datum]])</f>
        <v>50</v>
      </c>
    </row>
    <row r="1075" spans="1:11" x14ac:dyDescent="0.25">
      <c r="A1075" s="1">
        <v>46365</v>
      </c>
      <c r="B1075">
        <f>YEAR(tbl_Kalender[[#This Row],[Datum]])</f>
        <v>2026</v>
      </c>
      <c r="C1075">
        <f>DAY(tbl_Kalender[[#This Row],[Datum]])</f>
        <v>9</v>
      </c>
      <c r="D1075" t="str">
        <f>TEXT(tbl_Kalender[[#This Row],[Datum]],"TTTT")</f>
        <v>Mittwoch</v>
      </c>
      <c r="E1075">
        <f>WEEKDAY(tbl_Kalender[[#This Row],[Datum]],2)</f>
        <v>3</v>
      </c>
      <c r="F1075">
        <f>MONTH(tbl_Kalender[[#This Row],[Datum]])</f>
        <v>12</v>
      </c>
      <c r="G1075" t="str">
        <f>TEXT(tbl_Kalender[[#This Row],[Datum]],"MMMM")</f>
        <v>Dezember</v>
      </c>
      <c r="H1075">
        <f>ROUNDUP(tbl_Kalender[[#This Row],[Monat]]/3,0)</f>
        <v>4</v>
      </c>
      <c r="I1075" t="str">
        <f>"Q "&amp;tbl_Kalender[[#This Row],[Quartal]]</f>
        <v>Q 4</v>
      </c>
      <c r="J1075" t="str">
        <f>tbl_Kalender[[#This Row],[Quartal]]&amp;". Quartal"</f>
        <v>4. Quartal</v>
      </c>
      <c r="K1075">
        <f>_xlfn.ISOWEEKNUM(tbl_Kalender[[#This Row],[Datum]])</f>
        <v>50</v>
      </c>
    </row>
    <row r="1076" spans="1:11" x14ac:dyDescent="0.25">
      <c r="A1076" s="1">
        <v>46366</v>
      </c>
      <c r="B1076">
        <f>YEAR(tbl_Kalender[[#This Row],[Datum]])</f>
        <v>2026</v>
      </c>
      <c r="C1076">
        <f>DAY(tbl_Kalender[[#This Row],[Datum]])</f>
        <v>10</v>
      </c>
      <c r="D1076" t="str">
        <f>TEXT(tbl_Kalender[[#This Row],[Datum]],"TTTT")</f>
        <v>Donnerstag</v>
      </c>
      <c r="E1076">
        <f>WEEKDAY(tbl_Kalender[[#This Row],[Datum]],2)</f>
        <v>4</v>
      </c>
      <c r="F1076">
        <f>MONTH(tbl_Kalender[[#This Row],[Datum]])</f>
        <v>12</v>
      </c>
      <c r="G1076" t="str">
        <f>TEXT(tbl_Kalender[[#This Row],[Datum]],"MMMM")</f>
        <v>Dezember</v>
      </c>
      <c r="H1076">
        <f>ROUNDUP(tbl_Kalender[[#This Row],[Monat]]/3,0)</f>
        <v>4</v>
      </c>
      <c r="I1076" t="str">
        <f>"Q "&amp;tbl_Kalender[[#This Row],[Quartal]]</f>
        <v>Q 4</v>
      </c>
      <c r="J1076" t="str">
        <f>tbl_Kalender[[#This Row],[Quartal]]&amp;". Quartal"</f>
        <v>4. Quartal</v>
      </c>
      <c r="K1076">
        <f>_xlfn.ISOWEEKNUM(tbl_Kalender[[#This Row],[Datum]])</f>
        <v>50</v>
      </c>
    </row>
    <row r="1077" spans="1:11" x14ac:dyDescent="0.25">
      <c r="A1077" s="1">
        <v>46367</v>
      </c>
      <c r="B1077">
        <f>YEAR(tbl_Kalender[[#This Row],[Datum]])</f>
        <v>2026</v>
      </c>
      <c r="C1077">
        <f>DAY(tbl_Kalender[[#This Row],[Datum]])</f>
        <v>11</v>
      </c>
      <c r="D1077" t="str">
        <f>TEXT(tbl_Kalender[[#This Row],[Datum]],"TTTT")</f>
        <v>Freitag</v>
      </c>
      <c r="E1077">
        <f>WEEKDAY(tbl_Kalender[[#This Row],[Datum]],2)</f>
        <v>5</v>
      </c>
      <c r="F1077">
        <f>MONTH(tbl_Kalender[[#This Row],[Datum]])</f>
        <v>12</v>
      </c>
      <c r="G1077" t="str">
        <f>TEXT(tbl_Kalender[[#This Row],[Datum]],"MMMM")</f>
        <v>Dezember</v>
      </c>
      <c r="H1077">
        <f>ROUNDUP(tbl_Kalender[[#This Row],[Monat]]/3,0)</f>
        <v>4</v>
      </c>
      <c r="I1077" t="str">
        <f>"Q "&amp;tbl_Kalender[[#This Row],[Quartal]]</f>
        <v>Q 4</v>
      </c>
      <c r="J1077" t="str">
        <f>tbl_Kalender[[#This Row],[Quartal]]&amp;". Quartal"</f>
        <v>4. Quartal</v>
      </c>
      <c r="K1077">
        <f>_xlfn.ISOWEEKNUM(tbl_Kalender[[#This Row],[Datum]])</f>
        <v>50</v>
      </c>
    </row>
    <row r="1078" spans="1:11" x14ac:dyDescent="0.25">
      <c r="A1078" s="1">
        <v>46368</v>
      </c>
      <c r="B1078">
        <f>YEAR(tbl_Kalender[[#This Row],[Datum]])</f>
        <v>2026</v>
      </c>
      <c r="C1078">
        <f>DAY(tbl_Kalender[[#This Row],[Datum]])</f>
        <v>12</v>
      </c>
      <c r="D1078" t="str">
        <f>TEXT(tbl_Kalender[[#This Row],[Datum]],"TTTT")</f>
        <v>Samstag</v>
      </c>
      <c r="E1078">
        <f>WEEKDAY(tbl_Kalender[[#This Row],[Datum]],2)</f>
        <v>6</v>
      </c>
      <c r="F1078">
        <f>MONTH(tbl_Kalender[[#This Row],[Datum]])</f>
        <v>12</v>
      </c>
      <c r="G1078" t="str">
        <f>TEXT(tbl_Kalender[[#This Row],[Datum]],"MMMM")</f>
        <v>Dezember</v>
      </c>
      <c r="H1078">
        <f>ROUNDUP(tbl_Kalender[[#This Row],[Monat]]/3,0)</f>
        <v>4</v>
      </c>
      <c r="I1078" t="str">
        <f>"Q "&amp;tbl_Kalender[[#This Row],[Quartal]]</f>
        <v>Q 4</v>
      </c>
      <c r="J1078" t="str">
        <f>tbl_Kalender[[#This Row],[Quartal]]&amp;". Quartal"</f>
        <v>4. Quartal</v>
      </c>
      <c r="K1078">
        <f>_xlfn.ISOWEEKNUM(tbl_Kalender[[#This Row],[Datum]])</f>
        <v>50</v>
      </c>
    </row>
    <row r="1079" spans="1:11" x14ac:dyDescent="0.25">
      <c r="A1079" s="1">
        <v>46369</v>
      </c>
      <c r="B1079">
        <f>YEAR(tbl_Kalender[[#This Row],[Datum]])</f>
        <v>2026</v>
      </c>
      <c r="C1079">
        <f>DAY(tbl_Kalender[[#This Row],[Datum]])</f>
        <v>13</v>
      </c>
      <c r="D1079" t="str">
        <f>TEXT(tbl_Kalender[[#This Row],[Datum]],"TTTT")</f>
        <v>Sonntag</v>
      </c>
      <c r="E1079">
        <f>WEEKDAY(tbl_Kalender[[#This Row],[Datum]],2)</f>
        <v>7</v>
      </c>
      <c r="F1079">
        <f>MONTH(tbl_Kalender[[#This Row],[Datum]])</f>
        <v>12</v>
      </c>
      <c r="G1079" t="str">
        <f>TEXT(tbl_Kalender[[#This Row],[Datum]],"MMMM")</f>
        <v>Dezember</v>
      </c>
      <c r="H1079">
        <f>ROUNDUP(tbl_Kalender[[#This Row],[Monat]]/3,0)</f>
        <v>4</v>
      </c>
      <c r="I1079" t="str">
        <f>"Q "&amp;tbl_Kalender[[#This Row],[Quartal]]</f>
        <v>Q 4</v>
      </c>
      <c r="J1079" t="str">
        <f>tbl_Kalender[[#This Row],[Quartal]]&amp;". Quartal"</f>
        <v>4. Quartal</v>
      </c>
      <c r="K1079">
        <f>_xlfn.ISOWEEKNUM(tbl_Kalender[[#This Row],[Datum]])</f>
        <v>50</v>
      </c>
    </row>
    <row r="1080" spans="1:11" x14ac:dyDescent="0.25">
      <c r="A1080" s="1">
        <v>46370</v>
      </c>
      <c r="B1080">
        <f>YEAR(tbl_Kalender[[#This Row],[Datum]])</f>
        <v>2026</v>
      </c>
      <c r="C1080">
        <f>DAY(tbl_Kalender[[#This Row],[Datum]])</f>
        <v>14</v>
      </c>
      <c r="D1080" t="str">
        <f>TEXT(tbl_Kalender[[#This Row],[Datum]],"TTTT")</f>
        <v>Montag</v>
      </c>
      <c r="E1080">
        <f>WEEKDAY(tbl_Kalender[[#This Row],[Datum]],2)</f>
        <v>1</v>
      </c>
      <c r="F1080">
        <f>MONTH(tbl_Kalender[[#This Row],[Datum]])</f>
        <v>12</v>
      </c>
      <c r="G1080" t="str">
        <f>TEXT(tbl_Kalender[[#This Row],[Datum]],"MMMM")</f>
        <v>Dezember</v>
      </c>
      <c r="H1080">
        <f>ROUNDUP(tbl_Kalender[[#This Row],[Monat]]/3,0)</f>
        <v>4</v>
      </c>
      <c r="I1080" t="str">
        <f>"Q "&amp;tbl_Kalender[[#This Row],[Quartal]]</f>
        <v>Q 4</v>
      </c>
      <c r="J1080" t="str">
        <f>tbl_Kalender[[#This Row],[Quartal]]&amp;". Quartal"</f>
        <v>4. Quartal</v>
      </c>
      <c r="K1080">
        <f>_xlfn.ISOWEEKNUM(tbl_Kalender[[#This Row],[Datum]])</f>
        <v>51</v>
      </c>
    </row>
    <row r="1081" spans="1:11" x14ac:dyDescent="0.25">
      <c r="A1081" s="1">
        <v>46371</v>
      </c>
      <c r="B1081">
        <f>YEAR(tbl_Kalender[[#This Row],[Datum]])</f>
        <v>2026</v>
      </c>
      <c r="C1081">
        <f>DAY(tbl_Kalender[[#This Row],[Datum]])</f>
        <v>15</v>
      </c>
      <c r="D1081" t="str">
        <f>TEXT(tbl_Kalender[[#This Row],[Datum]],"TTTT")</f>
        <v>Dienstag</v>
      </c>
      <c r="E1081">
        <f>WEEKDAY(tbl_Kalender[[#This Row],[Datum]],2)</f>
        <v>2</v>
      </c>
      <c r="F1081">
        <f>MONTH(tbl_Kalender[[#This Row],[Datum]])</f>
        <v>12</v>
      </c>
      <c r="G1081" t="str">
        <f>TEXT(tbl_Kalender[[#This Row],[Datum]],"MMMM")</f>
        <v>Dezember</v>
      </c>
      <c r="H1081">
        <f>ROUNDUP(tbl_Kalender[[#This Row],[Monat]]/3,0)</f>
        <v>4</v>
      </c>
      <c r="I1081" t="str">
        <f>"Q "&amp;tbl_Kalender[[#This Row],[Quartal]]</f>
        <v>Q 4</v>
      </c>
      <c r="J1081" t="str">
        <f>tbl_Kalender[[#This Row],[Quartal]]&amp;". Quartal"</f>
        <v>4. Quartal</v>
      </c>
      <c r="K1081">
        <f>_xlfn.ISOWEEKNUM(tbl_Kalender[[#This Row],[Datum]])</f>
        <v>51</v>
      </c>
    </row>
    <row r="1082" spans="1:11" x14ac:dyDescent="0.25">
      <c r="A1082" s="1">
        <v>46372</v>
      </c>
      <c r="B1082">
        <f>YEAR(tbl_Kalender[[#This Row],[Datum]])</f>
        <v>2026</v>
      </c>
      <c r="C1082">
        <f>DAY(tbl_Kalender[[#This Row],[Datum]])</f>
        <v>16</v>
      </c>
      <c r="D1082" t="str">
        <f>TEXT(tbl_Kalender[[#This Row],[Datum]],"TTTT")</f>
        <v>Mittwoch</v>
      </c>
      <c r="E1082">
        <f>WEEKDAY(tbl_Kalender[[#This Row],[Datum]],2)</f>
        <v>3</v>
      </c>
      <c r="F1082">
        <f>MONTH(tbl_Kalender[[#This Row],[Datum]])</f>
        <v>12</v>
      </c>
      <c r="G1082" t="str">
        <f>TEXT(tbl_Kalender[[#This Row],[Datum]],"MMMM")</f>
        <v>Dezember</v>
      </c>
      <c r="H1082">
        <f>ROUNDUP(tbl_Kalender[[#This Row],[Monat]]/3,0)</f>
        <v>4</v>
      </c>
      <c r="I1082" t="str">
        <f>"Q "&amp;tbl_Kalender[[#This Row],[Quartal]]</f>
        <v>Q 4</v>
      </c>
      <c r="J1082" t="str">
        <f>tbl_Kalender[[#This Row],[Quartal]]&amp;". Quartal"</f>
        <v>4. Quartal</v>
      </c>
      <c r="K1082">
        <f>_xlfn.ISOWEEKNUM(tbl_Kalender[[#This Row],[Datum]])</f>
        <v>51</v>
      </c>
    </row>
    <row r="1083" spans="1:11" x14ac:dyDescent="0.25">
      <c r="A1083" s="1">
        <v>46373</v>
      </c>
      <c r="B1083">
        <f>YEAR(tbl_Kalender[[#This Row],[Datum]])</f>
        <v>2026</v>
      </c>
      <c r="C1083">
        <f>DAY(tbl_Kalender[[#This Row],[Datum]])</f>
        <v>17</v>
      </c>
      <c r="D1083" t="str">
        <f>TEXT(tbl_Kalender[[#This Row],[Datum]],"TTTT")</f>
        <v>Donnerstag</v>
      </c>
      <c r="E1083">
        <f>WEEKDAY(tbl_Kalender[[#This Row],[Datum]],2)</f>
        <v>4</v>
      </c>
      <c r="F1083">
        <f>MONTH(tbl_Kalender[[#This Row],[Datum]])</f>
        <v>12</v>
      </c>
      <c r="G1083" t="str">
        <f>TEXT(tbl_Kalender[[#This Row],[Datum]],"MMMM")</f>
        <v>Dezember</v>
      </c>
      <c r="H1083">
        <f>ROUNDUP(tbl_Kalender[[#This Row],[Monat]]/3,0)</f>
        <v>4</v>
      </c>
      <c r="I1083" t="str">
        <f>"Q "&amp;tbl_Kalender[[#This Row],[Quartal]]</f>
        <v>Q 4</v>
      </c>
      <c r="J1083" t="str">
        <f>tbl_Kalender[[#This Row],[Quartal]]&amp;". Quartal"</f>
        <v>4. Quartal</v>
      </c>
      <c r="K1083">
        <f>_xlfn.ISOWEEKNUM(tbl_Kalender[[#This Row],[Datum]])</f>
        <v>51</v>
      </c>
    </row>
    <row r="1084" spans="1:11" x14ac:dyDescent="0.25">
      <c r="A1084" s="1">
        <v>46374</v>
      </c>
      <c r="B1084">
        <f>YEAR(tbl_Kalender[[#This Row],[Datum]])</f>
        <v>2026</v>
      </c>
      <c r="C1084">
        <f>DAY(tbl_Kalender[[#This Row],[Datum]])</f>
        <v>18</v>
      </c>
      <c r="D1084" t="str">
        <f>TEXT(tbl_Kalender[[#This Row],[Datum]],"TTTT")</f>
        <v>Freitag</v>
      </c>
      <c r="E1084">
        <f>WEEKDAY(tbl_Kalender[[#This Row],[Datum]],2)</f>
        <v>5</v>
      </c>
      <c r="F1084">
        <f>MONTH(tbl_Kalender[[#This Row],[Datum]])</f>
        <v>12</v>
      </c>
      <c r="G1084" t="str">
        <f>TEXT(tbl_Kalender[[#This Row],[Datum]],"MMMM")</f>
        <v>Dezember</v>
      </c>
      <c r="H1084">
        <f>ROUNDUP(tbl_Kalender[[#This Row],[Monat]]/3,0)</f>
        <v>4</v>
      </c>
      <c r="I1084" t="str">
        <f>"Q "&amp;tbl_Kalender[[#This Row],[Quartal]]</f>
        <v>Q 4</v>
      </c>
      <c r="J1084" t="str">
        <f>tbl_Kalender[[#This Row],[Quartal]]&amp;". Quartal"</f>
        <v>4. Quartal</v>
      </c>
      <c r="K1084">
        <f>_xlfn.ISOWEEKNUM(tbl_Kalender[[#This Row],[Datum]])</f>
        <v>51</v>
      </c>
    </row>
    <row r="1085" spans="1:11" x14ac:dyDescent="0.25">
      <c r="A1085" s="1">
        <v>46375</v>
      </c>
      <c r="B1085">
        <f>YEAR(tbl_Kalender[[#This Row],[Datum]])</f>
        <v>2026</v>
      </c>
      <c r="C1085">
        <f>DAY(tbl_Kalender[[#This Row],[Datum]])</f>
        <v>19</v>
      </c>
      <c r="D1085" t="str">
        <f>TEXT(tbl_Kalender[[#This Row],[Datum]],"TTTT")</f>
        <v>Samstag</v>
      </c>
      <c r="E1085">
        <f>WEEKDAY(tbl_Kalender[[#This Row],[Datum]],2)</f>
        <v>6</v>
      </c>
      <c r="F1085">
        <f>MONTH(tbl_Kalender[[#This Row],[Datum]])</f>
        <v>12</v>
      </c>
      <c r="G1085" t="str">
        <f>TEXT(tbl_Kalender[[#This Row],[Datum]],"MMMM")</f>
        <v>Dezember</v>
      </c>
      <c r="H1085">
        <f>ROUNDUP(tbl_Kalender[[#This Row],[Monat]]/3,0)</f>
        <v>4</v>
      </c>
      <c r="I1085" t="str">
        <f>"Q "&amp;tbl_Kalender[[#This Row],[Quartal]]</f>
        <v>Q 4</v>
      </c>
      <c r="J1085" t="str">
        <f>tbl_Kalender[[#This Row],[Quartal]]&amp;". Quartal"</f>
        <v>4. Quartal</v>
      </c>
      <c r="K1085">
        <f>_xlfn.ISOWEEKNUM(tbl_Kalender[[#This Row],[Datum]])</f>
        <v>51</v>
      </c>
    </row>
    <row r="1086" spans="1:11" x14ac:dyDescent="0.25">
      <c r="A1086" s="1">
        <v>46376</v>
      </c>
      <c r="B1086">
        <f>YEAR(tbl_Kalender[[#This Row],[Datum]])</f>
        <v>2026</v>
      </c>
      <c r="C1086">
        <f>DAY(tbl_Kalender[[#This Row],[Datum]])</f>
        <v>20</v>
      </c>
      <c r="D1086" t="str">
        <f>TEXT(tbl_Kalender[[#This Row],[Datum]],"TTTT")</f>
        <v>Sonntag</v>
      </c>
      <c r="E1086">
        <f>WEEKDAY(tbl_Kalender[[#This Row],[Datum]],2)</f>
        <v>7</v>
      </c>
      <c r="F1086">
        <f>MONTH(tbl_Kalender[[#This Row],[Datum]])</f>
        <v>12</v>
      </c>
      <c r="G1086" t="str">
        <f>TEXT(tbl_Kalender[[#This Row],[Datum]],"MMMM")</f>
        <v>Dezember</v>
      </c>
      <c r="H1086">
        <f>ROUNDUP(tbl_Kalender[[#This Row],[Monat]]/3,0)</f>
        <v>4</v>
      </c>
      <c r="I1086" t="str">
        <f>"Q "&amp;tbl_Kalender[[#This Row],[Quartal]]</f>
        <v>Q 4</v>
      </c>
      <c r="J1086" t="str">
        <f>tbl_Kalender[[#This Row],[Quartal]]&amp;". Quartal"</f>
        <v>4. Quartal</v>
      </c>
      <c r="K1086">
        <f>_xlfn.ISOWEEKNUM(tbl_Kalender[[#This Row],[Datum]])</f>
        <v>51</v>
      </c>
    </row>
    <row r="1087" spans="1:11" x14ac:dyDescent="0.25">
      <c r="A1087" s="1">
        <v>46377</v>
      </c>
      <c r="B1087">
        <f>YEAR(tbl_Kalender[[#This Row],[Datum]])</f>
        <v>2026</v>
      </c>
      <c r="C1087">
        <f>DAY(tbl_Kalender[[#This Row],[Datum]])</f>
        <v>21</v>
      </c>
      <c r="D1087" t="str">
        <f>TEXT(tbl_Kalender[[#This Row],[Datum]],"TTTT")</f>
        <v>Montag</v>
      </c>
      <c r="E1087">
        <f>WEEKDAY(tbl_Kalender[[#This Row],[Datum]],2)</f>
        <v>1</v>
      </c>
      <c r="F1087">
        <f>MONTH(tbl_Kalender[[#This Row],[Datum]])</f>
        <v>12</v>
      </c>
      <c r="G1087" t="str">
        <f>TEXT(tbl_Kalender[[#This Row],[Datum]],"MMMM")</f>
        <v>Dezember</v>
      </c>
      <c r="H1087">
        <f>ROUNDUP(tbl_Kalender[[#This Row],[Monat]]/3,0)</f>
        <v>4</v>
      </c>
      <c r="I1087" t="str">
        <f>"Q "&amp;tbl_Kalender[[#This Row],[Quartal]]</f>
        <v>Q 4</v>
      </c>
      <c r="J1087" t="str">
        <f>tbl_Kalender[[#This Row],[Quartal]]&amp;". Quartal"</f>
        <v>4. Quartal</v>
      </c>
      <c r="K1087">
        <f>_xlfn.ISOWEEKNUM(tbl_Kalender[[#This Row],[Datum]])</f>
        <v>52</v>
      </c>
    </row>
    <row r="1088" spans="1:11" x14ac:dyDescent="0.25">
      <c r="A1088" s="1">
        <v>46378</v>
      </c>
      <c r="B1088">
        <f>YEAR(tbl_Kalender[[#This Row],[Datum]])</f>
        <v>2026</v>
      </c>
      <c r="C1088">
        <f>DAY(tbl_Kalender[[#This Row],[Datum]])</f>
        <v>22</v>
      </c>
      <c r="D1088" t="str">
        <f>TEXT(tbl_Kalender[[#This Row],[Datum]],"TTTT")</f>
        <v>Dienstag</v>
      </c>
      <c r="E1088">
        <f>WEEKDAY(tbl_Kalender[[#This Row],[Datum]],2)</f>
        <v>2</v>
      </c>
      <c r="F1088">
        <f>MONTH(tbl_Kalender[[#This Row],[Datum]])</f>
        <v>12</v>
      </c>
      <c r="G1088" t="str">
        <f>TEXT(tbl_Kalender[[#This Row],[Datum]],"MMMM")</f>
        <v>Dezember</v>
      </c>
      <c r="H1088">
        <f>ROUNDUP(tbl_Kalender[[#This Row],[Monat]]/3,0)</f>
        <v>4</v>
      </c>
      <c r="I1088" t="str">
        <f>"Q "&amp;tbl_Kalender[[#This Row],[Quartal]]</f>
        <v>Q 4</v>
      </c>
      <c r="J1088" t="str">
        <f>tbl_Kalender[[#This Row],[Quartal]]&amp;". Quartal"</f>
        <v>4. Quartal</v>
      </c>
      <c r="K1088">
        <f>_xlfn.ISOWEEKNUM(tbl_Kalender[[#This Row],[Datum]])</f>
        <v>52</v>
      </c>
    </row>
    <row r="1089" spans="1:11" x14ac:dyDescent="0.25">
      <c r="A1089" s="1">
        <v>46379</v>
      </c>
      <c r="B1089">
        <f>YEAR(tbl_Kalender[[#This Row],[Datum]])</f>
        <v>2026</v>
      </c>
      <c r="C1089">
        <f>DAY(tbl_Kalender[[#This Row],[Datum]])</f>
        <v>23</v>
      </c>
      <c r="D1089" t="str">
        <f>TEXT(tbl_Kalender[[#This Row],[Datum]],"TTTT")</f>
        <v>Mittwoch</v>
      </c>
      <c r="E1089">
        <f>WEEKDAY(tbl_Kalender[[#This Row],[Datum]],2)</f>
        <v>3</v>
      </c>
      <c r="F1089">
        <f>MONTH(tbl_Kalender[[#This Row],[Datum]])</f>
        <v>12</v>
      </c>
      <c r="G1089" t="str">
        <f>TEXT(tbl_Kalender[[#This Row],[Datum]],"MMMM")</f>
        <v>Dezember</v>
      </c>
      <c r="H1089">
        <f>ROUNDUP(tbl_Kalender[[#This Row],[Monat]]/3,0)</f>
        <v>4</v>
      </c>
      <c r="I1089" t="str">
        <f>"Q "&amp;tbl_Kalender[[#This Row],[Quartal]]</f>
        <v>Q 4</v>
      </c>
      <c r="J1089" t="str">
        <f>tbl_Kalender[[#This Row],[Quartal]]&amp;". Quartal"</f>
        <v>4. Quartal</v>
      </c>
      <c r="K1089">
        <f>_xlfn.ISOWEEKNUM(tbl_Kalender[[#This Row],[Datum]])</f>
        <v>52</v>
      </c>
    </row>
    <row r="1090" spans="1:11" x14ac:dyDescent="0.25">
      <c r="A1090" s="1">
        <v>46380</v>
      </c>
      <c r="B1090">
        <f>YEAR(tbl_Kalender[[#This Row],[Datum]])</f>
        <v>2026</v>
      </c>
      <c r="C1090">
        <f>DAY(tbl_Kalender[[#This Row],[Datum]])</f>
        <v>24</v>
      </c>
      <c r="D1090" t="str">
        <f>TEXT(tbl_Kalender[[#This Row],[Datum]],"TTTT")</f>
        <v>Donnerstag</v>
      </c>
      <c r="E1090">
        <f>WEEKDAY(tbl_Kalender[[#This Row],[Datum]],2)</f>
        <v>4</v>
      </c>
      <c r="F1090">
        <f>MONTH(tbl_Kalender[[#This Row],[Datum]])</f>
        <v>12</v>
      </c>
      <c r="G1090" t="str">
        <f>TEXT(tbl_Kalender[[#This Row],[Datum]],"MMMM")</f>
        <v>Dezember</v>
      </c>
      <c r="H1090">
        <f>ROUNDUP(tbl_Kalender[[#This Row],[Monat]]/3,0)</f>
        <v>4</v>
      </c>
      <c r="I1090" t="str">
        <f>"Q "&amp;tbl_Kalender[[#This Row],[Quartal]]</f>
        <v>Q 4</v>
      </c>
      <c r="J1090" t="str">
        <f>tbl_Kalender[[#This Row],[Quartal]]&amp;". Quartal"</f>
        <v>4. Quartal</v>
      </c>
      <c r="K1090">
        <f>_xlfn.ISOWEEKNUM(tbl_Kalender[[#This Row],[Datum]])</f>
        <v>52</v>
      </c>
    </row>
    <row r="1091" spans="1:11" x14ac:dyDescent="0.25">
      <c r="A1091" s="1">
        <v>46381</v>
      </c>
      <c r="B1091">
        <f>YEAR(tbl_Kalender[[#This Row],[Datum]])</f>
        <v>2026</v>
      </c>
      <c r="C1091">
        <f>DAY(tbl_Kalender[[#This Row],[Datum]])</f>
        <v>25</v>
      </c>
      <c r="D1091" t="str">
        <f>TEXT(tbl_Kalender[[#This Row],[Datum]],"TTTT")</f>
        <v>Freitag</v>
      </c>
      <c r="E1091">
        <f>WEEKDAY(tbl_Kalender[[#This Row],[Datum]],2)</f>
        <v>5</v>
      </c>
      <c r="F1091">
        <f>MONTH(tbl_Kalender[[#This Row],[Datum]])</f>
        <v>12</v>
      </c>
      <c r="G1091" t="str">
        <f>TEXT(tbl_Kalender[[#This Row],[Datum]],"MMMM")</f>
        <v>Dezember</v>
      </c>
      <c r="H1091">
        <f>ROUNDUP(tbl_Kalender[[#This Row],[Monat]]/3,0)</f>
        <v>4</v>
      </c>
      <c r="I1091" t="str">
        <f>"Q "&amp;tbl_Kalender[[#This Row],[Quartal]]</f>
        <v>Q 4</v>
      </c>
      <c r="J1091" t="str">
        <f>tbl_Kalender[[#This Row],[Quartal]]&amp;". Quartal"</f>
        <v>4. Quartal</v>
      </c>
      <c r="K1091">
        <f>_xlfn.ISOWEEKNUM(tbl_Kalender[[#This Row],[Datum]])</f>
        <v>52</v>
      </c>
    </row>
    <row r="1092" spans="1:11" x14ac:dyDescent="0.25">
      <c r="A1092" s="1">
        <v>46382</v>
      </c>
      <c r="B1092">
        <f>YEAR(tbl_Kalender[[#This Row],[Datum]])</f>
        <v>2026</v>
      </c>
      <c r="C1092">
        <f>DAY(tbl_Kalender[[#This Row],[Datum]])</f>
        <v>26</v>
      </c>
      <c r="D1092" t="str">
        <f>TEXT(tbl_Kalender[[#This Row],[Datum]],"TTTT")</f>
        <v>Samstag</v>
      </c>
      <c r="E1092">
        <f>WEEKDAY(tbl_Kalender[[#This Row],[Datum]],2)</f>
        <v>6</v>
      </c>
      <c r="F1092">
        <f>MONTH(tbl_Kalender[[#This Row],[Datum]])</f>
        <v>12</v>
      </c>
      <c r="G1092" t="str">
        <f>TEXT(tbl_Kalender[[#This Row],[Datum]],"MMMM")</f>
        <v>Dezember</v>
      </c>
      <c r="H1092">
        <f>ROUNDUP(tbl_Kalender[[#This Row],[Monat]]/3,0)</f>
        <v>4</v>
      </c>
      <c r="I1092" t="str">
        <f>"Q "&amp;tbl_Kalender[[#This Row],[Quartal]]</f>
        <v>Q 4</v>
      </c>
      <c r="J1092" t="str">
        <f>tbl_Kalender[[#This Row],[Quartal]]&amp;". Quartal"</f>
        <v>4. Quartal</v>
      </c>
      <c r="K1092">
        <f>_xlfn.ISOWEEKNUM(tbl_Kalender[[#This Row],[Datum]])</f>
        <v>52</v>
      </c>
    </row>
    <row r="1093" spans="1:11" x14ac:dyDescent="0.25">
      <c r="A1093" s="1">
        <v>46383</v>
      </c>
      <c r="B1093">
        <f>YEAR(tbl_Kalender[[#This Row],[Datum]])</f>
        <v>2026</v>
      </c>
      <c r="C1093">
        <f>DAY(tbl_Kalender[[#This Row],[Datum]])</f>
        <v>27</v>
      </c>
      <c r="D1093" t="str">
        <f>TEXT(tbl_Kalender[[#This Row],[Datum]],"TTTT")</f>
        <v>Sonntag</v>
      </c>
      <c r="E1093">
        <f>WEEKDAY(tbl_Kalender[[#This Row],[Datum]],2)</f>
        <v>7</v>
      </c>
      <c r="F1093">
        <f>MONTH(tbl_Kalender[[#This Row],[Datum]])</f>
        <v>12</v>
      </c>
      <c r="G1093" t="str">
        <f>TEXT(tbl_Kalender[[#This Row],[Datum]],"MMMM")</f>
        <v>Dezember</v>
      </c>
      <c r="H1093">
        <f>ROUNDUP(tbl_Kalender[[#This Row],[Monat]]/3,0)</f>
        <v>4</v>
      </c>
      <c r="I1093" t="str">
        <f>"Q "&amp;tbl_Kalender[[#This Row],[Quartal]]</f>
        <v>Q 4</v>
      </c>
      <c r="J1093" t="str">
        <f>tbl_Kalender[[#This Row],[Quartal]]&amp;". Quartal"</f>
        <v>4. Quartal</v>
      </c>
      <c r="K1093">
        <f>_xlfn.ISOWEEKNUM(tbl_Kalender[[#This Row],[Datum]])</f>
        <v>52</v>
      </c>
    </row>
    <row r="1094" spans="1:11" x14ac:dyDescent="0.25">
      <c r="A1094" s="1">
        <v>46384</v>
      </c>
      <c r="B1094">
        <f>YEAR(tbl_Kalender[[#This Row],[Datum]])</f>
        <v>2026</v>
      </c>
      <c r="C1094">
        <f>DAY(tbl_Kalender[[#This Row],[Datum]])</f>
        <v>28</v>
      </c>
      <c r="D1094" t="str">
        <f>TEXT(tbl_Kalender[[#This Row],[Datum]],"TTTT")</f>
        <v>Montag</v>
      </c>
      <c r="E1094">
        <f>WEEKDAY(tbl_Kalender[[#This Row],[Datum]],2)</f>
        <v>1</v>
      </c>
      <c r="F1094">
        <f>MONTH(tbl_Kalender[[#This Row],[Datum]])</f>
        <v>12</v>
      </c>
      <c r="G1094" t="str">
        <f>TEXT(tbl_Kalender[[#This Row],[Datum]],"MMMM")</f>
        <v>Dezember</v>
      </c>
      <c r="H1094">
        <f>ROUNDUP(tbl_Kalender[[#This Row],[Monat]]/3,0)</f>
        <v>4</v>
      </c>
      <c r="I1094" t="str">
        <f>"Q "&amp;tbl_Kalender[[#This Row],[Quartal]]</f>
        <v>Q 4</v>
      </c>
      <c r="J1094" t="str">
        <f>tbl_Kalender[[#This Row],[Quartal]]&amp;". Quartal"</f>
        <v>4. Quartal</v>
      </c>
      <c r="K1094">
        <f>_xlfn.ISOWEEKNUM(tbl_Kalender[[#This Row],[Datum]])</f>
        <v>53</v>
      </c>
    </row>
    <row r="1095" spans="1:11" x14ac:dyDescent="0.25">
      <c r="A1095" s="1">
        <v>46385</v>
      </c>
      <c r="B1095">
        <f>YEAR(tbl_Kalender[[#This Row],[Datum]])</f>
        <v>2026</v>
      </c>
      <c r="C1095">
        <f>DAY(tbl_Kalender[[#This Row],[Datum]])</f>
        <v>29</v>
      </c>
      <c r="D1095" t="str">
        <f>TEXT(tbl_Kalender[[#This Row],[Datum]],"TTTT")</f>
        <v>Dienstag</v>
      </c>
      <c r="E1095">
        <f>WEEKDAY(tbl_Kalender[[#This Row],[Datum]],2)</f>
        <v>2</v>
      </c>
      <c r="F1095">
        <f>MONTH(tbl_Kalender[[#This Row],[Datum]])</f>
        <v>12</v>
      </c>
      <c r="G1095" t="str">
        <f>TEXT(tbl_Kalender[[#This Row],[Datum]],"MMMM")</f>
        <v>Dezember</v>
      </c>
      <c r="H1095">
        <f>ROUNDUP(tbl_Kalender[[#This Row],[Monat]]/3,0)</f>
        <v>4</v>
      </c>
      <c r="I1095" t="str">
        <f>"Q "&amp;tbl_Kalender[[#This Row],[Quartal]]</f>
        <v>Q 4</v>
      </c>
      <c r="J1095" t="str">
        <f>tbl_Kalender[[#This Row],[Quartal]]&amp;". Quartal"</f>
        <v>4. Quartal</v>
      </c>
      <c r="K1095">
        <f>_xlfn.ISOWEEKNUM(tbl_Kalender[[#This Row],[Datum]])</f>
        <v>53</v>
      </c>
    </row>
    <row r="1096" spans="1:11" x14ac:dyDescent="0.25">
      <c r="A1096" s="1">
        <v>46386</v>
      </c>
      <c r="B1096">
        <f>YEAR(tbl_Kalender[[#This Row],[Datum]])</f>
        <v>2026</v>
      </c>
      <c r="C1096">
        <f>DAY(tbl_Kalender[[#This Row],[Datum]])</f>
        <v>30</v>
      </c>
      <c r="D1096" t="str">
        <f>TEXT(tbl_Kalender[[#This Row],[Datum]],"TTTT")</f>
        <v>Mittwoch</v>
      </c>
      <c r="E1096">
        <f>WEEKDAY(tbl_Kalender[[#This Row],[Datum]],2)</f>
        <v>3</v>
      </c>
      <c r="F1096">
        <f>MONTH(tbl_Kalender[[#This Row],[Datum]])</f>
        <v>12</v>
      </c>
      <c r="G1096" t="str">
        <f>TEXT(tbl_Kalender[[#This Row],[Datum]],"MMMM")</f>
        <v>Dezember</v>
      </c>
      <c r="H1096">
        <f>ROUNDUP(tbl_Kalender[[#This Row],[Monat]]/3,0)</f>
        <v>4</v>
      </c>
      <c r="I1096" t="str">
        <f>"Q "&amp;tbl_Kalender[[#This Row],[Quartal]]</f>
        <v>Q 4</v>
      </c>
      <c r="J1096" t="str">
        <f>tbl_Kalender[[#This Row],[Quartal]]&amp;". Quartal"</f>
        <v>4. Quartal</v>
      </c>
      <c r="K1096">
        <f>_xlfn.ISOWEEKNUM(tbl_Kalender[[#This Row],[Datum]])</f>
        <v>53</v>
      </c>
    </row>
    <row r="1097" spans="1:11" x14ac:dyDescent="0.25">
      <c r="A1097" s="1">
        <v>46387</v>
      </c>
      <c r="B1097">
        <f>YEAR(tbl_Kalender[[#This Row],[Datum]])</f>
        <v>2026</v>
      </c>
      <c r="C1097">
        <f>DAY(tbl_Kalender[[#This Row],[Datum]])</f>
        <v>31</v>
      </c>
      <c r="D1097" t="str">
        <f>TEXT(tbl_Kalender[[#This Row],[Datum]],"TTTT")</f>
        <v>Donnerstag</v>
      </c>
      <c r="E1097">
        <f>WEEKDAY(tbl_Kalender[[#This Row],[Datum]],2)</f>
        <v>4</v>
      </c>
      <c r="F1097">
        <f>MONTH(tbl_Kalender[[#This Row],[Datum]])</f>
        <v>12</v>
      </c>
      <c r="G1097" t="str">
        <f>TEXT(tbl_Kalender[[#This Row],[Datum]],"MMMM")</f>
        <v>Dezember</v>
      </c>
      <c r="H1097">
        <f>ROUNDUP(tbl_Kalender[[#This Row],[Monat]]/3,0)</f>
        <v>4</v>
      </c>
      <c r="I1097" t="str">
        <f>"Q "&amp;tbl_Kalender[[#This Row],[Quartal]]</f>
        <v>Q 4</v>
      </c>
      <c r="J1097" t="str">
        <f>tbl_Kalender[[#This Row],[Quartal]]&amp;". Quartal"</f>
        <v>4. Quartal</v>
      </c>
      <c r="K1097">
        <f>_xlfn.ISOWEEKNUM(tbl_Kalender[[#This Row],[Datum]])</f>
        <v>53</v>
      </c>
    </row>
    <row r="1098" spans="1:11" x14ac:dyDescent="0.25">
      <c r="A1098" s="1">
        <v>46388</v>
      </c>
      <c r="B1098">
        <f>YEAR(tbl_Kalender[[#This Row],[Datum]])</f>
        <v>2027</v>
      </c>
      <c r="C1098">
        <f>DAY(tbl_Kalender[[#This Row],[Datum]])</f>
        <v>1</v>
      </c>
      <c r="D1098" t="str">
        <f>TEXT(tbl_Kalender[[#This Row],[Datum]],"TTTT")</f>
        <v>Freitag</v>
      </c>
      <c r="E1098">
        <f>WEEKDAY(tbl_Kalender[[#This Row],[Datum]],2)</f>
        <v>5</v>
      </c>
      <c r="F1098">
        <f>MONTH(tbl_Kalender[[#This Row],[Datum]])</f>
        <v>1</v>
      </c>
      <c r="G1098" t="str">
        <f>TEXT(tbl_Kalender[[#This Row],[Datum]],"MMMM")</f>
        <v>Januar</v>
      </c>
      <c r="H1098">
        <f>ROUNDUP(tbl_Kalender[[#This Row],[Monat]]/3,0)</f>
        <v>1</v>
      </c>
      <c r="I1098" t="str">
        <f>"Q "&amp;tbl_Kalender[[#This Row],[Quartal]]</f>
        <v>Q 1</v>
      </c>
      <c r="J1098" t="str">
        <f>tbl_Kalender[[#This Row],[Quartal]]&amp;". Quartal"</f>
        <v>1. Quartal</v>
      </c>
      <c r="K1098">
        <f>_xlfn.ISOWEEKNUM(tbl_Kalender[[#This Row],[Datum]])</f>
        <v>53</v>
      </c>
    </row>
    <row r="1099" spans="1:11" x14ac:dyDescent="0.25">
      <c r="A1099" s="1">
        <v>46389</v>
      </c>
      <c r="B1099">
        <f>YEAR(tbl_Kalender[[#This Row],[Datum]])</f>
        <v>2027</v>
      </c>
      <c r="C1099">
        <f>DAY(tbl_Kalender[[#This Row],[Datum]])</f>
        <v>2</v>
      </c>
      <c r="D1099" t="str">
        <f>TEXT(tbl_Kalender[[#This Row],[Datum]],"TTTT")</f>
        <v>Samstag</v>
      </c>
      <c r="E1099">
        <f>WEEKDAY(tbl_Kalender[[#This Row],[Datum]],2)</f>
        <v>6</v>
      </c>
      <c r="F1099">
        <f>MONTH(tbl_Kalender[[#This Row],[Datum]])</f>
        <v>1</v>
      </c>
      <c r="G1099" t="str">
        <f>TEXT(tbl_Kalender[[#This Row],[Datum]],"MMMM")</f>
        <v>Januar</v>
      </c>
      <c r="H1099">
        <f>ROUNDUP(tbl_Kalender[[#This Row],[Monat]]/3,0)</f>
        <v>1</v>
      </c>
      <c r="I1099" t="str">
        <f>"Q "&amp;tbl_Kalender[[#This Row],[Quartal]]</f>
        <v>Q 1</v>
      </c>
      <c r="J1099" t="str">
        <f>tbl_Kalender[[#This Row],[Quartal]]&amp;". Quartal"</f>
        <v>1. Quartal</v>
      </c>
      <c r="K1099">
        <f>_xlfn.ISOWEEKNUM(tbl_Kalender[[#This Row],[Datum]])</f>
        <v>53</v>
      </c>
    </row>
    <row r="1100" spans="1:11" x14ac:dyDescent="0.25">
      <c r="A1100" s="1">
        <v>46390</v>
      </c>
      <c r="B1100">
        <f>YEAR(tbl_Kalender[[#This Row],[Datum]])</f>
        <v>2027</v>
      </c>
      <c r="C1100">
        <f>DAY(tbl_Kalender[[#This Row],[Datum]])</f>
        <v>3</v>
      </c>
      <c r="D1100" t="str">
        <f>TEXT(tbl_Kalender[[#This Row],[Datum]],"TTTT")</f>
        <v>Sonntag</v>
      </c>
      <c r="E1100">
        <f>WEEKDAY(tbl_Kalender[[#This Row],[Datum]],2)</f>
        <v>7</v>
      </c>
      <c r="F1100">
        <f>MONTH(tbl_Kalender[[#This Row],[Datum]])</f>
        <v>1</v>
      </c>
      <c r="G1100" t="str">
        <f>TEXT(tbl_Kalender[[#This Row],[Datum]],"MMMM")</f>
        <v>Januar</v>
      </c>
      <c r="H1100">
        <f>ROUNDUP(tbl_Kalender[[#This Row],[Monat]]/3,0)</f>
        <v>1</v>
      </c>
      <c r="I1100" t="str">
        <f>"Q "&amp;tbl_Kalender[[#This Row],[Quartal]]</f>
        <v>Q 1</v>
      </c>
      <c r="J1100" t="str">
        <f>tbl_Kalender[[#This Row],[Quartal]]&amp;". Quartal"</f>
        <v>1. Quartal</v>
      </c>
      <c r="K1100">
        <f>_xlfn.ISOWEEKNUM(tbl_Kalender[[#This Row],[Datum]])</f>
        <v>53</v>
      </c>
    </row>
    <row r="1101" spans="1:11" x14ac:dyDescent="0.25">
      <c r="A1101" s="1">
        <v>46391</v>
      </c>
      <c r="B1101">
        <f>YEAR(tbl_Kalender[[#This Row],[Datum]])</f>
        <v>2027</v>
      </c>
      <c r="C1101">
        <f>DAY(tbl_Kalender[[#This Row],[Datum]])</f>
        <v>4</v>
      </c>
      <c r="D1101" t="str">
        <f>TEXT(tbl_Kalender[[#This Row],[Datum]],"TTTT")</f>
        <v>Montag</v>
      </c>
      <c r="E1101">
        <f>WEEKDAY(tbl_Kalender[[#This Row],[Datum]],2)</f>
        <v>1</v>
      </c>
      <c r="F1101">
        <f>MONTH(tbl_Kalender[[#This Row],[Datum]])</f>
        <v>1</v>
      </c>
      <c r="G1101" t="str">
        <f>TEXT(tbl_Kalender[[#This Row],[Datum]],"MMMM")</f>
        <v>Januar</v>
      </c>
      <c r="H1101">
        <f>ROUNDUP(tbl_Kalender[[#This Row],[Monat]]/3,0)</f>
        <v>1</v>
      </c>
      <c r="I1101" t="str">
        <f>"Q "&amp;tbl_Kalender[[#This Row],[Quartal]]</f>
        <v>Q 1</v>
      </c>
      <c r="J1101" t="str">
        <f>tbl_Kalender[[#This Row],[Quartal]]&amp;". Quartal"</f>
        <v>1. Quartal</v>
      </c>
      <c r="K1101">
        <f>_xlfn.ISOWEEKNUM(tbl_Kalender[[#This Row],[Datum]])</f>
        <v>1</v>
      </c>
    </row>
    <row r="1102" spans="1:11" x14ac:dyDescent="0.25">
      <c r="A1102" s="1">
        <v>46392</v>
      </c>
      <c r="B1102">
        <f>YEAR(tbl_Kalender[[#This Row],[Datum]])</f>
        <v>2027</v>
      </c>
      <c r="C1102">
        <f>DAY(tbl_Kalender[[#This Row],[Datum]])</f>
        <v>5</v>
      </c>
      <c r="D1102" t="str">
        <f>TEXT(tbl_Kalender[[#This Row],[Datum]],"TTTT")</f>
        <v>Dienstag</v>
      </c>
      <c r="E1102">
        <f>WEEKDAY(tbl_Kalender[[#This Row],[Datum]],2)</f>
        <v>2</v>
      </c>
      <c r="F1102">
        <f>MONTH(tbl_Kalender[[#This Row],[Datum]])</f>
        <v>1</v>
      </c>
      <c r="G1102" t="str">
        <f>TEXT(tbl_Kalender[[#This Row],[Datum]],"MMMM")</f>
        <v>Januar</v>
      </c>
      <c r="H1102">
        <f>ROUNDUP(tbl_Kalender[[#This Row],[Monat]]/3,0)</f>
        <v>1</v>
      </c>
      <c r="I1102" t="str">
        <f>"Q "&amp;tbl_Kalender[[#This Row],[Quartal]]</f>
        <v>Q 1</v>
      </c>
      <c r="J1102" t="str">
        <f>tbl_Kalender[[#This Row],[Quartal]]&amp;". Quartal"</f>
        <v>1. Quartal</v>
      </c>
      <c r="K1102">
        <f>_xlfn.ISOWEEKNUM(tbl_Kalender[[#This Row],[Datum]])</f>
        <v>1</v>
      </c>
    </row>
    <row r="1103" spans="1:11" x14ac:dyDescent="0.25">
      <c r="A1103" s="1">
        <v>46393</v>
      </c>
      <c r="B1103">
        <f>YEAR(tbl_Kalender[[#This Row],[Datum]])</f>
        <v>2027</v>
      </c>
      <c r="C1103">
        <f>DAY(tbl_Kalender[[#This Row],[Datum]])</f>
        <v>6</v>
      </c>
      <c r="D1103" t="str">
        <f>TEXT(tbl_Kalender[[#This Row],[Datum]],"TTTT")</f>
        <v>Mittwoch</v>
      </c>
      <c r="E1103">
        <f>WEEKDAY(tbl_Kalender[[#This Row],[Datum]],2)</f>
        <v>3</v>
      </c>
      <c r="F1103">
        <f>MONTH(tbl_Kalender[[#This Row],[Datum]])</f>
        <v>1</v>
      </c>
      <c r="G1103" t="str">
        <f>TEXT(tbl_Kalender[[#This Row],[Datum]],"MMMM")</f>
        <v>Januar</v>
      </c>
      <c r="H1103">
        <f>ROUNDUP(tbl_Kalender[[#This Row],[Monat]]/3,0)</f>
        <v>1</v>
      </c>
      <c r="I1103" t="str">
        <f>"Q "&amp;tbl_Kalender[[#This Row],[Quartal]]</f>
        <v>Q 1</v>
      </c>
      <c r="J1103" t="str">
        <f>tbl_Kalender[[#This Row],[Quartal]]&amp;". Quartal"</f>
        <v>1. Quartal</v>
      </c>
      <c r="K1103">
        <f>_xlfn.ISOWEEKNUM(tbl_Kalender[[#This Row],[Datum]])</f>
        <v>1</v>
      </c>
    </row>
    <row r="1104" spans="1:11" x14ac:dyDescent="0.25">
      <c r="A1104" s="1">
        <v>46394</v>
      </c>
      <c r="B1104">
        <f>YEAR(tbl_Kalender[[#This Row],[Datum]])</f>
        <v>2027</v>
      </c>
      <c r="C1104">
        <f>DAY(tbl_Kalender[[#This Row],[Datum]])</f>
        <v>7</v>
      </c>
      <c r="D1104" t="str">
        <f>TEXT(tbl_Kalender[[#This Row],[Datum]],"TTTT")</f>
        <v>Donnerstag</v>
      </c>
      <c r="E1104">
        <f>WEEKDAY(tbl_Kalender[[#This Row],[Datum]],2)</f>
        <v>4</v>
      </c>
      <c r="F1104">
        <f>MONTH(tbl_Kalender[[#This Row],[Datum]])</f>
        <v>1</v>
      </c>
      <c r="G1104" t="str">
        <f>TEXT(tbl_Kalender[[#This Row],[Datum]],"MMMM")</f>
        <v>Januar</v>
      </c>
      <c r="H1104">
        <f>ROUNDUP(tbl_Kalender[[#This Row],[Monat]]/3,0)</f>
        <v>1</v>
      </c>
      <c r="I1104" t="str">
        <f>"Q "&amp;tbl_Kalender[[#This Row],[Quartal]]</f>
        <v>Q 1</v>
      </c>
      <c r="J1104" t="str">
        <f>tbl_Kalender[[#This Row],[Quartal]]&amp;". Quartal"</f>
        <v>1. Quartal</v>
      </c>
      <c r="K1104">
        <f>_xlfn.ISOWEEKNUM(tbl_Kalender[[#This Row],[Datum]])</f>
        <v>1</v>
      </c>
    </row>
    <row r="1105" spans="1:11" x14ac:dyDescent="0.25">
      <c r="A1105" s="1">
        <v>46395</v>
      </c>
      <c r="B1105">
        <f>YEAR(tbl_Kalender[[#This Row],[Datum]])</f>
        <v>2027</v>
      </c>
      <c r="C1105">
        <f>DAY(tbl_Kalender[[#This Row],[Datum]])</f>
        <v>8</v>
      </c>
      <c r="D1105" t="str">
        <f>TEXT(tbl_Kalender[[#This Row],[Datum]],"TTTT")</f>
        <v>Freitag</v>
      </c>
      <c r="E1105">
        <f>WEEKDAY(tbl_Kalender[[#This Row],[Datum]],2)</f>
        <v>5</v>
      </c>
      <c r="F1105">
        <f>MONTH(tbl_Kalender[[#This Row],[Datum]])</f>
        <v>1</v>
      </c>
      <c r="G1105" t="str">
        <f>TEXT(tbl_Kalender[[#This Row],[Datum]],"MMMM")</f>
        <v>Januar</v>
      </c>
      <c r="H1105">
        <f>ROUNDUP(tbl_Kalender[[#This Row],[Monat]]/3,0)</f>
        <v>1</v>
      </c>
      <c r="I1105" t="str">
        <f>"Q "&amp;tbl_Kalender[[#This Row],[Quartal]]</f>
        <v>Q 1</v>
      </c>
      <c r="J1105" t="str">
        <f>tbl_Kalender[[#This Row],[Quartal]]&amp;". Quartal"</f>
        <v>1. Quartal</v>
      </c>
      <c r="K1105">
        <f>_xlfn.ISOWEEKNUM(tbl_Kalender[[#This Row],[Datum]])</f>
        <v>1</v>
      </c>
    </row>
    <row r="1106" spans="1:11" x14ac:dyDescent="0.25">
      <c r="A1106" s="1">
        <v>46396</v>
      </c>
      <c r="B1106">
        <f>YEAR(tbl_Kalender[[#This Row],[Datum]])</f>
        <v>2027</v>
      </c>
      <c r="C1106">
        <f>DAY(tbl_Kalender[[#This Row],[Datum]])</f>
        <v>9</v>
      </c>
      <c r="D1106" t="str">
        <f>TEXT(tbl_Kalender[[#This Row],[Datum]],"TTTT")</f>
        <v>Samstag</v>
      </c>
      <c r="E1106">
        <f>WEEKDAY(tbl_Kalender[[#This Row],[Datum]],2)</f>
        <v>6</v>
      </c>
      <c r="F1106">
        <f>MONTH(tbl_Kalender[[#This Row],[Datum]])</f>
        <v>1</v>
      </c>
      <c r="G1106" t="str">
        <f>TEXT(tbl_Kalender[[#This Row],[Datum]],"MMMM")</f>
        <v>Januar</v>
      </c>
      <c r="H1106">
        <f>ROUNDUP(tbl_Kalender[[#This Row],[Monat]]/3,0)</f>
        <v>1</v>
      </c>
      <c r="I1106" t="str">
        <f>"Q "&amp;tbl_Kalender[[#This Row],[Quartal]]</f>
        <v>Q 1</v>
      </c>
      <c r="J1106" t="str">
        <f>tbl_Kalender[[#This Row],[Quartal]]&amp;". Quartal"</f>
        <v>1. Quartal</v>
      </c>
      <c r="K1106">
        <f>_xlfn.ISOWEEKNUM(tbl_Kalender[[#This Row],[Datum]])</f>
        <v>1</v>
      </c>
    </row>
    <row r="1107" spans="1:11" x14ac:dyDescent="0.25">
      <c r="A1107" s="1">
        <v>46397</v>
      </c>
      <c r="B1107">
        <f>YEAR(tbl_Kalender[[#This Row],[Datum]])</f>
        <v>2027</v>
      </c>
      <c r="C1107">
        <f>DAY(tbl_Kalender[[#This Row],[Datum]])</f>
        <v>10</v>
      </c>
      <c r="D1107" t="str">
        <f>TEXT(tbl_Kalender[[#This Row],[Datum]],"TTTT")</f>
        <v>Sonntag</v>
      </c>
      <c r="E1107">
        <f>WEEKDAY(tbl_Kalender[[#This Row],[Datum]],2)</f>
        <v>7</v>
      </c>
      <c r="F1107">
        <f>MONTH(tbl_Kalender[[#This Row],[Datum]])</f>
        <v>1</v>
      </c>
      <c r="G1107" t="str">
        <f>TEXT(tbl_Kalender[[#This Row],[Datum]],"MMMM")</f>
        <v>Januar</v>
      </c>
      <c r="H1107">
        <f>ROUNDUP(tbl_Kalender[[#This Row],[Monat]]/3,0)</f>
        <v>1</v>
      </c>
      <c r="I1107" t="str">
        <f>"Q "&amp;tbl_Kalender[[#This Row],[Quartal]]</f>
        <v>Q 1</v>
      </c>
      <c r="J1107" t="str">
        <f>tbl_Kalender[[#This Row],[Quartal]]&amp;". Quartal"</f>
        <v>1. Quartal</v>
      </c>
      <c r="K1107">
        <f>_xlfn.ISOWEEKNUM(tbl_Kalender[[#This Row],[Datum]])</f>
        <v>1</v>
      </c>
    </row>
    <row r="1108" spans="1:11" x14ac:dyDescent="0.25">
      <c r="A1108" s="1">
        <v>46398</v>
      </c>
      <c r="B1108">
        <f>YEAR(tbl_Kalender[[#This Row],[Datum]])</f>
        <v>2027</v>
      </c>
      <c r="C1108">
        <f>DAY(tbl_Kalender[[#This Row],[Datum]])</f>
        <v>11</v>
      </c>
      <c r="D1108" t="str">
        <f>TEXT(tbl_Kalender[[#This Row],[Datum]],"TTTT")</f>
        <v>Montag</v>
      </c>
      <c r="E1108">
        <f>WEEKDAY(tbl_Kalender[[#This Row],[Datum]],2)</f>
        <v>1</v>
      </c>
      <c r="F1108">
        <f>MONTH(tbl_Kalender[[#This Row],[Datum]])</f>
        <v>1</v>
      </c>
      <c r="G1108" t="str">
        <f>TEXT(tbl_Kalender[[#This Row],[Datum]],"MMMM")</f>
        <v>Januar</v>
      </c>
      <c r="H1108">
        <f>ROUNDUP(tbl_Kalender[[#This Row],[Monat]]/3,0)</f>
        <v>1</v>
      </c>
      <c r="I1108" t="str">
        <f>"Q "&amp;tbl_Kalender[[#This Row],[Quartal]]</f>
        <v>Q 1</v>
      </c>
      <c r="J1108" t="str">
        <f>tbl_Kalender[[#This Row],[Quartal]]&amp;". Quartal"</f>
        <v>1. Quartal</v>
      </c>
      <c r="K1108">
        <f>_xlfn.ISOWEEKNUM(tbl_Kalender[[#This Row],[Datum]])</f>
        <v>2</v>
      </c>
    </row>
    <row r="1109" spans="1:11" x14ac:dyDescent="0.25">
      <c r="A1109" s="1">
        <v>46399</v>
      </c>
      <c r="B1109">
        <f>YEAR(tbl_Kalender[[#This Row],[Datum]])</f>
        <v>2027</v>
      </c>
      <c r="C1109">
        <f>DAY(tbl_Kalender[[#This Row],[Datum]])</f>
        <v>12</v>
      </c>
      <c r="D1109" t="str">
        <f>TEXT(tbl_Kalender[[#This Row],[Datum]],"TTTT")</f>
        <v>Dienstag</v>
      </c>
      <c r="E1109">
        <f>WEEKDAY(tbl_Kalender[[#This Row],[Datum]],2)</f>
        <v>2</v>
      </c>
      <c r="F1109">
        <f>MONTH(tbl_Kalender[[#This Row],[Datum]])</f>
        <v>1</v>
      </c>
      <c r="G1109" t="str">
        <f>TEXT(tbl_Kalender[[#This Row],[Datum]],"MMMM")</f>
        <v>Januar</v>
      </c>
      <c r="H1109">
        <f>ROUNDUP(tbl_Kalender[[#This Row],[Monat]]/3,0)</f>
        <v>1</v>
      </c>
      <c r="I1109" t="str">
        <f>"Q "&amp;tbl_Kalender[[#This Row],[Quartal]]</f>
        <v>Q 1</v>
      </c>
      <c r="J1109" t="str">
        <f>tbl_Kalender[[#This Row],[Quartal]]&amp;". Quartal"</f>
        <v>1. Quartal</v>
      </c>
      <c r="K1109">
        <f>_xlfn.ISOWEEKNUM(tbl_Kalender[[#This Row],[Datum]])</f>
        <v>2</v>
      </c>
    </row>
    <row r="1110" spans="1:11" x14ac:dyDescent="0.25">
      <c r="A1110" s="1">
        <v>46400</v>
      </c>
      <c r="B1110">
        <f>YEAR(tbl_Kalender[[#This Row],[Datum]])</f>
        <v>2027</v>
      </c>
      <c r="C1110">
        <f>DAY(tbl_Kalender[[#This Row],[Datum]])</f>
        <v>13</v>
      </c>
      <c r="D1110" t="str">
        <f>TEXT(tbl_Kalender[[#This Row],[Datum]],"TTTT")</f>
        <v>Mittwoch</v>
      </c>
      <c r="E1110">
        <f>WEEKDAY(tbl_Kalender[[#This Row],[Datum]],2)</f>
        <v>3</v>
      </c>
      <c r="F1110">
        <f>MONTH(tbl_Kalender[[#This Row],[Datum]])</f>
        <v>1</v>
      </c>
      <c r="G1110" t="str">
        <f>TEXT(tbl_Kalender[[#This Row],[Datum]],"MMMM")</f>
        <v>Januar</v>
      </c>
      <c r="H1110">
        <f>ROUNDUP(tbl_Kalender[[#This Row],[Monat]]/3,0)</f>
        <v>1</v>
      </c>
      <c r="I1110" t="str">
        <f>"Q "&amp;tbl_Kalender[[#This Row],[Quartal]]</f>
        <v>Q 1</v>
      </c>
      <c r="J1110" t="str">
        <f>tbl_Kalender[[#This Row],[Quartal]]&amp;". Quartal"</f>
        <v>1. Quartal</v>
      </c>
      <c r="K1110">
        <f>_xlfn.ISOWEEKNUM(tbl_Kalender[[#This Row],[Datum]])</f>
        <v>2</v>
      </c>
    </row>
    <row r="1111" spans="1:11" x14ac:dyDescent="0.25">
      <c r="A1111" s="1">
        <v>46401</v>
      </c>
      <c r="B1111">
        <f>YEAR(tbl_Kalender[[#This Row],[Datum]])</f>
        <v>2027</v>
      </c>
      <c r="C1111">
        <f>DAY(tbl_Kalender[[#This Row],[Datum]])</f>
        <v>14</v>
      </c>
      <c r="D1111" t="str">
        <f>TEXT(tbl_Kalender[[#This Row],[Datum]],"TTTT")</f>
        <v>Donnerstag</v>
      </c>
      <c r="E1111">
        <f>WEEKDAY(tbl_Kalender[[#This Row],[Datum]],2)</f>
        <v>4</v>
      </c>
      <c r="F1111">
        <f>MONTH(tbl_Kalender[[#This Row],[Datum]])</f>
        <v>1</v>
      </c>
      <c r="G1111" t="str">
        <f>TEXT(tbl_Kalender[[#This Row],[Datum]],"MMMM")</f>
        <v>Januar</v>
      </c>
      <c r="H1111">
        <f>ROUNDUP(tbl_Kalender[[#This Row],[Monat]]/3,0)</f>
        <v>1</v>
      </c>
      <c r="I1111" t="str">
        <f>"Q "&amp;tbl_Kalender[[#This Row],[Quartal]]</f>
        <v>Q 1</v>
      </c>
      <c r="J1111" t="str">
        <f>tbl_Kalender[[#This Row],[Quartal]]&amp;". Quartal"</f>
        <v>1. Quartal</v>
      </c>
      <c r="K1111">
        <f>_xlfn.ISOWEEKNUM(tbl_Kalender[[#This Row],[Datum]])</f>
        <v>2</v>
      </c>
    </row>
    <row r="1112" spans="1:11" x14ac:dyDescent="0.25">
      <c r="A1112" s="1">
        <v>46402</v>
      </c>
      <c r="B1112">
        <f>YEAR(tbl_Kalender[[#This Row],[Datum]])</f>
        <v>2027</v>
      </c>
      <c r="C1112">
        <f>DAY(tbl_Kalender[[#This Row],[Datum]])</f>
        <v>15</v>
      </c>
      <c r="D1112" t="str">
        <f>TEXT(tbl_Kalender[[#This Row],[Datum]],"TTTT")</f>
        <v>Freitag</v>
      </c>
      <c r="E1112">
        <f>WEEKDAY(tbl_Kalender[[#This Row],[Datum]],2)</f>
        <v>5</v>
      </c>
      <c r="F1112">
        <f>MONTH(tbl_Kalender[[#This Row],[Datum]])</f>
        <v>1</v>
      </c>
      <c r="G1112" t="str">
        <f>TEXT(tbl_Kalender[[#This Row],[Datum]],"MMMM")</f>
        <v>Januar</v>
      </c>
      <c r="H1112">
        <f>ROUNDUP(tbl_Kalender[[#This Row],[Monat]]/3,0)</f>
        <v>1</v>
      </c>
      <c r="I1112" t="str">
        <f>"Q "&amp;tbl_Kalender[[#This Row],[Quartal]]</f>
        <v>Q 1</v>
      </c>
      <c r="J1112" t="str">
        <f>tbl_Kalender[[#This Row],[Quartal]]&amp;". Quartal"</f>
        <v>1. Quartal</v>
      </c>
      <c r="K1112">
        <f>_xlfn.ISOWEEKNUM(tbl_Kalender[[#This Row],[Datum]])</f>
        <v>2</v>
      </c>
    </row>
    <row r="1113" spans="1:11" x14ac:dyDescent="0.25">
      <c r="A1113" s="1">
        <v>46403</v>
      </c>
      <c r="B1113">
        <f>YEAR(tbl_Kalender[[#This Row],[Datum]])</f>
        <v>2027</v>
      </c>
      <c r="C1113">
        <f>DAY(tbl_Kalender[[#This Row],[Datum]])</f>
        <v>16</v>
      </c>
      <c r="D1113" t="str">
        <f>TEXT(tbl_Kalender[[#This Row],[Datum]],"TTTT")</f>
        <v>Samstag</v>
      </c>
      <c r="E1113">
        <f>WEEKDAY(tbl_Kalender[[#This Row],[Datum]],2)</f>
        <v>6</v>
      </c>
      <c r="F1113">
        <f>MONTH(tbl_Kalender[[#This Row],[Datum]])</f>
        <v>1</v>
      </c>
      <c r="G1113" t="str">
        <f>TEXT(tbl_Kalender[[#This Row],[Datum]],"MMMM")</f>
        <v>Januar</v>
      </c>
      <c r="H1113">
        <f>ROUNDUP(tbl_Kalender[[#This Row],[Monat]]/3,0)</f>
        <v>1</v>
      </c>
      <c r="I1113" t="str">
        <f>"Q "&amp;tbl_Kalender[[#This Row],[Quartal]]</f>
        <v>Q 1</v>
      </c>
      <c r="J1113" t="str">
        <f>tbl_Kalender[[#This Row],[Quartal]]&amp;". Quartal"</f>
        <v>1. Quartal</v>
      </c>
      <c r="K1113">
        <f>_xlfn.ISOWEEKNUM(tbl_Kalender[[#This Row],[Datum]])</f>
        <v>2</v>
      </c>
    </row>
    <row r="1114" spans="1:11" x14ac:dyDescent="0.25">
      <c r="A1114" s="1">
        <v>46404</v>
      </c>
      <c r="B1114">
        <f>YEAR(tbl_Kalender[[#This Row],[Datum]])</f>
        <v>2027</v>
      </c>
      <c r="C1114">
        <f>DAY(tbl_Kalender[[#This Row],[Datum]])</f>
        <v>17</v>
      </c>
      <c r="D1114" t="str">
        <f>TEXT(tbl_Kalender[[#This Row],[Datum]],"TTTT")</f>
        <v>Sonntag</v>
      </c>
      <c r="E1114">
        <f>WEEKDAY(tbl_Kalender[[#This Row],[Datum]],2)</f>
        <v>7</v>
      </c>
      <c r="F1114">
        <f>MONTH(tbl_Kalender[[#This Row],[Datum]])</f>
        <v>1</v>
      </c>
      <c r="G1114" t="str">
        <f>TEXT(tbl_Kalender[[#This Row],[Datum]],"MMMM")</f>
        <v>Januar</v>
      </c>
      <c r="H1114">
        <f>ROUNDUP(tbl_Kalender[[#This Row],[Monat]]/3,0)</f>
        <v>1</v>
      </c>
      <c r="I1114" t="str">
        <f>"Q "&amp;tbl_Kalender[[#This Row],[Quartal]]</f>
        <v>Q 1</v>
      </c>
      <c r="J1114" t="str">
        <f>tbl_Kalender[[#This Row],[Quartal]]&amp;". Quartal"</f>
        <v>1. Quartal</v>
      </c>
      <c r="K1114">
        <f>_xlfn.ISOWEEKNUM(tbl_Kalender[[#This Row],[Datum]])</f>
        <v>2</v>
      </c>
    </row>
    <row r="1115" spans="1:11" x14ac:dyDescent="0.25">
      <c r="A1115" s="1">
        <v>46405</v>
      </c>
      <c r="B1115">
        <f>YEAR(tbl_Kalender[[#This Row],[Datum]])</f>
        <v>2027</v>
      </c>
      <c r="C1115">
        <f>DAY(tbl_Kalender[[#This Row],[Datum]])</f>
        <v>18</v>
      </c>
      <c r="D1115" t="str">
        <f>TEXT(tbl_Kalender[[#This Row],[Datum]],"TTTT")</f>
        <v>Montag</v>
      </c>
      <c r="E1115">
        <f>WEEKDAY(tbl_Kalender[[#This Row],[Datum]],2)</f>
        <v>1</v>
      </c>
      <c r="F1115">
        <f>MONTH(tbl_Kalender[[#This Row],[Datum]])</f>
        <v>1</v>
      </c>
      <c r="G1115" t="str">
        <f>TEXT(tbl_Kalender[[#This Row],[Datum]],"MMMM")</f>
        <v>Januar</v>
      </c>
      <c r="H1115">
        <f>ROUNDUP(tbl_Kalender[[#This Row],[Monat]]/3,0)</f>
        <v>1</v>
      </c>
      <c r="I1115" t="str">
        <f>"Q "&amp;tbl_Kalender[[#This Row],[Quartal]]</f>
        <v>Q 1</v>
      </c>
      <c r="J1115" t="str">
        <f>tbl_Kalender[[#This Row],[Quartal]]&amp;". Quartal"</f>
        <v>1. Quartal</v>
      </c>
      <c r="K1115">
        <f>_xlfn.ISOWEEKNUM(tbl_Kalender[[#This Row],[Datum]])</f>
        <v>3</v>
      </c>
    </row>
    <row r="1116" spans="1:11" x14ac:dyDescent="0.25">
      <c r="A1116" s="1">
        <v>46406</v>
      </c>
      <c r="B1116">
        <f>YEAR(tbl_Kalender[[#This Row],[Datum]])</f>
        <v>2027</v>
      </c>
      <c r="C1116">
        <f>DAY(tbl_Kalender[[#This Row],[Datum]])</f>
        <v>19</v>
      </c>
      <c r="D1116" t="str">
        <f>TEXT(tbl_Kalender[[#This Row],[Datum]],"TTTT")</f>
        <v>Dienstag</v>
      </c>
      <c r="E1116">
        <f>WEEKDAY(tbl_Kalender[[#This Row],[Datum]],2)</f>
        <v>2</v>
      </c>
      <c r="F1116">
        <f>MONTH(tbl_Kalender[[#This Row],[Datum]])</f>
        <v>1</v>
      </c>
      <c r="G1116" t="str">
        <f>TEXT(tbl_Kalender[[#This Row],[Datum]],"MMMM")</f>
        <v>Januar</v>
      </c>
      <c r="H1116">
        <f>ROUNDUP(tbl_Kalender[[#This Row],[Monat]]/3,0)</f>
        <v>1</v>
      </c>
      <c r="I1116" t="str">
        <f>"Q "&amp;tbl_Kalender[[#This Row],[Quartal]]</f>
        <v>Q 1</v>
      </c>
      <c r="J1116" t="str">
        <f>tbl_Kalender[[#This Row],[Quartal]]&amp;". Quartal"</f>
        <v>1. Quartal</v>
      </c>
      <c r="K1116">
        <f>_xlfn.ISOWEEKNUM(tbl_Kalender[[#This Row],[Datum]])</f>
        <v>3</v>
      </c>
    </row>
    <row r="1117" spans="1:11" x14ac:dyDescent="0.25">
      <c r="A1117" s="1">
        <v>46407</v>
      </c>
      <c r="B1117">
        <f>YEAR(tbl_Kalender[[#This Row],[Datum]])</f>
        <v>2027</v>
      </c>
      <c r="C1117">
        <f>DAY(tbl_Kalender[[#This Row],[Datum]])</f>
        <v>20</v>
      </c>
      <c r="D1117" t="str">
        <f>TEXT(tbl_Kalender[[#This Row],[Datum]],"TTTT")</f>
        <v>Mittwoch</v>
      </c>
      <c r="E1117">
        <f>WEEKDAY(tbl_Kalender[[#This Row],[Datum]],2)</f>
        <v>3</v>
      </c>
      <c r="F1117">
        <f>MONTH(tbl_Kalender[[#This Row],[Datum]])</f>
        <v>1</v>
      </c>
      <c r="G1117" t="str">
        <f>TEXT(tbl_Kalender[[#This Row],[Datum]],"MMMM")</f>
        <v>Januar</v>
      </c>
      <c r="H1117">
        <f>ROUNDUP(tbl_Kalender[[#This Row],[Monat]]/3,0)</f>
        <v>1</v>
      </c>
      <c r="I1117" t="str">
        <f>"Q "&amp;tbl_Kalender[[#This Row],[Quartal]]</f>
        <v>Q 1</v>
      </c>
      <c r="J1117" t="str">
        <f>tbl_Kalender[[#This Row],[Quartal]]&amp;". Quartal"</f>
        <v>1. Quartal</v>
      </c>
      <c r="K1117">
        <f>_xlfn.ISOWEEKNUM(tbl_Kalender[[#This Row],[Datum]])</f>
        <v>3</v>
      </c>
    </row>
    <row r="1118" spans="1:11" x14ac:dyDescent="0.25">
      <c r="A1118" s="1">
        <v>46408</v>
      </c>
      <c r="B1118">
        <f>YEAR(tbl_Kalender[[#This Row],[Datum]])</f>
        <v>2027</v>
      </c>
      <c r="C1118">
        <f>DAY(tbl_Kalender[[#This Row],[Datum]])</f>
        <v>21</v>
      </c>
      <c r="D1118" t="str">
        <f>TEXT(tbl_Kalender[[#This Row],[Datum]],"TTTT")</f>
        <v>Donnerstag</v>
      </c>
      <c r="E1118">
        <f>WEEKDAY(tbl_Kalender[[#This Row],[Datum]],2)</f>
        <v>4</v>
      </c>
      <c r="F1118">
        <f>MONTH(tbl_Kalender[[#This Row],[Datum]])</f>
        <v>1</v>
      </c>
      <c r="G1118" t="str">
        <f>TEXT(tbl_Kalender[[#This Row],[Datum]],"MMMM")</f>
        <v>Januar</v>
      </c>
      <c r="H1118">
        <f>ROUNDUP(tbl_Kalender[[#This Row],[Monat]]/3,0)</f>
        <v>1</v>
      </c>
      <c r="I1118" t="str">
        <f>"Q "&amp;tbl_Kalender[[#This Row],[Quartal]]</f>
        <v>Q 1</v>
      </c>
      <c r="J1118" t="str">
        <f>tbl_Kalender[[#This Row],[Quartal]]&amp;". Quartal"</f>
        <v>1. Quartal</v>
      </c>
      <c r="K1118">
        <f>_xlfn.ISOWEEKNUM(tbl_Kalender[[#This Row],[Datum]])</f>
        <v>3</v>
      </c>
    </row>
    <row r="1119" spans="1:11" x14ac:dyDescent="0.25">
      <c r="A1119" s="1">
        <v>46409</v>
      </c>
      <c r="B1119">
        <f>YEAR(tbl_Kalender[[#This Row],[Datum]])</f>
        <v>2027</v>
      </c>
      <c r="C1119">
        <f>DAY(tbl_Kalender[[#This Row],[Datum]])</f>
        <v>22</v>
      </c>
      <c r="D1119" t="str">
        <f>TEXT(tbl_Kalender[[#This Row],[Datum]],"TTTT")</f>
        <v>Freitag</v>
      </c>
      <c r="E1119">
        <f>WEEKDAY(tbl_Kalender[[#This Row],[Datum]],2)</f>
        <v>5</v>
      </c>
      <c r="F1119">
        <f>MONTH(tbl_Kalender[[#This Row],[Datum]])</f>
        <v>1</v>
      </c>
      <c r="G1119" t="str">
        <f>TEXT(tbl_Kalender[[#This Row],[Datum]],"MMMM")</f>
        <v>Januar</v>
      </c>
      <c r="H1119">
        <f>ROUNDUP(tbl_Kalender[[#This Row],[Monat]]/3,0)</f>
        <v>1</v>
      </c>
      <c r="I1119" t="str">
        <f>"Q "&amp;tbl_Kalender[[#This Row],[Quartal]]</f>
        <v>Q 1</v>
      </c>
      <c r="J1119" t="str">
        <f>tbl_Kalender[[#This Row],[Quartal]]&amp;". Quartal"</f>
        <v>1. Quartal</v>
      </c>
      <c r="K1119">
        <f>_xlfn.ISOWEEKNUM(tbl_Kalender[[#This Row],[Datum]])</f>
        <v>3</v>
      </c>
    </row>
    <row r="1120" spans="1:11" x14ac:dyDescent="0.25">
      <c r="A1120" s="1">
        <v>46410</v>
      </c>
      <c r="B1120">
        <f>YEAR(tbl_Kalender[[#This Row],[Datum]])</f>
        <v>2027</v>
      </c>
      <c r="C1120">
        <f>DAY(tbl_Kalender[[#This Row],[Datum]])</f>
        <v>23</v>
      </c>
      <c r="D1120" t="str">
        <f>TEXT(tbl_Kalender[[#This Row],[Datum]],"TTTT")</f>
        <v>Samstag</v>
      </c>
      <c r="E1120">
        <f>WEEKDAY(tbl_Kalender[[#This Row],[Datum]],2)</f>
        <v>6</v>
      </c>
      <c r="F1120">
        <f>MONTH(tbl_Kalender[[#This Row],[Datum]])</f>
        <v>1</v>
      </c>
      <c r="G1120" t="str">
        <f>TEXT(tbl_Kalender[[#This Row],[Datum]],"MMMM")</f>
        <v>Januar</v>
      </c>
      <c r="H1120">
        <f>ROUNDUP(tbl_Kalender[[#This Row],[Monat]]/3,0)</f>
        <v>1</v>
      </c>
      <c r="I1120" t="str">
        <f>"Q "&amp;tbl_Kalender[[#This Row],[Quartal]]</f>
        <v>Q 1</v>
      </c>
      <c r="J1120" t="str">
        <f>tbl_Kalender[[#This Row],[Quartal]]&amp;". Quartal"</f>
        <v>1. Quartal</v>
      </c>
      <c r="K1120">
        <f>_xlfn.ISOWEEKNUM(tbl_Kalender[[#This Row],[Datum]])</f>
        <v>3</v>
      </c>
    </row>
    <row r="1121" spans="1:11" x14ac:dyDescent="0.25">
      <c r="A1121" s="1">
        <v>46411</v>
      </c>
      <c r="B1121">
        <f>YEAR(tbl_Kalender[[#This Row],[Datum]])</f>
        <v>2027</v>
      </c>
      <c r="C1121">
        <f>DAY(tbl_Kalender[[#This Row],[Datum]])</f>
        <v>24</v>
      </c>
      <c r="D1121" t="str">
        <f>TEXT(tbl_Kalender[[#This Row],[Datum]],"TTTT")</f>
        <v>Sonntag</v>
      </c>
      <c r="E1121">
        <f>WEEKDAY(tbl_Kalender[[#This Row],[Datum]],2)</f>
        <v>7</v>
      </c>
      <c r="F1121">
        <f>MONTH(tbl_Kalender[[#This Row],[Datum]])</f>
        <v>1</v>
      </c>
      <c r="G1121" t="str">
        <f>TEXT(tbl_Kalender[[#This Row],[Datum]],"MMMM")</f>
        <v>Januar</v>
      </c>
      <c r="H1121">
        <f>ROUNDUP(tbl_Kalender[[#This Row],[Monat]]/3,0)</f>
        <v>1</v>
      </c>
      <c r="I1121" t="str">
        <f>"Q "&amp;tbl_Kalender[[#This Row],[Quartal]]</f>
        <v>Q 1</v>
      </c>
      <c r="J1121" t="str">
        <f>tbl_Kalender[[#This Row],[Quartal]]&amp;". Quartal"</f>
        <v>1. Quartal</v>
      </c>
      <c r="K1121">
        <f>_xlfn.ISOWEEKNUM(tbl_Kalender[[#This Row],[Datum]])</f>
        <v>3</v>
      </c>
    </row>
    <row r="1122" spans="1:11" x14ac:dyDescent="0.25">
      <c r="A1122" s="1">
        <v>46412</v>
      </c>
      <c r="B1122">
        <f>YEAR(tbl_Kalender[[#This Row],[Datum]])</f>
        <v>2027</v>
      </c>
      <c r="C1122">
        <f>DAY(tbl_Kalender[[#This Row],[Datum]])</f>
        <v>25</v>
      </c>
      <c r="D1122" t="str">
        <f>TEXT(tbl_Kalender[[#This Row],[Datum]],"TTTT")</f>
        <v>Montag</v>
      </c>
      <c r="E1122">
        <f>WEEKDAY(tbl_Kalender[[#This Row],[Datum]],2)</f>
        <v>1</v>
      </c>
      <c r="F1122">
        <f>MONTH(tbl_Kalender[[#This Row],[Datum]])</f>
        <v>1</v>
      </c>
      <c r="G1122" t="str">
        <f>TEXT(tbl_Kalender[[#This Row],[Datum]],"MMMM")</f>
        <v>Januar</v>
      </c>
      <c r="H1122">
        <f>ROUNDUP(tbl_Kalender[[#This Row],[Monat]]/3,0)</f>
        <v>1</v>
      </c>
      <c r="I1122" t="str">
        <f>"Q "&amp;tbl_Kalender[[#This Row],[Quartal]]</f>
        <v>Q 1</v>
      </c>
      <c r="J1122" t="str">
        <f>tbl_Kalender[[#This Row],[Quartal]]&amp;". Quartal"</f>
        <v>1. Quartal</v>
      </c>
      <c r="K1122">
        <f>_xlfn.ISOWEEKNUM(tbl_Kalender[[#This Row],[Datum]])</f>
        <v>4</v>
      </c>
    </row>
    <row r="1123" spans="1:11" x14ac:dyDescent="0.25">
      <c r="A1123" s="1">
        <v>46413</v>
      </c>
      <c r="B1123">
        <f>YEAR(tbl_Kalender[[#This Row],[Datum]])</f>
        <v>2027</v>
      </c>
      <c r="C1123">
        <f>DAY(tbl_Kalender[[#This Row],[Datum]])</f>
        <v>26</v>
      </c>
      <c r="D1123" t="str">
        <f>TEXT(tbl_Kalender[[#This Row],[Datum]],"TTTT")</f>
        <v>Dienstag</v>
      </c>
      <c r="E1123">
        <f>WEEKDAY(tbl_Kalender[[#This Row],[Datum]],2)</f>
        <v>2</v>
      </c>
      <c r="F1123">
        <f>MONTH(tbl_Kalender[[#This Row],[Datum]])</f>
        <v>1</v>
      </c>
      <c r="G1123" t="str">
        <f>TEXT(tbl_Kalender[[#This Row],[Datum]],"MMMM")</f>
        <v>Januar</v>
      </c>
      <c r="H1123">
        <f>ROUNDUP(tbl_Kalender[[#This Row],[Monat]]/3,0)</f>
        <v>1</v>
      </c>
      <c r="I1123" t="str">
        <f>"Q "&amp;tbl_Kalender[[#This Row],[Quartal]]</f>
        <v>Q 1</v>
      </c>
      <c r="J1123" t="str">
        <f>tbl_Kalender[[#This Row],[Quartal]]&amp;". Quartal"</f>
        <v>1. Quartal</v>
      </c>
      <c r="K1123">
        <f>_xlfn.ISOWEEKNUM(tbl_Kalender[[#This Row],[Datum]])</f>
        <v>4</v>
      </c>
    </row>
    <row r="1124" spans="1:11" x14ac:dyDescent="0.25">
      <c r="A1124" s="1">
        <v>46414</v>
      </c>
      <c r="B1124">
        <f>YEAR(tbl_Kalender[[#This Row],[Datum]])</f>
        <v>2027</v>
      </c>
      <c r="C1124">
        <f>DAY(tbl_Kalender[[#This Row],[Datum]])</f>
        <v>27</v>
      </c>
      <c r="D1124" t="str">
        <f>TEXT(tbl_Kalender[[#This Row],[Datum]],"TTTT")</f>
        <v>Mittwoch</v>
      </c>
      <c r="E1124">
        <f>WEEKDAY(tbl_Kalender[[#This Row],[Datum]],2)</f>
        <v>3</v>
      </c>
      <c r="F1124">
        <f>MONTH(tbl_Kalender[[#This Row],[Datum]])</f>
        <v>1</v>
      </c>
      <c r="G1124" t="str">
        <f>TEXT(tbl_Kalender[[#This Row],[Datum]],"MMMM")</f>
        <v>Januar</v>
      </c>
      <c r="H1124">
        <f>ROUNDUP(tbl_Kalender[[#This Row],[Monat]]/3,0)</f>
        <v>1</v>
      </c>
      <c r="I1124" t="str">
        <f>"Q "&amp;tbl_Kalender[[#This Row],[Quartal]]</f>
        <v>Q 1</v>
      </c>
      <c r="J1124" t="str">
        <f>tbl_Kalender[[#This Row],[Quartal]]&amp;". Quartal"</f>
        <v>1. Quartal</v>
      </c>
      <c r="K1124">
        <f>_xlfn.ISOWEEKNUM(tbl_Kalender[[#This Row],[Datum]])</f>
        <v>4</v>
      </c>
    </row>
    <row r="1125" spans="1:11" x14ac:dyDescent="0.25">
      <c r="A1125" s="1">
        <v>46415</v>
      </c>
      <c r="B1125">
        <f>YEAR(tbl_Kalender[[#This Row],[Datum]])</f>
        <v>2027</v>
      </c>
      <c r="C1125">
        <f>DAY(tbl_Kalender[[#This Row],[Datum]])</f>
        <v>28</v>
      </c>
      <c r="D1125" t="str">
        <f>TEXT(tbl_Kalender[[#This Row],[Datum]],"TTTT")</f>
        <v>Donnerstag</v>
      </c>
      <c r="E1125">
        <f>WEEKDAY(tbl_Kalender[[#This Row],[Datum]],2)</f>
        <v>4</v>
      </c>
      <c r="F1125">
        <f>MONTH(tbl_Kalender[[#This Row],[Datum]])</f>
        <v>1</v>
      </c>
      <c r="G1125" t="str">
        <f>TEXT(tbl_Kalender[[#This Row],[Datum]],"MMMM")</f>
        <v>Januar</v>
      </c>
      <c r="H1125">
        <f>ROUNDUP(tbl_Kalender[[#This Row],[Monat]]/3,0)</f>
        <v>1</v>
      </c>
      <c r="I1125" t="str">
        <f>"Q "&amp;tbl_Kalender[[#This Row],[Quartal]]</f>
        <v>Q 1</v>
      </c>
      <c r="J1125" t="str">
        <f>tbl_Kalender[[#This Row],[Quartal]]&amp;". Quartal"</f>
        <v>1. Quartal</v>
      </c>
      <c r="K1125">
        <f>_xlfn.ISOWEEKNUM(tbl_Kalender[[#This Row],[Datum]])</f>
        <v>4</v>
      </c>
    </row>
    <row r="1126" spans="1:11" x14ac:dyDescent="0.25">
      <c r="A1126" s="1">
        <v>46416</v>
      </c>
      <c r="B1126">
        <f>YEAR(tbl_Kalender[[#This Row],[Datum]])</f>
        <v>2027</v>
      </c>
      <c r="C1126">
        <f>DAY(tbl_Kalender[[#This Row],[Datum]])</f>
        <v>29</v>
      </c>
      <c r="D1126" t="str">
        <f>TEXT(tbl_Kalender[[#This Row],[Datum]],"TTTT")</f>
        <v>Freitag</v>
      </c>
      <c r="E1126">
        <f>WEEKDAY(tbl_Kalender[[#This Row],[Datum]],2)</f>
        <v>5</v>
      </c>
      <c r="F1126">
        <f>MONTH(tbl_Kalender[[#This Row],[Datum]])</f>
        <v>1</v>
      </c>
      <c r="G1126" t="str">
        <f>TEXT(tbl_Kalender[[#This Row],[Datum]],"MMMM")</f>
        <v>Januar</v>
      </c>
      <c r="H1126">
        <f>ROUNDUP(tbl_Kalender[[#This Row],[Monat]]/3,0)</f>
        <v>1</v>
      </c>
      <c r="I1126" t="str">
        <f>"Q "&amp;tbl_Kalender[[#This Row],[Quartal]]</f>
        <v>Q 1</v>
      </c>
      <c r="J1126" t="str">
        <f>tbl_Kalender[[#This Row],[Quartal]]&amp;". Quartal"</f>
        <v>1. Quartal</v>
      </c>
      <c r="K1126">
        <f>_xlfn.ISOWEEKNUM(tbl_Kalender[[#This Row],[Datum]])</f>
        <v>4</v>
      </c>
    </row>
    <row r="1127" spans="1:11" x14ac:dyDescent="0.25">
      <c r="A1127" s="1">
        <v>46417</v>
      </c>
      <c r="B1127">
        <f>YEAR(tbl_Kalender[[#This Row],[Datum]])</f>
        <v>2027</v>
      </c>
      <c r="C1127">
        <f>DAY(tbl_Kalender[[#This Row],[Datum]])</f>
        <v>30</v>
      </c>
      <c r="D1127" t="str">
        <f>TEXT(tbl_Kalender[[#This Row],[Datum]],"TTTT")</f>
        <v>Samstag</v>
      </c>
      <c r="E1127">
        <f>WEEKDAY(tbl_Kalender[[#This Row],[Datum]],2)</f>
        <v>6</v>
      </c>
      <c r="F1127">
        <f>MONTH(tbl_Kalender[[#This Row],[Datum]])</f>
        <v>1</v>
      </c>
      <c r="G1127" t="str">
        <f>TEXT(tbl_Kalender[[#This Row],[Datum]],"MMMM")</f>
        <v>Januar</v>
      </c>
      <c r="H1127">
        <f>ROUNDUP(tbl_Kalender[[#This Row],[Monat]]/3,0)</f>
        <v>1</v>
      </c>
      <c r="I1127" t="str">
        <f>"Q "&amp;tbl_Kalender[[#This Row],[Quartal]]</f>
        <v>Q 1</v>
      </c>
      <c r="J1127" t="str">
        <f>tbl_Kalender[[#This Row],[Quartal]]&amp;". Quartal"</f>
        <v>1. Quartal</v>
      </c>
      <c r="K1127">
        <f>_xlfn.ISOWEEKNUM(tbl_Kalender[[#This Row],[Datum]])</f>
        <v>4</v>
      </c>
    </row>
    <row r="1128" spans="1:11" x14ac:dyDescent="0.25">
      <c r="A1128" s="1">
        <v>46418</v>
      </c>
      <c r="B1128">
        <f>YEAR(tbl_Kalender[[#This Row],[Datum]])</f>
        <v>2027</v>
      </c>
      <c r="C1128">
        <f>DAY(tbl_Kalender[[#This Row],[Datum]])</f>
        <v>31</v>
      </c>
      <c r="D1128" t="str">
        <f>TEXT(tbl_Kalender[[#This Row],[Datum]],"TTTT")</f>
        <v>Sonntag</v>
      </c>
      <c r="E1128">
        <f>WEEKDAY(tbl_Kalender[[#This Row],[Datum]],2)</f>
        <v>7</v>
      </c>
      <c r="F1128">
        <f>MONTH(tbl_Kalender[[#This Row],[Datum]])</f>
        <v>1</v>
      </c>
      <c r="G1128" t="str">
        <f>TEXT(tbl_Kalender[[#This Row],[Datum]],"MMMM")</f>
        <v>Januar</v>
      </c>
      <c r="H1128">
        <f>ROUNDUP(tbl_Kalender[[#This Row],[Monat]]/3,0)</f>
        <v>1</v>
      </c>
      <c r="I1128" t="str">
        <f>"Q "&amp;tbl_Kalender[[#This Row],[Quartal]]</f>
        <v>Q 1</v>
      </c>
      <c r="J1128" t="str">
        <f>tbl_Kalender[[#This Row],[Quartal]]&amp;". Quartal"</f>
        <v>1. Quartal</v>
      </c>
      <c r="K1128">
        <f>_xlfn.ISOWEEKNUM(tbl_Kalender[[#This Row],[Datum]])</f>
        <v>4</v>
      </c>
    </row>
    <row r="1129" spans="1:11" x14ac:dyDescent="0.25">
      <c r="A1129" s="1">
        <v>46419</v>
      </c>
      <c r="B1129">
        <f>YEAR(tbl_Kalender[[#This Row],[Datum]])</f>
        <v>2027</v>
      </c>
      <c r="C1129">
        <f>DAY(tbl_Kalender[[#This Row],[Datum]])</f>
        <v>1</v>
      </c>
      <c r="D1129" t="str">
        <f>TEXT(tbl_Kalender[[#This Row],[Datum]],"TTTT")</f>
        <v>Montag</v>
      </c>
      <c r="E1129">
        <f>WEEKDAY(tbl_Kalender[[#This Row],[Datum]],2)</f>
        <v>1</v>
      </c>
      <c r="F1129">
        <f>MONTH(tbl_Kalender[[#This Row],[Datum]])</f>
        <v>2</v>
      </c>
      <c r="G1129" t="str">
        <f>TEXT(tbl_Kalender[[#This Row],[Datum]],"MMMM")</f>
        <v>Februar</v>
      </c>
      <c r="H1129">
        <f>ROUNDUP(tbl_Kalender[[#This Row],[Monat]]/3,0)</f>
        <v>1</v>
      </c>
      <c r="I1129" t="str">
        <f>"Q "&amp;tbl_Kalender[[#This Row],[Quartal]]</f>
        <v>Q 1</v>
      </c>
      <c r="J1129" t="str">
        <f>tbl_Kalender[[#This Row],[Quartal]]&amp;". Quartal"</f>
        <v>1. Quartal</v>
      </c>
      <c r="K1129">
        <f>_xlfn.ISOWEEKNUM(tbl_Kalender[[#This Row],[Datum]])</f>
        <v>5</v>
      </c>
    </row>
    <row r="1130" spans="1:11" x14ac:dyDescent="0.25">
      <c r="A1130" s="1">
        <v>46420</v>
      </c>
      <c r="B1130">
        <f>YEAR(tbl_Kalender[[#This Row],[Datum]])</f>
        <v>2027</v>
      </c>
      <c r="C1130">
        <f>DAY(tbl_Kalender[[#This Row],[Datum]])</f>
        <v>2</v>
      </c>
      <c r="D1130" t="str">
        <f>TEXT(tbl_Kalender[[#This Row],[Datum]],"TTTT")</f>
        <v>Dienstag</v>
      </c>
      <c r="E1130">
        <f>WEEKDAY(tbl_Kalender[[#This Row],[Datum]],2)</f>
        <v>2</v>
      </c>
      <c r="F1130">
        <f>MONTH(tbl_Kalender[[#This Row],[Datum]])</f>
        <v>2</v>
      </c>
      <c r="G1130" t="str">
        <f>TEXT(tbl_Kalender[[#This Row],[Datum]],"MMMM")</f>
        <v>Februar</v>
      </c>
      <c r="H1130">
        <f>ROUNDUP(tbl_Kalender[[#This Row],[Monat]]/3,0)</f>
        <v>1</v>
      </c>
      <c r="I1130" t="str">
        <f>"Q "&amp;tbl_Kalender[[#This Row],[Quartal]]</f>
        <v>Q 1</v>
      </c>
      <c r="J1130" t="str">
        <f>tbl_Kalender[[#This Row],[Quartal]]&amp;". Quartal"</f>
        <v>1. Quartal</v>
      </c>
      <c r="K1130">
        <f>_xlfn.ISOWEEKNUM(tbl_Kalender[[#This Row],[Datum]])</f>
        <v>5</v>
      </c>
    </row>
    <row r="1131" spans="1:11" x14ac:dyDescent="0.25">
      <c r="A1131" s="1">
        <v>46421</v>
      </c>
      <c r="B1131">
        <f>YEAR(tbl_Kalender[[#This Row],[Datum]])</f>
        <v>2027</v>
      </c>
      <c r="C1131">
        <f>DAY(tbl_Kalender[[#This Row],[Datum]])</f>
        <v>3</v>
      </c>
      <c r="D1131" t="str">
        <f>TEXT(tbl_Kalender[[#This Row],[Datum]],"TTTT")</f>
        <v>Mittwoch</v>
      </c>
      <c r="E1131">
        <f>WEEKDAY(tbl_Kalender[[#This Row],[Datum]],2)</f>
        <v>3</v>
      </c>
      <c r="F1131">
        <f>MONTH(tbl_Kalender[[#This Row],[Datum]])</f>
        <v>2</v>
      </c>
      <c r="G1131" t="str">
        <f>TEXT(tbl_Kalender[[#This Row],[Datum]],"MMMM")</f>
        <v>Februar</v>
      </c>
      <c r="H1131">
        <f>ROUNDUP(tbl_Kalender[[#This Row],[Monat]]/3,0)</f>
        <v>1</v>
      </c>
      <c r="I1131" t="str">
        <f>"Q "&amp;tbl_Kalender[[#This Row],[Quartal]]</f>
        <v>Q 1</v>
      </c>
      <c r="J1131" t="str">
        <f>tbl_Kalender[[#This Row],[Quartal]]&amp;". Quartal"</f>
        <v>1. Quartal</v>
      </c>
      <c r="K1131">
        <f>_xlfn.ISOWEEKNUM(tbl_Kalender[[#This Row],[Datum]])</f>
        <v>5</v>
      </c>
    </row>
    <row r="1132" spans="1:11" x14ac:dyDescent="0.25">
      <c r="A1132" s="1">
        <v>46422</v>
      </c>
      <c r="B1132">
        <f>YEAR(tbl_Kalender[[#This Row],[Datum]])</f>
        <v>2027</v>
      </c>
      <c r="C1132">
        <f>DAY(tbl_Kalender[[#This Row],[Datum]])</f>
        <v>4</v>
      </c>
      <c r="D1132" t="str">
        <f>TEXT(tbl_Kalender[[#This Row],[Datum]],"TTTT")</f>
        <v>Donnerstag</v>
      </c>
      <c r="E1132">
        <f>WEEKDAY(tbl_Kalender[[#This Row],[Datum]],2)</f>
        <v>4</v>
      </c>
      <c r="F1132">
        <f>MONTH(tbl_Kalender[[#This Row],[Datum]])</f>
        <v>2</v>
      </c>
      <c r="G1132" t="str">
        <f>TEXT(tbl_Kalender[[#This Row],[Datum]],"MMMM")</f>
        <v>Februar</v>
      </c>
      <c r="H1132">
        <f>ROUNDUP(tbl_Kalender[[#This Row],[Monat]]/3,0)</f>
        <v>1</v>
      </c>
      <c r="I1132" t="str">
        <f>"Q "&amp;tbl_Kalender[[#This Row],[Quartal]]</f>
        <v>Q 1</v>
      </c>
      <c r="J1132" t="str">
        <f>tbl_Kalender[[#This Row],[Quartal]]&amp;". Quartal"</f>
        <v>1. Quartal</v>
      </c>
      <c r="K1132">
        <f>_xlfn.ISOWEEKNUM(tbl_Kalender[[#This Row],[Datum]])</f>
        <v>5</v>
      </c>
    </row>
    <row r="1133" spans="1:11" x14ac:dyDescent="0.25">
      <c r="A1133" s="1">
        <v>46423</v>
      </c>
      <c r="B1133">
        <f>YEAR(tbl_Kalender[[#This Row],[Datum]])</f>
        <v>2027</v>
      </c>
      <c r="C1133">
        <f>DAY(tbl_Kalender[[#This Row],[Datum]])</f>
        <v>5</v>
      </c>
      <c r="D1133" t="str">
        <f>TEXT(tbl_Kalender[[#This Row],[Datum]],"TTTT")</f>
        <v>Freitag</v>
      </c>
      <c r="E1133">
        <f>WEEKDAY(tbl_Kalender[[#This Row],[Datum]],2)</f>
        <v>5</v>
      </c>
      <c r="F1133">
        <f>MONTH(tbl_Kalender[[#This Row],[Datum]])</f>
        <v>2</v>
      </c>
      <c r="G1133" t="str">
        <f>TEXT(tbl_Kalender[[#This Row],[Datum]],"MMMM")</f>
        <v>Februar</v>
      </c>
      <c r="H1133">
        <f>ROUNDUP(tbl_Kalender[[#This Row],[Monat]]/3,0)</f>
        <v>1</v>
      </c>
      <c r="I1133" t="str">
        <f>"Q "&amp;tbl_Kalender[[#This Row],[Quartal]]</f>
        <v>Q 1</v>
      </c>
      <c r="J1133" t="str">
        <f>tbl_Kalender[[#This Row],[Quartal]]&amp;". Quartal"</f>
        <v>1. Quartal</v>
      </c>
      <c r="K1133">
        <f>_xlfn.ISOWEEKNUM(tbl_Kalender[[#This Row],[Datum]])</f>
        <v>5</v>
      </c>
    </row>
    <row r="1134" spans="1:11" x14ac:dyDescent="0.25">
      <c r="A1134" s="1">
        <v>46424</v>
      </c>
      <c r="B1134">
        <f>YEAR(tbl_Kalender[[#This Row],[Datum]])</f>
        <v>2027</v>
      </c>
      <c r="C1134">
        <f>DAY(tbl_Kalender[[#This Row],[Datum]])</f>
        <v>6</v>
      </c>
      <c r="D1134" t="str">
        <f>TEXT(tbl_Kalender[[#This Row],[Datum]],"TTTT")</f>
        <v>Samstag</v>
      </c>
      <c r="E1134">
        <f>WEEKDAY(tbl_Kalender[[#This Row],[Datum]],2)</f>
        <v>6</v>
      </c>
      <c r="F1134">
        <f>MONTH(tbl_Kalender[[#This Row],[Datum]])</f>
        <v>2</v>
      </c>
      <c r="G1134" t="str">
        <f>TEXT(tbl_Kalender[[#This Row],[Datum]],"MMMM")</f>
        <v>Februar</v>
      </c>
      <c r="H1134">
        <f>ROUNDUP(tbl_Kalender[[#This Row],[Monat]]/3,0)</f>
        <v>1</v>
      </c>
      <c r="I1134" t="str">
        <f>"Q "&amp;tbl_Kalender[[#This Row],[Quartal]]</f>
        <v>Q 1</v>
      </c>
      <c r="J1134" t="str">
        <f>tbl_Kalender[[#This Row],[Quartal]]&amp;". Quartal"</f>
        <v>1. Quartal</v>
      </c>
      <c r="K1134">
        <f>_xlfn.ISOWEEKNUM(tbl_Kalender[[#This Row],[Datum]])</f>
        <v>5</v>
      </c>
    </row>
    <row r="1135" spans="1:11" x14ac:dyDescent="0.25">
      <c r="A1135" s="1">
        <v>46425</v>
      </c>
      <c r="B1135">
        <f>YEAR(tbl_Kalender[[#This Row],[Datum]])</f>
        <v>2027</v>
      </c>
      <c r="C1135">
        <f>DAY(tbl_Kalender[[#This Row],[Datum]])</f>
        <v>7</v>
      </c>
      <c r="D1135" t="str">
        <f>TEXT(tbl_Kalender[[#This Row],[Datum]],"TTTT")</f>
        <v>Sonntag</v>
      </c>
      <c r="E1135">
        <f>WEEKDAY(tbl_Kalender[[#This Row],[Datum]],2)</f>
        <v>7</v>
      </c>
      <c r="F1135">
        <f>MONTH(tbl_Kalender[[#This Row],[Datum]])</f>
        <v>2</v>
      </c>
      <c r="G1135" t="str">
        <f>TEXT(tbl_Kalender[[#This Row],[Datum]],"MMMM")</f>
        <v>Februar</v>
      </c>
      <c r="H1135">
        <f>ROUNDUP(tbl_Kalender[[#This Row],[Monat]]/3,0)</f>
        <v>1</v>
      </c>
      <c r="I1135" t="str">
        <f>"Q "&amp;tbl_Kalender[[#This Row],[Quartal]]</f>
        <v>Q 1</v>
      </c>
      <c r="J1135" t="str">
        <f>tbl_Kalender[[#This Row],[Quartal]]&amp;". Quartal"</f>
        <v>1. Quartal</v>
      </c>
      <c r="K1135">
        <f>_xlfn.ISOWEEKNUM(tbl_Kalender[[#This Row],[Datum]])</f>
        <v>5</v>
      </c>
    </row>
    <row r="1136" spans="1:11" x14ac:dyDescent="0.25">
      <c r="A1136" s="1">
        <v>46426</v>
      </c>
      <c r="B1136">
        <f>YEAR(tbl_Kalender[[#This Row],[Datum]])</f>
        <v>2027</v>
      </c>
      <c r="C1136">
        <f>DAY(tbl_Kalender[[#This Row],[Datum]])</f>
        <v>8</v>
      </c>
      <c r="D1136" t="str">
        <f>TEXT(tbl_Kalender[[#This Row],[Datum]],"TTTT")</f>
        <v>Montag</v>
      </c>
      <c r="E1136">
        <f>WEEKDAY(tbl_Kalender[[#This Row],[Datum]],2)</f>
        <v>1</v>
      </c>
      <c r="F1136">
        <f>MONTH(tbl_Kalender[[#This Row],[Datum]])</f>
        <v>2</v>
      </c>
      <c r="G1136" t="str">
        <f>TEXT(tbl_Kalender[[#This Row],[Datum]],"MMMM")</f>
        <v>Februar</v>
      </c>
      <c r="H1136">
        <f>ROUNDUP(tbl_Kalender[[#This Row],[Monat]]/3,0)</f>
        <v>1</v>
      </c>
      <c r="I1136" t="str">
        <f>"Q "&amp;tbl_Kalender[[#This Row],[Quartal]]</f>
        <v>Q 1</v>
      </c>
      <c r="J1136" t="str">
        <f>tbl_Kalender[[#This Row],[Quartal]]&amp;". Quartal"</f>
        <v>1. Quartal</v>
      </c>
      <c r="K1136">
        <f>_xlfn.ISOWEEKNUM(tbl_Kalender[[#This Row],[Datum]])</f>
        <v>6</v>
      </c>
    </row>
    <row r="1137" spans="1:11" x14ac:dyDescent="0.25">
      <c r="A1137" s="1">
        <v>46427</v>
      </c>
      <c r="B1137">
        <f>YEAR(tbl_Kalender[[#This Row],[Datum]])</f>
        <v>2027</v>
      </c>
      <c r="C1137">
        <f>DAY(tbl_Kalender[[#This Row],[Datum]])</f>
        <v>9</v>
      </c>
      <c r="D1137" t="str">
        <f>TEXT(tbl_Kalender[[#This Row],[Datum]],"TTTT")</f>
        <v>Dienstag</v>
      </c>
      <c r="E1137">
        <f>WEEKDAY(tbl_Kalender[[#This Row],[Datum]],2)</f>
        <v>2</v>
      </c>
      <c r="F1137">
        <f>MONTH(tbl_Kalender[[#This Row],[Datum]])</f>
        <v>2</v>
      </c>
      <c r="G1137" t="str">
        <f>TEXT(tbl_Kalender[[#This Row],[Datum]],"MMMM")</f>
        <v>Februar</v>
      </c>
      <c r="H1137">
        <f>ROUNDUP(tbl_Kalender[[#This Row],[Monat]]/3,0)</f>
        <v>1</v>
      </c>
      <c r="I1137" t="str">
        <f>"Q "&amp;tbl_Kalender[[#This Row],[Quartal]]</f>
        <v>Q 1</v>
      </c>
      <c r="J1137" t="str">
        <f>tbl_Kalender[[#This Row],[Quartal]]&amp;". Quartal"</f>
        <v>1. Quartal</v>
      </c>
      <c r="K1137">
        <f>_xlfn.ISOWEEKNUM(tbl_Kalender[[#This Row],[Datum]])</f>
        <v>6</v>
      </c>
    </row>
    <row r="1138" spans="1:11" x14ac:dyDescent="0.25">
      <c r="A1138" s="1">
        <v>46428</v>
      </c>
      <c r="B1138">
        <f>YEAR(tbl_Kalender[[#This Row],[Datum]])</f>
        <v>2027</v>
      </c>
      <c r="C1138">
        <f>DAY(tbl_Kalender[[#This Row],[Datum]])</f>
        <v>10</v>
      </c>
      <c r="D1138" t="str">
        <f>TEXT(tbl_Kalender[[#This Row],[Datum]],"TTTT")</f>
        <v>Mittwoch</v>
      </c>
      <c r="E1138">
        <f>WEEKDAY(tbl_Kalender[[#This Row],[Datum]],2)</f>
        <v>3</v>
      </c>
      <c r="F1138">
        <f>MONTH(tbl_Kalender[[#This Row],[Datum]])</f>
        <v>2</v>
      </c>
      <c r="G1138" t="str">
        <f>TEXT(tbl_Kalender[[#This Row],[Datum]],"MMMM")</f>
        <v>Februar</v>
      </c>
      <c r="H1138">
        <f>ROUNDUP(tbl_Kalender[[#This Row],[Monat]]/3,0)</f>
        <v>1</v>
      </c>
      <c r="I1138" t="str">
        <f>"Q "&amp;tbl_Kalender[[#This Row],[Quartal]]</f>
        <v>Q 1</v>
      </c>
      <c r="J1138" t="str">
        <f>tbl_Kalender[[#This Row],[Quartal]]&amp;". Quartal"</f>
        <v>1. Quartal</v>
      </c>
      <c r="K1138">
        <f>_xlfn.ISOWEEKNUM(tbl_Kalender[[#This Row],[Datum]])</f>
        <v>6</v>
      </c>
    </row>
    <row r="1139" spans="1:11" x14ac:dyDescent="0.25">
      <c r="A1139" s="1">
        <v>46429</v>
      </c>
      <c r="B1139">
        <f>YEAR(tbl_Kalender[[#This Row],[Datum]])</f>
        <v>2027</v>
      </c>
      <c r="C1139">
        <f>DAY(tbl_Kalender[[#This Row],[Datum]])</f>
        <v>11</v>
      </c>
      <c r="D1139" t="str">
        <f>TEXT(tbl_Kalender[[#This Row],[Datum]],"TTTT")</f>
        <v>Donnerstag</v>
      </c>
      <c r="E1139">
        <f>WEEKDAY(tbl_Kalender[[#This Row],[Datum]],2)</f>
        <v>4</v>
      </c>
      <c r="F1139">
        <f>MONTH(tbl_Kalender[[#This Row],[Datum]])</f>
        <v>2</v>
      </c>
      <c r="G1139" t="str">
        <f>TEXT(tbl_Kalender[[#This Row],[Datum]],"MMMM")</f>
        <v>Februar</v>
      </c>
      <c r="H1139">
        <f>ROUNDUP(tbl_Kalender[[#This Row],[Monat]]/3,0)</f>
        <v>1</v>
      </c>
      <c r="I1139" t="str">
        <f>"Q "&amp;tbl_Kalender[[#This Row],[Quartal]]</f>
        <v>Q 1</v>
      </c>
      <c r="J1139" t="str">
        <f>tbl_Kalender[[#This Row],[Quartal]]&amp;". Quartal"</f>
        <v>1. Quartal</v>
      </c>
      <c r="K1139">
        <f>_xlfn.ISOWEEKNUM(tbl_Kalender[[#This Row],[Datum]])</f>
        <v>6</v>
      </c>
    </row>
    <row r="1140" spans="1:11" x14ac:dyDescent="0.25">
      <c r="A1140" s="1">
        <v>46430</v>
      </c>
      <c r="B1140">
        <f>YEAR(tbl_Kalender[[#This Row],[Datum]])</f>
        <v>2027</v>
      </c>
      <c r="C1140">
        <f>DAY(tbl_Kalender[[#This Row],[Datum]])</f>
        <v>12</v>
      </c>
      <c r="D1140" t="str">
        <f>TEXT(tbl_Kalender[[#This Row],[Datum]],"TTTT")</f>
        <v>Freitag</v>
      </c>
      <c r="E1140">
        <f>WEEKDAY(tbl_Kalender[[#This Row],[Datum]],2)</f>
        <v>5</v>
      </c>
      <c r="F1140">
        <f>MONTH(tbl_Kalender[[#This Row],[Datum]])</f>
        <v>2</v>
      </c>
      <c r="G1140" t="str">
        <f>TEXT(tbl_Kalender[[#This Row],[Datum]],"MMMM")</f>
        <v>Februar</v>
      </c>
      <c r="H1140">
        <f>ROUNDUP(tbl_Kalender[[#This Row],[Monat]]/3,0)</f>
        <v>1</v>
      </c>
      <c r="I1140" t="str">
        <f>"Q "&amp;tbl_Kalender[[#This Row],[Quartal]]</f>
        <v>Q 1</v>
      </c>
      <c r="J1140" t="str">
        <f>tbl_Kalender[[#This Row],[Quartal]]&amp;". Quartal"</f>
        <v>1. Quartal</v>
      </c>
      <c r="K1140">
        <f>_xlfn.ISOWEEKNUM(tbl_Kalender[[#This Row],[Datum]])</f>
        <v>6</v>
      </c>
    </row>
    <row r="1141" spans="1:11" x14ac:dyDescent="0.25">
      <c r="A1141" s="1">
        <v>46431</v>
      </c>
      <c r="B1141">
        <f>YEAR(tbl_Kalender[[#This Row],[Datum]])</f>
        <v>2027</v>
      </c>
      <c r="C1141">
        <f>DAY(tbl_Kalender[[#This Row],[Datum]])</f>
        <v>13</v>
      </c>
      <c r="D1141" t="str">
        <f>TEXT(tbl_Kalender[[#This Row],[Datum]],"TTTT")</f>
        <v>Samstag</v>
      </c>
      <c r="E1141">
        <f>WEEKDAY(tbl_Kalender[[#This Row],[Datum]],2)</f>
        <v>6</v>
      </c>
      <c r="F1141">
        <f>MONTH(tbl_Kalender[[#This Row],[Datum]])</f>
        <v>2</v>
      </c>
      <c r="G1141" t="str">
        <f>TEXT(tbl_Kalender[[#This Row],[Datum]],"MMMM")</f>
        <v>Februar</v>
      </c>
      <c r="H1141">
        <f>ROUNDUP(tbl_Kalender[[#This Row],[Monat]]/3,0)</f>
        <v>1</v>
      </c>
      <c r="I1141" t="str">
        <f>"Q "&amp;tbl_Kalender[[#This Row],[Quartal]]</f>
        <v>Q 1</v>
      </c>
      <c r="J1141" t="str">
        <f>tbl_Kalender[[#This Row],[Quartal]]&amp;". Quartal"</f>
        <v>1. Quartal</v>
      </c>
      <c r="K1141">
        <f>_xlfn.ISOWEEKNUM(tbl_Kalender[[#This Row],[Datum]])</f>
        <v>6</v>
      </c>
    </row>
    <row r="1142" spans="1:11" x14ac:dyDescent="0.25">
      <c r="A1142" s="1">
        <v>46432</v>
      </c>
      <c r="B1142">
        <f>YEAR(tbl_Kalender[[#This Row],[Datum]])</f>
        <v>2027</v>
      </c>
      <c r="C1142">
        <f>DAY(tbl_Kalender[[#This Row],[Datum]])</f>
        <v>14</v>
      </c>
      <c r="D1142" t="str">
        <f>TEXT(tbl_Kalender[[#This Row],[Datum]],"TTTT")</f>
        <v>Sonntag</v>
      </c>
      <c r="E1142">
        <f>WEEKDAY(tbl_Kalender[[#This Row],[Datum]],2)</f>
        <v>7</v>
      </c>
      <c r="F1142">
        <f>MONTH(tbl_Kalender[[#This Row],[Datum]])</f>
        <v>2</v>
      </c>
      <c r="G1142" t="str">
        <f>TEXT(tbl_Kalender[[#This Row],[Datum]],"MMMM")</f>
        <v>Februar</v>
      </c>
      <c r="H1142">
        <f>ROUNDUP(tbl_Kalender[[#This Row],[Monat]]/3,0)</f>
        <v>1</v>
      </c>
      <c r="I1142" t="str">
        <f>"Q "&amp;tbl_Kalender[[#This Row],[Quartal]]</f>
        <v>Q 1</v>
      </c>
      <c r="J1142" t="str">
        <f>tbl_Kalender[[#This Row],[Quartal]]&amp;". Quartal"</f>
        <v>1. Quartal</v>
      </c>
      <c r="K1142">
        <f>_xlfn.ISOWEEKNUM(tbl_Kalender[[#This Row],[Datum]])</f>
        <v>6</v>
      </c>
    </row>
    <row r="1143" spans="1:11" x14ac:dyDescent="0.25">
      <c r="A1143" s="1">
        <v>46433</v>
      </c>
      <c r="B1143">
        <f>YEAR(tbl_Kalender[[#This Row],[Datum]])</f>
        <v>2027</v>
      </c>
      <c r="C1143">
        <f>DAY(tbl_Kalender[[#This Row],[Datum]])</f>
        <v>15</v>
      </c>
      <c r="D1143" t="str">
        <f>TEXT(tbl_Kalender[[#This Row],[Datum]],"TTTT")</f>
        <v>Montag</v>
      </c>
      <c r="E1143">
        <f>WEEKDAY(tbl_Kalender[[#This Row],[Datum]],2)</f>
        <v>1</v>
      </c>
      <c r="F1143">
        <f>MONTH(tbl_Kalender[[#This Row],[Datum]])</f>
        <v>2</v>
      </c>
      <c r="G1143" t="str">
        <f>TEXT(tbl_Kalender[[#This Row],[Datum]],"MMMM")</f>
        <v>Februar</v>
      </c>
      <c r="H1143">
        <f>ROUNDUP(tbl_Kalender[[#This Row],[Monat]]/3,0)</f>
        <v>1</v>
      </c>
      <c r="I1143" t="str">
        <f>"Q "&amp;tbl_Kalender[[#This Row],[Quartal]]</f>
        <v>Q 1</v>
      </c>
      <c r="J1143" t="str">
        <f>tbl_Kalender[[#This Row],[Quartal]]&amp;". Quartal"</f>
        <v>1. Quartal</v>
      </c>
      <c r="K1143">
        <f>_xlfn.ISOWEEKNUM(tbl_Kalender[[#This Row],[Datum]])</f>
        <v>7</v>
      </c>
    </row>
    <row r="1144" spans="1:11" x14ac:dyDescent="0.25">
      <c r="A1144" s="1">
        <v>46434</v>
      </c>
      <c r="B1144">
        <f>YEAR(tbl_Kalender[[#This Row],[Datum]])</f>
        <v>2027</v>
      </c>
      <c r="C1144">
        <f>DAY(tbl_Kalender[[#This Row],[Datum]])</f>
        <v>16</v>
      </c>
      <c r="D1144" t="str">
        <f>TEXT(tbl_Kalender[[#This Row],[Datum]],"TTTT")</f>
        <v>Dienstag</v>
      </c>
      <c r="E1144">
        <f>WEEKDAY(tbl_Kalender[[#This Row],[Datum]],2)</f>
        <v>2</v>
      </c>
      <c r="F1144">
        <f>MONTH(tbl_Kalender[[#This Row],[Datum]])</f>
        <v>2</v>
      </c>
      <c r="G1144" t="str">
        <f>TEXT(tbl_Kalender[[#This Row],[Datum]],"MMMM")</f>
        <v>Februar</v>
      </c>
      <c r="H1144">
        <f>ROUNDUP(tbl_Kalender[[#This Row],[Monat]]/3,0)</f>
        <v>1</v>
      </c>
      <c r="I1144" t="str">
        <f>"Q "&amp;tbl_Kalender[[#This Row],[Quartal]]</f>
        <v>Q 1</v>
      </c>
      <c r="J1144" t="str">
        <f>tbl_Kalender[[#This Row],[Quartal]]&amp;". Quartal"</f>
        <v>1. Quartal</v>
      </c>
      <c r="K1144">
        <f>_xlfn.ISOWEEKNUM(tbl_Kalender[[#This Row],[Datum]])</f>
        <v>7</v>
      </c>
    </row>
    <row r="1145" spans="1:11" x14ac:dyDescent="0.25">
      <c r="A1145" s="1">
        <v>46435</v>
      </c>
      <c r="B1145">
        <f>YEAR(tbl_Kalender[[#This Row],[Datum]])</f>
        <v>2027</v>
      </c>
      <c r="C1145">
        <f>DAY(tbl_Kalender[[#This Row],[Datum]])</f>
        <v>17</v>
      </c>
      <c r="D1145" t="str">
        <f>TEXT(tbl_Kalender[[#This Row],[Datum]],"TTTT")</f>
        <v>Mittwoch</v>
      </c>
      <c r="E1145">
        <f>WEEKDAY(tbl_Kalender[[#This Row],[Datum]],2)</f>
        <v>3</v>
      </c>
      <c r="F1145">
        <f>MONTH(tbl_Kalender[[#This Row],[Datum]])</f>
        <v>2</v>
      </c>
      <c r="G1145" t="str">
        <f>TEXT(tbl_Kalender[[#This Row],[Datum]],"MMMM")</f>
        <v>Februar</v>
      </c>
      <c r="H1145">
        <f>ROUNDUP(tbl_Kalender[[#This Row],[Monat]]/3,0)</f>
        <v>1</v>
      </c>
      <c r="I1145" t="str">
        <f>"Q "&amp;tbl_Kalender[[#This Row],[Quartal]]</f>
        <v>Q 1</v>
      </c>
      <c r="J1145" t="str">
        <f>tbl_Kalender[[#This Row],[Quartal]]&amp;". Quartal"</f>
        <v>1. Quartal</v>
      </c>
      <c r="K1145">
        <f>_xlfn.ISOWEEKNUM(tbl_Kalender[[#This Row],[Datum]])</f>
        <v>7</v>
      </c>
    </row>
    <row r="1146" spans="1:11" x14ac:dyDescent="0.25">
      <c r="A1146" s="1">
        <v>46436</v>
      </c>
      <c r="B1146">
        <f>YEAR(tbl_Kalender[[#This Row],[Datum]])</f>
        <v>2027</v>
      </c>
      <c r="C1146">
        <f>DAY(tbl_Kalender[[#This Row],[Datum]])</f>
        <v>18</v>
      </c>
      <c r="D1146" t="str">
        <f>TEXT(tbl_Kalender[[#This Row],[Datum]],"TTTT")</f>
        <v>Donnerstag</v>
      </c>
      <c r="E1146">
        <f>WEEKDAY(tbl_Kalender[[#This Row],[Datum]],2)</f>
        <v>4</v>
      </c>
      <c r="F1146">
        <f>MONTH(tbl_Kalender[[#This Row],[Datum]])</f>
        <v>2</v>
      </c>
      <c r="G1146" t="str">
        <f>TEXT(tbl_Kalender[[#This Row],[Datum]],"MMMM")</f>
        <v>Februar</v>
      </c>
      <c r="H1146">
        <f>ROUNDUP(tbl_Kalender[[#This Row],[Monat]]/3,0)</f>
        <v>1</v>
      </c>
      <c r="I1146" t="str">
        <f>"Q "&amp;tbl_Kalender[[#This Row],[Quartal]]</f>
        <v>Q 1</v>
      </c>
      <c r="J1146" t="str">
        <f>tbl_Kalender[[#This Row],[Quartal]]&amp;". Quartal"</f>
        <v>1. Quartal</v>
      </c>
      <c r="K1146">
        <f>_xlfn.ISOWEEKNUM(tbl_Kalender[[#This Row],[Datum]])</f>
        <v>7</v>
      </c>
    </row>
    <row r="1147" spans="1:11" x14ac:dyDescent="0.25">
      <c r="A1147" s="1">
        <v>46437</v>
      </c>
      <c r="B1147">
        <f>YEAR(tbl_Kalender[[#This Row],[Datum]])</f>
        <v>2027</v>
      </c>
      <c r="C1147">
        <f>DAY(tbl_Kalender[[#This Row],[Datum]])</f>
        <v>19</v>
      </c>
      <c r="D1147" t="str">
        <f>TEXT(tbl_Kalender[[#This Row],[Datum]],"TTTT")</f>
        <v>Freitag</v>
      </c>
      <c r="E1147">
        <f>WEEKDAY(tbl_Kalender[[#This Row],[Datum]],2)</f>
        <v>5</v>
      </c>
      <c r="F1147">
        <f>MONTH(tbl_Kalender[[#This Row],[Datum]])</f>
        <v>2</v>
      </c>
      <c r="G1147" t="str">
        <f>TEXT(tbl_Kalender[[#This Row],[Datum]],"MMMM")</f>
        <v>Februar</v>
      </c>
      <c r="H1147">
        <f>ROUNDUP(tbl_Kalender[[#This Row],[Monat]]/3,0)</f>
        <v>1</v>
      </c>
      <c r="I1147" t="str">
        <f>"Q "&amp;tbl_Kalender[[#This Row],[Quartal]]</f>
        <v>Q 1</v>
      </c>
      <c r="J1147" t="str">
        <f>tbl_Kalender[[#This Row],[Quartal]]&amp;". Quartal"</f>
        <v>1. Quartal</v>
      </c>
      <c r="K1147">
        <f>_xlfn.ISOWEEKNUM(tbl_Kalender[[#This Row],[Datum]])</f>
        <v>7</v>
      </c>
    </row>
    <row r="1148" spans="1:11" x14ac:dyDescent="0.25">
      <c r="A1148" s="1">
        <v>46438</v>
      </c>
      <c r="B1148">
        <f>YEAR(tbl_Kalender[[#This Row],[Datum]])</f>
        <v>2027</v>
      </c>
      <c r="C1148">
        <f>DAY(tbl_Kalender[[#This Row],[Datum]])</f>
        <v>20</v>
      </c>
      <c r="D1148" t="str">
        <f>TEXT(tbl_Kalender[[#This Row],[Datum]],"TTTT")</f>
        <v>Samstag</v>
      </c>
      <c r="E1148">
        <f>WEEKDAY(tbl_Kalender[[#This Row],[Datum]],2)</f>
        <v>6</v>
      </c>
      <c r="F1148">
        <f>MONTH(tbl_Kalender[[#This Row],[Datum]])</f>
        <v>2</v>
      </c>
      <c r="G1148" t="str">
        <f>TEXT(tbl_Kalender[[#This Row],[Datum]],"MMMM")</f>
        <v>Februar</v>
      </c>
      <c r="H1148">
        <f>ROUNDUP(tbl_Kalender[[#This Row],[Monat]]/3,0)</f>
        <v>1</v>
      </c>
      <c r="I1148" t="str">
        <f>"Q "&amp;tbl_Kalender[[#This Row],[Quartal]]</f>
        <v>Q 1</v>
      </c>
      <c r="J1148" t="str">
        <f>tbl_Kalender[[#This Row],[Quartal]]&amp;". Quartal"</f>
        <v>1. Quartal</v>
      </c>
      <c r="K1148">
        <f>_xlfn.ISOWEEKNUM(tbl_Kalender[[#This Row],[Datum]])</f>
        <v>7</v>
      </c>
    </row>
    <row r="1149" spans="1:11" x14ac:dyDescent="0.25">
      <c r="A1149" s="1">
        <v>46439</v>
      </c>
      <c r="B1149">
        <f>YEAR(tbl_Kalender[[#This Row],[Datum]])</f>
        <v>2027</v>
      </c>
      <c r="C1149">
        <f>DAY(tbl_Kalender[[#This Row],[Datum]])</f>
        <v>21</v>
      </c>
      <c r="D1149" t="str">
        <f>TEXT(tbl_Kalender[[#This Row],[Datum]],"TTTT")</f>
        <v>Sonntag</v>
      </c>
      <c r="E1149">
        <f>WEEKDAY(tbl_Kalender[[#This Row],[Datum]],2)</f>
        <v>7</v>
      </c>
      <c r="F1149">
        <f>MONTH(tbl_Kalender[[#This Row],[Datum]])</f>
        <v>2</v>
      </c>
      <c r="G1149" t="str">
        <f>TEXT(tbl_Kalender[[#This Row],[Datum]],"MMMM")</f>
        <v>Februar</v>
      </c>
      <c r="H1149">
        <f>ROUNDUP(tbl_Kalender[[#This Row],[Monat]]/3,0)</f>
        <v>1</v>
      </c>
      <c r="I1149" t="str">
        <f>"Q "&amp;tbl_Kalender[[#This Row],[Quartal]]</f>
        <v>Q 1</v>
      </c>
      <c r="J1149" t="str">
        <f>tbl_Kalender[[#This Row],[Quartal]]&amp;". Quartal"</f>
        <v>1. Quartal</v>
      </c>
      <c r="K1149">
        <f>_xlfn.ISOWEEKNUM(tbl_Kalender[[#This Row],[Datum]])</f>
        <v>7</v>
      </c>
    </row>
    <row r="1150" spans="1:11" x14ac:dyDescent="0.25">
      <c r="A1150" s="1">
        <v>46440</v>
      </c>
      <c r="B1150">
        <f>YEAR(tbl_Kalender[[#This Row],[Datum]])</f>
        <v>2027</v>
      </c>
      <c r="C1150">
        <f>DAY(tbl_Kalender[[#This Row],[Datum]])</f>
        <v>22</v>
      </c>
      <c r="D1150" t="str">
        <f>TEXT(tbl_Kalender[[#This Row],[Datum]],"TTTT")</f>
        <v>Montag</v>
      </c>
      <c r="E1150">
        <f>WEEKDAY(tbl_Kalender[[#This Row],[Datum]],2)</f>
        <v>1</v>
      </c>
      <c r="F1150">
        <f>MONTH(tbl_Kalender[[#This Row],[Datum]])</f>
        <v>2</v>
      </c>
      <c r="G1150" t="str">
        <f>TEXT(tbl_Kalender[[#This Row],[Datum]],"MMMM")</f>
        <v>Februar</v>
      </c>
      <c r="H1150">
        <f>ROUNDUP(tbl_Kalender[[#This Row],[Monat]]/3,0)</f>
        <v>1</v>
      </c>
      <c r="I1150" t="str">
        <f>"Q "&amp;tbl_Kalender[[#This Row],[Quartal]]</f>
        <v>Q 1</v>
      </c>
      <c r="J1150" t="str">
        <f>tbl_Kalender[[#This Row],[Quartal]]&amp;". Quartal"</f>
        <v>1. Quartal</v>
      </c>
      <c r="K1150">
        <f>_xlfn.ISOWEEKNUM(tbl_Kalender[[#This Row],[Datum]])</f>
        <v>8</v>
      </c>
    </row>
    <row r="1151" spans="1:11" x14ac:dyDescent="0.25">
      <c r="A1151" s="1">
        <v>46441</v>
      </c>
      <c r="B1151">
        <f>YEAR(tbl_Kalender[[#This Row],[Datum]])</f>
        <v>2027</v>
      </c>
      <c r="C1151">
        <f>DAY(tbl_Kalender[[#This Row],[Datum]])</f>
        <v>23</v>
      </c>
      <c r="D1151" t="str">
        <f>TEXT(tbl_Kalender[[#This Row],[Datum]],"TTTT")</f>
        <v>Dienstag</v>
      </c>
      <c r="E1151">
        <f>WEEKDAY(tbl_Kalender[[#This Row],[Datum]],2)</f>
        <v>2</v>
      </c>
      <c r="F1151">
        <f>MONTH(tbl_Kalender[[#This Row],[Datum]])</f>
        <v>2</v>
      </c>
      <c r="G1151" t="str">
        <f>TEXT(tbl_Kalender[[#This Row],[Datum]],"MMMM")</f>
        <v>Februar</v>
      </c>
      <c r="H1151">
        <f>ROUNDUP(tbl_Kalender[[#This Row],[Monat]]/3,0)</f>
        <v>1</v>
      </c>
      <c r="I1151" t="str">
        <f>"Q "&amp;tbl_Kalender[[#This Row],[Quartal]]</f>
        <v>Q 1</v>
      </c>
      <c r="J1151" t="str">
        <f>tbl_Kalender[[#This Row],[Quartal]]&amp;". Quartal"</f>
        <v>1. Quartal</v>
      </c>
      <c r="K1151">
        <f>_xlfn.ISOWEEKNUM(tbl_Kalender[[#This Row],[Datum]])</f>
        <v>8</v>
      </c>
    </row>
    <row r="1152" spans="1:11" x14ac:dyDescent="0.25">
      <c r="A1152" s="1">
        <v>46442</v>
      </c>
      <c r="B1152">
        <f>YEAR(tbl_Kalender[[#This Row],[Datum]])</f>
        <v>2027</v>
      </c>
      <c r="C1152">
        <f>DAY(tbl_Kalender[[#This Row],[Datum]])</f>
        <v>24</v>
      </c>
      <c r="D1152" t="str">
        <f>TEXT(tbl_Kalender[[#This Row],[Datum]],"TTTT")</f>
        <v>Mittwoch</v>
      </c>
      <c r="E1152">
        <f>WEEKDAY(tbl_Kalender[[#This Row],[Datum]],2)</f>
        <v>3</v>
      </c>
      <c r="F1152">
        <f>MONTH(tbl_Kalender[[#This Row],[Datum]])</f>
        <v>2</v>
      </c>
      <c r="G1152" t="str">
        <f>TEXT(tbl_Kalender[[#This Row],[Datum]],"MMMM")</f>
        <v>Februar</v>
      </c>
      <c r="H1152">
        <f>ROUNDUP(tbl_Kalender[[#This Row],[Monat]]/3,0)</f>
        <v>1</v>
      </c>
      <c r="I1152" t="str">
        <f>"Q "&amp;tbl_Kalender[[#This Row],[Quartal]]</f>
        <v>Q 1</v>
      </c>
      <c r="J1152" t="str">
        <f>tbl_Kalender[[#This Row],[Quartal]]&amp;". Quartal"</f>
        <v>1. Quartal</v>
      </c>
      <c r="K1152">
        <f>_xlfn.ISOWEEKNUM(tbl_Kalender[[#This Row],[Datum]])</f>
        <v>8</v>
      </c>
    </row>
    <row r="1153" spans="1:11" x14ac:dyDescent="0.25">
      <c r="A1153" s="1">
        <v>46443</v>
      </c>
      <c r="B1153">
        <f>YEAR(tbl_Kalender[[#This Row],[Datum]])</f>
        <v>2027</v>
      </c>
      <c r="C1153">
        <f>DAY(tbl_Kalender[[#This Row],[Datum]])</f>
        <v>25</v>
      </c>
      <c r="D1153" t="str">
        <f>TEXT(tbl_Kalender[[#This Row],[Datum]],"TTTT")</f>
        <v>Donnerstag</v>
      </c>
      <c r="E1153">
        <f>WEEKDAY(tbl_Kalender[[#This Row],[Datum]],2)</f>
        <v>4</v>
      </c>
      <c r="F1153">
        <f>MONTH(tbl_Kalender[[#This Row],[Datum]])</f>
        <v>2</v>
      </c>
      <c r="G1153" t="str">
        <f>TEXT(tbl_Kalender[[#This Row],[Datum]],"MMMM")</f>
        <v>Februar</v>
      </c>
      <c r="H1153">
        <f>ROUNDUP(tbl_Kalender[[#This Row],[Monat]]/3,0)</f>
        <v>1</v>
      </c>
      <c r="I1153" t="str">
        <f>"Q "&amp;tbl_Kalender[[#This Row],[Quartal]]</f>
        <v>Q 1</v>
      </c>
      <c r="J1153" t="str">
        <f>tbl_Kalender[[#This Row],[Quartal]]&amp;". Quartal"</f>
        <v>1. Quartal</v>
      </c>
      <c r="K1153">
        <f>_xlfn.ISOWEEKNUM(tbl_Kalender[[#This Row],[Datum]])</f>
        <v>8</v>
      </c>
    </row>
    <row r="1154" spans="1:11" x14ac:dyDescent="0.25">
      <c r="A1154" s="1">
        <v>46444</v>
      </c>
      <c r="B1154">
        <f>YEAR(tbl_Kalender[[#This Row],[Datum]])</f>
        <v>2027</v>
      </c>
      <c r="C1154">
        <f>DAY(tbl_Kalender[[#This Row],[Datum]])</f>
        <v>26</v>
      </c>
      <c r="D1154" t="str">
        <f>TEXT(tbl_Kalender[[#This Row],[Datum]],"TTTT")</f>
        <v>Freitag</v>
      </c>
      <c r="E1154">
        <f>WEEKDAY(tbl_Kalender[[#This Row],[Datum]],2)</f>
        <v>5</v>
      </c>
      <c r="F1154">
        <f>MONTH(tbl_Kalender[[#This Row],[Datum]])</f>
        <v>2</v>
      </c>
      <c r="G1154" t="str">
        <f>TEXT(tbl_Kalender[[#This Row],[Datum]],"MMMM")</f>
        <v>Februar</v>
      </c>
      <c r="H1154">
        <f>ROUNDUP(tbl_Kalender[[#This Row],[Monat]]/3,0)</f>
        <v>1</v>
      </c>
      <c r="I1154" t="str">
        <f>"Q "&amp;tbl_Kalender[[#This Row],[Quartal]]</f>
        <v>Q 1</v>
      </c>
      <c r="J1154" t="str">
        <f>tbl_Kalender[[#This Row],[Quartal]]&amp;". Quartal"</f>
        <v>1. Quartal</v>
      </c>
      <c r="K1154">
        <f>_xlfn.ISOWEEKNUM(tbl_Kalender[[#This Row],[Datum]])</f>
        <v>8</v>
      </c>
    </row>
    <row r="1155" spans="1:11" x14ac:dyDescent="0.25">
      <c r="A1155" s="1">
        <v>46445</v>
      </c>
      <c r="B1155">
        <f>YEAR(tbl_Kalender[[#This Row],[Datum]])</f>
        <v>2027</v>
      </c>
      <c r="C1155">
        <f>DAY(tbl_Kalender[[#This Row],[Datum]])</f>
        <v>27</v>
      </c>
      <c r="D1155" t="str">
        <f>TEXT(tbl_Kalender[[#This Row],[Datum]],"TTTT")</f>
        <v>Samstag</v>
      </c>
      <c r="E1155">
        <f>WEEKDAY(tbl_Kalender[[#This Row],[Datum]],2)</f>
        <v>6</v>
      </c>
      <c r="F1155">
        <f>MONTH(tbl_Kalender[[#This Row],[Datum]])</f>
        <v>2</v>
      </c>
      <c r="G1155" t="str">
        <f>TEXT(tbl_Kalender[[#This Row],[Datum]],"MMMM")</f>
        <v>Februar</v>
      </c>
      <c r="H1155">
        <f>ROUNDUP(tbl_Kalender[[#This Row],[Monat]]/3,0)</f>
        <v>1</v>
      </c>
      <c r="I1155" t="str">
        <f>"Q "&amp;tbl_Kalender[[#This Row],[Quartal]]</f>
        <v>Q 1</v>
      </c>
      <c r="J1155" t="str">
        <f>tbl_Kalender[[#This Row],[Quartal]]&amp;". Quartal"</f>
        <v>1. Quartal</v>
      </c>
      <c r="K1155">
        <f>_xlfn.ISOWEEKNUM(tbl_Kalender[[#This Row],[Datum]])</f>
        <v>8</v>
      </c>
    </row>
    <row r="1156" spans="1:11" x14ac:dyDescent="0.25">
      <c r="A1156" s="1">
        <v>46446</v>
      </c>
      <c r="B1156">
        <f>YEAR(tbl_Kalender[[#This Row],[Datum]])</f>
        <v>2027</v>
      </c>
      <c r="C1156">
        <f>DAY(tbl_Kalender[[#This Row],[Datum]])</f>
        <v>28</v>
      </c>
      <c r="D1156" t="str">
        <f>TEXT(tbl_Kalender[[#This Row],[Datum]],"TTTT")</f>
        <v>Sonntag</v>
      </c>
      <c r="E1156">
        <f>WEEKDAY(tbl_Kalender[[#This Row],[Datum]],2)</f>
        <v>7</v>
      </c>
      <c r="F1156">
        <f>MONTH(tbl_Kalender[[#This Row],[Datum]])</f>
        <v>2</v>
      </c>
      <c r="G1156" t="str">
        <f>TEXT(tbl_Kalender[[#This Row],[Datum]],"MMMM")</f>
        <v>Februar</v>
      </c>
      <c r="H1156">
        <f>ROUNDUP(tbl_Kalender[[#This Row],[Monat]]/3,0)</f>
        <v>1</v>
      </c>
      <c r="I1156" t="str">
        <f>"Q "&amp;tbl_Kalender[[#This Row],[Quartal]]</f>
        <v>Q 1</v>
      </c>
      <c r="J1156" t="str">
        <f>tbl_Kalender[[#This Row],[Quartal]]&amp;". Quartal"</f>
        <v>1. Quartal</v>
      </c>
      <c r="K1156">
        <f>_xlfn.ISOWEEKNUM(tbl_Kalender[[#This Row],[Datum]])</f>
        <v>8</v>
      </c>
    </row>
    <row r="1157" spans="1:11" x14ac:dyDescent="0.25">
      <c r="A1157" s="1">
        <v>46447</v>
      </c>
      <c r="B1157">
        <f>YEAR(tbl_Kalender[[#This Row],[Datum]])</f>
        <v>2027</v>
      </c>
      <c r="C1157">
        <f>DAY(tbl_Kalender[[#This Row],[Datum]])</f>
        <v>1</v>
      </c>
      <c r="D1157" t="str">
        <f>TEXT(tbl_Kalender[[#This Row],[Datum]],"TTTT")</f>
        <v>Montag</v>
      </c>
      <c r="E1157">
        <f>WEEKDAY(tbl_Kalender[[#This Row],[Datum]],2)</f>
        <v>1</v>
      </c>
      <c r="F1157">
        <f>MONTH(tbl_Kalender[[#This Row],[Datum]])</f>
        <v>3</v>
      </c>
      <c r="G1157" t="str">
        <f>TEXT(tbl_Kalender[[#This Row],[Datum]],"MMMM")</f>
        <v>März</v>
      </c>
      <c r="H1157">
        <f>ROUNDUP(tbl_Kalender[[#This Row],[Monat]]/3,0)</f>
        <v>1</v>
      </c>
      <c r="I1157" t="str">
        <f>"Q "&amp;tbl_Kalender[[#This Row],[Quartal]]</f>
        <v>Q 1</v>
      </c>
      <c r="J1157" t="str">
        <f>tbl_Kalender[[#This Row],[Quartal]]&amp;". Quartal"</f>
        <v>1. Quartal</v>
      </c>
      <c r="K1157">
        <f>_xlfn.ISOWEEKNUM(tbl_Kalender[[#This Row],[Datum]])</f>
        <v>9</v>
      </c>
    </row>
    <row r="1158" spans="1:11" x14ac:dyDescent="0.25">
      <c r="A1158" s="1">
        <v>46448</v>
      </c>
      <c r="B1158">
        <f>YEAR(tbl_Kalender[[#This Row],[Datum]])</f>
        <v>2027</v>
      </c>
      <c r="C1158">
        <f>DAY(tbl_Kalender[[#This Row],[Datum]])</f>
        <v>2</v>
      </c>
      <c r="D1158" t="str">
        <f>TEXT(tbl_Kalender[[#This Row],[Datum]],"TTTT")</f>
        <v>Dienstag</v>
      </c>
      <c r="E1158">
        <f>WEEKDAY(tbl_Kalender[[#This Row],[Datum]],2)</f>
        <v>2</v>
      </c>
      <c r="F1158">
        <f>MONTH(tbl_Kalender[[#This Row],[Datum]])</f>
        <v>3</v>
      </c>
      <c r="G1158" t="str">
        <f>TEXT(tbl_Kalender[[#This Row],[Datum]],"MMMM")</f>
        <v>März</v>
      </c>
      <c r="H1158">
        <f>ROUNDUP(tbl_Kalender[[#This Row],[Monat]]/3,0)</f>
        <v>1</v>
      </c>
      <c r="I1158" t="str">
        <f>"Q "&amp;tbl_Kalender[[#This Row],[Quartal]]</f>
        <v>Q 1</v>
      </c>
      <c r="J1158" t="str">
        <f>tbl_Kalender[[#This Row],[Quartal]]&amp;". Quartal"</f>
        <v>1. Quartal</v>
      </c>
      <c r="K1158">
        <f>_xlfn.ISOWEEKNUM(tbl_Kalender[[#This Row],[Datum]])</f>
        <v>9</v>
      </c>
    </row>
    <row r="1159" spans="1:11" x14ac:dyDescent="0.25">
      <c r="A1159" s="1">
        <v>46449</v>
      </c>
      <c r="B1159">
        <f>YEAR(tbl_Kalender[[#This Row],[Datum]])</f>
        <v>2027</v>
      </c>
      <c r="C1159">
        <f>DAY(tbl_Kalender[[#This Row],[Datum]])</f>
        <v>3</v>
      </c>
      <c r="D1159" t="str">
        <f>TEXT(tbl_Kalender[[#This Row],[Datum]],"TTTT")</f>
        <v>Mittwoch</v>
      </c>
      <c r="E1159">
        <f>WEEKDAY(tbl_Kalender[[#This Row],[Datum]],2)</f>
        <v>3</v>
      </c>
      <c r="F1159">
        <f>MONTH(tbl_Kalender[[#This Row],[Datum]])</f>
        <v>3</v>
      </c>
      <c r="G1159" t="str">
        <f>TEXT(tbl_Kalender[[#This Row],[Datum]],"MMMM")</f>
        <v>März</v>
      </c>
      <c r="H1159">
        <f>ROUNDUP(tbl_Kalender[[#This Row],[Monat]]/3,0)</f>
        <v>1</v>
      </c>
      <c r="I1159" t="str">
        <f>"Q "&amp;tbl_Kalender[[#This Row],[Quartal]]</f>
        <v>Q 1</v>
      </c>
      <c r="J1159" t="str">
        <f>tbl_Kalender[[#This Row],[Quartal]]&amp;". Quartal"</f>
        <v>1. Quartal</v>
      </c>
      <c r="K1159">
        <f>_xlfn.ISOWEEKNUM(tbl_Kalender[[#This Row],[Datum]])</f>
        <v>9</v>
      </c>
    </row>
    <row r="1160" spans="1:11" x14ac:dyDescent="0.25">
      <c r="A1160" s="1">
        <v>46450</v>
      </c>
      <c r="B1160">
        <f>YEAR(tbl_Kalender[[#This Row],[Datum]])</f>
        <v>2027</v>
      </c>
      <c r="C1160">
        <f>DAY(tbl_Kalender[[#This Row],[Datum]])</f>
        <v>4</v>
      </c>
      <c r="D1160" t="str">
        <f>TEXT(tbl_Kalender[[#This Row],[Datum]],"TTTT")</f>
        <v>Donnerstag</v>
      </c>
      <c r="E1160">
        <f>WEEKDAY(tbl_Kalender[[#This Row],[Datum]],2)</f>
        <v>4</v>
      </c>
      <c r="F1160">
        <f>MONTH(tbl_Kalender[[#This Row],[Datum]])</f>
        <v>3</v>
      </c>
      <c r="G1160" t="str">
        <f>TEXT(tbl_Kalender[[#This Row],[Datum]],"MMMM")</f>
        <v>März</v>
      </c>
      <c r="H1160">
        <f>ROUNDUP(tbl_Kalender[[#This Row],[Monat]]/3,0)</f>
        <v>1</v>
      </c>
      <c r="I1160" t="str">
        <f>"Q "&amp;tbl_Kalender[[#This Row],[Quartal]]</f>
        <v>Q 1</v>
      </c>
      <c r="J1160" t="str">
        <f>tbl_Kalender[[#This Row],[Quartal]]&amp;". Quartal"</f>
        <v>1. Quartal</v>
      </c>
      <c r="K1160">
        <f>_xlfn.ISOWEEKNUM(tbl_Kalender[[#This Row],[Datum]])</f>
        <v>9</v>
      </c>
    </row>
    <row r="1161" spans="1:11" x14ac:dyDescent="0.25">
      <c r="A1161" s="1">
        <v>46451</v>
      </c>
      <c r="B1161">
        <f>YEAR(tbl_Kalender[[#This Row],[Datum]])</f>
        <v>2027</v>
      </c>
      <c r="C1161">
        <f>DAY(tbl_Kalender[[#This Row],[Datum]])</f>
        <v>5</v>
      </c>
      <c r="D1161" t="str">
        <f>TEXT(tbl_Kalender[[#This Row],[Datum]],"TTTT")</f>
        <v>Freitag</v>
      </c>
      <c r="E1161">
        <f>WEEKDAY(tbl_Kalender[[#This Row],[Datum]],2)</f>
        <v>5</v>
      </c>
      <c r="F1161">
        <f>MONTH(tbl_Kalender[[#This Row],[Datum]])</f>
        <v>3</v>
      </c>
      <c r="G1161" t="str">
        <f>TEXT(tbl_Kalender[[#This Row],[Datum]],"MMMM")</f>
        <v>März</v>
      </c>
      <c r="H1161">
        <f>ROUNDUP(tbl_Kalender[[#This Row],[Monat]]/3,0)</f>
        <v>1</v>
      </c>
      <c r="I1161" t="str">
        <f>"Q "&amp;tbl_Kalender[[#This Row],[Quartal]]</f>
        <v>Q 1</v>
      </c>
      <c r="J1161" t="str">
        <f>tbl_Kalender[[#This Row],[Quartal]]&amp;". Quartal"</f>
        <v>1. Quartal</v>
      </c>
      <c r="K1161">
        <f>_xlfn.ISOWEEKNUM(tbl_Kalender[[#This Row],[Datum]])</f>
        <v>9</v>
      </c>
    </row>
    <row r="1162" spans="1:11" x14ac:dyDescent="0.25">
      <c r="A1162" s="1">
        <v>46452</v>
      </c>
      <c r="B1162">
        <f>YEAR(tbl_Kalender[[#This Row],[Datum]])</f>
        <v>2027</v>
      </c>
      <c r="C1162">
        <f>DAY(tbl_Kalender[[#This Row],[Datum]])</f>
        <v>6</v>
      </c>
      <c r="D1162" t="str">
        <f>TEXT(tbl_Kalender[[#This Row],[Datum]],"TTTT")</f>
        <v>Samstag</v>
      </c>
      <c r="E1162">
        <f>WEEKDAY(tbl_Kalender[[#This Row],[Datum]],2)</f>
        <v>6</v>
      </c>
      <c r="F1162">
        <f>MONTH(tbl_Kalender[[#This Row],[Datum]])</f>
        <v>3</v>
      </c>
      <c r="G1162" t="str">
        <f>TEXT(tbl_Kalender[[#This Row],[Datum]],"MMMM")</f>
        <v>März</v>
      </c>
      <c r="H1162">
        <f>ROUNDUP(tbl_Kalender[[#This Row],[Monat]]/3,0)</f>
        <v>1</v>
      </c>
      <c r="I1162" t="str">
        <f>"Q "&amp;tbl_Kalender[[#This Row],[Quartal]]</f>
        <v>Q 1</v>
      </c>
      <c r="J1162" t="str">
        <f>tbl_Kalender[[#This Row],[Quartal]]&amp;". Quartal"</f>
        <v>1. Quartal</v>
      </c>
      <c r="K1162">
        <f>_xlfn.ISOWEEKNUM(tbl_Kalender[[#This Row],[Datum]])</f>
        <v>9</v>
      </c>
    </row>
    <row r="1163" spans="1:11" x14ac:dyDescent="0.25">
      <c r="A1163" s="1">
        <v>46453</v>
      </c>
      <c r="B1163">
        <f>YEAR(tbl_Kalender[[#This Row],[Datum]])</f>
        <v>2027</v>
      </c>
      <c r="C1163">
        <f>DAY(tbl_Kalender[[#This Row],[Datum]])</f>
        <v>7</v>
      </c>
      <c r="D1163" t="str">
        <f>TEXT(tbl_Kalender[[#This Row],[Datum]],"TTTT")</f>
        <v>Sonntag</v>
      </c>
      <c r="E1163">
        <f>WEEKDAY(tbl_Kalender[[#This Row],[Datum]],2)</f>
        <v>7</v>
      </c>
      <c r="F1163">
        <f>MONTH(tbl_Kalender[[#This Row],[Datum]])</f>
        <v>3</v>
      </c>
      <c r="G1163" t="str">
        <f>TEXT(tbl_Kalender[[#This Row],[Datum]],"MMMM")</f>
        <v>März</v>
      </c>
      <c r="H1163">
        <f>ROUNDUP(tbl_Kalender[[#This Row],[Monat]]/3,0)</f>
        <v>1</v>
      </c>
      <c r="I1163" t="str">
        <f>"Q "&amp;tbl_Kalender[[#This Row],[Quartal]]</f>
        <v>Q 1</v>
      </c>
      <c r="J1163" t="str">
        <f>tbl_Kalender[[#This Row],[Quartal]]&amp;". Quartal"</f>
        <v>1. Quartal</v>
      </c>
      <c r="K1163">
        <f>_xlfn.ISOWEEKNUM(tbl_Kalender[[#This Row],[Datum]])</f>
        <v>9</v>
      </c>
    </row>
    <row r="1164" spans="1:11" x14ac:dyDescent="0.25">
      <c r="A1164" s="1">
        <v>46454</v>
      </c>
      <c r="B1164">
        <f>YEAR(tbl_Kalender[[#This Row],[Datum]])</f>
        <v>2027</v>
      </c>
      <c r="C1164">
        <f>DAY(tbl_Kalender[[#This Row],[Datum]])</f>
        <v>8</v>
      </c>
      <c r="D1164" t="str">
        <f>TEXT(tbl_Kalender[[#This Row],[Datum]],"TTTT")</f>
        <v>Montag</v>
      </c>
      <c r="E1164">
        <f>WEEKDAY(tbl_Kalender[[#This Row],[Datum]],2)</f>
        <v>1</v>
      </c>
      <c r="F1164">
        <f>MONTH(tbl_Kalender[[#This Row],[Datum]])</f>
        <v>3</v>
      </c>
      <c r="G1164" t="str">
        <f>TEXT(tbl_Kalender[[#This Row],[Datum]],"MMMM")</f>
        <v>März</v>
      </c>
      <c r="H1164">
        <f>ROUNDUP(tbl_Kalender[[#This Row],[Monat]]/3,0)</f>
        <v>1</v>
      </c>
      <c r="I1164" t="str">
        <f>"Q "&amp;tbl_Kalender[[#This Row],[Quartal]]</f>
        <v>Q 1</v>
      </c>
      <c r="J1164" t="str">
        <f>tbl_Kalender[[#This Row],[Quartal]]&amp;". Quartal"</f>
        <v>1. Quartal</v>
      </c>
      <c r="K1164">
        <f>_xlfn.ISOWEEKNUM(tbl_Kalender[[#This Row],[Datum]])</f>
        <v>10</v>
      </c>
    </row>
    <row r="1165" spans="1:11" x14ac:dyDescent="0.25">
      <c r="A1165" s="1">
        <v>46455</v>
      </c>
      <c r="B1165">
        <f>YEAR(tbl_Kalender[[#This Row],[Datum]])</f>
        <v>2027</v>
      </c>
      <c r="C1165">
        <f>DAY(tbl_Kalender[[#This Row],[Datum]])</f>
        <v>9</v>
      </c>
      <c r="D1165" t="str">
        <f>TEXT(tbl_Kalender[[#This Row],[Datum]],"TTTT")</f>
        <v>Dienstag</v>
      </c>
      <c r="E1165">
        <f>WEEKDAY(tbl_Kalender[[#This Row],[Datum]],2)</f>
        <v>2</v>
      </c>
      <c r="F1165">
        <f>MONTH(tbl_Kalender[[#This Row],[Datum]])</f>
        <v>3</v>
      </c>
      <c r="G1165" t="str">
        <f>TEXT(tbl_Kalender[[#This Row],[Datum]],"MMMM")</f>
        <v>März</v>
      </c>
      <c r="H1165">
        <f>ROUNDUP(tbl_Kalender[[#This Row],[Monat]]/3,0)</f>
        <v>1</v>
      </c>
      <c r="I1165" t="str">
        <f>"Q "&amp;tbl_Kalender[[#This Row],[Quartal]]</f>
        <v>Q 1</v>
      </c>
      <c r="J1165" t="str">
        <f>tbl_Kalender[[#This Row],[Quartal]]&amp;". Quartal"</f>
        <v>1. Quartal</v>
      </c>
      <c r="K1165">
        <f>_xlfn.ISOWEEKNUM(tbl_Kalender[[#This Row],[Datum]])</f>
        <v>10</v>
      </c>
    </row>
    <row r="1166" spans="1:11" x14ac:dyDescent="0.25">
      <c r="A1166" s="1">
        <v>46456</v>
      </c>
      <c r="B1166">
        <f>YEAR(tbl_Kalender[[#This Row],[Datum]])</f>
        <v>2027</v>
      </c>
      <c r="C1166">
        <f>DAY(tbl_Kalender[[#This Row],[Datum]])</f>
        <v>10</v>
      </c>
      <c r="D1166" t="str">
        <f>TEXT(tbl_Kalender[[#This Row],[Datum]],"TTTT")</f>
        <v>Mittwoch</v>
      </c>
      <c r="E1166">
        <f>WEEKDAY(tbl_Kalender[[#This Row],[Datum]],2)</f>
        <v>3</v>
      </c>
      <c r="F1166">
        <f>MONTH(tbl_Kalender[[#This Row],[Datum]])</f>
        <v>3</v>
      </c>
      <c r="G1166" t="str">
        <f>TEXT(tbl_Kalender[[#This Row],[Datum]],"MMMM")</f>
        <v>März</v>
      </c>
      <c r="H1166">
        <f>ROUNDUP(tbl_Kalender[[#This Row],[Monat]]/3,0)</f>
        <v>1</v>
      </c>
      <c r="I1166" t="str">
        <f>"Q "&amp;tbl_Kalender[[#This Row],[Quartal]]</f>
        <v>Q 1</v>
      </c>
      <c r="J1166" t="str">
        <f>tbl_Kalender[[#This Row],[Quartal]]&amp;". Quartal"</f>
        <v>1. Quartal</v>
      </c>
      <c r="K1166">
        <f>_xlfn.ISOWEEKNUM(tbl_Kalender[[#This Row],[Datum]])</f>
        <v>10</v>
      </c>
    </row>
    <row r="1167" spans="1:11" x14ac:dyDescent="0.25">
      <c r="A1167" s="1">
        <v>46457</v>
      </c>
      <c r="B1167">
        <f>YEAR(tbl_Kalender[[#This Row],[Datum]])</f>
        <v>2027</v>
      </c>
      <c r="C1167">
        <f>DAY(tbl_Kalender[[#This Row],[Datum]])</f>
        <v>11</v>
      </c>
      <c r="D1167" t="str">
        <f>TEXT(tbl_Kalender[[#This Row],[Datum]],"TTTT")</f>
        <v>Donnerstag</v>
      </c>
      <c r="E1167">
        <f>WEEKDAY(tbl_Kalender[[#This Row],[Datum]],2)</f>
        <v>4</v>
      </c>
      <c r="F1167">
        <f>MONTH(tbl_Kalender[[#This Row],[Datum]])</f>
        <v>3</v>
      </c>
      <c r="G1167" t="str">
        <f>TEXT(tbl_Kalender[[#This Row],[Datum]],"MMMM")</f>
        <v>März</v>
      </c>
      <c r="H1167">
        <f>ROUNDUP(tbl_Kalender[[#This Row],[Monat]]/3,0)</f>
        <v>1</v>
      </c>
      <c r="I1167" t="str">
        <f>"Q "&amp;tbl_Kalender[[#This Row],[Quartal]]</f>
        <v>Q 1</v>
      </c>
      <c r="J1167" t="str">
        <f>tbl_Kalender[[#This Row],[Quartal]]&amp;". Quartal"</f>
        <v>1. Quartal</v>
      </c>
      <c r="K1167">
        <f>_xlfn.ISOWEEKNUM(tbl_Kalender[[#This Row],[Datum]])</f>
        <v>10</v>
      </c>
    </row>
    <row r="1168" spans="1:11" x14ac:dyDescent="0.25">
      <c r="A1168" s="1">
        <v>46458</v>
      </c>
      <c r="B1168">
        <f>YEAR(tbl_Kalender[[#This Row],[Datum]])</f>
        <v>2027</v>
      </c>
      <c r="C1168">
        <f>DAY(tbl_Kalender[[#This Row],[Datum]])</f>
        <v>12</v>
      </c>
      <c r="D1168" t="str">
        <f>TEXT(tbl_Kalender[[#This Row],[Datum]],"TTTT")</f>
        <v>Freitag</v>
      </c>
      <c r="E1168">
        <f>WEEKDAY(tbl_Kalender[[#This Row],[Datum]],2)</f>
        <v>5</v>
      </c>
      <c r="F1168">
        <f>MONTH(tbl_Kalender[[#This Row],[Datum]])</f>
        <v>3</v>
      </c>
      <c r="G1168" t="str">
        <f>TEXT(tbl_Kalender[[#This Row],[Datum]],"MMMM")</f>
        <v>März</v>
      </c>
      <c r="H1168">
        <f>ROUNDUP(tbl_Kalender[[#This Row],[Monat]]/3,0)</f>
        <v>1</v>
      </c>
      <c r="I1168" t="str">
        <f>"Q "&amp;tbl_Kalender[[#This Row],[Quartal]]</f>
        <v>Q 1</v>
      </c>
      <c r="J1168" t="str">
        <f>tbl_Kalender[[#This Row],[Quartal]]&amp;". Quartal"</f>
        <v>1. Quartal</v>
      </c>
      <c r="K1168">
        <f>_xlfn.ISOWEEKNUM(tbl_Kalender[[#This Row],[Datum]])</f>
        <v>10</v>
      </c>
    </row>
    <row r="1169" spans="1:11" x14ac:dyDescent="0.25">
      <c r="A1169" s="1">
        <v>46459</v>
      </c>
      <c r="B1169">
        <f>YEAR(tbl_Kalender[[#This Row],[Datum]])</f>
        <v>2027</v>
      </c>
      <c r="C1169">
        <f>DAY(tbl_Kalender[[#This Row],[Datum]])</f>
        <v>13</v>
      </c>
      <c r="D1169" t="str">
        <f>TEXT(tbl_Kalender[[#This Row],[Datum]],"TTTT")</f>
        <v>Samstag</v>
      </c>
      <c r="E1169">
        <f>WEEKDAY(tbl_Kalender[[#This Row],[Datum]],2)</f>
        <v>6</v>
      </c>
      <c r="F1169">
        <f>MONTH(tbl_Kalender[[#This Row],[Datum]])</f>
        <v>3</v>
      </c>
      <c r="G1169" t="str">
        <f>TEXT(tbl_Kalender[[#This Row],[Datum]],"MMMM")</f>
        <v>März</v>
      </c>
      <c r="H1169">
        <f>ROUNDUP(tbl_Kalender[[#This Row],[Monat]]/3,0)</f>
        <v>1</v>
      </c>
      <c r="I1169" t="str">
        <f>"Q "&amp;tbl_Kalender[[#This Row],[Quartal]]</f>
        <v>Q 1</v>
      </c>
      <c r="J1169" t="str">
        <f>tbl_Kalender[[#This Row],[Quartal]]&amp;". Quartal"</f>
        <v>1. Quartal</v>
      </c>
      <c r="K1169">
        <f>_xlfn.ISOWEEKNUM(tbl_Kalender[[#This Row],[Datum]])</f>
        <v>10</v>
      </c>
    </row>
    <row r="1170" spans="1:11" x14ac:dyDescent="0.25">
      <c r="A1170" s="1">
        <v>46460</v>
      </c>
      <c r="B1170">
        <f>YEAR(tbl_Kalender[[#This Row],[Datum]])</f>
        <v>2027</v>
      </c>
      <c r="C1170">
        <f>DAY(tbl_Kalender[[#This Row],[Datum]])</f>
        <v>14</v>
      </c>
      <c r="D1170" t="str">
        <f>TEXT(tbl_Kalender[[#This Row],[Datum]],"TTTT")</f>
        <v>Sonntag</v>
      </c>
      <c r="E1170">
        <f>WEEKDAY(tbl_Kalender[[#This Row],[Datum]],2)</f>
        <v>7</v>
      </c>
      <c r="F1170">
        <f>MONTH(tbl_Kalender[[#This Row],[Datum]])</f>
        <v>3</v>
      </c>
      <c r="G1170" t="str">
        <f>TEXT(tbl_Kalender[[#This Row],[Datum]],"MMMM")</f>
        <v>März</v>
      </c>
      <c r="H1170">
        <f>ROUNDUP(tbl_Kalender[[#This Row],[Monat]]/3,0)</f>
        <v>1</v>
      </c>
      <c r="I1170" t="str">
        <f>"Q "&amp;tbl_Kalender[[#This Row],[Quartal]]</f>
        <v>Q 1</v>
      </c>
      <c r="J1170" t="str">
        <f>tbl_Kalender[[#This Row],[Quartal]]&amp;". Quartal"</f>
        <v>1. Quartal</v>
      </c>
      <c r="K1170">
        <f>_xlfn.ISOWEEKNUM(tbl_Kalender[[#This Row],[Datum]])</f>
        <v>10</v>
      </c>
    </row>
    <row r="1171" spans="1:11" x14ac:dyDescent="0.25">
      <c r="A1171" s="1">
        <v>46461</v>
      </c>
      <c r="B1171">
        <f>YEAR(tbl_Kalender[[#This Row],[Datum]])</f>
        <v>2027</v>
      </c>
      <c r="C1171">
        <f>DAY(tbl_Kalender[[#This Row],[Datum]])</f>
        <v>15</v>
      </c>
      <c r="D1171" t="str">
        <f>TEXT(tbl_Kalender[[#This Row],[Datum]],"TTTT")</f>
        <v>Montag</v>
      </c>
      <c r="E1171">
        <f>WEEKDAY(tbl_Kalender[[#This Row],[Datum]],2)</f>
        <v>1</v>
      </c>
      <c r="F1171">
        <f>MONTH(tbl_Kalender[[#This Row],[Datum]])</f>
        <v>3</v>
      </c>
      <c r="G1171" t="str">
        <f>TEXT(tbl_Kalender[[#This Row],[Datum]],"MMMM")</f>
        <v>März</v>
      </c>
      <c r="H1171">
        <f>ROUNDUP(tbl_Kalender[[#This Row],[Monat]]/3,0)</f>
        <v>1</v>
      </c>
      <c r="I1171" t="str">
        <f>"Q "&amp;tbl_Kalender[[#This Row],[Quartal]]</f>
        <v>Q 1</v>
      </c>
      <c r="J1171" t="str">
        <f>tbl_Kalender[[#This Row],[Quartal]]&amp;". Quartal"</f>
        <v>1. Quartal</v>
      </c>
      <c r="K1171">
        <f>_xlfn.ISOWEEKNUM(tbl_Kalender[[#This Row],[Datum]])</f>
        <v>11</v>
      </c>
    </row>
    <row r="1172" spans="1:11" x14ac:dyDescent="0.25">
      <c r="A1172" s="1">
        <v>46462</v>
      </c>
      <c r="B1172">
        <f>YEAR(tbl_Kalender[[#This Row],[Datum]])</f>
        <v>2027</v>
      </c>
      <c r="C1172">
        <f>DAY(tbl_Kalender[[#This Row],[Datum]])</f>
        <v>16</v>
      </c>
      <c r="D1172" t="str">
        <f>TEXT(tbl_Kalender[[#This Row],[Datum]],"TTTT")</f>
        <v>Dienstag</v>
      </c>
      <c r="E1172">
        <f>WEEKDAY(tbl_Kalender[[#This Row],[Datum]],2)</f>
        <v>2</v>
      </c>
      <c r="F1172">
        <f>MONTH(tbl_Kalender[[#This Row],[Datum]])</f>
        <v>3</v>
      </c>
      <c r="G1172" t="str">
        <f>TEXT(tbl_Kalender[[#This Row],[Datum]],"MMMM")</f>
        <v>März</v>
      </c>
      <c r="H1172">
        <f>ROUNDUP(tbl_Kalender[[#This Row],[Monat]]/3,0)</f>
        <v>1</v>
      </c>
      <c r="I1172" t="str">
        <f>"Q "&amp;tbl_Kalender[[#This Row],[Quartal]]</f>
        <v>Q 1</v>
      </c>
      <c r="J1172" t="str">
        <f>tbl_Kalender[[#This Row],[Quartal]]&amp;". Quartal"</f>
        <v>1. Quartal</v>
      </c>
      <c r="K1172">
        <f>_xlfn.ISOWEEKNUM(tbl_Kalender[[#This Row],[Datum]])</f>
        <v>11</v>
      </c>
    </row>
    <row r="1173" spans="1:11" x14ac:dyDescent="0.25">
      <c r="A1173" s="1">
        <v>46463</v>
      </c>
      <c r="B1173">
        <f>YEAR(tbl_Kalender[[#This Row],[Datum]])</f>
        <v>2027</v>
      </c>
      <c r="C1173">
        <f>DAY(tbl_Kalender[[#This Row],[Datum]])</f>
        <v>17</v>
      </c>
      <c r="D1173" t="str">
        <f>TEXT(tbl_Kalender[[#This Row],[Datum]],"TTTT")</f>
        <v>Mittwoch</v>
      </c>
      <c r="E1173">
        <f>WEEKDAY(tbl_Kalender[[#This Row],[Datum]],2)</f>
        <v>3</v>
      </c>
      <c r="F1173">
        <f>MONTH(tbl_Kalender[[#This Row],[Datum]])</f>
        <v>3</v>
      </c>
      <c r="G1173" t="str">
        <f>TEXT(tbl_Kalender[[#This Row],[Datum]],"MMMM")</f>
        <v>März</v>
      </c>
      <c r="H1173">
        <f>ROUNDUP(tbl_Kalender[[#This Row],[Monat]]/3,0)</f>
        <v>1</v>
      </c>
      <c r="I1173" t="str">
        <f>"Q "&amp;tbl_Kalender[[#This Row],[Quartal]]</f>
        <v>Q 1</v>
      </c>
      <c r="J1173" t="str">
        <f>tbl_Kalender[[#This Row],[Quartal]]&amp;". Quartal"</f>
        <v>1. Quartal</v>
      </c>
      <c r="K1173">
        <f>_xlfn.ISOWEEKNUM(tbl_Kalender[[#This Row],[Datum]])</f>
        <v>11</v>
      </c>
    </row>
    <row r="1174" spans="1:11" x14ac:dyDescent="0.25">
      <c r="A1174" s="1">
        <v>46464</v>
      </c>
      <c r="B1174">
        <f>YEAR(tbl_Kalender[[#This Row],[Datum]])</f>
        <v>2027</v>
      </c>
      <c r="C1174">
        <f>DAY(tbl_Kalender[[#This Row],[Datum]])</f>
        <v>18</v>
      </c>
      <c r="D1174" t="str">
        <f>TEXT(tbl_Kalender[[#This Row],[Datum]],"TTTT")</f>
        <v>Donnerstag</v>
      </c>
      <c r="E1174">
        <f>WEEKDAY(tbl_Kalender[[#This Row],[Datum]],2)</f>
        <v>4</v>
      </c>
      <c r="F1174">
        <f>MONTH(tbl_Kalender[[#This Row],[Datum]])</f>
        <v>3</v>
      </c>
      <c r="G1174" t="str">
        <f>TEXT(tbl_Kalender[[#This Row],[Datum]],"MMMM")</f>
        <v>März</v>
      </c>
      <c r="H1174">
        <f>ROUNDUP(tbl_Kalender[[#This Row],[Monat]]/3,0)</f>
        <v>1</v>
      </c>
      <c r="I1174" t="str">
        <f>"Q "&amp;tbl_Kalender[[#This Row],[Quartal]]</f>
        <v>Q 1</v>
      </c>
      <c r="J1174" t="str">
        <f>tbl_Kalender[[#This Row],[Quartal]]&amp;". Quartal"</f>
        <v>1. Quartal</v>
      </c>
      <c r="K1174">
        <f>_xlfn.ISOWEEKNUM(tbl_Kalender[[#This Row],[Datum]])</f>
        <v>11</v>
      </c>
    </row>
    <row r="1175" spans="1:11" x14ac:dyDescent="0.25">
      <c r="A1175" s="1">
        <v>46465</v>
      </c>
      <c r="B1175">
        <f>YEAR(tbl_Kalender[[#This Row],[Datum]])</f>
        <v>2027</v>
      </c>
      <c r="C1175">
        <f>DAY(tbl_Kalender[[#This Row],[Datum]])</f>
        <v>19</v>
      </c>
      <c r="D1175" t="str">
        <f>TEXT(tbl_Kalender[[#This Row],[Datum]],"TTTT")</f>
        <v>Freitag</v>
      </c>
      <c r="E1175">
        <f>WEEKDAY(tbl_Kalender[[#This Row],[Datum]],2)</f>
        <v>5</v>
      </c>
      <c r="F1175">
        <f>MONTH(tbl_Kalender[[#This Row],[Datum]])</f>
        <v>3</v>
      </c>
      <c r="G1175" t="str">
        <f>TEXT(tbl_Kalender[[#This Row],[Datum]],"MMMM")</f>
        <v>März</v>
      </c>
      <c r="H1175">
        <f>ROUNDUP(tbl_Kalender[[#This Row],[Monat]]/3,0)</f>
        <v>1</v>
      </c>
      <c r="I1175" t="str">
        <f>"Q "&amp;tbl_Kalender[[#This Row],[Quartal]]</f>
        <v>Q 1</v>
      </c>
      <c r="J1175" t="str">
        <f>tbl_Kalender[[#This Row],[Quartal]]&amp;". Quartal"</f>
        <v>1. Quartal</v>
      </c>
      <c r="K1175">
        <f>_xlfn.ISOWEEKNUM(tbl_Kalender[[#This Row],[Datum]])</f>
        <v>11</v>
      </c>
    </row>
    <row r="1176" spans="1:11" x14ac:dyDescent="0.25">
      <c r="A1176" s="1">
        <v>46466</v>
      </c>
      <c r="B1176">
        <f>YEAR(tbl_Kalender[[#This Row],[Datum]])</f>
        <v>2027</v>
      </c>
      <c r="C1176">
        <f>DAY(tbl_Kalender[[#This Row],[Datum]])</f>
        <v>20</v>
      </c>
      <c r="D1176" t="str">
        <f>TEXT(tbl_Kalender[[#This Row],[Datum]],"TTTT")</f>
        <v>Samstag</v>
      </c>
      <c r="E1176">
        <f>WEEKDAY(tbl_Kalender[[#This Row],[Datum]],2)</f>
        <v>6</v>
      </c>
      <c r="F1176">
        <f>MONTH(tbl_Kalender[[#This Row],[Datum]])</f>
        <v>3</v>
      </c>
      <c r="G1176" t="str">
        <f>TEXT(tbl_Kalender[[#This Row],[Datum]],"MMMM")</f>
        <v>März</v>
      </c>
      <c r="H1176">
        <f>ROUNDUP(tbl_Kalender[[#This Row],[Monat]]/3,0)</f>
        <v>1</v>
      </c>
      <c r="I1176" t="str">
        <f>"Q "&amp;tbl_Kalender[[#This Row],[Quartal]]</f>
        <v>Q 1</v>
      </c>
      <c r="J1176" t="str">
        <f>tbl_Kalender[[#This Row],[Quartal]]&amp;". Quartal"</f>
        <v>1. Quartal</v>
      </c>
      <c r="K1176">
        <f>_xlfn.ISOWEEKNUM(tbl_Kalender[[#This Row],[Datum]])</f>
        <v>11</v>
      </c>
    </row>
    <row r="1177" spans="1:11" x14ac:dyDescent="0.25">
      <c r="A1177" s="1">
        <v>46467</v>
      </c>
      <c r="B1177">
        <f>YEAR(tbl_Kalender[[#This Row],[Datum]])</f>
        <v>2027</v>
      </c>
      <c r="C1177">
        <f>DAY(tbl_Kalender[[#This Row],[Datum]])</f>
        <v>21</v>
      </c>
      <c r="D1177" t="str">
        <f>TEXT(tbl_Kalender[[#This Row],[Datum]],"TTTT")</f>
        <v>Sonntag</v>
      </c>
      <c r="E1177">
        <f>WEEKDAY(tbl_Kalender[[#This Row],[Datum]],2)</f>
        <v>7</v>
      </c>
      <c r="F1177">
        <f>MONTH(tbl_Kalender[[#This Row],[Datum]])</f>
        <v>3</v>
      </c>
      <c r="G1177" t="str">
        <f>TEXT(tbl_Kalender[[#This Row],[Datum]],"MMMM")</f>
        <v>März</v>
      </c>
      <c r="H1177">
        <f>ROUNDUP(tbl_Kalender[[#This Row],[Monat]]/3,0)</f>
        <v>1</v>
      </c>
      <c r="I1177" t="str">
        <f>"Q "&amp;tbl_Kalender[[#This Row],[Quartal]]</f>
        <v>Q 1</v>
      </c>
      <c r="J1177" t="str">
        <f>tbl_Kalender[[#This Row],[Quartal]]&amp;". Quartal"</f>
        <v>1. Quartal</v>
      </c>
      <c r="K1177">
        <f>_xlfn.ISOWEEKNUM(tbl_Kalender[[#This Row],[Datum]])</f>
        <v>11</v>
      </c>
    </row>
    <row r="1178" spans="1:11" x14ac:dyDescent="0.25">
      <c r="A1178" s="1">
        <v>46468</v>
      </c>
      <c r="B1178">
        <f>YEAR(tbl_Kalender[[#This Row],[Datum]])</f>
        <v>2027</v>
      </c>
      <c r="C1178">
        <f>DAY(tbl_Kalender[[#This Row],[Datum]])</f>
        <v>22</v>
      </c>
      <c r="D1178" t="str">
        <f>TEXT(tbl_Kalender[[#This Row],[Datum]],"TTTT")</f>
        <v>Montag</v>
      </c>
      <c r="E1178">
        <f>WEEKDAY(tbl_Kalender[[#This Row],[Datum]],2)</f>
        <v>1</v>
      </c>
      <c r="F1178">
        <f>MONTH(tbl_Kalender[[#This Row],[Datum]])</f>
        <v>3</v>
      </c>
      <c r="G1178" t="str">
        <f>TEXT(tbl_Kalender[[#This Row],[Datum]],"MMMM")</f>
        <v>März</v>
      </c>
      <c r="H1178">
        <f>ROUNDUP(tbl_Kalender[[#This Row],[Monat]]/3,0)</f>
        <v>1</v>
      </c>
      <c r="I1178" t="str">
        <f>"Q "&amp;tbl_Kalender[[#This Row],[Quartal]]</f>
        <v>Q 1</v>
      </c>
      <c r="J1178" t="str">
        <f>tbl_Kalender[[#This Row],[Quartal]]&amp;". Quartal"</f>
        <v>1. Quartal</v>
      </c>
      <c r="K1178">
        <f>_xlfn.ISOWEEKNUM(tbl_Kalender[[#This Row],[Datum]])</f>
        <v>12</v>
      </c>
    </row>
    <row r="1179" spans="1:11" x14ac:dyDescent="0.25">
      <c r="A1179" s="1">
        <v>46469</v>
      </c>
      <c r="B1179">
        <f>YEAR(tbl_Kalender[[#This Row],[Datum]])</f>
        <v>2027</v>
      </c>
      <c r="C1179">
        <f>DAY(tbl_Kalender[[#This Row],[Datum]])</f>
        <v>23</v>
      </c>
      <c r="D1179" t="str">
        <f>TEXT(tbl_Kalender[[#This Row],[Datum]],"TTTT")</f>
        <v>Dienstag</v>
      </c>
      <c r="E1179">
        <f>WEEKDAY(tbl_Kalender[[#This Row],[Datum]],2)</f>
        <v>2</v>
      </c>
      <c r="F1179">
        <f>MONTH(tbl_Kalender[[#This Row],[Datum]])</f>
        <v>3</v>
      </c>
      <c r="G1179" t="str">
        <f>TEXT(tbl_Kalender[[#This Row],[Datum]],"MMMM")</f>
        <v>März</v>
      </c>
      <c r="H1179">
        <f>ROUNDUP(tbl_Kalender[[#This Row],[Monat]]/3,0)</f>
        <v>1</v>
      </c>
      <c r="I1179" t="str">
        <f>"Q "&amp;tbl_Kalender[[#This Row],[Quartal]]</f>
        <v>Q 1</v>
      </c>
      <c r="J1179" t="str">
        <f>tbl_Kalender[[#This Row],[Quartal]]&amp;". Quartal"</f>
        <v>1. Quartal</v>
      </c>
      <c r="K1179">
        <f>_xlfn.ISOWEEKNUM(tbl_Kalender[[#This Row],[Datum]])</f>
        <v>12</v>
      </c>
    </row>
    <row r="1180" spans="1:11" x14ac:dyDescent="0.25">
      <c r="A1180" s="1">
        <v>46470</v>
      </c>
      <c r="B1180">
        <f>YEAR(tbl_Kalender[[#This Row],[Datum]])</f>
        <v>2027</v>
      </c>
      <c r="C1180">
        <f>DAY(tbl_Kalender[[#This Row],[Datum]])</f>
        <v>24</v>
      </c>
      <c r="D1180" t="str">
        <f>TEXT(tbl_Kalender[[#This Row],[Datum]],"TTTT")</f>
        <v>Mittwoch</v>
      </c>
      <c r="E1180">
        <f>WEEKDAY(tbl_Kalender[[#This Row],[Datum]],2)</f>
        <v>3</v>
      </c>
      <c r="F1180">
        <f>MONTH(tbl_Kalender[[#This Row],[Datum]])</f>
        <v>3</v>
      </c>
      <c r="G1180" t="str">
        <f>TEXT(tbl_Kalender[[#This Row],[Datum]],"MMMM")</f>
        <v>März</v>
      </c>
      <c r="H1180">
        <f>ROUNDUP(tbl_Kalender[[#This Row],[Monat]]/3,0)</f>
        <v>1</v>
      </c>
      <c r="I1180" t="str">
        <f>"Q "&amp;tbl_Kalender[[#This Row],[Quartal]]</f>
        <v>Q 1</v>
      </c>
      <c r="J1180" t="str">
        <f>tbl_Kalender[[#This Row],[Quartal]]&amp;". Quartal"</f>
        <v>1. Quartal</v>
      </c>
      <c r="K1180">
        <f>_xlfn.ISOWEEKNUM(tbl_Kalender[[#This Row],[Datum]])</f>
        <v>12</v>
      </c>
    </row>
    <row r="1181" spans="1:11" x14ac:dyDescent="0.25">
      <c r="A1181" s="1">
        <v>46471</v>
      </c>
      <c r="B1181">
        <f>YEAR(tbl_Kalender[[#This Row],[Datum]])</f>
        <v>2027</v>
      </c>
      <c r="C1181">
        <f>DAY(tbl_Kalender[[#This Row],[Datum]])</f>
        <v>25</v>
      </c>
      <c r="D1181" t="str">
        <f>TEXT(tbl_Kalender[[#This Row],[Datum]],"TTTT")</f>
        <v>Donnerstag</v>
      </c>
      <c r="E1181">
        <f>WEEKDAY(tbl_Kalender[[#This Row],[Datum]],2)</f>
        <v>4</v>
      </c>
      <c r="F1181">
        <f>MONTH(tbl_Kalender[[#This Row],[Datum]])</f>
        <v>3</v>
      </c>
      <c r="G1181" t="str">
        <f>TEXT(tbl_Kalender[[#This Row],[Datum]],"MMMM")</f>
        <v>März</v>
      </c>
      <c r="H1181">
        <f>ROUNDUP(tbl_Kalender[[#This Row],[Monat]]/3,0)</f>
        <v>1</v>
      </c>
      <c r="I1181" t="str">
        <f>"Q "&amp;tbl_Kalender[[#This Row],[Quartal]]</f>
        <v>Q 1</v>
      </c>
      <c r="J1181" t="str">
        <f>tbl_Kalender[[#This Row],[Quartal]]&amp;". Quartal"</f>
        <v>1. Quartal</v>
      </c>
      <c r="K1181">
        <f>_xlfn.ISOWEEKNUM(tbl_Kalender[[#This Row],[Datum]])</f>
        <v>12</v>
      </c>
    </row>
    <row r="1182" spans="1:11" x14ac:dyDescent="0.25">
      <c r="A1182" s="1">
        <v>46472</v>
      </c>
      <c r="B1182">
        <f>YEAR(tbl_Kalender[[#This Row],[Datum]])</f>
        <v>2027</v>
      </c>
      <c r="C1182">
        <f>DAY(tbl_Kalender[[#This Row],[Datum]])</f>
        <v>26</v>
      </c>
      <c r="D1182" t="str">
        <f>TEXT(tbl_Kalender[[#This Row],[Datum]],"TTTT")</f>
        <v>Freitag</v>
      </c>
      <c r="E1182">
        <f>WEEKDAY(tbl_Kalender[[#This Row],[Datum]],2)</f>
        <v>5</v>
      </c>
      <c r="F1182">
        <f>MONTH(tbl_Kalender[[#This Row],[Datum]])</f>
        <v>3</v>
      </c>
      <c r="G1182" t="str">
        <f>TEXT(tbl_Kalender[[#This Row],[Datum]],"MMMM")</f>
        <v>März</v>
      </c>
      <c r="H1182">
        <f>ROUNDUP(tbl_Kalender[[#This Row],[Monat]]/3,0)</f>
        <v>1</v>
      </c>
      <c r="I1182" t="str">
        <f>"Q "&amp;tbl_Kalender[[#This Row],[Quartal]]</f>
        <v>Q 1</v>
      </c>
      <c r="J1182" t="str">
        <f>tbl_Kalender[[#This Row],[Quartal]]&amp;". Quartal"</f>
        <v>1. Quartal</v>
      </c>
      <c r="K1182">
        <f>_xlfn.ISOWEEKNUM(tbl_Kalender[[#This Row],[Datum]])</f>
        <v>12</v>
      </c>
    </row>
    <row r="1183" spans="1:11" x14ac:dyDescent="0.25">
      <c r="A1183" s="1">
        <v>46473</v>
      </c>
      <c r="B1183">
        <f>YEAR(tbl_Kalender[[#This Row],[Datum]])</f>
        <v>2027</v>
      </c>
      <c r="C1183">
        <f>DAY(tbl_Kalender[[#This Row],[Datum]])</f>
        <v>27</v>
      </c>
      <c r="D1183" t="str">
        <f>TEXT(tbl_Kalender[[#This Row],[Datum]],"TTTT")</f>
        <v>Samstag</v>
      </c>
      <c r="E1183">
        <f>WEEKDAY(tbl_Kalender[[#This Row],[Datum]],2)</f>
        <v>6</v>
      </c>
      <c r="F1183">
        <f>MONTH(tbl_Kalender[[#This Row],[Datum]])</f>
        <v>3</v>
      </c>
      <c r="G1183" t="str">
        <f>TEXT(tbl_Kalender[[#This Row],[Datum]],"MMMM")</f>
        <v>März</v>
      </c>
      <c r="H1183">
        <f>ROUNDUP(tbl_Kalender[[#This Row],[Monat]]/3,0)</f>
        <v>1</v>
      </c>
      <c r="I1183" t="str">
        <f>"Q "&amp;tbl_Kalender[[#This Row],[Quartal]]</f>
        <v>Q 1</v>
      </c>
      <c r="J1183" t="str">
        <f>tbl_Kalender[[#This Row],[Quartal]]&amp;". Quartal"</f>
        <v>1. Quartal</v>
      </c>
      <c r="K1183">
        <f>_xlfn.ISOWEEKNUM(tbl_Kalender[[#This Row],[Datum]])</f>
        <v>12</v>
      </c>
    </row>
    <row r="1184" spans="1:11" x14ac:dyDescent="0.25">
      <c r="A1184" s="1">
        <v>46474</v>
      </c>
      <c r="B1184">
        <f>YEAR(tbl_Kalender[[#This Row],[Datum]])</f>
        <v>2027</v>
      </c>
      <c r="C1184">
        <f>DAY(tbl_Kalender[[#This Row],[Datum]])</f>
        <v>28</v>
      </c>
      <c r="D1184" t="str">
        <f>TEXT(tbl_Kalender[[#This Row],[Datum]],"TTTT")</f>
        <v>Sonntag</v>
      </c>
      <c r="E1184">
        <f>WEEKDAY(tbl_Kalender[[#This Row],[Datum]],2)</f>
        <v>7</v>
      </c>
      <c r="F1184">
        <f>MONTH(tbl_Kalender[[#This Row],[Datum]])</f>
        <v>3</v>
      </c>
      <c r="G1184" t="str">
        <f>TEXT(tbl_Kalender[[#This Row],[Datum]],"MMMM")</f>
        <v>März</v>
      </c>
      <c r="H1184">
        <f>ROUNDUP(tbl_Kalender[[#This Row],[Monat]]/3,0)</f>
        <v>1</v>
      </c>
      <c r="I1184" t="str">
        <f>"Q "&amp;tbl_Kalender[[#This Row],[Quartal]]</f>
        <v>Q 1</v>
      </c>
      <c r="J1184" t="str">
        <f>tbl_Kalender[[#This Row],[Quartal]]&amp;". Quartal"</f>
        <v>1. Quartal</v>
      </c>
      <c r="K1184">
        <f>_xlfn.ISOWEEKNUM(tbl_Kalender[[#This Row],[Datum]])</f>
        <v>12</v>
      </c>
    </row>
    <row r="1185" spans="1:11" x14ac:dyDescent="0.25">
      <c r="A1185" s="1">
        <v>46475</v>
      </c>
      <c r="B1185">
        <f>YEAR(tbl_Kalender[[#This Row],[Datum]])</f>
        <v>2027</v>
      </c>
      <c r="C1185">
        <f>DAY(tbl_Kalender[[#This Row],[Datum]])</f>
        <v>29</v>
      </c>
      <c r="D1185" t="str">
        <f>TEXT(tbl_Kalender[[#This Row],[Datum]],"TTTT")</f>
        <v>Montag</v>
      </c>
      <c r="E1185">
        <f>WEEKDAY(tbl_Kalender[[#This Row],[Datum]],2)</f>
        <v>1</v>
      </c>
      <c r="F1185">
        <f>MONTH(tbl_Kalender[[#This Row],[Datum]])</f>
        <v>3</v>
      </c>
      <c r="G1185" t="str">
        <f>TEXT(tbl_Kalender[[#This Row],[Datum]],"MMMM")</f>
        <v>März</v>
      </c>
      <c r="H1185">
        <f>ROUNDUP(tbl_Kalender[[#This Row],[Monat]]/3,0)</f>
        <v>1</v>
      </c>
      <c r="I1185" t="str">
        <f>"Q "&amp;tbl_Kalender[[#This Row],[Quartal]]</f>
        <v>Q 1</v>
      </c>
      <c r="J1185" t="str">
        <f>tbl_Kalender[[#This Row],[Quartal]]&amp;". Quartal"</f>
        <v>1. Quartal</v>
      </c>
      <c r="K1185">
        <f>_xlfn.ISOWEEKNUM(tbl_Kalender[[#This Row],[Datum]])</f>
        <v>13</v>
      </c>
    </row>
    <row r="1186" spans="1:11" x14ac:dyDescent="0.25">
      <c r="A1186" s="1">
        <v>46476</v>
      </c>
      <c r="B1186">
        <f>YEAR(tbl_Kalender[[#This Row],[Datum]])</f>
        <v>2027</v>
      </c>
      <c r="C1186">
        <f>DAY(tbl_Kalender[[#This Row],[Datum]])</f>
        <v>30</v>
      </c>
      <c r="D1186" t="str">
        <f>TEXT(tbl_Kalender[[#This Row],[Datum]],"TTTT")</f>
        <v>Dienstag</v>
      </c>
      <c r="E1186">
        <f>WEEKDAY(tbl_Kalender[[#This Row],[Datum]],2)</f>
        <v>2</v>
      </c>
      <c r="F1186">
        <f>MONTH(tbl_Kalender[[#This Row],[Datum]])</f>
        <v>3</v>
      </c>
      <c r="G1186" t="str">
        <f>TEXT(tbl_Kalender[[#This Row],[Datum]],"MMMM")</f>
        <v>März</v>
      </c>
      <c r="H1186">
        <f>ROUNDUP(tbl_Kalender[[#This Row],[Monat]]/3,0)</f>
        <v>1</v>
      </c>
      <c r="I1186" t="str">
        <f>"Q "&amp;tbl_Kalender[[#This Row],[Quartal]]</f>
        <v>Q 1</v>
      </c>
      <c r="J1186" t="str">
        <f>tbl_Kalender[[#This Row],[Quartal]]&amp;". Quartal"</f>
        <v>1. Quartal</v>
      </c>
      <c r="K1186">
        <f>_xlfn.ISOWEEKNUM(tbl_Kalender[[#This Row],[Datum]])</f>
        <v>13</v>
      </c>
    </row>
    <row r="1187" spans="1:11" x14ac:dyDescent="0.25">
      <c r="A1187" s="1">
        <v>46477</v>
      </c>
      <c r="B1187">
        <f>YEAR(tbl_Kalender[[#This Row],[Datum]])</f>
        <v>2027</v>
      </c>
      <c r="C1187">
        <f>DAY(tbl_Kalender[[#This Row],[Datum]])</f>
        <v>31</v>
      </c>
      <c r="D1187" t="str">
        <f>TEXT(tbl_Kalender[[#This Row],[Datum]],"TTTT")</f>
        <v>Mittwoch</v>
      </c>
      <c r="E1187">
        <f>WEEKDAY(tbl_Kalender[[#This Row],[Datum]],2)</f>
        <v>3</v>
      </c>
      <c r="F1187">
        <f>MONTH(tbl_Kalender[[#This Row],[Datum]])</f>
        <v>3</v>
      </c>
      <c r="G1187" t="str">
        <f>TEXT(tbl_Kalender[[#This Row],[Datum]],"MMMM")</f>
        <v>März</v>
      </c>
      <c r="H1187">
        <f>ROUNDUP(tbl_Kalender[[#This Row],[Monat]]/3,0)</f>
        <v>1</v>
      </c>
      <c r="I1187" t="str">
        <f>"Q "&amp;tbl_Kalender[[#This Row],[Quartal]]</f>
        <v>Q 1</v>
      </c>
      <c r="J1187" t="str">
        <f>tbl_Kalender[[#This Row],[Quartal]]&amp;". Quartal"</f>
        <v>1. Quartal</v>
      </c>
      <c r="K1187">
        <f>_xlfn.ISOWEEKNUM(tbl_Kalender[[#This Row],[Datum]])</f>
        <v>13</v>
      </c>
    </row>
    <row r="1188" spans="1:11" x14ac:dyDescent="0.25">
      <c r="A1188" s="1">
        <v>46478</v>
      </c>
      <c r="B1188">
        <f>YEAR(tbl_Kalender[[#This Row],[Datum]])</f>
        <v>2027</v>
      </c>
      <c r="C1188">
        <f>DAY(tbl_Kalender[[#This Row],[Datum]])</f>
        <v>1</v>
      </c>
      <c r="D1188" t="str">
        <f>TEXT(tbl_Kalender[[#This Row],[Datum]],"TTTT")</f>
        <v>Donnerstag</v>
      </c>
      <c r="E1188">
        <f>WEEKDAY(tbl_Kalender[[#This Row],[Datum]],2)</f>
        <v>4</v>
      </c>
      <c r="F1188">
        <f>MONTH(tbl_Kalender[[#This Row],[Datum]])</f>
        <v>4</v>
      </c>
      <c r="G1188" t="str">
        <f>TEXT(tbl_Kalender[[#This Row],[Datum]],"MMMM")</f>
        <v>April</v>
      </c>
      <c r="H1188">
        <f>ROUNDUP(tbl_Kalender[[#This Row],[Monat]]/3,0)</f>
        <v>2</v>
      </c>
      <c r="I1188" t="str">
        <f>"Q "&amp;tbl_Kalender[[#This Row],[Quartal]]</f>
        <v>Q 2</v>
      </c>
      <c r="J1188" t="str">
        <f>tbl_Kalender[[#This Row],[Quartal]]&amp;". Quartal"</f>
        <v>2. Quartal</v>
      </c>
      <c r="K1188">
        <f>_xlfn.ISOWEEKNUM(tbl_Kalender[[#This Row],[Datum]])</f>
        <v>13</v>
      </c>
    </row>
    <row r="1189" spans="1:11" x14ac:dyDescent="0.25">
      <c r="A1189" s="1">
        <v>46479</v>
      </c>
      <c r="B1189">
        <f>YEAR(tbl_Kalender[[#This Row],[Datum]])</f>
        <v>2027</v>
      </c>
      <c r="C1189">
        <f>DAY(tbl_Kalender[[#This Row],[Datum]])</f>
        <v>2</v>
      </c>
      <c r="D1189" t="str">
        <f>TEXT(tbl_Kalender[[#This Row],[Datum]],"TTTT")</f>
        <v>Freitag</v>
      </c>
      <c r="E1189">
        <f>WEEKDAY(tbl_Kalender[[#This Row],[Datum]],2)</f>
        <v>5</v>
      </c>
      <c r="F1189">
        <f>MONTH(tbl_Kalender[[#This Row],[Datum]])</f>
        <v>4</v>
      </c>
      <c r="G1189" t="str">
        <f>TEXT(tbl_Kalender[[#This Row],[Datum]],"MMMM")</f>
        <v>April</v>
      </c>
      <c r="H1189">
        <f>ROUNDUP(tbl_Kalender[[#This Row],[Monat]]/3,0)</f>
        <v>2</v>
      </c>
      <c r="I1189" t="str">
        <f>"Q "&amp;tbl_Kalender[[#This Row],[Quartal]]</f>
        <v>Q 2</v>
      </c>
      <c r="J1189" t="str">
        <f>tbl_Kalender[[#This Row],[Quartal]]&amp;". Quartal"</f>
        <v>2. Quartal</v>
      </c>
      <c r="K1189">
        <f>_xlfn.ISOWEEKNUM(tbl_Kalender[[#This Row],[Datum]])</f>
        <v>13</v>
      </c>
    </row>
    <row r="1190" spans="1:11" x14ac:dyDescent="0.25">
      <c r="A1190" s="1">
        <v>46480</v>
      </c>
      <c r="B1190">
        <f>YEAR(tbl_Kalender[[#This Row],[Datum]])</f>
        <v>2027</v>
      </c>
      <c r="C1190">
        <f>DAY(tbl_Kalender[[#This Row],[Datum]])</f>
        <v>3</v>
      </c>
      <c r="D1190" t="str">
        <f>TEXT(tbl_Kalender[[#This Row],[Datum]],"TTTT")</f>
        <v>Samstag</v>
      </c>
      <c r="E1190">
        <f>WEEKDAY(tbl_Kalender[[#This Row],[Datum]],2)</f>
        <v>6</v>
      </c>
      <c r="F1190">
        <f>MONTH(tbl_Kalender[[#This Row],[Datum]])</f>
        <v>4</v>
      </c>
      <c r="G1190" t="str">
        <f>TEXT(tbl_Kalender[[#This Row],[Datum]],"MMMM")</f>
        <v>April</v>
      </c>
      <c r="H1190">
        <f>ROUNDUP(tbl_Kalender[[#This Row],[Monat]]/3,0)</f>
        <v>2</v>
      </c>
      <c r="I1190" t="str">
        <f>"Q "&amp;tbl_Kalender[[#This Row],[Quartal]]</f>
        <v>Q 2</v>
      </c>
      <c r="J1190" t="str">
        <f>tbl_Kalender[[#This Row],[Quartal]]&amp;". Quartal"</f>
        <v>2. Quartal</v>
      </c>
      <c r="K1190">
        <f>_xlfn.ISOWEEKNUM(tbl_Kalender[[#This Row],[Datum]])</f>
        <v>13</v>
      </c>
    </row>
    <row r="1191" spans="1:11" x14ac:dyDescent="0.25">
      <c r="A1191" s="1">
        <v>46481</v>
      </c>
      <c r="B1191">
        <f>YEAR(tbl_Kalender[[#This Row],[Datum]])</f>
        <v>2027</v>
      </c>
      <c r="C1191">
        <f>DAY(tbl_Kalender[[#This Row],[Datum]])</f>
        <v>4</v>
      </c>
      <c r="D1191" t="str">
        <f>TEXT(tbl_Kalender[[#This Row],[Datum]],"TTTT")</f>
        <v>Sonntag</v>
      </c>
      <c r="E1191">
        <f>WEEKDAY(tbl_Kalender[[#This Row],[Datum]],2)</f>
        <v>7</v>
      </c>
      <c r="F1191">
        <f>MONTH(tbl_Kalender[[#This Row],[Datum]])</f>
        <v>4</v>
      </c>
      <c r="G1191" t="str">
        <f>TEXT(tbl_Kalender[[#This Row],[Datum]],"MMMM")</f>
        <v>April</v>
      </c>
      <c r="H1191">
        <f>ROUNDUP(tbl_Kalender[[#This Row],[Monat]]/3,0)</f>
        <v>2</v>
      </c>
      <c r="I1191" t="str">
        <f>"Q "&amp;tbl_Kalender[[#This Row],[Quartal]]</f>
        <v>Q 2</v>
      </c>
      <c r="J1191" t="str">
        <f>tbl_Kalender[[#This Row],[Quartal]]&amp;". Quartal"</f>
        <v>2. Quartal</v>
      </c>
      <c r="K1191">
        <f>_xlfn.ISOWEEKNUM(tbl_Kalender[[#This Row],[Datum]])</f>
        <v>13</v>
      </c>
    </row>
    <row r="1192" spans="1:11" x14ac:dyDescent="0.25">
      <c r="A1192" s="1">
        <v>46482</v>
      </c>
      <c r="B1192">
        <f>YEAR(tbl_Kalender[[#This Row],[Datum]])</f>
        <v>2027</v>
      </c>
      <c r="C1192">
        <f>DAY(tbl_Kalender[[#This Row],[Datum]])</f>
        <v>5</v>
      </c>
      <c r="D1192" t="str">
        <f>TEXT(tbl_Kalender[[#This Row],[Datum]],"TTTT")</f>
        <v>Montag</v>
      </c>
      <c r="E1192">
        <f>WEEKDAY(tbl_Kalender[[#This Row],[Datum]],2)</f>
        <v>1</v>
      </c>
      <c r="F1192">
        <f>MONTH(tbl_Kalender[[#This Row],[Datum]])</f>
        <v>4</v>
      </c>
      <c r="G1192" t="str">
        <f>TEXT(tbl_Kalender[[#This Row],[Datum]],"MMMM")</f>
        <v>April</v>
      </c>
      <c r="H1192">
        <f>ROUNDUP(tbl_Kalender[[#This Row],[Monat]]/3,0)</f>
        <v>2</v>
      </c>
      <c r="I1192" t="str">
        <f>"Q "&amp;tbl_Kalender[[#This Row],[Quartal]]</f>
        <v>Q 2</v>
      </c>
      <c r="J1192" t="str">
        <f>tbl_Kalender[[#This Row],[Quartal]]&amp;". Quartal"</f>
        <v>2. Quartal</v>
      </c>
      <c r="K1192">
        <f>_xlfn.ISOWEEKNUM(tbl_Kalender[[#This Row],[Datum]])</f>
        <v>14</v>
      </c>
    </row>
    <row r="1193" spans="1:11" x14ac:dyDescent="0.25">
      <c r="A1193" s="1">
        <v>46483</v>
      </c>
      <c r="B1193">
        <f>YEAR(tbl_Kalender[[#This Row],[Datum]])</f>
        <v>2027</v>
      </c>
      <c r="C1193">
        <f>DAY(tbl_Kalender[[#This Row],[Datum]])</f>
        <v>6</v>
      </c>
      <c r="D1193" t="str">
        <f>TEXT(tbl_Kalender[[#This Row],[Datum]],"TTTT")</f>
        <v>Dienstag</v>
      </c>
      <c r="E1193">
        <f>WEEKDAY(tbl_Kalender[[#This Row],[Datum]],2)</f>
        <v>2</v>
      </c>
      <c r="F1193">
        <f>MONTH(tbl_Kalender[[#This Row],[Datum]])</f>
        <v>4</v>
      </c>
      <c r="G1193" t="str">
        <f>TEXT(tbl_Kalender[[#This Row],[Datum]],"MMMM")</f>
        <v>April</v>
      </c>
      <c r="H1193">
        <f>ROUNDUP(tbl_Kalender[[#This Row],[Monat]]/3,0)</f>
        <v>2</v>
      </c>
      <c r="I1193" t="str">
        <f>"Q "&amp;tbl_Kalender[[#This Row],[Quartal]]</f>
        <v>Q 2</v>
      </c>
      <c r="J1193" t="str">
        <f>tbl_Kalender[[#This Row],[Quartal]]&amp;". Quartal"</f>
        <v>2. Quartal</v>
      </c>
      <c r="K1193">
        <f>_xlfn.ISOWEEKNUM(tbl_Kalender[[#This Row],[Datum]])</f>
        <v>14</v>
      </c>
    </row>
    <row r="1194" spans="1:11" x14ac:dyDescent="0.25">
      <c r="A1194" s="1">
        <v>46484</v>
      </c>
      <c r="B1194">
        <f>YEAR(tbl_Kalender[[#This Row],[Datum]])</f>
        <v>2027</v>
      </c>
      <c r="C1194">
        <f>DAY(tbl_Kalender[[#This Row],[Datum]])</f>
        <v>7</v>
      </c>
      <c r="D1194" t="str">
        <f>TEXT(tbl_Kalender[[#This Row],[Datum]],"TTTT")</f>
        <v>Mittwoch</v>
      </c>
      <c r="E1194">
        <f>WEEKDAY(tbl_Kalender[[#This Row],[Datum]],2)</f>
        <v>3</v>
      </c>
      <c r="F1194">
        <f>MONTH(tbl_Kalender[[#This Row],[Datum]])</f>
        <v>4</v>
      </c>
      <c r="G1194" t="str">
        <f>TEXT(tbl_Kalender[[#This Row],[Datum]],"MMMM")</f>
        <v>April</v>
      </c>
      <c r="H1194">
        <f>ROUNDUP(tbl_Kalender[[#This Row],[Monat]]/3,0)</f>
        <v>2</v>
      </c>
      <c r="I1194" t="str">
        <f>"Q "&amp;tbl_Kalender[[#This Row],[Quartal]]</f>
        <v>Q 2</v>
      </c>
      <c r="J1194" t="str">
        <f>tbl_Kalender[[#This Row],[Quartal]]&amp;". Quartal"</f>
        <v>2. Quartal</v>
      </c>
      <c r="K1194">
        <f>_xlfn.ISOWEEKNUM(tbl_Kalender[[#This Row],[Datum]])</f>
        <v>14</v>
      </c>
    </row>
    <row r="1195" spans="1:11" x14ac:dyDescent="0.25">
      <c r="A1195" s="1">
        <v>46485</v>
      </c>
      <c r="B1195">
        <f>YEAR(tbl_Kalender[[#This Row],[Datum]])</f>
        <v>2027</v>
      </c>
      <c r="C1195">
        <f>DAY(tbl_Kalender[[#This Row],[Datum]])</f>
        <v>8</v>
      </c>
      <c r="D1195" t="str">
        <f>TEXT(tbl_Kalender[[#This Row],[Datum]],"TTTT")</f>
        <v>Donnerstag</v>
      </c>
      <c r="E1195">
        <f>WEEKDAY(tbl_Kalender[[#This Row],[Datum]],2)</f>
        <v>4</v>
      </c>
      <c r="F1195">
        <f>MONTH(tbl_Kalender[[#This Row],[Datum]])</f>
        <v>4</v>
      </c>
      <c r="G1195" t="str">
        <f>TEXT(tbl_Kalender[[#This Row],[Datum]],"MMMM")</f>
        <v>April</v>
      </c>
      <c r="H1195">
        <f>ROUNDUP(tbl_Kalender[[#This Row],[Monat]]/3,0)</f>
        <v>2</v>
      </c>
      <c r="I1195" t="str">
        <f>"Q "&amp;tbl_Kalender[[#This Row],[Quartal]]</f>
        <v>Q 2</v>
      </c>
      <c r="J1195" t="str">
        <f>tbl_Kalender[[#This Row],[Quartal]]&amp;". Quartal"</f>
        <v>2. Quartal</v>
      </c>
      <c r="K1195">
        <f>_xlfn.ISOWEEKNUM(tbl_Kalender[[#This Row],[Datum]])</f>
        <v>14</v>
      </c>
    </row>
    <row r="1196" spans="1:11" x14ac:dyDescent="0.25">
      <c r="A1196" s="1">
        <v>46486</v>
      </c>
      <c r="B1196">
        <f>YEAR(tbl_Kalender[[#This Row],[Datum]])</f>
        <v>2027</v>
      </c>
      <c r="C1196">
        <f>DAY(tbl_Kalender[[#This Row],[Datum]])</f>
        <v>9</v>
      </c>
      <c r="D1196" t="str">
        <f>TEXT(tbl_Kalender[[#This Row],[Datum]],"TTTT")</f>
        <v>Freitag</v>
      </c>
      <c r="E1196">
        <f>WEEKDAY(tbl_Kalender[[#This Row],[Datum]],2)</f>
        <v>5</v>
      </c>
      <c r="F1196">
        <f>MONTH(tbl_Kalender[[#This Row],[Datum]])</f>
        <v>4</v>
      </c>
      <c r="G1196" t="str">
        <f>TEXT(tbl_Kalender[[#This Row],[Datum]],"MMMM")</f>
        <v>April</v>
      </c>
      <c r="H1196">
        <f>ROUNDUP(tbl_Kalender[[#This Row],[Monat]]/3,0)</f>
        <v>2</v>
      </c>
      <c r="I1196" t="str">
        <f>"Q "&amp;tbl_Kalender[[#This Row],[Quartal]]</f>
        <v>Q 2</v>
      </c>
      <c r="J1196" t="str">
        <f>tbl_Kalender[[#This Row],[Quartal]]&amp;". Quartal"</f>
        <v>2. Quartal</v>
      </c>
      <c r="K1196">
        <f>_xlfn.ISOWEEKNUM(tbl_Kalender[[#This Row],[Datum]])</f>
        <v>14</v>
      </c>
    </row>
    <row r="1197" spans="1:11" x14ac:dyDescent="0.25">
      <c r="A1197" s="1">
        <v>46487</v>
      </c>
      <c r="B1197">
        <f>YEAR(tbl_Kalender[[#This Row],[Datum]])</f>
        <v>2027</v>
      </c>
      <c r="C1197">
        <f>DAY(tbl_Kalender[[#This Row],[Datum]])</f>
        <v>10</v>
      </c>
      <c r="D1197" t="str">
        <f>TEXT(tbl_Kalender[[#This Row],[Datum]],"TTTT")</f>
        <v>Samstag</v>
      </c>
      <c r="E1197">
        <f>WEEKDAY(tbl_Kalender[[#This Row],[Datum]],2)</f>
        <v>6</v>
      </c>
      <c r="F1197">
        <f>MONTH(tbl_Kalender[[#This Row],[Datum]])</f>
        <v>4</v>
      </c>
      <c r="G1197" t="str">
        <f>TEXT(tbl_Kalender[[#This Row],[Datum]],"MMMM")</f>
        <v>April</v>
      </c>
      <c r="H1197">
        <f>ROUNDUP(tbl_Kalender[[#This Row],[Monat]]/3,0)</f>
        <v>2</v>
      </c>
      <c r="I1197" t="str">
        <f>"Q "&amp;tbl_Kalender[[#This Row],[Quartal]]</f>
        <v>Q 2</v>
      </c>
      <c r="J1197" t="str">
        <f>tbl_Kalender[[#This Row],[Quartal]]&amp;". Quartal"</f>
        <v>2. Quartal</v>
      </c>
      <c r="K1197">
        <f>_xlfn.ISOWEEKNUM(tbl_Kalender[[#This Row],[Datum]])</f>
        <v>14</v>
      </c>
    </row>
    <row r="1198" spans="1:11" x14ac:dyDescent="0.25">
      <c r="A1198" s="1">
        <v>46488</v>
      </c>
      <c r="B1198">
        <f>YEAR(tbl_Kalender[[#This Row],[Datum]])</f>
        <v>2027</v>
      </c>
      <c r="C1198">
        <f>DAY(tbl_Kalender[[#This Row],[Datum]])</f>
        <v>11</v>
      </c>
      <c r="D1198" t="str">
        <f>TEXT(tbl_Kalender[[#This Row],[Datum]],"TTTT")</f>
        <v>Sonntag</v>
      </c>
      <c r="E1198">
        <f>WEEKDAY(tbl_Kalender[[#This Row],[Datum]],2)</f>
        <v>7</v>
      </c>
      <c r="F1198">
        <f>MONTH(tbl_Kalender[[#This Row],[Datum]])</f>
        <v>4</v>
      </c>
      <c r="G1198" t="str">
        <f>TEXT(tbl_Kalender[[#This Row],[Datum]],"MMMM")</f>
        <v>April</v>
      </c>
      <c r="H1198">
        <f>ROUNDUP(tbl_Kalender[[#This Row],[Monat]]/3,0)</f>
        <v>2</v>
      </c>
      <c r="I1198" t="str">
        <f>"Q "&amp;tbl_Kalender[[#This Row],[Quartal]]</f>
        <v>Q 2</v>
      </c>
      <c r="J1198" t="str">
        <f>tbl_Kalender[[#This Row],[Quartal]]&amp;". Quartal"</f>
        <v>2. Quartal</v>
      </c>
      <c r="K1198">
        <f>_xlfn.ISOWEEKNUM(tbl_Kalender[[#This Row],[Datum]])</f>
        <v>14</v>
      </c>
    </row>
    <row r="1199" spans="1:11" x14ac:dyDescent="0.25">
      <c r="A1199" s="1">
        <v>46489</v>
      </c>
      <c r="B1199">
        <f>YEAR(tbl_Kalender[[#This Row],[Datum]])</f>
        <v>2027</v>
      </c>
      <c r="C1199">
        <f>DAY(tbl_Kalender[[#This Row],[Datum]])</f>
        <v>12</v>
      </c>
      <c r="D1199" t="str">
        <f>TEXT(tbl_Kalender[[#This Row],[Datum]],"TTTT")</f>
        <v>Montag</v>
      </c>
      <c r="E1199">
        <f>WEEKDAY(tbl_Kalender[[#This Row],[Datum]],2)</f>
        <v>1</v>
      </c>
      <c r="F1199">
        <f>MONTH(tbl_Kalender[[#This Row],[Datum]])</f>
        <v>4</v>
      </c>
      <c r="G1199" t="str">
        <f>TEXT(tbl_Kalender[[#This Row],[Datum]],"MMMM")</f>
        <v>April</v>
      </c>
      <c r="H1199">
        <f>ROUNDUP(tbl_Kalender[[#This Row],[Monat]]/3,0)</f>
        <v>2</v>
      </c>
      <c r="I1199" t="str">
        <f>"Q "&amp;tbl_Kalender[[#This Row],[Quartal]]</f>
        <v>Q 2</v>
      </c>
      <c r="J1199" t="str">
        <f>tbl_Kalender[[#This Row],[Quartal]]&amp;". Quartal"</f>
        <v>2. Quartal</v>
      </c>
      <c r="K1199">
        <f>_xlfn.ISOWEEKNUM(tbl_Kalender[[#This Row],[Datum]])</f>
        <v>15</v>
      </c>
    </row>
    <row r="1200" spans="1:11" x14ac:dyDescent="0.25">
      <c r="A1200" s="1">
        <v>46490</v>
      </c>
      <c r="B1200">
        <f>YEAR(tbl_Kalender[[#This Row],[Datum]])</f>
        <v>2027</v>
      </c>
      <c r="C1200">
        <f>DAY(tbl_Kalender[[#This Row],[Datum]])</f>
        <v>13</v>
      </c>
      <c r="D1200" t="str">
        <f>TEXT(tbl_Kalender[[#This Row],[Datum]],"TTTT")</f>
        <v>Dienstag</v>
      </c>
      <c r="E1200">
        <f>WEEKDAY(tbl_Kalender[[#This Row],[Datum]],2)</f>
        <v>2</v>
      </c>
      <c r="F1200">
        <f>MONTH(tbl_Kalender[[#This Row],[Datum]])</f>
        <v>4</v>
      </c>
      <c r="G1200" t="str">
        <f>TEXT(tbl_Kalender[[#This Row],[Datum]],"MMMM")</f>
        <v>April</v>
      </c>
      <c r="H1200">
        <f>ROUNDUP(tbl_Kalender[[#This Row],[Monat]]/3,0)</f>
        <v>2</v>
      </c>
      <c r="I1200" t="str">
        <f>"Q "&amp;tbl_Kalender[[#This Row],[Quartal]]</f>
        <v>Q 2</v>
      </c>
      <c r="J1200" t="str">
        <f>tbl_Kalender[[#This Row],[Quartal]]&amp;". Quartal"</f>
        <v>2. Quartal</v>
      </c>
      <c r="K1200">
        <f>_xlfn.ISOWEEKNUM(tbl_Kalender[[#This Row],[Datum]])</f>
        <v>15</v>
      </c>
    </row>
    <row r="1201" spans="1:11" x14ac:dyDescent="0.25">
      <c r="A1201" s="1">
        <v>46491</v>
      </c>
      <c r="B1201">
        <f>YEAR(tbl_Kalender[[#This Row],[Datum]])</f>
        <v>2027</v>
      </c>
      <c r="C1201">
        <f>DAY(tbl_Kalender[[#This Row],[Datum]])</f>
        <v>14</v>
      </c>
      <c r="D1201" t="str">
        <f>TEXT(tbl_Kalender[[#This Row],[Datum]],"TTTT")</f>
        <v>Mittwoch</v>
      </c>
      <c r="E1201">
        <f>WEEKDAY(tbl_Kalender[[#This Row],[Datum]],2)</f>
        <v>3</v>
      </c>
      <c r="F1201">
        <f>MONTH(tbl_Kalender[[#This Row],[Datum]])</f>
        <v>4</v>
      </c>
      <c r="G1201" t="str">
        <f>TEXT(tbl_Kalender[[#This Row],[Datum]],"MMMM")</f>
        <v>April</v>
      </c>
      <c r="H1201">
        <f>ROUNDUP(tbl_Kalender[[#This Row],[Monat]]/3,0)</f>
        <v>2</v>
      </c>
      <c r="I1201" t="str">
        <f>"Q "&amp;tbl_Kalender[[#This Row],[Quartal]]</f>
        <v>Q 2</v>
      </c>
      <c r="J1201" t="str">
        <f>tbl_Kalender[[#This Row],[Quartal]]&amp;". Quartal"</f>
        <v>2. Quartal</v>
      </c>
      <c r="K1201">
        <f>_xlfn.ISOWEEKNUM(tbl_Kalender[[#This Row],[Datum]])</f>
        <v>15</v>
      </c>
    </row>
    <row r="1202" spans="1:11" x14ac:dyDescent="0.25">
      <c r="A1202" s="1">
        <v>46492</v>
      </c>
      <c r="B1202">
        <f>YEAR(tbl_Kalender[[#This Row],[Datum]])</f>
        <v>2027</v>
      </c>
      <c r="C1202">
        <f>DAY(tbl_Kalender[[#This Row],[Datum]])</f>
        <v>15</v>
      </c>
      <c r="D1202" t="str">
        <f>TEXT(tbl_Kalender[[#This Row],[Datum]],"TTTT")</f>
        <v>Donnerstag</v>
      </c>
      <c r="E1202">
        <f>WEEKDAY(tbl_Kalender[[#This Row],[Datum]],2)</f>
        <v>4</v>
      </c>
      <c r="F1202">
        <f>MONTH(tbl_Kalender[[#This Row],[Datum]])</f>
        <v>4</v>
      </c>
      <c r="G1202" t="str">
        <f>TEXT(tbl_Kalender[[#This Row],[Datum]],"MMMM")</f>
        <v>April</v>
      </c>
      <c r="H1202">
        <f>ROUNDUP(tbl_Kalender[[#This Row],[Monat]]/3,0)</f>
        <v>2</v>
      </c>
      <c r="I1202" t="str">
        <f>"Q "&amp;tbl_Kalender[[#This Row],[Quartal]]</f>
        <v>Q 2</v>
      </c>
      <c r="J1202" t="str">
        <f>tbl_Kalender[[#This Row],[Quartal]]&amp;". Quartal"</f>
        <v>2. Quartal</v>
      </c>
      <c r="K1202">
        <f>_xlfn.ISOWEEKNUM(tbl_Kalender[[#This Row],[Datum]])</f>
        <v>15</v>
      </c>
    </row>
    <row r="1203" spans="1:11" x14ac:dyDescent="0.25">
      <c r="A1203" s="1">
        <v>46493</v>
      </c>
      <c r="B1203">
        <f>YEAR(tbl_Kalender[[#This Row],[Datum]])</f>
        <v>2027</v>
      </c>
      <c r="C1203">
        <f>DAY(tbl_Kalender[[#This Row],[Datum]])</f>
        <v>16</v>
      </c>
      <c r="D1203" t="str">
        <f>TEXT(tbl_Kalender[[#This Row],[Datum]],"TTTT")</f>
        <v>Freitag</v>
      </c>
      <c r="E1203">
        <f>WEEKDAY(tbl_Kalender[[#This Row],[Datum]],2)</f>
        <v>5</v>
      </c>
      <c r="F1203">
        <f>MONTH(tbl_Kalender[[#This Row],[Datum]])</f>
        <v>4</v>
      </c>
      <c r="G1203" t="str">
        <f>TEXT(tbl_Kalender[[#This Row],[Datum]],"MMMM")</f>
        <v>April</v>
      </c>
      <c r="H1203">
        <f>ROUNDUP(tbl_Kalender[[#This Row],[Monat]]/3,0)</f>
        <v>2</v>
      </c>
      <c r="I1203" t="str">
        <f>"Q "&amp;tbl_Kalender[[#This Row],[Quartal]]</f>
        <v>Q 2</v>
      </c>
      <c r="J1203" t="str">
        <f>tbl_Kalender[[#This Row],[Quartal]]&amp;". Quartal"</f>
        <v>2. Quartal</v>
      </c>
      <c r="K1203">
        <f>_xlfn.ISOWEEKNUM(tbl_Kalender[[#This Row],[Datum]])</f>
        <v>15</v>
      </c>
    </row>
    <row r="1204" spans="1:11" x14ac:dyDescent="0.25">
      <c r="A1204" s="1">
        <v>46494</v>
      </c>
      <c r="B1204">
        <f>YEAR(tbl_Kalender[[#This Row],[Datum]])</f>
        <v>2027</v>
      </c>
      <c r="C1204">
        <f>DAY(tbl_Kalender[[#This Row],[Datum]])</f>
        <v>17</v>
      </c>
      <c r="D1204" t="str">
        <f>TEXT(tbl_Kalender[[#This Row],[Datum]],"TTTT")</f>
        <v>Samstag</v>
      </c>
      <c r="E1204">
        <f>WEEKDAY(tbl_Kalender[[#This Row],[Datum]],2)</f>
        <v>6</v>
      </c>
      <c r="F1204">
        <f>MONTH(tbl_Kalender[[#This Row],[Datum]])</f>
        <v>4</v>
      </c>
      <c r="G1204" t="str">
        <f>TEXT(tbl_Kalender[[#This Row],[Datum]],"MMMM")</f>
        <v>April</v>
      </c>
      <c r="H1204">
        <f>ROUNDUP(tbl_Kalender[[#This Row],[Monat]]/3,0)</f>
        <v>2</v>
      </c>
      <c r="I1204" t="str">
        <f>"Q "&amp;tbl_Kalender[[#This Row],[Quartal]]</f>
        <v>Q 2</v>
      </c>
      <c r="J1204" t="str">
        <f>tbl_Kalender[[#This Row],[Quartal]]&amp;". Quartal"</f>
        <v>2. Quartal</v>
      </c>
      <c r="K1204">
        <f>_xlfn.ISOWEEKNUM(tbl_Kalender[[#This Row],[Datum]])</f>
        <v>15</v>
      </c>
    </row>
    <row r="1205" spans="1:11" x14ac:dyDescent="0.25">
      <c r="A1205" s="1">
        <v>46495</v>
      </c>
      <c r="B1205">
        <f>YEAR(tbl_Kalender[[#This Row],[Datum]])</f>
        <v>2027</v>
      </c>
      <c r="C1205">
        <f>DAY(tbl_Kalender[[#This Row],[Datum]])</f>
        <v>18</v>
      </c>
      <c r="D1205" t="str">
        <f>TEXT(tbl_Kalender[[#This Row],[Datum]],"TTTT")</f>
        <v>Sonntag</v>
      </c>
      <c r="E1205">
        <f>WEEKDAY(tbl_Kalender[[#This Row],[Datum]],2)</f>
        <v>7</v>
      </c>
      <c r="F1205">
        <f>MONTH(tbl_Kalender[[#This Row],[Datum]])</f>
        <v>4</v>
      </c>
      <c r="G1205" t="str">
        <f>TEXT(tbl_Kalender[[#This Row],[Datum]],"MMMM")</f>
        <v>April</v>
      </c>
      <c r="H1205">
        <f>ROUNDUP(tbl_Kalender[[#This Row],[Monat]]/3,0)</f>
        <v>2</v>
      </c>
      <c r="I1205" t="str">
        <f>"Q "&amp;tbl_Kalender[[#This Row],[Quartal]]</f>
        <v>Q 2</v>
      </c>
      <c r="J1205" t="str">
        <f>tbl_Kalender[[#This Row],[Quartal]]&amp;". Quartal"</f>
        <v>2. Quartal</v>
      </c>
      <c r="K1205">
        <f>_xlfn.ISOWEEKNUM(tbl_Kalender[[#This Row],[Datum]])</f>
        <v>15</v>
      </c>
    </row>
    <row r="1206" spans="1:11" x14ac:dyDescent="0.25">
      <c r="A1206" s="1">
        <v>46496</v>
      </c>
      <c r="B1206">
        <f>YEAR(tbl_Kalender[[#This Row],[Datum]])</f>
        <v>2027</v>
      </c>
      <c r="C1206">
        <f>DAY(tbl_Kalender[[#This Row],[Datum]])</f>
        <v>19</v>
      </c>
      <c r="D1206" t="str">
        <f>TEXT(tbl_Kalender[[#This Row],[Datum]],"TTTT")</f>
        <v>Montag</v>
      </c>
      <c r="E1206">
        <f>WEEKDAY(tbl_Kalender[[#This Row],[Datum]],2)</f>
        <v>1</v>
      </c>
      <c r="F1206">
        <f>MONTH(tbl_Kalender[[#This Row],[Datum]])</f>
        <v>4</v>
      </c>
      <c r="G1206" t="str">
        <f>TEXT(tbl_Kalender[[#This Row],[Datum]],"MMMM")</f>
        <v>April</v>
      </c>
      <c r="H1206">
        <f>ROUNDUP(tbl_Kalender[[#This Row],[Monat]]/3,0)</f>
        <v>2</v>
      </c>
      <c r="I1206" t="str">
        <f>"Q "&amp;tbl_Kalender[[#This Row],[Quartal]]</f>
        <v>Q 2</v>
      </c>
      <c r="J1206" t="str">
        <f>tbl_Kalender[[#This Row],[Quartal]]&amp;". Quartal"</f>
        <v>2. Quartal</v>
      </c>
      <c r="K1206">
        <f>_xlfn.ISOWEEKNUM(tbl_Kalender[[#This Row],[Datum]])</f>
        <v>16</v>
      </c>
    </row>
    <row r="1207" spans="1:11" x14ac:dyDescent="0.25">
      <c r="A1207" s="1">
        <v>46497</v>
      </c>
      <c r="B1207">
        <f>YEAR(tbl_Kalender[[#This Row],[Datum]])</f>
        <v>2027</v>
      </c>
      <c r="C1207">
        <f>DAY(tbl_Kalender[[#This Row],[Datum]])</f>
        <v>20</v>
      </c>
      <c r="D1207" t="str">
        <f>TEXT(tbl_Kalender[[#This Row],[Datum]],"TTTT")</f>
        <v>Dienstag</v>
      </c>
      <c r="E1207">
        <f>WEEKDAY(tbl_Kalender[[#This Row],[Datum]],2)</f>
        <v>2</v>
      </c>
      <c r="F1207">
        <f>MONTH(tbl_Kalender[[#This Row],[Datum]])</f>
        <v>4</v>
      </c>
      <c r="G1207" t="str">
        <f>TEXT(tbl_Kalender[[#This Row],[Datum]],"MMMM")</f>
        <v>April</v>
      </c>
      <c r="H1207">
        <f>ROUNDUP(tbl_Kalender[[#This Row],[Monat]]/3,0)</f>
        <v>2</v>
      </c>
      <c r="I1207" t="str">
        <f>"Q "&amp;tbl_Kalender[[#This Row],[Quartal]]</f>
        <v>Q 2</v>
      </c>
      <c r="J1207" t="str">
        <f>tbl_Kalender[[#This Row],[Quartal]]&amp;". Quartal"</f>
        <v>2. Quartal</v>
      </c>
      <c r="K1207">
        <f>_xlfn.ISOWEEKNUM(tbl_Kalender[[#This Row],[Datum]])</f>
        <v>16</v>
      </c>
    </row>
    <row r="1208" spans="1:11" x14ac:dyDescent="0.25">
      <c r="A1208" s="1">
        <v>46498</v>
      </c>
      <c r="B1208">
        <f>YEAR(tbl_Kalender[[#This Row],[Datum]])</f>
        <v>2027</v>
      </c>
      <c r="C1208">
        <f>DAY(tbl_Kalender[[#This Row],[Datum]])</f>
        <v>21</v>
      </c>
      <c r="D1208" t="str">
        <f>TEXT(tbl_Kalender[[#This Row],[Datum]],"TTTT")</f>
        <v>Mittwoch</v>
      </c>
      <c r="E1208">
        <f>WEEKDAY(tbl_Kalender[[#This Row],[Datum]],2)</f>
        <v>3</v>
      </c>
      <c r="F1208">
        <f>MONTH(tbl_Kalender[[#This Row],[Datum]])</f>
        <v>4</v>
      </c>
      <c r="G1208" t="str">
        <f>TEXT(tbl_Kalender[[#This Row],[Datum]],"MMMM")</f>
        <v>April</v>
      </c>
      <c r="H1208">
        <f>ROUNDUP(tbl_Kalender[[#This Row],[Monat]]/3,0)</f>
        <v>2</v>
      </c>
      <c r="I1208" t="str">
        <f>"Q "&amp;tbl_Kalender[[#This Row],[Quartal]]</f>
        <v>Q 2</v>
      </c>
      <c r="J1208" t="str">
        <f>tbl_Kalender[[#This Row],[Quartal]]&amp;". Quartal"</f>
        <v>2. Quartal</v>
      </c>
      <c r="K1208">
        <f>_xlfn.ISOWEEKNUM(tbl_Kalender[[#This Row],[Datum]])</f>
        <v>16</v>
      </c>
    </row>
    <row r="1209" spans="1:11" x14ac:dyDescent="0.25">
      <c r="A1209" s="1">
        <v>46499</v>
      </c>
      <c r="B1209">
        <f>YEAR(tbl_Kalender[[#This Row],[Datum]])</f>
        <v>2027</v>
      </c>
      <c r="C1209">
        <f>DAY(tbl_Kalender[[#This Row],[Datum]])</f>
        <v>22</v>
      </c>
      <c r="D1209" t="str">
        <f>TEXT(tbl_Kalender[[#This Row],[Datum]],"TTTT")</f>
        <v>Donnerstag</v>
      </c>
      <c r="E1209">
        <f>WEEKDAY(tbl_Kalender[[#This Row],[Datum]],2)</f>
        <v>4</v>
      </c>
      <c r="F1209">
        <f>MONTH(tbl_Kalender[[#This Row],[Datum]])</f>
        <v>4</v>
      </c>
      <c r="G1209" t="str">
        <f>TEXT(tbl_Kalender[[#This Row],[Datum]],"MMMM")</f>
        <v>April</v>
      </c>
      <c r="H1209">
        <f>ROUNDUP(tbl_Kalender[[#This Row],[Monat]]/3,0)</f>
        <v>2</v>
      </c>
      <c r="I1209" t="str">
        <f>"Q "&amp;tbl_Kalender[[#This Row],[Quartal]]</f>
        <v>Q 2</v>
      </c>
      <c r="J1209" t="str">
        <f>tbl_Kalender[[#This Row],[Quartal]]&amp;". Quartal"</f>
        <v>2. Quartal</v>
      </c>
      <c r="K1209">
        <f>_xlfn.ISOWEEKNUM(tbl_Kalender[[#This Row],[Datum]])</f>
        <v>16</v>
      </c>
    </row>
    <row r="1210" spans="1:11" x14ac:dyDescent="0.25">
      <c r="A1210" s="1">
        <v>46500</v>
      </c>
      <c r="B1210">
        <f>YEAR(tbl_Kalender[[#This Row],[Datum]])</f>
        <v>2027</v>
      </c>
      <c r="C1210">
        <f>DAY(tbl_Kalender[[#This Row],[Datum]])</f>
        <v>23</v>
      </c>
      <c r="D1210" t="str">
        <f>TEXT(tbl_Kalender[[#This Row],[Datum]],"TTTT")</f>
        <v>Freitag</v>
      </c>
      <c r="E1210">
        <f>WEEKDAY(tbl_Kalender[[#This Row],[Datum]],2)</f>
        <v>5</v>
      </c>
      <c r="F1210">
        <f>MONTH(tbl_Kalender[[#This Row],[Datum]])</f>
        <v>4</v>
      </c>
      <c r="G1210" t="str">
        <f>TEXT(tbl_Kalender[[#This Row],[Datum]],"MMMM")</f>
        <v>April</v>
      </c>
      <c r="H1210">
        <f>ROUNDUP(tbl_Kalender[[#This Row],[Monat]]/3,0)</f>
        <v>2</v>
      </c>
      <c r="I1210" t="str">
        <f>"Q "&amp;tbl_Kalender[[#This Row],[Quartal]]</f>
        <v>Q 2</v>
      </c>
      <c r="J1210" t="str">
        <f>tbl_Kalender[[#This Row],[Quartal]]&amp;". Quartal"</f>
        <v>2. Quartal</v>
      </c>
      <c r="K1210">
        <f>_xlfn.ISOWEEKNUM(tbl_Kalender[[#This Row],[Datum]])</f>
        <v>16</v>
      </c>
    </row>
    <row r="1211" spans="1:11" x14ac:dyDescent="0.25">
      <c r="A1211" s="1">
        <v>46501</v>
      </c>
      <c r="B1211">
        <f>YEAR(tbl_Kalender[[#This Row],[Datum]])</f>
        <v>2027</v>
      </c>
      <c r="C1211">
        <f>DAY(tbl_Kalender[[#This Row],[Datum]])</f>
        <v>24</v>
      </c>
      <c r="D1211" t="str">
        <f>TEXT(tbl_Kalender[[#This Row],[Datum]],"TTTT")</f>
        <v>Samstag</v>
      </c>
      <c r="E1211">
        <f>WEEKDAY(tbl_Kalender[[#This Row],[Datum]],2)</f>
        <v>6</v>
      </c>
      <c r="F1211">
        <f>MONTH(tbl_Kalender[[#This Row],[Datum]])</f>
        <v>4</v>
      </c>
      <c r="G1211" t="str">
        <f>TEXT(tbl_Kalender[[#This Row],[Datum]],"MMMM")</f>
        <v>April</v>
      </c>
      <c r="H1211">
        <f>ROUNDUP(tbl_Kalender[[#This Row],[Monat]]/3,0)</f>
        <v>2</v>
      </c>
      <c r="I1211" t="str">
        <f>"Q "&amp;tbl_Kalender[[#This Row],[Quartal]]</f>
        <v>Q 2</v>
      </c>
      <c r="J1211" t="str">
        <f>tbl_Kalender[[#This Row],[Quartal]]&amp;". Quartal"</f>
        <v>2. Quartal</v>
      </c>
      <c r="K1211">
        <f>_xlfn.ISOWEEKNUM(tbl_Kalender[[#This Row],[Datum]])</f>
        <v>16</v>
      </c>
    </row>
    <row r="1212" spans="1:11" x14ac:dyDescent="0.25">
      <c r="A1212" s="1">
        <v>46502</v>
      </c>
      <c r="B1212">
        <f>YEAR(tbl_Kalender[[#This Row],[Datum]])</f>
        <v>2027</v>
      </c>
      <c r="C1212">
        <f>DAY(tbl_Kalender[[#This Row],[Datum]])</f>
        <v>25</v>
      </c>
      <c r="D1212" t="str">
        <f>TEXT(tbl_Kalender[[#This Row],[Datum]],"TTTT")</f>
        <v>Sonntag</v>
      </c>
      <c r="E1212">
        <f>WEEKDAY(tbl_Kalender[[#This Row],[Datum]],2)</f>
        <v>7</v>
      </c>
      <c r="F1212">
        <f>MONTH(tbl_Kalender[[#This Row],[Datum]])</f>
        <v>4</v>
      </c>
      <c r="G1212" t="str">
        <f>TEXT(tbl_Kalender[[#This Row],[Datum]],"MMMM")</f>
        <v>April</v>
      </c>
      <c r="H1212">
        <f>ROUNDUP(tbl_Kalender[[#This Row],[Monat]]/3,0)</f>
        <v>2</v>
      </c>
      <c r="I1212" t="str">
        <f>"Q "&amp;tbl_Kalender[[#This Row],[Quartal]]</f>
        <v>Q 2</v>
      </c>
      <c r="J1212" t="str">
        <f>tbl_Kalender[[#This Row],[Quartal]]&amp;". Quartal"</f>
        <v>2. Quartal</v>
      </c>
      <c r="K1212">
        <f>_xlfn.ISOWEEKNUM(tbl_Kalender[[#This Row],[Datum]])</f>
        <v>16</v>
      </c>
    </row>
    <row r="1213" spans="1:11" x14ac:dyDescent="0.25">
      <c r="A1213" s="1">
        <v>46503</v>
      </c>
      <c r="B1213">
        <f>YEAR(tbl_Kalender[[#This Row],[Datum]])</f>
        <v>2027</v>
      </c>
      <c r="C1213">
        <f>DAY(tbl_Kalender[[#This Row],[Datum]])</f>
        <v>26</v>
      </c>
      <c r="D1213" t="str">
        <f>TEXT(tbl_Kalender[[#This Row],[Datum]],"TTTT")</f>
        <v>Montag</v>
      </c>
      <c r="E1213">
        <f>WEEKDAY(tbl_Kalender[[#This Row],[Datum]],2)</f>
        <v>1</v>
      </c>
      <c r="F1213">
        <f>MONTH(tbl_Kalender[[#This Row],[Datum]])</f>
        <v>4</v>
      </c>
      <c r="G1213" t="str">
        <f>TEXT(tbl_Kalender[[#This Row],[Datum]],"MMMM")</f>
        <v>April</v>
      </c>
      <c r="H1213">
        <f>ROUNDUP(tbl_Kalender[[#This Row],[Monat]]/3,0)</f>
        <v>2</v>
      </c>
      <c r="I1213" t="str">
        <f>"Q "&amp;tbl_Kalender[[#This Row],[Quartal]]</f>
        <v>Q 2</v>
      </c>
      <c r="J1213" t="str">
        <f>tbl_Kalender[[#This Row],[Quartal]]&amp;". Quartal"</f>
        <v>2. Quartal</v>
      </c>
      <c r="K1213">
        <f>_xlfn.ISOWEEKNUM(tbl_Kalender[[#This Row],[Datum]])</f>
        <v>17</v>
      </c>
    </row>
    <row r="1214" spans="1:11" x14ac:dyDescent="0.25">
      <c r="A1214" s="1">
        <v>46504</v>
      </c>
      <c r="B1214">
        <f>YEAR(tbl_Kalender[[#This Row],[Datum]])</f>
        <v>2027</v>
      </c>
      <c r="C1214">
        <f>DAY(tbl_Kalender[[#This Row],[Datum]])</f>
        <v>27</v>
      </c>
      <c r="D1214" t="str">
        <f>TEXT(tbl_Kalender[[#This Row],[Datum]],"TTTT")</f>
        <v>Dienstag</v>
      </c>
      <c r="E1214">
        <f>WEEKDAY(tbl_Kalender[[#This Row],[Datum]],2)</f>
        <v>2</v>
      </c>
      <c r="F1214">
        <f>MONTH(tbl_Kalender[[#This Row],[Datum]])</f>
        <v>4</v>
      </c>
      <c r="G1214" t="str">
        <f>TEXT(tbl_Kalender[[#This Row],[Datum]],"MMMM")</f>
        <v>April</v>
      </c>
      <c r="H1214">
        <f>ROUNDUP(tbl_Kalender[[#This Row],[Monat]]/3,0)</f>
        <v>2</v>
      </c>
      <c r="I1214" t="str">
        <f>"Q "&amp;tbl_Kalender[[#This Row],[Quartal]]</f>
        <v>Q 2</v>
      </c>
      <c r="J1214" t="str">
        <f>tbl_Kalender[[#This Row],[Quartal]]&amp;". Quartal"</f>
        <v>2. Quartal</v>
      </c>
      <c r="K1214">
        <f>_xlfn.ISOWEEKNUM(tbl_Kalender[[#This Row],[Datum]])</f>
        <v>17</v>
      </c>
    </row>
    <row r="1215" spans="1:11" x14ac:dyDescent="0.25">
      <c r="A1215" s="1">
        <v>46505</v>
      </c>
      <c r="B1215">
        <f>YEAR(tbl_Kalender[[#This Row],[Datum]])</f>
        <v>2027</v>
      </c>
      <c r="C1215">
        <f>DAY(tbl_Kalender[[#This Row],[Datum]])</f>
        <v>28</v>
      </c>
      <c r="D1215" t="str">
        <f>TEXT(tbl_Kalender[[#This Row],[Datum]],"TTTT")</f>
        <v>Mittwoch</v>
      </c>
      <c r="E1215">
        <f>WEEKDAY(tbl_Kalender[[#This Row],[Datum]],2)</f>
        <v>3</v>
      </c>
      <c r="F1215">
        <f>MONTH(tbl_Kalender[[#This Row],[Datum]])</f>
        <v>4</v>
      </c>
      <c r="G1215" t="str">
        <f>TEXT(tbl_Kalender[[#This Row],[Datum]],"MMMM")</f>
        <v>April</v>
      </c>
      <c r="H1215">
        <f>ROUNDUP(tbl_Kalender[[#This Row],[Monat]]/3,0)</f>
        <v>2</v>
      </c>
      <c r="I1215" t="str">
        <f>"Q "&amp;tbl_Kalender[[#This Row],[Quartal]]</f>
        <v>Q 2</v>
      </c>
      <c r="J1215" t="str">
        <f>tbl_Kalender[[#This Row],[Quartal]]&amp;". Quartal"</f>
        <v>2. Quartal</v>
      </c>
      <c r="K1215">
        <f>_xlfn.ISOWEEKNUM(tbl_Kalender[[#This Row],[Datum]])</f>
        <v>17</v>
      </c>
    </row>
    <row r="1216" spans="1:11" x14ac:dyDescent="0.25">
      <c r="A1216" s="1">
        <v>46506</v>
      </c>
      <c r="B1216">
        <f>YEAR(tbl_Kalender[[#This Row],[Datum]])</f>
        <v>2027</v>
      </c>
      <c r="C1216">
        <f>DAY(tbl_Kalender[[#This Row],[Datum]])</f>
        <v>29</v>
      </c>
      <c r="D1216" t="str">
        <f>TEXT(tbl_Kalender[[#This Row],[Datum]],"TTTT")</f>
        <v>Donnerstag</v>
      </c>
      <c r="E1216">
        <f>WEEKDAY(tbl_Kalender[[#This Row],[Datum]],2)</f>
        <v>4</v>
      </c>
      <c r="F1216">
        <f>MONTH(tbl_Kalender[[#This Row],[Datum]])</f>
        <v>4</v>
      </c>
      <c r="G1216" t="str">
        <f>TEXT(tbl_Kalender[[#This Row],[Datum]],"MMMM")</f>
        <v>April</v>
      </c>
      <c r="H1216">
        <f>ROUNDUP(tbl_Kalender[[#This Row],[Monat]]/3,0)</f>
        <v>2</v>
      </c>
      <c r="I1216" t="str">
        <f>"Q "&amp;tbl_Kalender[[#This Row],[Quartal]]</f>
        <v>Q 2</v>
      </c>
      <c r="J1216" t="str">
        <f>tbl_Kalender[[#This Row],[Quartal]]&amp;". Quartal"</f>
        <v>2. Quartal</v>
      </c>
      <c r="K1216">
        <f>_xlfn.ISOWEEKNUM(tbl_Kalender[[#This Row],[Datum]])</f>
        <v>17</v>
      </c>
    </row>
    <row r="1217" spans="1:11" x14ac:dyDescent="0.25">
      <c r="A1217" s="1">
        <v>46507</v>
      </c>
      <c r="B1217">
        <f>YEAR(tbl_Kalender[[#This Row],[Datum]])</f>
        <v>2027</v>
      </c>
      <c r="C1217">
        <f>DAY(tbl_Kalender[[#This Row],[Datum]])</f>
        <v>30</v>
      </c>
      <c r="D1217" t="str">
        <f>TEXT(tbl_Kalender[[#This Row],[Datum]],"TTTT")</f>
        <v>Freitag</v>
      </c>
      <c r="E1217">
        <f>WEEKDAY(tbl_Kalender[[#This Row],[Datum]],2)</f>
        <v>5</v>
      </c>
      <c r="F1217">
        <f>MONTH(tbl_Kalender[[#This Row],[Datum]])</f>
        <v>4</v>
      </c>
      <c r="G1217" t="str">
        <f>TEXT(tbl_Kalender[[#This Row],[Datum]],"MMMM")</f>
        <v>April</v>
      </c>
      <c r="H1217">
        <f>ROUNDUP(tbl_Kalender[[#This Row],[Monat]]/3,0)</f>
        <v>2</v>
      </c>
      <c r="I1217" t="str">
        <f>"Q "&amp;tbl_Kalender[[#This Row],[Quartal]]</f>
        <v>Q 2</v>
      </c>
      <c r="J1217" t="str">
        <f>tbl_Kalender[[#This Row],[Quartal]]&amp;". Quartal"</f>
        <v>2. Quartal</v>
      </c>
      <c r="K1217">
        <f>_xlfn.ISOWEEKNUM(tbl_Kalender[[#This Row],[Datum]])</f>
        <v>17</v>
      </c>
    </row>
    <row r="1218" spans="1:11" x14ac:dyDescent="0.25">
      <c r="A1218" s="1">
        <v>46508</v>
      </c>
      <c r="B1218">
        <f>YEAR(tbl_Kalender[[#This Row],[Datum]])</f>
        <v>2027</v>
      </c>
      <c r="C1218">
        <f>DAY(tbl_Kalender[[#This Row],[Datum]])</f>
        <v>1</v>
      </c>
      <c r="D1218" t="str">
        <f>TEXT(tbl_Kalender[[#This Row],[Datum]],"TTTT")</f>
        <v>Samstag</v>
      </c>
      <c r="E1218">
        <f>WEEKDAY(tbl_Kalender[[#This Row],[Datum]],2)</f>
        <v>6</v>
      </c>
      <c r="F1218">
        <f>MONTH(tbl_Kalender[[#This Row],[Datum]])</f>
        <v>5</v>
      </c>
      <c r="G1218" t="str">
        <f>TEXT(tbl_Kalender[[#This Row],[Datum]],"MMMM")</f>
        <v>Mai</v>
      </c>
      <c r="H1218">
        <f>ROUNDUP(tbl_Kalender[[#This Row],[Monat]]/3,0)</f>
        <v>2</v>
      </c>
      <c r="I1218" t="str">
        <f>"Q "&amp;tbl_Kalender[[#This Row],[Quartal]]</f>
        <v>Q 2</v>
      </c>
      <c r="J1218" t="str">
        <f>tbl_Kalender[[#This Row],[Quartal]]&amp;". Quartal"</f>
        <v>2. Quartal</v>
      </c>
      <c r="K1218">
        <f>_xlfn.ISOWEEKNUM(tbl_Kalender[[#This Row],[Datum]])</f>
        <v>17</v>
      </c>
    </row>
    <row r="1219" spans="1:11" x14ac:dyDescent="0.25">
      <c r="A1219" s="1">
        <v>46509</v>
      </c>
      <c r="B1219">
        <f>YEAR(tbl_Kalender[[#This Row],[Datum]])</f>
        <v>2027</v>
      </c>
      <c r="C1219">
        <f>DAY(tbl_Kalender[[#This Row],[Datum]])</f>
        <v>2</v>
      </c>
      <c r="D1219" t="str">
        <f>TEXT(tbl_Kalender[[#This Row],[Datum]],"TTTT")</f>
        <v>Sonntag</v>
      </c>
      <c r="E1219">
        <f>WEEKDAY(tbl_Kalender[[#This Row],[Datum]],2)</f>
        <v>7</v>
      </c>
      <c r="F1219">
        <f>MONTH(tbl_Kalender[[#This Row],[Datum]])</f>
        <v>5</v>
      </c>
      <c r="G1219" t="str">
        <f>TEXT(tbl_Kalender[[#This Row],[Datum]],"MMMM")</f>
        <v>Mai</v>
      </c>
      <c r="H1219">
        <f>ROUNDUP(tbl_Kalender[[#This Row],[Monat]]/3,0)</f>
        <v>2</v>
      </c>
      <c r="I1219" t="str">
        <f>"Q "&amp;tbl_Kalender[[#This Row],[Quartal]]</f>
        <v>Q 2</v>
      </c>
      <c r="J1219" t="str">
        <f>tbl_Kalender[[#This Row],[Quartal]]&amp;". Quartal"</f>
        <v>2. Quartal</v>
      </c>
      <c r="K1219">
        <f>_xlfn.ISOWEEKNUM(tbl_Kalender[[#This Row],[Datum]])</f>
        <v>17</v>
      </c>
    </row>
    <row r="1220" spans="1:11" x14ac:dyDescent="0.25">
      <c r="A1220" s="1">
        <v>46510</v>
      </c>
      <c r="B1220">
        <f>YEAR(tbl_Kalender[[#This Row],[Datum]])</f>
        <v>2027</v>
      </c>
      <c r="C1220">
        <f>DAY(tbl_Kalender[[#This Row],[Datum]])</f>
        <v>3</v>
      </c>
      <c r="D1220" t="str">
        <f>TEXT(tbl_Kalender[[#This Row],[Datum]],"TTTT")</f>
        <v>Montag</v>
      </c>
      <c r="E1220">
        <f>WEEKDAY(tbl_Kalender[[#This Row],[Datum]],2)</f>
        <v>1</v>
      </c>
      <c r="F1220">
        <f>MONTH(tbl_Kalender[[#This Row],[Datum]])</f>
        <v>5</v>
      </c>
      <c r="G1220" t="str">
        <f>TEXT(tbl_Kalender[[#This Row],[Datum]],"MMMM")</f>
        <v>Mai</v>
      </c>
      <c r="H1220">
        <f>ROUNDUP(tbl_Kalender[[#This Row],[Monat]]/3,0)</f>
        <v>2</v>
      </c>
      <c r="I1220" t="str">
        <f>"Q "&amp;tbl_Kalender[[#This Row],[Quartal]]</f>
        <v>Q 2</v>
      </c>
      <c r="J1220" t="str">
        <f>tbl_Kalender[[#This Row],[Quartal]]&amp;". Quartal"</f>
        <v>2. Quartal</v>
      </c>
      <c r="K1220">
        <f>_xlfn.ISOWEEKNUM(tbl_Kalender[[#This Row],[Datum]])</f>
        <v>18</v>
      </c>
    </row>
    <row r="1221" spans="1:11" x14ac:dyDescent="0.25">
      <c r="A1221" s="1">
        <v>46511</v>
      </c>
      <c r="B1221">
        <f>YEAR(tbl_Kalender[[#This Row],[Datum]])</f>
        <v>2027</v>
      </c>
      <c r="C1221">
        <f>DAY(tbl_Kalender[[#This Row],[Datum]])</f>
        <v>4</v>
      </c>
      <c r="D1221" t="str">
        <f>TEXT(tbl_Kalender[[#This Row],[Datum]],"TTTT")</f>
        <v>Dienstag</v>
      </c>
      <c r="E1221">
        <f>WEEKDAY(tbl_Kalender[[#This Row],[Datum]],2)</f>
        <v>2</v>
      </c>
      <c r="F1221">
        <f>MONTH(tbl_Kalender[[#This Row],[Datum]])</f>
        <v>5</v>
      </c>
      <c r="G1221" t="str">
        <f>TEXT(tbl_Kalender[[#This Row],[Datum]],"MMMM")</f>
        <v>Mai</v>
      </c>
      <c r="H1221">
        <f>ROUNDUP(tbl_Kalender[[#This Row],[Monat]]/3,0)</f>
        <v>2</v>
      </c>
      <c r="I1221" t="str">
        <f>"Q "&amp;tbl_Kalender[[#This Row],[Quartal]]</f>
        <v>Q 2</v>
      </c>
      <c r="J1221" t="str">
        <f>tbl_Kalender[[#This Row],[Quartal]]&amp;". Quartal"</f>
        <v>2. Quartal</v>
      </c>
      <c r="K1221">
        <f>_xlfn.ISOWEEKNUM(tbl_Kalender[[#This Row],[Datum]])</f>
        <v>18</v>
      </c>
    </row>
    <row r="1222" spans="1:11" x14ac:dyDescent="0.25">
      <c r="A1222" s="1">
        <v>46512</v>
      </c>
      <c r="B1222">
        <f>YEAR(tbl_Kalender[[#This Row],[Datum]])</f>
        <v>2027</v>
      </c>
      <c r="C1222">
        <f>DAY(tbl_Kalender[[#This Row],[Datum]])</f>
        <v>5</v>
      </c>
      <c r="D1222" t="str">
        <f>TEXT(tbl_Kalender[[#This Row],[Datum]],"TTTT")</f>
        <v>Mittwoch</v>
      </c>
      <c r="E1222">
        <f>WEEKDAY(tbl_Kalender[[#This Row],[Datum]],2)</f>
        <v>3</v>
      </c>
      <c r="F1222">
        <f>MONTH(tbl_Kalender[[#This Row],[Datum]])</f>
        <v>5</v>
      </c>
      <c r="G1222" t="str">
        <f>TEXT(tbl_Kalender[[#This Row],[Datum]],"MMMM")</f>
        <v>Mai</v>
      </c>
      <c r="H1222">
        <f>ROUNDUP(tbl_Kalender[[#This Row],[Monat]]/3,0)</f>
        <v>2</v>
      </c>
      <c r="I1222" t="str">
        <f>"Q "&amp;tbl_Kalender[[#This Row],[Quartal]]</f>
        <v>Q 2</v>
      </c>
      <c r="J1222" t="str">
        <f>tbl_Kalender[[#This Row],[Quartal]]&amp;". Quartal"</f>
        <v>2. Quartal</v>
      </c>
      <c r="K1222">
        <f>_xlfn.ISOWEEKNUM(tbl_Kalender[[#This Row],[Datum]])</f>
        <v>18</v>
      </c>
    </row>
    <row r="1223" spans="1:11" x14ac:dyDescent="0.25">
      <c r="A1223" s="1">
        <v>46513</v>
      </c>
      <c r="B1223">
        <f>YEAR(tbl_Kalender[[#This Row],[Datum]])</f>
        <v>2027</v>
      </c>
      <c r="C1223">
        <f>DAY(tbl_Kalender[[#This Row],[Datum]])</f>
        <v>6</v>
      </c>
      <c r="D1223" t="str">
        <f>TEXT(tbl_Kalender[[#This Row],[Datum]],"TTTT")</f>
        <v>Donnerstag</v>
      </c>
      <c r="E1223">
        <f>WEEKDAY(tbl_Kalender[[#This Row],[Datum]],2)</f>
        <v>4</v>
      </c>
      <c r="F1223">
        <f>MONTH(tbl_Kalender[[#This Row],[Datum]])</f>
        <v>5</v>
      </c>
      <c r="G1223" t="str">
        <f>TEXT(tbl_Kalender[[#This Row],[Datum]],"MMMM")</f>
        <v>Mai</v>
      </c>
      <c r="H1223">
        <f>ROUNDUP(tbl_Kalender[[#This Row],[Monat]]/3,0)</f>
        <v>2</v>
      </c>
      <c r="I1223" t="str">
        <f>"Q "&amp;tbl_Kalender[[#This Row],[Quartal]]</f>
        <v>Q 2</v>
      </c>
      <c r="J1223" t="str">
        <f>tbl_Kalender[[#This Row],[Quartal]]&amp;". Quartal"</f>
        <v>2. Quartal</v>
      </c>
      <c r="K1223">
        <f>_xlfn.ISOWEEKNUM(tbl_Kalender[[#This Row],[Datum]])</f>
        <v>18</v>
      </c>
    </row>
    <row r="1224" spans="1:11" x14ac:dyDescent="0.25">
      <c r="A1224" s="1">
        <v>46514</v>
      </c>
      <c r="B1224">
        <f>YEAR(tbl_Kalender[[#This Row],[Datum]])</f>
        <v>2027</v>
      </c>
      <c r="C1224">
        <f>DAY(tbl_Kalender[[#This Row],[Datum]])</f>
        <v>7</v>
      </c>
      <c r="D1224" t="str">
        <f>TEXT(tbl_Kalender[[#This Row],[Datum]],"TTTT")</f>
        <v>Freitag</v>
      </c>
      <c r="E1224">
        <f>WEEKDAY(tbl_Kalender[[#This Row],[Datum]],2)</f>
        <v>5</v>
      </c>
      <c r="F1224">
        <f>MONTH(tbl_Kalender[[#This Row],[Datum]])</f>
        <v>5</v>
      </c>
      <c r="G1224" t="str">
        <f>TEXT(tbl_Kalender[[#This Row],[Datum]],"MMMM")</f>
        <v>Mai</v>
      </c>
      <c r="H1224">
        <f>ROUNDUP(tbl_Kalender[[#This Row],[Monat]]/3,0)</f>
        <v>2</v>
      </c>
      <c r="I1224" t="str">
        <f>"Q "&amp;tbl_Kalender[[#This Row],[Quartal]]</f>
        <v>Q 2</v>
      </c>
      <c r="J1224" t="str">
        <f>tbl_Kalender[[#This Row],[Quartal]]&amp;". Quartal"</f>
        <v>2. Quartal</v>
      </c>
      <c r="K1224">
        <f>_xlfn.ISOWEEKNUM(tbl_Kalender[[#This Row],[Datum]])</f>
        <v>18</v>
      </c>
    </row>
    <row r="1225" spans="1:11" x14ac:dyDescent="0.25">
      <c r="A1225" s="1">
        <v>46515</v>
      </c>
      <c r="B1225">
        <f>YEAR(tbl_Kalender[[#This Row],[Datum]])</f>
        <v>2027</v>
      </c>
      <c r="C1225">
        <f>DAY(tbl_Kalender[[#This Row],[Datum]])</f>
        <v>8</v>
      </c>
      <c r="D1225" t="str">
        <f>TEXT(tbl_Kalender[[#This Row],[Datum]],"TTTT")</f>
        <v>Samstag</v>
      </c>
      <c r="E1225">
        <f>WEEKDAY(tbl_Kalender[[#This Row],[Datum]],2)</f>
        <v>6</v>
      </c>
      <c r="F1225">
        <f>MONTH(tbl_Kalender[[#This Row],[Datum]])</f>
        <v>5</v>
      </c>
      <c r="G1225" t="str">
        <f>TEXT(tbl_Kalender[[#This Row],[Datum]],"MMMM")</f>
        <v>Mai</v>
      </c>
      <c r="H1225">
        <f>ROUNDUP(tbl_Kalender[[#This Row],[Monat]]/3,0)</f>
        <v>2</v>
      </c>
      <c r="I1225" t="str">
        <f>"Q "&amp;tbl_Kalender[[#This Row],[Quartal]]</f>
        <v>Q 2</v>
      </c>
      <c r="J1225" t="str">
        <f>tbl_Kalender[[#This Row],[Quartal]]&amp;". Quartal"</f>
        <v>2. Quartal</v>
      </c>
      <c r="K1225">
        <f>_xlfn.ISOWEEKNUM(tbl_Kalender[[#This Row],[Datum]])</f>
        <v>18</v>
      </c>
    </row>
    <row r="1226" spans="1:11" x14ac:dyDescent="0.25">
      <c r="A1226" s="1">
        <v>46516</v>
      </c>
      <c r="B1226">
        <f>YEAR(tbl_Kalender[[#This Row],[Datum]])</f>
        <v>2027</v>
      </c>
      <c r="C1226">
        <f>DAY(tbl_Kalender[[#This Row],[Datum]])</f>
        <v>9</v>
      </c>
      <c r="D1226" t="str">
        <f>TEXT(tbl_Kalender[[#This Row],[Datum]],"TTTT")</f>
        <v>Sonntag</v>
      </c>
      <c r="E1226">
        <f>WEEKDAY(tbl_Kalender[[#This Row],[Datum]],2)</f>
        <v>7</v>
      </c>
      <c r="F1226">
        <f>MONTH(tbl_Kalender[[#This Row],[Datum]])</f>
        <v>5</v>
      </c>
      <c r="G1226" t="str">
        <f>TEXT(tbl_Kalender[[#This Row],[Datum]],"MMMM")</f>
        <v>Mai</v>
      </c>
      <c r="H1226">
        <f>ROUNDUP(tbl_Kalender[[#This Row],[Monat]]/3,0)</f>
        <v>2</v>
      </c>
      <c r="I1226" t="str">
        <f>"Q "&amp;tbl_Kalender[[#This Row],[Quartal]]</f>
        <v>Q 2</v>
      </c>
      <c r="J1226" t="str">
        <f>tbl_Kalender[[#This Row],[Quartal]]&amp;". Quartal"</f>
        <v>2. Quartal</v>
      </c>
      <c r="K1226">
        <f>_xlfn.ISOWEEKNUM(tbl_Kalender[[#This Row],[Datum]])</f>
        <v>18</v>
      </c>
    </row>
    <row r="1227" spans="1:11" x14ac:dyDescent="0.25">
      <c r="A1227" s="1">
        <v>46517</v>
      </c>
      <c r="B1227">
        <f>YEAR(tbl_Kalender[[#This Row],[Datum]])</f>
        <v>2027</v>
      </c>
      <c r="C1227">
        <f>DAY(tbl_Kalender[[#This Row],[Datum]])</f>
        <v>10</v>
      </c>
      <c r="D1227" t="str">
        <f>TEXT(tbl_Kalender[[#This Row],[Datum]],"TTTT")</f>
        <v>Montag</v>
      </c>
      <c r="E1227">
        <f>WEEKDAY(tbl_Kalender[[#This Row],[Datum]],2)</f>
        <v>1</v>
      </c>
      <c r="F1227">
        <f>MONTH(tbl_Kalender[[#This Row],[Datum]])</f>
        <v>5</v>
      </c>
      <c r="G1227" t="str">
        <f>TEXT(tbl_Kalender[[#This Row],[Datum]],"MMMM")</f>
        <v>Mai</v>
      </c>
      <c r="H1227">
        <f>ROUNDUP(tbl_Kalender[[#This Row],[Monat]]/3,0)</f>
        <v>2</v>
      </c>
      <c r="I1227" t="str">
        <f>"Q "&amp;tbl_Kalender[[#This Row],[Quartal]]</f>
        <v>Q 2</v>
      </c>
      <c r="J1227" t="str">
        <f>tbl_Kalender[[#This Row],[Quartal]]&amp;". Quartal"</f>
        <v>2. Quartal</v>
      </c>
      <c r="K1227">
        <f>_xlfn.ISOWEEKNUM(tbl_Kalender[[#This Row],[Datum]])</f>
        <v>19</v>
      </c>
    </row>
    <row r="1228" spans="1:11" x14ac:dyDescent="0.25">
      <c r="A1228" s="1">
        <v>46518</v>
      </c>
      <c r="B1228">
        <f>YEAR(tbl_Kalender[[#This Row],[Datum]])</f>
        <v>2027</v>
      </c>
      <c r="C1228">
        <f>DAY(tbl_Kalender[[#This Row],[Datum]])</f>
        <v>11</v>
      </c>
      <c r="D1228" t="str">
        <f>TEXT(tbl_Kalender[[#This Row],[Datum]],"TTTT")</f>
        <v>Dienstag</v>
      </c>
      <c r="E1228">
        <f>WEEKDAY(tbl_Kalender[[#This Row],[Datum]],2)</f>
        <v>2</v>
      </c>
      <c r="F1228">
        <f>MONTH(tbl_Kalender[[#This Row],[Datum]])</f>
        <v>5</v>
      </c>
      <c r="G1228" t="str">
        <f>TEXT(tbl_Kalender[[#This Row],[Datum]],"MMMM")</f>
        <v>Mai</v>
      </c>
      <c r="H1228">
        <f>ROUNDUP(tbl_Kalender[[#This Row],[Monat]]/3,0)</f>
        <v>2</v>
      </c>
      <c r="I1228" t="str">
        <f>"Q "&amp;tbl_Kalender[[#This Row],[Quartal]]</f>
        <v>Q 2</v>
      </c>
      <c r="J1228" t="str">
        <f>tbl_Kalender[[#This Row],[Quartal]]&amp;". Quartal"</f>
        <v>2. Quartal</v>
      </c>
      <c r="K1228">
        <f>_xlfn.ISOWEEKNUM(tbl_Kalender[[#This Row],[Datum]])</f>
        <v>19</v>
      </c>
    </row>
    <row r="1229" spans="1:11" x14ac:dyDescent="0.25">
      <c r="A1229" s="1">
        <v>46519</v>
      </c>
      <c r="B1229">
        <f>YEAR(tbl_Kalender[[#This Row],[Datum]])</f>
        <v>2027</v>
      </c>
      <c r="C1229">
        <f>DAY(tbl_Kalender[[#This Row],[Datum]])</f>
        <v>12</v>
      </c>
      <c r="D1229" t="str">
        <f>TEXT(tbl_Kalender[[#This Row],[Datum]],"TTTT")</f>
        <v>Mittwoch</v>
      </c>
      <c r="E1229">
        <f>WEEKDAY(tbl_Kalender[[#This Row],[Datum]],2)</f>
        <v>3</v>
      </c>
      <c r="F1229">
        <f>MONTH(tbl_Kalender[[#This Row],[Datum]])</f>
        <v>5</v>
      </c>
      <c r="G1229" t="str">
        <f>TEXT(tbl_Kalender[[#This Row],[Datum]],"MMMM")</f>
        <v>Mai</v>
      </c>
      <c r="H1229">
        <f>ROUNDUP(tbl_Kalender[[#This Row],[Monat]]/3,0)</f>
        <v>2</v>
      </c>
      <c r="I1229" t="str">
        <f>"Q "&amp;tbl_Kalender[[#This Row],[Quartal]]</f>
        <v>Q 2</v>
      </c>
      <c r="J1229" t="str">
        <f>tbl_Kalender[[#This Row],[Quartal]]&amp;". Quartal"</f>
        <v>2. Quartal</v>
      </c>
      <c r="K1229">
        <f>_xlfn.ISOWEEKNUM(tbl_Kalender[[#This Row],[Datum]])</f>
        <v>19</v>
      </c>
    </row>
    <row r="1230" spans="1:11" x14ac:dyDescent="0.25">
      <c r="A1230" s="1">
        <v>46520</v>
      </c>
      <c r="B1230">
        <f>YEAR(tbl_Kalender[[#This Row],[Datum]])</f>
        <v>2027</v>
      </c>
      <c r="C1230">
        <f>DAY(tbl_Kalender[[#This Row],[Datum]])</f>
        <v>13</v>
      </c>
      <c r="D1230" t="str">
        <f>TEXT(tbl_Kalender[[#This Row],[Datum]],"TTTT")</f>
        <v>Donnerstag</v>
      </c>
      <c r="E1230">
        <f>WEEKDAY(tbl_Kalender[[#This Row],[Datum]],2)</f>
        <v>4</v>
      </c>
      <c r="F1230">
        <f>MONTH(tbl_Kalender[[#This Row],[Datum]])</f>
        <v>5</v>
      </c>
      <c r="G1230" t="str">
        <f>TEXT(tbl_Kalender[[#This Row],[Datum]],"MMMM")</f>
        <v>Mai</v>
      </c>
      <c r="H1230">
        <f>ROUNDUP(tbl_Kalender[[#This Row],[Monat]]/3,0)</f>
        <v>2</v>
      </c>
      <c r="I1230" t="str">
        <f>"Q "&amp;tbl_Kalender[[#This Row],[Quartal]]</f>
        <v>Q 2</v>
      </c>
      <c r="J1230" t="str">
        <f>tbl_Kalender[[#This Row],[Quartal]]&amp;". Quartal"</f>
        <v>2. Quartal</v>
      </c>
      <c r="K1230">
        <f>_xlfn.ISOWEEKNUM(tbl_Kalender[[#This Row],[Datum]])</f>
        <v>19</v>
      </c>
    </row>
    <row r="1231" spans="1:11" x14ac:dyDescent="0.25">
      <c r="A1231" s="1">
        <v>46521</v>
      </c>
      <c r="B1231">
        <f>YEAR(tbl_Kalender[[#This Row],[Datum]])</f>
        <v>2027</v>
      </c>
      <c r="C1231">
        <f>DAY(tbl_Kalender[[#This Row],[Datum]])</f>
        <v>14</v>
      </c>
      <c r="D1231" t="str">
        <f>TEXT(tbl_Kalender[[#This Row],[Datum]],"TTTT")</f>
        <v>Freitag</v>
      </c>
      <c r="E1231">
        <f>WEEKDAY(tbl_Kalender[[#This Row],[Datum]],2)</f>
        <v>5</v>
      </c>
      <c r="F1231">
        <f>MONTH(tbl_Kalender[[#This Row],[Datum]])</f>
        <v>5</v>
      </c>
      <c r="G1231" t="str">
        <f>TEXT(tbl_Kalender[[#This Row],[Datum]],"MMMM")</f>
        <v>Mai</v>
      </c>
      <c r="H1231">
        <f>ROUNDUP(tbl_Kalender[[#This Row],[Monat]]/3,0)</f>
        <v>2</v>
      </c>
      <c r="I1231" t="str">
        <f>"Q "&amp;tbl_Kalender[[#This Row],[Quartal]]</f>
        <v>Q 2</v>
      </c>
      <c r="J1231" t="str">
        <f>tbl_Kalender[[#This Row],[Quartal]]&amp;". Quartal"</f>
        <v>2. Quartal</v>
      </c>
      <c r="K1231">
        <f>_xlfn.ISOWEEKNUM(tbl_Kalender[[#This Row],[Datum]])</f>
        <v>19</v>
      </c>
    </row>
    <row r="1232" spans="1:11" x14ac:dyDescent="0.25">
      <c r="A1232" s="1">
        <v>46522</v>
      </c>
      <c r="B1232">
        <f>YEAR(tbl_Kalender[[#This Row],[Datum]])</f>
        <v>2027</v>
      </c>
      <c r="C1232">
        <f>DAY(tbl_Kalender[[#This Row],[Datum]])</f>
        <v>15</v>
      </c>
      <c r="D1232" t="str">
        <f>TEXT(tbl_Kalender[[#This Row],[Datum]],"TTTT")</f>
        <v>Samstag</v>
      </c>
      <c r="E1232">
        <f>WEEKDAY(tbl_Kalender[[#This Row],[Datum]],2)</f>
        <v>6</v>
      </c>
      <c r="F1232">
        <f>MONTH(tbl_Kalender[[#This Row],[Datum]])</f>
        <v>5</v>
      </c>
      <c r="G1232" t="str">
        <f>TEXT(tbl_Kalender[[#This Row],[Datum]],"MMMM")</f>
        <v>Mai</v>
      </c>
      <c r="H1232">
        <f>ROUNDUP(tbl_Kalender[[#This Row],[Monat]]/3,0)</f>
        <v>2</v>
      </c>
      <c r="I1232" t="str">
        <f>"Q "&amp;tbl_Kalender[[#This Row],[Quartal]]</f>
        <v>Q 2</v>
      </c>
      <c r="J1232" t="str">
        <f>tbl_Kalender[[#This Row],[Quartal]]&amp;". Quartal"</f>
        <v>2. Quartal</v>
      </c>
      <c r="K1232">
        <f>_xlfn.ISOWEEKNUM(tbl_Kalender[[#This Row],[Datum]])</f>
        <v>19</v>
      </c>
    </row>
    <row r="1233" spans="1:11" x14ac:dyDescent="0.25">
      <c r="A1233" s="1">
        <v>46523</v>
      </c>
      <c r="B1233">
        <f>YEAR(tbl_Kalender[[#This Row],[Datum]])</f>
        <v>2027</v>
      </c>
      <c r="C1233">
        <f>DAY(tbl_Kalender[[#This Row],[Datum]])</f>
        <v>16</v>
      </c>
      <c r="D1233" t="str">
        <f>TEXT(tbl_Kalender[[#This Row],[Datum]],"TTTT")</f>
        <v>Sonntag</v>
      </c>
      <c r="E1233">
        <f>WEEKDAY(tbl_Kalender[[#This Row],[Datum]],2)</f>
        <v>7</v>
      </c>
      <c r="F1233">
        <f>MONTH(tbl_Kalender[[#This Row],[Datum]])</f>
        <v>5</v>
      </c>
      <c r="G1233" t="str">
        <f>TEXT(tbl_Kalender[[#This Row],[Datum]],"MMMM")</f>
        <v>Mai</v>
      </c>
      <c r="H1233">
        <f>ROUNDUP(tbl_Kalender[[#This Row],[Monat]]/3,0)</f>
        <v>2</v>
      </c>
      <c r="I1233" t="str">
        <f>"Q "&amp;tbl_Kalender[[#This Row],[Quartal]]</f>
        <v>Q 2</v>
      </c>
      <c r="J1233" t="str">
        <f>tbl_Kalender[[#This Row],[Quartal]]&amp;". Quartal"</f>
        <v>2. Quartal</v>
      </c>
      <c r="K1233">
        <f>_xlfn.ISOWEEKNUM(tbl_Kalender[[#This Row],[Datum]])</f>
        <v>19</v>
      </c>
    </row>
    <row r="1234" spans="1:11" x14ac:dyDescent="0.25">
      <c r="A1234" s="1">
        <v>46524</v>
      </c>
      <c r="B1234">
        <f>YEAR(tbl_Kalender[[#This Row],[Datum]])</f>
        <v>2027</v>
      </c>
      <c r="C1234">
        <f>DAY(tbl_Kalender[[#This Row],[Datum]])</f>
        <v>17</v>
      </c>
      <c r="D1234" t="str">
        <f>TEXT(tbl_Kalender[[#This Row],[Datum]],"TTTT")</f>
        <v>Montag</v>
      </c>
      <c r="E1234">
        <f>WEEKDAY(tbl_Kalender[[#This Row],[Datum]],2)</f>
        <v>1</v>
      </c>
      <c r="F1234">
        <f>MONTH(tbl_Kalender[[#This Row],[Datum]])</f>
        <v>5</v>
      </c>
      <c r="G1234" t="str">
        <f>TEXT(tbl_Kalender[[#This Row],[Datum]],"MMMM")</f>
        <v>Mai</v>
      </c>
      <c r="H1234">
        <f>ROUNDUP(tbl_Kalender[[#This Row],[Monat]]/3,0)</f>
        <v>2</v>
      </c>
      <c r="I1234" t="str">
        <f>"Q "&amp;tbl_Kalender[[#This Row],[Quartal]]</f>
        <v>Q 2</v>
      </c>
      <c r="J1234" t="str">
        <f>tbl_Kalender[[#This Row],[Quartal]]&amp;". Quartal"</f>
        <v>2. Quartal</v>
      </c>
      <c r="K1234">
        <f>_xlfn.ISOWEEKNUM(tbl_Kalender[[#This Row],[Datum]])</f>
        <v>20</v>
      </c>
    </row>
    <row r="1235" spans="1:11" x14ac:dyDescent="0.25">
      <c r="A1235" s="1">
        <v>46525</v>
      </c>
      <c r="B1235">
        <f>YEAR(tbl_Kalender[[#This Row],[Datum]])</f>
        <v>2027</v>
      </c>
      <c r="C1235">
        <f>DAY(tbl_Kalender[[#This Row],[Datum]])</f>
        <v>18</v>
      </c>
      <c r="D1235" t="str">
        <f>TEXT(tbl_Kalender[[#This Row],[Datum]],"TTTT")</f>
        <v>Dienstag</v>
      </c>
      <c r="E1235">
        <f>WEEKDAY(tbl_Kalender[[#This Row],[Datum]],2)</f>
        <v>2</v>
      </c>
      <c r="F1235">
        <f>MONTH(tbl_Kalender[[#This Row],[Datum]])</f>
        <v>5</v>
      </c>
      <c r="G1235" t="str">
        <f>TEXT(tbl_Kalender[[#This Row],[Datum]],"MMMM")</f>
        <v>Mai</v>
      </c>
      <c r="H1235">
        <f>ROUNDUP(tbl_Kalender[[#This Row],[Monat]]/3,0)</f>
        <v>2</v>
      </c>
      <c r="I1235" t="str">
        <f>"Q "&amp;tbl_Kalender[[#This Row],[Quartal]]</f>
        <v>Q 2</v>
      </c>
      <c r="J1235" t="str">
        <f>tbl_Kalender[[#This Row],[Quartal]]&amp;". Quartal"</f>
        <v>2. Quartal</v>
      </c>
      <c r="K1235">
        <f>_xlfn.ISOWEEKNUM(tbl_Kalender[[#This Row],[Datum]])</f>
        <v>20</v>
      </c>
    </row>
    <row r="1236" spans="1:11" x14ac:dyDescent="0.25">
      <c r="A1236" s="1">
        <v>46526</v>
      </c>
      <c r="B1236">
        <f>YEAR(tbl_Kalender[[#This Row],[Datum]])</f>
        <v>2027</v>
      </c>
      <c r="C1236">
        <f>DAY(tbl_Kalender[[#This Row],[Datum]])</f>
        <v>19</v>
      </c>
      <c r="D1236" t="str">
        <f>TEXT(tbl_Kalender[[#This Row],[Datum]],"TTTT")</f>
        <v>Mittwoch</v>
      </c>
      <c r="E1236">
        <f>WEEKDAY(tbl_Kalender[[#This Row],[Datum]],2)</f>
        <v>3</v>
      </c>
      <c r="F1236">
        <f>MONTH(tbl_Kalender[[#This Row],[Datum]])</f>
        <v>5</v>
      </c>
      <c r="G1236" t="str">
        <f>TEXT(tbl_Kalender[[#This Row],[Datum]],"MMMM")</f>
        <v>Mai</v>
      </c>
      <c r="H1236">
        <f>ROUNDUP(tbl_Kalender[[#This Row],[Monat]]/3,0)</f>
        <v>2</v>
      </c>
      <c r="I1236" t="str">
        <f>"Q "&amp;tbl_Kalender[[#This Row],[Quartal]]</f>
        <v>Q 2</v>
      </c>
      <c r="J1236" t="str">
        <f>tbl_Kalender[[#This Row],[Quartal]]&amp;". Quartal"</f>
        <v>2. Quartal</v>
      </c>
      <c r="K1236">
        <f>_xlfn.ISOWEEKNUM(tbl_Kalender[[#This Row],[Datum]])</f>
        <v>20</v>
      </c>
    </row>
    <row r="1237" spans="1:11" x14ac:dyDescent="0.25">
      <c r="A1237" s="1">
        <v>46527</v>
      </c>
      <c r="B1237">
        <f>YEAR(tbl_Kalender[[#This Row],[Datum]])</f>
        <v>2027</v>
      </c>
      <c r="C1237">
        <f>DAY(tbl_Kalender[[#This Row],[Datum]])</f>
        <v>20</v>
      </c>
      <c r="D1237" t="str">
        <f>TEXT(tbl_Kalender[[#This Row],[Datum]],"TTTT")</f>
        <v>Donnerstag</v>
      </c>
      <c r="E1237">
        <f>WEEKDAY(tbl_Kalender[[#This Row],[Datum]],2)</f>
        <v>4</v>
      </c>
      <c r="F1237">
        <f>MONTH(tbl_Kalender[[#This Row],[Datum]])</f>
        <v>5</v>
      </c>
      <c r="G1237" t="str">
        <f>TEXT(tbl_Kalender[[#This Row],[Datum]],"MMMM")</f>
        <v>Mai</v>
      </c>
      <c r="H1237">
        <f>ROUNDUP(tbl_Kalender[[#This Row],[Monat]]/3,0)</f>
        <v>2</v>
      </c>
      <c r="I1237" t="str">
        <f>"Q "&amp;tbl_Kalender[[#This Row],[Quartal]]</f>
        <v>Q 2</v>
      </c>
      <c r="J1237" t="str">
        <f>tbl_Kalender[[#This Row],[Quartal]]&amp;". Quartal"</f>
        <v>2. Quartal</v>
      </c>
      <c r="K1237">
        <f>_xlfn.ISOWEEKNUM(tbl_Kalender[[#This Row],[Datum]])</f>
        <v>20</v>
      </c>
    </row>
    <row r="1238" spans="1:11" x14ac:dyDescent="0.25">
      <c r="A1238" s="1">
        <v>46528</v>
      </c>
      <c r="B1238">
        <f>YEAR(tbl_Kalender[[#This Row],[Datum]])</f>
        <v>2027</v>
      </c>
      <c r="C1238">
        <f>DAY(tbl_Kalender[[#This Row],[Datum]])</f>
        <v>21</v>
      </c>
      <c r="D1238" t="str">
        <f>TEXT(tbl_Kalender[[#This Row],[Datum]],"TTTT")</f>
        <v>Freitag</v>
      </c>
      <c r="E1238">
        <f>WEEKDAY(tbl_Kalender[[#This Row],[Datum]],2)</f>
        <v>5</v>
      </c>
      <c r="F1238">
        <f>MONTH(tbl_Kalender[[#This Row],[Datum]])</f>
        <v>5</v>
      </c>
      <c r="G1238" t="str">
        <f>TEXT(tbl_Kalender[[#This Row],[Datum]],"MMMM")</f>
        <v>Mai</v>
      </c>
      <c r="H1238">
        <f>ROUNDUP(tbl_Kalender[[#This Row],[Monat]]/3,0)</f>
        <v>2</v>
      </c>
      <c r="I1238" t="str">
        <f>"Q "&amp;tbl_Kalender[[#This Row],[Quartal]]</f>
        <v>Q 2</v>
      </c>
      <c r="J1238" t="str">
        <f>tbl_Kalender[[#This Row],[Quartal]]&amp;". Quartal"</f>
        <v>2. Quartal</v>
      </c>
      <c r="K1238">
        <f>_xlfn.ISOWEEKNUM(tbl_Kalender[[#This Row],[Datum]])</f>
        <v>20</v>
      </c>
    </row>
    <row r="1239" spans="1:11" x14ac:dyDescent="0.25">
      <c r="A1239" s="1">
        <v>46529</v>
      </c>
      <c r="B1239">
        <f>YEAR(tbl_Kalender[[#This Row],[Datum]])</f>
        <v>2027</v>
      </c>
      <c r="C1239">
        <f>DAY(tbl_Kalender[[#This Row],[Datum]])</f>
        <v>22</v>
      </c>
      <c r="D1239" t="str">
        <f>TEXT(tbl_Kalender[[#This Row],[Datum]],"TTTT")</f>
        <v>Samstag</v>
      </c>
      <c r="E1239">
        <f>WEEKDAY(tbl_Kalender[[#This Row],[Datum]],2)</f>
        <v>6</v>
      </c>
      <c r="F1239">
        <f>MONTH(tbl_Kalender[[#This Row],[Datum]])</f>
        <v>5</v>
      </c>
      <c r="G1239" t="str">
        <f>TEXT(tbl_Kalender[[#This Row],[Datum]],"MMMM")</f>
        <v>Mai</v>
      </c>
      <c r="H1239">
        <f>ROUNDUP(tbl_Kalender[[#This Row],[Monat]]/3,0)</f>
        <v>2</v>
      </c>
      <c r="I1239" t="str">
        <f>"Q "&amp;tbl_Kalender[[#This Row],[Quartal]]</f>
        <v>Q 2</v>
      </c>
      <c r="J1239" t="str">
        <f>tbl_Kalender[[#This Row],[Quartal]]&amp;". Quartal"</f>
        <v>2. Quartal</v>
      </c>
      <c r="K1239">
        <f>_xlfn.ISOWEEKNUM(tbl_Kalender[[#This Row],[Datum]])</f>
        <v>20</v>
      </c>
    </row>
    <row r="1240" spans="1:11" x14ac:dyDescent="0.25">
      <c r="A1240" s="1">
        <v>46530</v>
      </c>
      <c r="B1240">
        <f>YEAR(tbl_Kalender[[#This Row],[Datum]])</f>
        <v>2027</v>
      </c>
      <c r="C1240">
        <f>DAY(tbl_Kalender[[#This Row],[Datum]])</f>
        <v>23</v>
      </c>
      <c r="D1240" t="str">
        <f>TEXT(tbl_Kalender[[#This Row],[Datum]],"TTTT")</f>
        <v>Sonntag</v>
      </c>
      <c r="E1240">
        <f>WEEKDAY(tbl_Kalender[[#This Row],[Datum]],2)</f>
        <v>7</v>
      </c>
      <c r="F1240">
        <f>MONTH(tbl_Kalender[[#This Row],[Datum]])</f>
        <v>5</v>
      </c>
      <c r="G1240" t="str">
        <f>TEXT(tbl_Kalender[[#This Row],[Datum]],"MMMM")</f>
        <v>Mai</v>
      </c>
      <c r="H1240">
        <f>ROUNDUP(tbl_Kalender[[#This Row],[Monat]]/3,0)</f>
        <v>2</v>
      </c>
      <c r="I1240" t="str">
        <f>"Q "&amp;tbl_Kalender[[#This Row],[Quartal]]</f>
        <v>Q 2</v>
      </c>
      <c r="J1240" t="str">
        <f>tbl_Kalender[[#This Row],[Quartal]]&amp;". Quartal"</f>
        <v>2. Quartal</v>
      </c>
      <c r="K1240">
        <f>_xlfn.ISOWEEKNUM(tbl_Kalender[[#This Row],[Datum]])</f>
        <v>20</v>
      </c>
    </row>
    <row r="1241" spans="1:11" x14ac:dyDescent="0.25">
      <c r="A1241" s="1">
        <v>46531</v>
      </c>
      <c r="B1241">
        <f>YEAR(tbl_Kalender[[#This Row],[Datum]])</f>
        <v>2027</v>
      </c>
      <c r="C1241">
        <f>DAY(tbl_Kalender[[#This Row],[Datum]])</f>
        <v>24</v>
      </c>
      <c r="D1241" t="str">
        <f>TEXT(tbl_Kalender[[#This Row],[Datum]],"TTTT")</f>
        <v>Montag</v>
      </c>
      <c r="E1241">
        <f>WEEKDAY(tbl_Kalender[[#This Row],[Datum]],2)</f>
        <v>1</v>
      </c>
      <c r="F1241">
        <f>MONTH(tbl_Kalender[[#This Row],[Datum]])</f>
        <v>5</v>
      </c>
      <c r="G1241" t="str">
        <f>TEXT(tbl_Kalender[[#This Row],[Datum]],"MMMM")</f>
        <v>Mai</v>
      </c>
      <c r="H1241">
        <f>ROUNDUP(tbl_Kalender[[#This Row],[Monat]]/3,0)</f>
        <v>2</v>
      </c>
      <c r="I1241" t="str">
        <f>"Q "&amp;tbl_Kalender[[#This Row],[Quartal]]</f>
        <v>Q 2</v>
      </c>
      <c r="J1241" t="str">
        <f>tbl_Kalender[[#This Row],[Quartal]]&amp;". Quartal"</f>
        <v>2. Quartal</v>
      </c>
      <c r="K1241">
        <f>_xlfn.ISOWEEKNUM(tbl_Kalender[[#This Row],[Datum]])</f>
        <v>21</v>
      </c>
    </row>
    <row r="1242" spans="1:11" x14ac:dyDescent="0.25">
      <c r="A1242" s="1">
        <v>46532</v>
      </c>
      <c r="B1242">
        <f>YEAR(tbl_Kalender[[#This Row],[Datum]])</f>
        <v>2027</v>
      </c>
      <c r="C1242">
        <f>DAY(tbl_Kalender[[#This Row],[Datum]])</f>
        <v>25</v>
      </c>
      <c r="D1242" t="str">
        <f>TEXT(tbl_Kalender[[#This Row],[Datum]],"TTTT")</f>
        <v>Dienstag</v>
      </c>
      <c r="E1242">
        <f>WEEKDAY(tbl_Kalender[[#This Row],[Datum]],2)</f>
        <v>2</v>
      </c>
      <c r="F1242">
        <f>MONTH(tbl_Kalender[[#This Row],[Datum]])</f>
        <v>5</v>
      </c>
      <c r="G1242" t="str">
        <f>TEXT(tbl_Kalender[[#This Row],[Datum]],"MMMM")</f>
        <v>Mai</v>
      </c>
      <c r="H1242">
        <f>ROUNDUP(tbl_Kalender[[#This Row],[Monat]]/3,0)</f>
        <v>2</v>
      </c>
      <c r="I1242" t="str">
        <f>"Q "&amp;tbl_Kalender[[#This Row],[Quartal]]</f>
        <v>Q 2</v>
      </c>
      <c r="J1242" t="str">
        <f>tbl_Kalender[[#This Row],[Quartal]]&amp;". Quartal"</f>
        <v>2. Quartal</v>
      </c>
      <c r="K1242">
        <f>_xlfn.ISOWEEKNUM(tbl_Kalender[[#This Row],[Datum]])</f>
        <v>21</v>
      </c>
    </row>
    <row r="1243" spans="1:11" x14ac:dyDescent="0.25">
      <c r="A1243" s="1">
        <v>46533</v>
      </c>
      <c r="B1243">
        <f>YEAR(tbl_Kalender[[#This Row],[Datum]])</f>
        <v>2027</v>
      </c>
      <c r="C1243">
        <f>DAY(tbl_Kalender[[#This Row],[Datum]])</f>
        <v>26</v>
      </c>
      <c r="D1243" t="str">
        <f>TEXT(tbl_Kalender[[#This Row],[Datum]],"TTTT")</f>
        <v>Mittwoch</v>
      </c>
      <c r="E1243">
        <f>WEEKDAY(tbl_Kalender[[#This Row],[Datum]],2)</f>
        <v>3</v>
      </c>
      <c r="F1243">
        <f>MONTH(tbl_Kalender[[#This Row],[Datum]])</f>
        <v>5</v>
      </c>
      <c r="G1243" t="str">
        <f>TEXT(tbl_Kalender[[#This Row],[Datum]],"MMMM")</f>
        <v>Mai</v>
      </c>
      <c r="H1243">
        <f>ROUNDUP(tbl_Kalender[[#This Row],[Monat]]/3,0)</f>
        <v>2</v>
      </c>
      <c r="I1243" t="str">
        <f>"Q "&amp;tbl_Kalender[[#This Row],[Quartal]]</f>
        <v>Q 2</v>
      </c>
      <c r="J1243" t="str">
        <f>tbl_Kalender[[#This Row],[Quartal]]&amp;". Quartal"</f>
        <v>2. Quartal</v>
      </c>
      <c r="K1243">
        <f>_xlfn.ISOWEEKNUM(tbl_Kalender[[#This Row],[Datum]])</f>
        <v>21</v>
      </c>
    </row>
    <row r="1244" spans="1:11" x14ac:dyDescent="0.25">
      <c r="A1244" s="1">
        <v>46534</v>
      </c>
      <c r="B1244">
        <f>YEAR(tbl_Kalender[[#This Row],[Datum]])</f>
        <v>2027</v>
      </c>
      <c r="C1244">
        <f>DAY(tbl_Kalender[[#This Row],[Datum]])</f>
        <v>27</v>
      </c>
      <c r="D1244" t="str">
        <f>TEXT(tbl_Kalender[[#This Row],[Datum]],"TTTT")</f>
        <v>Donnerstag</v>
      </c>
      <c r="E1244">
        <f>WEEKDAY(tbl_Kalender[[#This Row],[Datum]],2)</f>
        <v>4</v>
      </c>
      <c r="F1244">
        <f>MONTH(tbl_Kalender[[#This Row],[Datum]])</f>
        <v>5</v>
      </c>
      <c r="G1244" t="str">
        <f>TEXT(tbl_Kalender[[#This Row],[Datum]],"MMMM")</f>
        <v>Mai</v>
      </c>
      <c r="H1244">
        <f>ROUNDUP(tbl_Kalender[[#This Row],[Monat]]/3,0)</f>
        <v>2</v>
      </c>
      <c r="I1244" t="str">
        <f>"Q "&amp;tbl_Kalender[[#This Row],[Quartal]]</f>
        <v>Q 2</v>
      </c>
      <c r="J1244" t="str">
        <f>tbl_Kalender[[#This Row],[Quartal]]&amp;". Quartal"</f>
        <v>2. Quartal</v>
      </c>
      <c r="K1244">
        <f>_xlfn.ISOWEEKNUM(tbl_Kalender[[#This Row],[Datum]])</f>
        <v>21</v>
      </c>
    </row>
    <row r="1245" spans="1:11" x14ac:dyDescent="0.25">
      <c r="A1245" s="1">
        <v>46535</v>
      </c>
      <c r="B1245">
        <f>YEAR(tbl_Kalender[[#This Row],[Datum]])</f>
        <v>2027</v>
      </c>
      <c r="C1245">
        <f>DAY(tbl_Kalender[[#This Row],[Datum]])</f>
        <v>28</v>
      </c>
      <c r="D1245" t="str">
        <f>TEXT(tbl_Kalender[[#This Row],[Datum]],"TTTT")</f>
        <v>Freitag</v>
      </c>
      <c r="E1245">
        <f>WEEKDAY(tbl_Kalender[[#This Row],[Datum]],2)</f>
        <v>5</v>
      </c>
      <c r="F1245">
        <f>MONTH(tbl_Kalender[[#This Row],[Datum]])</f>
        <v>5</v>
      </c>
      <c r="G1245" t="str">
        <f>TEXT(tbl_Kalender[[#This Row],[Datum]],"MMMM")</f>
        <v>Mai</v>
      </c>
      <c r="H1245">
        <f>ROUNDUP(tbl_Kalender[[#This Row],[Monat]]/3,0)</f>
        <v>2</v>
      </c>
      <c r="I1245" t="str">
        <f>"Q "&amp;tbl_Kalender[[#This Row],[Quartal]]</f>
        <v>Q 2</v>
      </c>
      <c r="J1245" t="str">
        <f>tbl_Kalender[[#This Row],[Quartal]]&amp;". Quartal"</f>
        <v>2. Quartal</v>
      </c>
      <c r="K1245">
        <f>_xlfn.ISOWEEKNUM(tbl_Kalender[[#This Row],[Datum]])</f>
        <v>21</v>
      </c>
    </row>
    <row r="1246" spans="1:11" x14ac:dyDescent="0.25">
      <c r="A1246" s="1">
        <v>46536</v>
      </c>
      <c r="B1246">
        <f>YEAR(tbl_Kalender[[#This Row],[Datum]])</f>
        <v>2027</v>
      </c>
      <c r="C1246">
        <f>DAY(tbl_Kalender[[#This Row],[Datum]])</f>
        <v>29</v>
      </c>
      <c r="D1246" t="str">
        <f>TEXT(tbl_Kalender[[#This Row],[Datum]],"TTTT")</f>
        <v>Samstag</v>
      </c>
      <c r="E1246">
        <f>WEEKDAY(tbl_Kalender[[#This Row],[Datum]],2)</f>
        <v>6</v>
      </c>
      <c r="F1246">
        <f>MONTH(tbl_Kalender[[#This Row],[Datum]])</f>
        <v>5</v>
      </c>
      <c r="G1246" t="str">
        <f>TEXT(tbl_Kalender[[#This Row],[Datum]],"MMMM")</f>
        <v>Mai</v>
      </c>
      <c r="H1246">
        <f>ROUNDUP(tbl_Kalender[[#This Row],[Monat]]/3,0)</f>
        <v>2</v>
      </c>
      <c r="I1246" t="str">
        <f>"Q "&amp;tbl_Kalender[[#This Row],[Quartal]]</f>
        <v>Q 2</v>
      </c>
      <c r="J1246" t="str">
        <f>tbl_Kalender[[#This Row],[Quartal]]&amp;". Quartal"</f>
        <v>2. Quartal</v>
      </c>
      <c r="K1246">
        <f>_xlfn.ISOWEEKNUM(tbl_Kalender[[#This Row],[Datum]])</f>
        <v>21</v>
      </c>
    </row>
    <row r="1247" spans="1:11" x14ac:dyDescent="0.25">
      <c r="A1247" s="1">
        <v>46537</v>
      </c>
      <c r="B1247">
        <f>YEAR(tbl_Kalender[[#This Row],[Datum]])</f>
        <v>2027</v>
      </c>
      <c r="C1247">
        <f>DAY(tbl_Kalender[[#This Row],[Datum]])</f>
        <v>30</v>
      </c>
      <c r="D1247" t="str">
        <f>TEXT(tbl_Kalender[[#This Row],[Datum]],"TTTT")</f>
        <v>Sonntag</v>
      </c>
      <c r="E1247">
        <f>WEEKDAY(tbl_Kalender[[#This Row],[Datum]],2)</f>
        <v>7</v>
      </c>
      <c r="F1247">
        <f>MONTH(tbl_Kalender[[#This Row],[Datum]])</f>
        <v>5</v>
      </c>
      <c r="G1247" t="str">
        <f>TEXT(tbl_Kalender[[#This Row],[Datum]],"MMMM")</f>
        <v>Mai</v>
      </c>
      <c r="H1247">
        <f>ROUNDUP(tbl_Kalender[[#This Row],[Monat]]/3,0)</f>
        <v>2</v>
      </c>
      <c r="I1247" t="str">
        <f>"Q "&amp;tbl_Kalender[[#This Row],[Quartal]]</f>
        <v>Q 2</v>
      </c>
      <c r="J1247" t="str">
        <f>tbl_Kalender[[#This Row],[Quartal]]&amp;". Quartal"</f>
        <v>2. Quartal</v>
      </c>
      <c r="K1247">
        <f>_xlfn.ISOWEEKNUM(tbl_Kalender[[#This Row],[Datum]])</f>
        <v>21</v>
      </c>
    </row>
    <row r="1248" spans="1:11" x14ac:dyDescent="0.25">
      <c r="A1248" s="1">
        <v>46538</v>
      </c>
      <c r="B1248">
        <f>YEAR(tbl_Kalender[[#This Row],[Datum]])</f>
        <v>2027</v>
      </c>
      <c r="C1248">
        <f>DAY(tbl_Kalender[[#This Row],[Datum]])</f>
        <v>31</v>
      </c>
      <c r="D1248" t="str">
        <f>TEXT(tbl_Kalender[[#This Row],[Datum]],"TTTT")</f>
        <v>Montag</v>
      </c>
      <c r="E1248">
        <f>WEEKDAY(tbl_Kalender[[#This Row],[Datum]],2)</f>
        <v>1</v>
      </c>
      <c r="F1248">
        <f>MONTH(tbl_Kalender[[#This Row],[Datum]])</f>
        <v>5</v>
      </c>
      <c r="G1248" t="str">
        <f>TEXT(tbl_Kalender[[#This Row],[Datum]],"MMMM")</f>
        <v>Mai</v>
      </c>
      <c r="H1248">
        <f>ROUNDUP(tbl_Kalender[[#This Row],[Monat]]/3,0)</f>
        <v>2</v>
      </c>
      <c r="I1248" t="str">
        <f>"Q "&amp;tbl_Kalender[[#This Row],[Quartal]]</f>
        <v>Q 2</v>
      </c>
      <c r="J1248" t="str">
        <f>tbl_Kalender[[#This Row],[Quartal]]&amp;". Quartal"</f>
        <v>2. Quartal</v>
      </c>
      <c r="K1248">
        <f>_xlfn.ISOWEEKNUM(tbl_Kalender[[#This Row],[Datum]])</f>
        <v>22</v>
      </c>
    </row>
    <row r="1249" spans="1:11" x14ac:dyDescent="0.25">
      <c r="A1249" s="1">
        <v>46539</v>
      </c>
      <c r="B1249">
        <f>YEAR(tbl_Kalender[[#This Row],[Datum]])</f>
        <v>2027</v>
      </c>
      <c r="C1249">
        <f>DAY(tbl_Kalender[[#This Row],[Datum]])</f>
        <v>1</v>
      </c>
      <c r="D1249" t="str">
        <f>TEXT(tbl_Kalender[[#This Row],[Datum]],"TTTT")</f>
        <v>Dienstag</v>
      </c>
      <c r="E1249">
        <f>WEEKDAY(tbl_Kalender[[#This Row],[Datum]],2)</f>
        <v>2</v>
      </c>
      <c r="F1249">
        <f>MONTH(tbl_Kalender[[#This Row],[Datum]])</f>
        <v>6</v>
      </c>
      <c r="G1249" t="str">
        <f>TEXT(tbl_Kalender[[#This Row],[Datum]],"MMMM")</f>
        <v>Juni</v>
      </c>
      <c r="H1249">
        <f>ROUNDUP(tbl_Kalender[[#This Row],[Monat]]/3,0)</f>
        <v>2</v>
      </c>
      <c r="I1249" t="str">
        <f>"Q "&amp;tbl_Kalender[[#This Row],[Quartal]]</f>
        <v>Q 2</v>
      </c>
      <c r="J1249" t="str">
        <f>tbl_Kalender[[#This Row],[Quartal]]&amp;". Quartal"</f>
        <v>2. Quartal</v>
      </c>
      <c r="K1249">
        <f>_xlfn.ISOWEEKNUM(tbl_Kalender[[#This Row],[Datum]])</f>
        <v>22</v>
      </c>
    </row>
    <row r="1250" spans="1:11" x14ac:dyDescent="0.25">
      <c r="A1250" s="1">
        <v>46540</v>
      </c>
      <c r="B1250">
        <f>YEAR(tbl_Kalender[[#This Row],[Datum]])</f>
        <v>2027</v>
      </c>
      <c r="C1250">
        <f>DAY(tbl_Kalender[[#This Row],[Datum]])</f>
        <v>2</v>
      </c>
      <c r="D1250" t="str">
        <f>TEXT(tbl_Kalender[[#This Row],[Datum]],"TTTT")</f>
        <v>Mittwoch</v>
      </c>
      <c r="E1250">
        <f>WEEKDAY(tbl_Kalender[[#This Row],[Datum]],2)</f>
        <v>3</v>
      </c>
      <c r="F1250">
        <f>MONTH(tbl_Kalender[[#This Row],[Datum]])</f>
        <v>6</v>
      </c>
      <c r="G1250" t="str">
        <f>TEXT(tbl_Kalender[[#This Row],[Datum]],"MMMM")</f>
        <v>Juni</v>
      </c>
      <c r="H1250">
        <f>ROUNDUP(tbl_Kalender[[#This Row],[Monat]]/3,0)</f>
        <v>2</v>
      </c>
      <c r="I1250" t="str">
        <f>"Q "&amp;tbl_Kalender[[#This Row],[Quartal]]</f>
        <v>Q 2</v>
      </c>
      <c r="J1250" t="str">
        <f>tbl_Kalender[[#This Row],[Quartal]]&amp;". Quartal"</f>
        <v>2. Quartal</v>
      </c>
      <c r="K1250">
        <f>_xlfn.ISOWEEKNUM(tbl_Kalender[[#This Row],[Datum]])</f>
        <v>22</v>
      </c>
    </row>
    <row r="1251" spans="1:11" x14ac:dyDescent="0.25">
      <c r="A1251" s="1">
        <v>46541</v>
      </c>
      <c r="B1251">
        <f>YEAR(tbl_Kalender[[#This Row],[Datum]])</f>
        <v>2027</v>
      </c>
      <c r="C1251">
        <f>DAY(tbl_Kalender[[#This Row],[Datum]])</f>
        <v>3</v>
      </c>
      <c r="D1251" t="str">
        <f>TEXT(tbl_Kalender[[#This Row],[Datum]],"TTTT")</f>
        <v>Donnerstag</v>
      </c>
      <c r="E1251">
        <f>WEEKDAY(tbl_Kalender[[#This Row],[Datum]],2)</f>
        <v>4</v>
      </c>
      <c r="F1251">
        <f>MONTH(tbl_Kalender[[#This Row],[Datum]])</f>
        <v>6</v>
      </c>
      <c r="G1251" t="str">
        <f>TEXT(tbl_Kalender[[#This Row],[Datum]],"MMMM")</f>
        <v>Juni</v>
      </c>
      <c r="H1251">
        <f>ROUNDUP(tbl_Kalender[[#This Row],[Monat]]/3,0)</f>
        <v>2</v>
      </c>
      <c r="I1251" t="str">
        <f>"Q "&amp;tbl_Kalender[[#This Row],[Quartal]]</f>
        <v>Q 2</v>
      </c>
      <c r="J1251" t="str">
        <f>tbl_Kalender[[#This Row],[Quartal]]&amp;". Quartal"</f>
        <v>2. Quartal</v>
      </c>
      <c r="K1251">
        <f>_xlfn.ISOWEEKNUM(tbl_Kalender[[#This Row],[Datum]])</f>
        <v>22</v>
      </c>
    </row>
    <row r="1252" spans="1:11" x14ac:dyDescent="0.25">
      <c r="A1252" s="1">
        <v>46542</v>
      </c>
      <c r="B1252">
        <f>YEAR(tbl_Kalender[[#This Row],[Datum]])</f>
        <v>2027</v>
      </c>
      <c r="C1252">
        <f>DAY(tbl_Kalender[[#This Row],[Datum]])</f>
        <v>4</v>
      </c>
      <c r="D1252" t="str">
        <f>TEXT(tbl_Kalender[[#This Row],[Datum]],"TTTT")</f>
        <v>Freitag</v>
      </c>
      <c r="E1252">
        <f>WEEKDAY(tbl_Kalender[[#This Row],[Datum]],2)</f>
        <v>5</v>
      </c>
      <c r="F1252">
        <f>MONTH(tbl_Kalender[[#This Row],[Datum]])</f>
        <v>6</v>
      </c>
      <c r="G1252" t="str">
        <f>TEXT(tbl_Kalender[[#This Row],[Datum]],"MMMM")</f>
        <v>Juni</v>
      </c>
      <c r="H1252">
        <f>ROUNDUP(tbl_Kalender[[#This Row],[Monat]]/3,0)</f>
        <v>2</v>
      </c>
      <c r="I1252" t="str">
        <f>"Q "&amp;tbl_Kalender[[#This Row],[Quartal]]</f>
        <v>Q 2</v>
      </c>
      <c r="J1252" t="str">
        <f>tbl_Kalender[[#This Row],[Quartal]]&amp;". Quartal"</f>
        <v>2. Quartal</v>
      </c>
      <c r="K1252">
        <f>_xlfn.ISOWEEKNUM(tbl_Kalender[[#This Row],[Datum]])</f>
        <v>22</v>
      </c>
    </row>
    <row r="1253" spans="1:11" x14ac:dyDescent="0.25">
      <c r="A1253" s="1">
        <v>46543</v>
      </c>
      <c r="B1253">
        <f>YEAR(tbl_Kalender[[#This Row],[Datum]])</f>
        <v>2027</v>
      </c>
      <c r="C1253">
        <f>DAY(tbl_Kalender[[#This Row],[Datum]])</f>
        <v>5</v>
      </c>
      <c r="D1253" t="str">
        <f>TEXT(tbl_Kalender[[#This Row],[Datum]],"TTTT")</f>
        <v>Samstag</v>
      </c>
      <c r="E1253">
        <f>WEEKDAY(tbl_Kalender[[#This Row],[Datum]],2)</f>
        <v>6</v>
      </c>
      <c r="F1253">
        <f>MONTH(tbl_Kalender[[#This Row],[Datum]])</f>
        <v>6</v>
      </c>
      <c r="G1253" t="str">
        <f>TEXT(tbl_Kalender[[#This Row],[Datum]],"MMMM")</f>
        <v>Juni</v>
      </c>
      <c r="H1253">
        <f>ROUNDUP(tbl_Kalender[[#This Row],[Monat]]/3,0)</f>
        <v>2</v>
      </c>
      <c r="I1253" t="str">
        <f>"Q "&amp;tbl_Kalender[[#This Row],[Quartal]]</f>
        <v>Q 2</v>
      </c>
      <c r="J1253" t="str">
        <f>tbl_Kalender[[#This Row],[Quartal]]&amp;". Quartal"</f>
        <v>2. Quartal</v>
      </c>
      <c r="K1253">
        <f>_xlfn.ISOWEEKNUM(tbl_Kalender[[#This Row],[Datum]])</f>
        <v>22</v>
      </c>
    </row>
    <row r="1254" spans="1:11" x14ac:dyDescent="0.25">
      <c r="A1254" s="1">
        <v>46544</v>
      </c>
      <c r="B1254">
        <f>YEAR(tbl_Kalender[[#This Row],[Datum]])</f>
        <v>2027</v>
      </c>
      <c r="C1254">
        <f>DAY(tbl_Kalender[[#This Row],[Datum]])</f>
        <v>6</v>
      </c>
      <c r="D1254" t="str">
        <f>TEXT(tbl_Kalender[[#This Row],[Datum]],"TTTT")</f>
        <v>Sonntag</v>
      </c>
      <c r="E1254">
        <f>WEEKDAY(tbl_Kalender[[#This Row],[Datum]],2)</f>
        <v>7</v>
      </c>
      <c r="F1254">
        <f>MONTH(tbl_Kalender[[#This Row],[Datum]])</f>
        <v>6</v>
      </c>
      <c r="G1254" t="str">
        <f>TEXT(tbl_Kalender[[#This Row],[Datum]],"MMMM")</f>
        <v>Juni</v>
      </c>
      <c r="H1254">
        <f>ROUNDUP(tbl_Kalender[[#This Row],[Monat]]/3,0)</f>
        <v>2</v>
      </c>
      <c r="I1254" t="str">
        <f>"Q "&amp;tbl_Kalender[[#This Row],[Quartal]]</f>
        <v>Q 2</v>
      </c>
      <c r="J1254" t="str">
        <f>tbl_Kalender[[#This Row],[Quartal]]&amp;". Quartal"</f>
        <v>2. Quartal</v>
      </c>
      <c r="K1254">
        <f>_xlfn.ISOWEEKNUM(tbl_Kalender[[#This Row],[Datum]])</f>
        <v>22</v>
      </c>
    </row>
    <row r="1255" spans="1:11" x14ac:dyDescent="0.25">
      <c r="A1255" s="1">
        <v>46545</v>
      </c>
      <c r="B1255">
        <f>YEAR(tbl_Kalender[[#This Row],[Datum]])</f>
        <v>2027</v>
      </c>
      <c r="C1255">
        <f>DAY(tbl_Kalender[[#This Row],[Datum]])</f>
        <v>7</v>
      </c>
      <c r="D1255" t="str">
        <f>TEXT(tbl_Kalender[[#This Row],[Datum]],"TTTT")</f>
        <v>Montag</v>
      </c>
      <c r="E1255">
        <f>WEEKDAY(tbl_Kalender[[#This Row],[Datum]],2)</f>
        <v>1</v>
      </c>
      <c r="F1255">
        <f>MONTH(tbl_Kalender[[#This Row],[Datum]])</f>
        <v>6</v>
      </c>
      <c r="G1255" t="str">
        <f>TEXT(tbl_Kalender[[#This Row],[Datum]],"MMMM")</f>
        <v>Juni</v>
      </c>
      <c r="H1255">
        <f>ROUNDUP(tbl_Kalender[[#This Row],[Monat]]/3,0)</f>
        <v>2</v>
      </c>
      <c r="I1255" t="str">
        <f>"Q "&amp;tbl_Kalender[[#This Row],[Quartal]]</f>
        <v>Q 2</v>
      </c>
      <c r="J1255" t="str">
        <f>tbl_Kalender[[#This Row],[Quartal]]&amp;". Quartal"</f>
        <v>2. Quartal</v>
      </c>
      <c r="K1255">
        <f>_xlfn.ISOWEEKNUM(tbl_Kalender[[#This Row],[Datum]])</f>
        <v>23</v>
      </c>
    </row>
    <row r="1256" spans="1:11" x14ac:dyDescent="0.25">
      <c r="A1256" s="1">
        <v>46546</v>
      </c>
      <c r="B1256">
        <f>YEAR(tbl_Kalender[[#This Row],[Datum]])</f>
        <v>2027</v>
      </c>
      <c r="C1256">
        <f>DAY(tbl_Kalender[[#This Row],[Datum]])</f>
        <v>8</v>
      </c>
      <c r="D1256" t="str">
        <f>TEXT(tbl_Kalender[[#This Row],[Datum]],"TTTT")</f>
        <v>Dienstag</v>
      </c>
      <c r="E1256">
        <f>WEEKDAY(tbl_Kalender[[#This Row],[Datum]],2)</f>
        <v>2</v>
      </c>
      <c r="F1256">
        <f>MONTH(tbl_Kalender[[#This Row],[Datum]])</f>
        <v>6</v>
      </c>
      <c r="G1256" t="str">
        <f>TEXT(tbl_Kalender[[#This Row],[Datum]],"MMMM")</f>
        <v>Juni</v>
      </c>
      <c r="H1256">
        <f>ROUNDUP(tbl_Kalender[[#This Row],[Monat]]/3,0)</f>
        <v>2</v>
      </c>
      <c r="I1256" t="str">
        <f>"Q "&amp;tbl_Kalender[[#This Row],[Quartal]]</f>
        <v>Q 2</v>
      </c>
      <c r="J1256" t="str">
        <f>tbl_Kalender[[#This Row],[Quartal]]&amp;". Quartal"</f>
        <v>2. Quartal</v>
      </c>
      <c r="K1256">
        <f>_xlfn.ISOWEEKNUM(tbl_Kalender[[#This Row],[Datum]])</f>
        <v>23</v>
      </c>
    </row>
    <row r="1257" spans="1:11" x14ac:dyDescent="0.25">
      <c r="A1257" s="1">
        <v>46547</v>
      </c>
      <c r="B1257">
        <f>YEAR(tbl_Kalender[[#This Row],[Datum]])</f>
        <v>2027</v>
      </c>
      <c r="C1257">
        <f>DAY(tbl_Kalender[[#This Row],[Datum]])</f>
        <v>9</v>
      </c>
      <c r="D1257" t="str">
        <f>TEXT(tbl_Kalender[[#This Row],[Datum]],"TTTT")</f>
        <v>Mittwoch</v>
      </c>
      <c r="E1257">
        <f>WEEKDAY(tbl_Kalender[[#This Row],[Datum]],2)</f>
        <v>3</v>
      </c>
      <c r="F1257">
        <f>MONTH(tbl_Kalender[[#This Row],[Datum]])</f>
        <v>6</v>
      </c>
      <c r="G1257" t="str">
        <f>TEXT(tbl_Kalender[[#This Row],[Datum]],"MMMM")</f>
        <v>Juni</v>
      </c>
      <c r="H1257">
        <f>ROUNDUP(tbl_Kalender[[#This Row],[Monat]]/3,0)</f>
        <v>2</v>
      </c>
      <c r="I1257" t="str">
        <f>"Q "&amp;tbl_Kalender[[#This Row],[Quartal]]</f>
        <v>Q 2</v>
      </c>
      <c r="J1257" t="str">
        <f>tbl_Kalender[[#This Row],[Quartal]]&amp;". Quartal"</f>
        <v>2. Quartal</v>
      </c>
      <c r="K1257">
        <f>_xlfn.ISOWEEKNUM(tbl_Kalender[[#This Row],[Datum]])</f>
        <v>23</v>
      </c>
    </row>
    <row r="1258" spans="1:11" x14ac:dyDescent="0.25">
      <c r="A1258" s="1">
        <v>46548</v>
      </c>
      <c r="B1258">
        <f>YEAR(tbl_Kalender[[#This Row],[Datum]])</f>
        <v>2027</v>
      </c>
      <c r="C1258">
        <f>DAY(tbl_Kalender[[#This Row],[Datum]])</f>
        <v>10</v>
      </c>
      <c r="D1258" t="str">
        <f>TEXT(tbl_Kalender[[#This Row],[Datum]],"TTTT")</f>
        <v>Donnerstag</v>
      </c>
      <c r="E1258">
        <f>WEEKDAY(tbl_Kalender[[#This Row],[Datum]],2)</f>
        <v>4</v>
      </c>
      <c r="F1258">
        <f>MONTH(tbl_Kalender[[#This Row],[Datum]])</f>
        <v>6</v>
      </c>
      <c r="G1258" t="str">
        <f>TEXT(tbl_Kalender[[#This Row],[Datum]],"MMMM")</f>
        <v>Juni</v>
      </c>
      <c r="H1258">
        <f>ROUNDUP(tbl_Kalender[[#This Row],[Monat]]/3,0)</f>
        <v>2</v>
      </c>
      <c r="I1258" t="str">
        <f>"Q "&amp;tbl_Kalender[[#This Row],[Quartal]]</f>
        <v>Q 2</v>
      </c>
      <c r="J1258" t="str">
        <f>tbl_Kalender[[#This Row],[Quartal]]&amp;". Quartal"</f>
        <v>2. Quartal</v>
      </c>
      <c r="K1258">
        <f>_xlfn.ISOWEEKNUM(tbl_Kalender[[#This Row],[Datum]])</f>
        <v>23</v>
      </c>
    </row>
    <row r="1259" spans="1:11" x14ac:dyDescent="0.25">
      <c r="A1259" s="1">
        <v>46549</v>
      </c>
      <c r="B1259">
        <f>YEAR(tbl_Kalender[[#This Row],[Datum]])</f>
        <v>2027</v>
      </c>
      <c r="C1259">
        <f>DAY(tbl_Kalender[[#This Row],[Datum]])</f>
        <v>11</v>
      </c>
      <c r="D1259" t="str">
        <f>TEXT(tbl_Kalender[[#This Row],[Datum]],"TTTT")</f>
        <v>Freitag</v>
      </c>
      <c r="E1259">
        <f>WEEKDAY(tbl_Kalender[[#This Row],[Datum]],2)</f>
        <v>5</v>
      </c>
      <c r="F1259">
        <f>MONTH(tbl_Kalender[[#This Row],[Datum]])</f>
        <v>6</v>
      </c>
      <c r="G1259" t="str">
        <f>TEXT(tbl_Kalender[[#This Row],[Datum]],"MMMM")</f>
        <v>Juni</v>
      </c>
      <c r="H1259">
        <f>ROUNDUP(tbl_Kalender[[#This Row],[Monat]]/3,0)</f>
        <v>2</v>
      </c>
      <c r="I1259" t="str">
        <f>"Q "&amp;tbl_Kalender[[#This Row],[Quartal]]</f>
        <v>Q 2</v>
      </c>
      <c r="J1259" t="str">
        <f>tbl_Kalender[[#This Row],[Quartal]]&amp;". Quartal"</f>
        <v>2. Quartal</v>
      </c>
      <c r="K1259">
        <f>_xlfn.ISOWEEKNUM(tbl_Kalender[[#This Row],[Datum]])</f>
        <v>23</v>
      </c>
    </row>
    <row r="1260" spans="1:11" x14ac:dyDescent="0.25">
      <c r="A1260" s="1">
        <v>46550</v>
      </c>
      <c r="B1260">
        <f>YEAR(tbl_Kalender[[#This Row],[Datum]])</f>
        <v>2027</v>
      </c>
      <c r="C1260">
        <f>DAY(tbl_Kalender[[#This Row],[Datum]])</f>
        <v>12</v>
      </c>
      <c r="D1260" t="str">
        <f>TEXT(tbl_Kalender[[#This Row],[Datum]],"TTTT")</f>
        <v>Samstag</v>
      </c>
      <c r="E1260">
        <f>WEEKDAY(tbl_Kalender[[#This Row],[Datum]],2)</f>
        <v>6</v>
      </c>
      <c r="F1260">
        <f>MONTH(tbl_Kalender[[#This Row],[Datum]])</f>
        <v>6</v>
      </c>
      <c r="G1260" t="str">
        <f>TEXT(tbl_Kalender[[#This Row],[Datum]],"MMMM")</f>
        <v>Juni</v>
      </c>
      <c r="H1260">
        <f>ROUNDUP(tbl_Kalender[[#This Row],[Monat]]/3,0)</f>
        <v>2</v>
      </c>
      <c r="I1260" t="str">
        <f>"Q "&amp;tbl_Kalender[[#This Row],[Quartal]]</f>
        <v>Q 2</v>
      </c>
      <c r="J1260" t="str">
        <f>tbl_Kalender[[#This Row],[Quartal]]&amp;". Quartal"</f>
        <v>2. Quartal</v>
      </c>
      <c r="K1260">
        <f>_xlfn.ISOWEEKNUM(tbl_Kalender[[#This Row],[Datum]])</f>
        <v>23</v>
      </c>
    </row>
    <row r="1261" spans="1:11" x14ac:dyDescent="0.25">
      <c r="A1261" s="1">
        <v>46551</v>
      </c>
      <c r="B1261">
        <f>YEAR(tbl_Kalender[[#This Row],[Datum]])</f>
        <v>2027</v>
      </c>
      <c r="C1261">
        <f>DAY(tbl_Kalender[[#This Row],[Datum]])</f>
        <v>13</v>
      </c>
      <c r="D1261" t="str">
        <f>TEXT(tbl_Kalender[[#This Row],[Datum]],"TTTT")</f>
        <v>Sonntag</v>
      </c>
      <c r="E1261">
        <f>WEEKDAY(tbl_Kalender[[#This Row],[Datum]],2)</f>
        <v>7</v>
      </c>
      <c r="F1261">
        <f>MONTH(tbl_Kalender[[#This Row],[Datum]])</f>
        <v>6</v>
      </c>
      <c r="G1261" t="str">
        <f>TEXT(tbl_Kalender[[#This Row],[Datum]],"MMMM")</f>
        <v>Juni</v>
      </c>
      <c r="H1261">
        <f>ROUNDUP(tbl_Kalender[[#This Row],[Monat]]/3,0)</f>
        <v>2</v>
      </c>
      <c r="I1261" t="str">
        <f>"Q "&amp;tbl_Kalender[[#This Row],[Quartal]]</f>
        <v>Q 2</v>
      </c>
      <c r="J1261" t="str">
        <f>tbl_Kalender[[#This Row],[Quartal]]&amp;". Quartal"</f>
        <v>2. Quartal</v>
      </c>
      <c r="K1261">
        <f>_xlfn.ISOWEEKNUM(tbl_Kalender[[#This Row],[Datum]])</f>
        <v>23</v>
      </c>
    </row>
    <row r="1262" spans="1:11" x14ac:dyDescent="0.25">
      <c r="A1262" s="1">
        <v>46552</v>
      </c>
      <c r="B1262">
        <f>YEAR(tbl_Kalender[[#This Row],[Datum]])</f>
        <v>2027</v>
      </c>
      <c r="C1262">
        <f>DAY(tbl_Kalender[[#This Row],[Datum]])</f>
        <v>14</v>
      </c>
      <c r="D1262" t="str">
        <f>TEXT(tbl_Kalender[[#This Row],[Datum]],"TTTT")</f>
        <v>Montag</v>
      </c>
      <c r="E1262">
        <f>WEEKDAY(tbl_Kalender[[#This Row],[Datum]],2)</f>
        <v>1</v>
      </c>
      <c r="F1262">
        <f>MONTH(tbl_Kalender[[#This Row],[Datum]])</f>
        <v>6</v>
      </c>
      <c r="G1262" t="str">
        <f>TEXT(tbl_Kalender[[#This Row],[Datum]],"MMMM")</f>
        <v>Juni</v>
      </c>
      <c r="H1262">
        <f>ROUNDUP(tbl_Kalender[[#This Row],[Monat]]/3,0)</f>
        <v>2</v>
      </c>
      <c r="I1262" t="str">
        <f>"Q "&amp;tbl_Kalender[[#This Row],[Quartal]]</f>
        <v>Q 2</v>
      </c>
      <c r="J1262" t="str">
        <f>tbl_Kalender[[#This Row],[Quartal]]&amp;". Quartal"</f>
        <v>2. Quartal</v>
      </c>
      <c r="K1262">
        <f>_xlfn.ISOWEEKNUM(tbl_Kalender[[#This Row],[Datum]])</f>
        <v>24</v>
      </c>
    </row>
    <row r="1263" spans="1:11" x14ac:dyDescent="0.25">
      <c r="A1263" s="1">
        <v>46553</v>
      </c>
      <c r="B1263">
        <f>YEAR(tbl_Kalender[[#This Row],[Datum]])</f>
        <v>2027</v>
      </c>
      <c r="C1263">
        <f>DAY(tbl_Kalender[[#This Row],[Datum]])</f>
        <v>15</v>
      </c>
      <c r="D1263" t="str">
        <f>TEXT(tbl_Kalender[[#This Row],[Datum]],"TTTT")</f>
        <v>Dienstag</v>
      </c>
      <c r="E1263">
        <f>WEEKDAY(tbl_Kalender[[#This Row],[Datum]],2)</f>
        <v>2</v>
      </c>
      <c r="F1263">
        <f>MONTH(tbl_Kalender[[#This Row],[Datum]])</f>
        <v>6</v>
      </c>
      <c r="G1263" t="str">
        <f>TEXT(tbl_Kalender[[#This Row],[Datum]],"MMMM")</f>
        <v>Juni</v>
      </c>
      <c r="H1263">
        <f>ROUNDUP(tbl_Kalender[[#This Row],[Monat]]/3,0)</f>
        <v>2</v>
      </c>
      <c r="I1263" t="str">
        <f>"Q "&amp;tbl_Kalender[[#This Row],[Quartal]]</f>
        <v>Q 2</v>
      </c>
      <c r="J1263" t="str">
        <f>tbl_Kalender[[#This Row],[Quartal]]&amp;". Quartal"</f>
        <v>2. Quartal</v>
      </c>
      <c r="K1263">
        <f>_xlfn.ISOWEEKNUM(tbl_Kalender[[#This Row],[Datum]])</f>
        <v>24</v>
      </c>
    </row>
    <row r="1264" spans="1:11" x14ac:dyDescent="0.25">
      <c r="A1264" s="1">
        <v>46554</v>
      </c>
      <c r="B1264">
        <f>YEAR(tbl_Kalender[[#This Row],[Datum]])</f>
        <v>2027</v>
      </c>
      <c r="C1264">
        <f>DAY(tbl_Kalender[[#This Row],[Datum]])</f>
        <v>16</v>
      </c>
      <c r="D1264" t="str">
        <f>TEXT(tbl_Kalender[[#This Row],[Datum]],"TTTT")</f>
        <v>Mittwoch</v>
      </c>
      <c r="E1264">
        <f>WEEKDAY(tbl_Kalender[[#This Row],[Datum]],2)</f>
        <v>3</v>
      </c>
      <c r="F1264">
        <f>MONTH(tbl_Kalender[[#This Row],[Datum]])</f>
        <v>6</v>
      </c>
      <c r="G1264" t="str">
        <f>TEXT(tbl_Kalender[[#This Row],[Datum]],"MMMM")</f>
        <v>Juni</v>
      </c>
      <c r="H1264">
        <f>ROUNDUP(tbl_Kalender[[#This Row],[Monat]]/3,0)</f>
        <v>2</v>
      </c>
      <c r="I1264" t="str">
        <f>"Q "&amp;tbl_Kalender[[#This Row],[Quartal]]</f>
        <v>Q 2</v>
      </c>
      <c r="J1264" t="str">
        <f>tbl_Kalender[[#This Row],[Quartal]]&amp;". Quartal"</f>
        <v>2. Quartal</v>
      </c>
      <c r="K1264">
        <f>_xlfn.ISOWEEKNUM(tbl_Kalender[[#This Row],[Datum]])</f>
        <v>24</v>
      </c>
    </row>
    <row r="1265" spans="1:11" x14ac:dyDescent="0.25">
      <c r="A1265" s="1">
        <v>46555</v>
      </c>
      <c r="B1265">
        <f>YEAR(tbl_Kalender[[#This Row],[Datum]])</f>
        <v>2027</v>
      </c>
      <c r="C1265">
        <f>DAY(tbl_Kalender[[#This Row],[Datum]])</f>
        <v>17</v>
      </c>
      <c r="D1265" t="str">
        <f>TEXT(tbl_Kalender[[#This Row],[Datum]],"TTTT")</f>
        <v>Donnerstag</v>
      </c>
      <c r="E1265">
        <f>WEEKDAY(tbl_Kalender[[#This Row],[Datum]],2)</f>
        <v>4</v>
      </c>
      <c r="F1265">
        <f>MONTH(tbl_Kalender[[#This Row],[Datum]])</f>
        <v>6</v>
      </c>
      <c r="G1265" t="str">
        <f>TEXT(tbl_Kalender[[#This Row],[Datum]],"MMMM")</f>
        <v>Juni</v>
      </c>
      <c r="H1265">
        <f>ROUNDUP(tbl_Kalender[[#This Row],[Monat]]/3,0)</f>
        <v>2</v>
      </c>
      <c r="I1265" t="str">
        <f>"Q "&amp;tbl_Kalender[[#This Row],[Quartal]]</f>
        <v>Q 2</v>
      </c>
      <c r="J1265" t="str">
        <f>tbl_Kalender[[#This Row],[Quartal]]&amp;". Quartal"</f>
        <v>2. Quartal</v>
      </c>
      <c r="K1265">
        <f>_xlfn.ISOWEEKNUM(tbl_Kalender[[#This Row],[Datum]])</f>
        <v>24</v>
      </c>
    </row>
    <row r="1266" spans="1:11" x14ac:dyDescent="0.25">
      <c r="A1266" s="1">
        <v>46556</v>
      </c>
      <c r="B1266">
        <f>YEAR(tbl_Kalender[[#This Row],[Datum]])</f>
        <v>2027</v>
      </c>
      <c r="C1266">
        <f>DAY(tbl_Kalender[[#This Row],[Datum]])</f>
        <v>18</v>
      </c>
      <c r="D1266" t="str">
        <f>TEXT(tbl_Kalender[[#This Row],[Datum]],"TTTT")</f>
        <v>Freitag</v>
      </c>
      <c r="E1266">
        <f>WEEKDAY(tbl_Kalender[[#This Row],[Datum]],2)</f>
        <v>5</v>
      </c>
      <c r="F1266">
        <f>MONTH(tbl_Kalender[[#This Row],[Datum]])</f>
        <v>6</v>
      </c>
      <c r="G1266" t="str">
        <f>TEXT(tbl_Kalender[[#This Row],[Datum]],"MMMM")</f>
        <v>Juni</v>
      </c>
      <c r="H1266">
        <f>ROUNDUP(tbl_Kalender[[#This Row],[Monat]]/3,0)</f>
        <v>2</v>
      </c>
      <c r="I1266" t="str">
        <f>"Q "&amp;tbl_Kalender[[#This Row],[Quartal]]</f>
        <v>Q 2</v>
      </c>
      <c r="J1266" t="str">
        <f>tbl_Kalender[[#This Row],[Quartal]]&amp;". Quartal"</f>
        <v>2. Quartal</v>
      </c>
      <c r="K1266">
        <f>_xlfn.ISOWEEKNUM(tbl_Kalender[[#This Row],[Datum]])</f>
        <v>24</v>
      </c>
    </row>
    <row r="1267" spans="1:11" x14ac:dyDescent="0.25">
      <c r="A1267" s="1">
        <v>46557</v>
      </c>
      <c r="B1267">
        <f>YEAR(tbl_Kalender[[#This Row],[Datum]])</f>
        <v>2027</v>
      </c>
      <c r="C1267">
        <f>DAY(tbl_Kalender[[#This Row],[Datum]])</f>
        <v>19</v>
      </c>
      <c r="D1267" t="str">
        <f>TEXT(tbl_Kalender[[#This Row],[Datum]],"TTTT")</f>
        <v>Samstag</v>
      </c>
      <c r="E1267">
        <f>WEEKDAY(tbl_Kalender[[#This Row],[Datum]],2)</f>
        <v>6</v>
      </c>
      <c r="F1267">
        <f>MONTH(tbl_Kalender[[#This Row],[Datum]])</f>
        <v>6</v>
      </c>
      <c r="G1267" t="str">
        <f>TEXT(tbl_Kalender[[#This Row],[Datum]],"MMMM")</f>
        <v>Juni</v>
      </c>
      <c r="H1267">
        <f>ROUNDUP(tbl_Kalender[[#This Row],[Monat]]/3,0)</f>
        <v>2</v>
      </c>
      <c r="I1267" t="str">
        <f>"Q "&amp;tbl_Kalender[[#This Row],[Quartal]]</f>
        <v>Q 2</v>
      </c>
      <c r="J1267" t="str">
        <f>tbl_Kalender[[#This Row],[Quartal]]&amp;". Quartal"</f>
        <v>2. Quartal</v>
      </c>
      <c r="K1267">
        <f>_xlfn.ISOWEEKNUM(tbl_Kalender[[#This Row],[Datum]])</f>
        <v>24</v>
      </c>
    </row>
    <row r="1268" spans="1:11" x14ac:dyDescent="0.25">
      <c r="A1268" s="1">
        <v>46558</v>
      </c>
      <c r="B1268">
        <f>YEAR(tbl_Kalender[[#This Row],[Datum]])</f>
        <v>2027</v>
      </c>
      <c r="C1268">
        <f>DAY(tbl_Kalender[[#This Row],[Datum]])</f>
        <v>20</v>
      </c>
      <c r="D1268" t="str">
        <f>TEXT(tbl_Kalender[[#This Row],[Datum]],"TTTT")</f>
        <v>Sonntag</v>
      </c>
      <c r="E1268">
        <f>WEEKDAY(tbl_Kalender[[#This Row],[Datum]],2)</f>
        <v>7</v>
      </c>
      <c r="F1268">
        <f>MONTH(tbl_Kalender[[#This Row],[Datum]])</f>
        <v>6</v>
      </c>
      <c r="G1268" t="str">
        <f>TEXT(tbl_Kalender[[#This Row],[Datum]],"MMMM")</f>
        <v>Juni</v>
      </c>
      <c r="H1268">
        <f>ROUNDUP(tbl_Kalender[[#This Row],[Monat]]/3,0)</f>
        <v>2</v>
      </c>
      <c r="I1268" t="str">
        <f>"Q "&amp;tbl_Kalender[[#This Row],[Quartal]]</f>
        <v>Q 2</v>
      </c>
      <c r="J1268" t="str">
        <f>tbl_Kalender[[#This Row],[Quartal]]&amp;". Quartal"</f>
        <v>2. Quartal</v>
      </c>
      <c r="K1268">
        <f>_xlfn.ISOWEEKNUM(tbl_Kalender[[#This Row],[Datum]])</f>
        <v>24</v>
      </c>
    </row>
    <row r="1269" spans="1:11" x14ac:dyDescent="0.25">
      <c r="A1269" s="1">
        <v>46559</v>
      </c>
      <c r="B1269">
        <f>YEAR(tbl_Kalender[[#This Row],[Datum]])</f>
        <v>2027</v>
      </c>
      <c r="C1269">
        <f>DAY(tbl_Kalender[[#This Row],[Datum]])</f>
        <v>21</v>
      </c>
      <c r="D1269" t="str">
        <f>TEXT(tbl_Kalender[[#This Row],[Datum]],"TTTT")</f>
        <v>Montag</v>
      </c>
      <c r="E1269">
        <f>WEEKDAY(tbl_Kalender[[#This Row],[Datum]],2)</f>
        <v>1</v>
      </c>
      <c r="F1269">
        <f>MONTH(tbl_Kalender[[#This Row],[Datum]])</f>
        <v>6</v>
      </c>
      <c r="G1269" t="str">
        <f>TEXT(tbl_Kalender[[#This Row],[Datum]],"MMMM")</f>
        <v>Juni</v>
      </c>
      <c r="H1269">
        <f>ROUNDUP(tbl_Kalender[[#This Row],[Monat]]/3,0)</f>
        <v>2</v>
      </c>
      <c r="I1269" t="str">
        <f>"Q "&amp;tbl_Kalender[[#This Row],[Quartal]]</f>
        <v>Q 2</v>
      </c>
      <c r="J1269" t="str">
        <f>tbl_Kalender[[#This Row],[Quartal]]&amp;". Quartal"</f>
        <v>2. Quartal</v>
      </c>
      <c r="K1269">
        <f>_xlfn.ISOWEEKNUM(tbl_Kalender[[#This Row],[Datum]])</f>
        <v>25</v>
      </c>
    </row>
    <row r="1270" spans="1:11" x14ac:dyDescent="0.25">
      <c r="A1270" s="1">
        <v>46560</v>
      </c>
      <c r="B1270">
        <f>YEAR(tbl_Kalender[[#This Row],[Datum]])</f>
        <v>2027</v>
      </c>
      <c r="C1270">
        <f>DAY(tbl_Kalender[[#This Row],[Datum]])</f>
        <v>22</v>
      </c>
      <c r="D1270" t="str">
        <f>TEXT(tbl_Kalender[[#This Row],[Datum]],"TTTT")</f>
        <v>Dienstag</v>
      </c>
      <c r="E1270">
        <f>WEEKDAY(tbl_Kalender[[#This Row],[Datum]],2)</f>
        <v>2</v>
      </c>
      <c r="F1270">
        <f>MONTH(tbl_Kalender[[#This Row],[Datum]])</f>
        <v>6</v>
      </c>
      <c r="G1270" t="str">
        <f>TEXT(tbl_Kalender[[#This Row],[Datum]],"MMMM")</f>
        <v>Juni</v>
      </c>
      <c r="H1270">
        <f>ROUNDUP(tbl_Kalender[[#This Row],[Monat]]/3,0)</f>
        <v>2</v>
      </c>
      <c r="I1270" t="str">
        <f>"Q "&amp;tbl_Kalender[[#This Row],[Quartal]]</f>
        <v>Q 2</v>
      </c>
      <c r="J1270" t="str">
        <f>tbl_Kalender[[#This Row],[Quartal]]&amp;". Quartal"</f>
        <v>2. Quartal</v>
      </c>
      <c r="K1270">
        <f>_xlfn.ISOWEEKNUM(tbl_Kalender[[#This Row],[Datum]])</f>
        <v>25</v>
      </c>
    </row>
    <row r="1271" spans="1:11" x14ac:dyDescent="0.25">
      <c r="A1271" s="1">
        <v>46561</v>
      </c>
      <c r="B1271">
        <f>YEAR(tbl_Kalender[[#This Row],[Datum]])</f>
        <v>2027</v>
      </c>
      <c r="C1271">
        <f>DAY(tbl_Kalender[[#This Row],[Datum]])</f>
        <v>23</v>
      </c>
      <c r="D1271" t="str">
        <f>TEXT(tbl_Kalender[[#This Row],[Datum]],"TTTT")</f>
        <v>Mittwoch</v>
      </c>
      <c r="E1271">
        <f>WEEKDAY(tbl_Kalender[[#This Row],[Datum]],2)</f>
        <v>3</v>
      </c>
      <c r="F1271">
        <f>MONTH(tbl_Kalender[[#This Row],[Datum]])</f>
        <v>6</v>
      </c>
      <c r="G1271" t="str">
        <f>TEXT(tbl_Kalender[[#This Row],[Datum]],"MMMM")</f>
        <v>Juni</v>
      </c>
      <c r="H1271">
        <f>ROUNDUP(tbl_Kalender[[#This Row],[Monat]]/3,0)</f>
        <v>2</v>
      </c>
      <c r="I1271" t="str">
        <f>"Q "&amp;tbl_Kalender[[#This Row],[Quartal]]</f>
        <v>Q 2</v>
      </c>
      <c r="J1271" t="str">
        <f>tbl_Kalender[[#This Row],[Quartal]]&amp;". Quartal"</f>
        <v>2. Quartal</v>
      </c>
      <c r="K1271">
        <f>_xlfn.ISOWEEKNUM(tbl_Kalender[[#This Row],[Datum]])</f>
        <v>25</v>
      </c>
    </row>
    <row r="1272" spans="1:11" x14ac:dyDescent="0.25">
      <c r="A1272" s="1">
        <v>46562</v>
      </c>
      <c r="B1272">
        <f>YEAR(tbl_Kalender[[#This Row],[Datum]])</f>
        <v>2027</v>
      </c>
      <c r="C1272">
        <f>DAY(tbl_Kalender[[#This Row],[Datum]])</f>
        <v>24</v>
      </c>
      <c r="D1272" t="str">
        <f>TEXT(tbl_Kalender[[#This Row],[Datum]],"TTTT")</f>
        <v>Donnerstag</v>
      </c>
      <c r="E1272">
        <f>WEEKDAY(tbl_Kalender[[#This Row],[Datum]],2)</f>
        <v>4</v>
      </c>
      <c r="F1272">
        <f>MONTH(tbl_Kalender[[#This Row],[Datum]])</f>
        <v>6</v>
      </c>
      <c r="G1272" t="str">
        <f>TEXT(tbl_Kalender[[#This Row],[Datum]],"MMMM")</f>
        <v>Juni</v>
      </c>
      <c r="H1272">
        <f>ROUNDUP(tbl_Kalender[[#This Row],[Monat]]/3,0)</f>
        <v>2</v>
      </c>
      <c r="I1272" t="str">
        <f>"Q "&amp;tbl_Kalender[[#This Row],[Quartal]]</f>
        <v>Q 2</v>
      </c>
      <c r="J1272" t="str">
        <f>tbl_Kalender[[#This Row],[Quartal]]&amp;". Quartal"</f>
        <v>2. Quartal</v>
      </c>
      <c r="K1272">
        <f>_xlfn.ISOWEEKNUM(tbl_Kalender[[#This Row],[Datum]])</f>
        <v>25</v>
      </c>
    </row>
    <row r="1273" spans="1:11" x14ac:dyDescent="0.25">
      <c r="A1273" s="1">
        <v>46563</v>
      </c>
      <c r="B1273">
        <f>YEAR(tbl_Kalender[[#This Row],[Datum]])</f>
        <v>2027</v>
      </c>
      <c r="C1273">
        <f>DAY(tbl_Kalender[[#This Row],[Datum]])</f>
        <v>25</v>
      </c>
      <c r="D1273" t="str">
        <f>TEXT(tbl_Kalender[[#This Row],[Datum]],"TTTT")</f>
        <v>Freitag</v>
      </c>
      <c r="E1273">
        <f>WEEKDAY(tbl_Kalender[[#This Row],[Datum]],2)</f>
        <v>5</v>
      </c>
      <c r="F1273">
        <f>MONTH(tbl_Kalender[[#This Row],[Datum]])</f>
        <v>6</v>
      </c>
      <c r="G1273" t="str">
        <f>TEXT(tbl_Kalender[[#This Row],[Datum]],"MMMM")</f>
        <v>Juni</v>
      </c>
      <c r="H1273">
        <f>ROUNDUP(tbl_Kalender[[#This Row],[Monat]]/3,0)</f>
        <v>2</v>
      </c>
      <c r="I1273" t="str">
        <f>"Q "&amp;tbl_Kalender[[#This Row],[Quartal]]</f>
        <v>Q 2</v>
      </c>
      <c r="J1273" t="str">
        <f>tbl_Kalender[[#This Row],[Quartal]]&amp;". Quartal"</f>
        <v>2. Quartal</v>
      </c>
      <c r="K1273">
        <f>_xlfn.ISOWEEKNUM(tbl_Kalender[[#This Row],[Datum]])</f>
        <v>25</v>
      </c>
    </row>
    <row r="1274" spans="1:11" x14ac:dyDescent="0.25">
      <c r="A1274" s="1">
        <v>46564</v>
      </c>
      <c r="B1274">
        <f>YEAR(tbl_Kalender[[#This Row],[Datum]])</f>
        <v>2027</v>
      </c>
      <c r="C1274">
        <f>DAY(tbl_Kalender[[#This Row],[Datum]])</f>
        <v>26</v>
      </c>
      <c r="D1274" t="str">
        <f>TEXT(tbl_Kalender[[#This Row],[Datum]],"TTTT")</f>
        <v>Samstag</v>
      </c>
      <c r="E1274">
        <f>WEEKDAY(tbl_Kalender[[#This Row],[Datum]],2)</f>
        <v>6</v>
      </c>
      <c r="F1274">
        <f>MONTH(tbl_Kalender[[#This Row],[Datum]])</f>
        <v>6</v>
      </c>
      <c r="G1274" t="str">
        <f>TEXT(tbl_Kalender[[#This Row],[Datum]],"MMMM")</f>
        <v>Juni</v>
      </c>
      <c r="H1274">
        <f>ROUNDUP(tbl_Kalender[[#This Row],[Monat]]/3,0)</f>
        <v>2</v>
      </c>
      <c r="I1274" t="str">
        <f>"Q "&amp;tbl_Kalender[[#This Row],[Quartal]]</f>
        <v>Q 2</v>
      </c>
      <c r="J1274" t="str">
        <f>tbl_Kalender[[#This Row],[Quartal]]&amp;". Quartal"</f>
        <v>2. Quartal</v>
      </c>
      <c r="K1274">
        <f>_xlfn.ISOWEEKNUM(tbl_Kalender[[#This Row],[Datum]])</f>
        <v>25</v>
      </c>
    </row>
    <row r="1275" spans="1:11" x14ac:dyDescent="0.25">
      <c r="A1275" s="1">
        <v>46565</v>
      </c>
      <c r="B1275">
        <f>YEAR(tbl_Kalender[[#This Row],[Datum]])</f>
        <v>2027</v>
      </c>
      <c r="C1275">
        <f>DAY(tbl_Kalender[[#This Row],[Datum]])</f>
        <v>27</v>
      </c>
      <c r="D1275" t="str">
        <f>TEXT(tbl_Kalender[[#This Row],[Datum]],"TTTT")</f>
        <v>Sonntag</v>
      </c>
      <c r="E1275">
        <f>WEEKDAY(tbl_Kalender[[#This Row],[Datum]],2)</f>
        <v>7</v>
      </c>
      <c r="F1275">
        <f>MONTH(tbl_Kalender[[#This Row],[Datum]])</f>
        <v>6</v>
      </c>
      <c r="G1275" t="str">
        <f>TEXT(tbl_Kalender[[#This Row],[Datum]],"MMMM")</f>
        <v>Juni</v>
      </c>
      <c r="H1275">
        <f>ROUNDUP(tbl_Kalender[[#This Row],[Monat]]/3,0)</f>
        <v>2</v>
      </c>
      <c r="I1275" t="str">
        <f>"Q "&amp;tbl_Kalender[[#This Row],[Quartal]]</f>
        <v>Q 2</v>
      </c>
      <c r="J1275" t="str">
        <f>tbl_Kalender[[#This Row],[Quartal]]&amp;". Quartal"</f>
        <v>2. Quartal</v>
      </c>
      <c r="K1275">
        <f>_xlfn.ISOWEEKNUM(tbl_Kalender[[#This Row],[Datum]])</f>
        <v>25</v>
      </c>
    </row>
    <row r="1276" spans="1:11" x14ac:dyDescent="0.25">
      <c r="A1276" s="1">
        <v>46566</v>
      </c>
      <c r="B1276">
        <f>YEAR(tbl_Kalender[[#This Row],[Datum]])</f>
        <v>2027</v>
      </c>
      <c r="C1276">
        <f>DAY(tbl_Kalender[[#This Row],[Datum]])</f>
        <v>28</v>
      </c>
      <c r="D1276" t="str">
        <f>TEXT(tbl_Kalender[[#This Row],[Datum]],"TTTT")</f>
        <v>Montag</v>
      </c>
      <c r="E1276">
        <f>WEEKDAY(tbl_Kalender[[#This Row],[Datum]],2)</f>
        <v>1</v>
      </c>
      <c r="F1276">
        <f>MONTH(tbl_Kalender[[#This Row],[Datum]])</f>
        <v>6</v>
      </c>
      <c r="G1276" t="str">
        <f>TEXT(tbl_Kalender[[#This Row],[Datum]],"MMMM")</f>
        <v>Juni</v>
      </c>
      <c r="H1276">
        <f>ROUNDUP(tbl_Kalender[[#This Row],[Monat]]/3,0)</f>
        <v>2</v>
      </c>
      <c r="I1276" t="str">
        <f>"Q "&amp;tbl_Kalender[[#This Row],[Quartal]]</f>
        <v>Q 2</v>
      </c>
      <c r="J1276" t="str">
        <f>tbl_Kalender[[#This Row],[Quartal]]&amp;". Quartal"</f>
        <v>2. Quartal</v>
      </c>
      <c r="K1276">
        <f>_xlfn.ISOWEEKNUM(tbl_Kalender[[#This Row],[Datum]])</f>
        <v>26</v>
      </c>
    </row>
    <row r="1277" spans="1:11" x14ac:dyDescent="0.25">
      <c r="A1277" s="1">
        <v>46567</v>
      </c>
      <c r="B1277">
        <f>YEAR(tbl_Kalender[[#This Row],[Datum]])</f>
        <v>2027</v>
      </c>
      <c r="C1277">
        <f>DAY(tbl_Kalender[[#This Row],[Datum]])</f>
        <v>29</v>
      </c>
      <c r="D1277" t="str">
        <f>TEXT(tbl_Kalender[[#This Row],[Datum]],"TTTT")</f>
        <v>Dienstag</v>
      </c>
      <c r="E1277">
        <f>WEEKDAY(tbl_Kalender[[#This Row],[Datum]],2)</f>
        <v>2</v>
      </c>
      <c r="F1277">
        <f>MONTH(tbl_Kalender[[#This Row],[Datum]])</f>
        <v>6</v>
      </c>
      <c r="G1277" t="str">
        <f>TEXT(tbl_Kalender[[#This Row],[Datum]],"MMMM")</f>
        <v>Juni</v>
      </c>
      <c r="H1277">
        <f>ROUNDUP(tbl_Kalender[[#This Row],[Monat]]/3,0)</f>
        <v>2</v>
      </c>
      <c r="I1277" t="str">
        <f>"Q "&amp;tbl_Kalender[[#This Row],[Quartal]]</f>
        <v>Q 2</v>
      </c>
      <c r="J1277" t="str">
        <f>tbl_Kalender[[#This Row],[Quartal]]&amp;". Quartal"</f>
        <v>2. Quartal</v>
      </c>
      <c r="K1277">
        <f>_xlfn.ISOWEEKNUM(tbl_Kalender[[#This Row],[Datum]])</f>
        <v>26</v>
      </c>
    </row>
    <row r="1278" spans="1:11" x14ac:dyDescent="0.25">
      <c r="A1278" s="1">
        <v>46568</v>
      </c>
      <c r="B1278">
        <f>YEAR(tbl_Kalender[[#This Row],[Datum]])</f>
        <v>2027</v>
      </c>
      <c r="C1278">
        <f>DAY(tbl_Kalender[[#This Row],[Datum]])</f>
        <v>30</v>
      </c>
      <c r="D1278" t="str">
        <f>TEXT(tbl_Kalender[[#This Row],[Datum]],"TTTT")</f>
        <v>Mittwoch</v>
      </c>
      <c r="E1278">
        <f>WEEKDAY(tbl_Kalender[[#This Row],[Datum]],2)</f>
        <v>3</v>
      </c>
      <c r="F1278">
        <f>MONTH(tbl_Kalender[[#This Row],[Datum]])</f>
        <v>6</v>
      </c>
      <c r="G1278" t="str">
        <f>TEXT(tbl_Kalender[[#This Row],[Datum]],"MMMM")</f>
        <v>Juni</v>
      </c>
      <c r="H1278">
        <f>ROUNDUP(tbl_Kalender[[#This Row],[Monat]]/3,0)</f>
        <v>2</v>
      </c>
      <c r="I1278" t="str">
        <f>"Q "&amp;tbl_Kalender[[#This Row],[Quartal]]</f>
        <v>Q 2</v>
      </c>
      <c r="J1278" t="str">
        <f>tbl_Kalender[[#This Row],[Quartal]]&amp;". Quartal"</f>
        <v>2. Quartal</v>
      </c>
      <c r="K1278">
        <f>_xlfn.ISOWEEKNUM(tbl_Kalender[[#This Row],[Datum]])</f>
        <v>26</v>
      </c>
    </row>
    <row r="1279" spans="1:11" x14ac:dyDescent="0.25">
      <c r="A1279" s="1">
        <v>46569</v>
      </c>
      <c r="B1279">
        <f>YEAR(tbl_Kalender[[#This Row],[Datum]])</f>
        <v>2027</v>
      </c>
      <c r="C1279">
        <f>DAY(tbl_Kalender[[#This Row],[Datum]])</f>
        <v>1</v>
      </c>
      <c r="D1279" t="str">
        <f>TEXT(tbl_Kalender[[#This Row],[Datum]],"TTTT")</f>
        <v>Donnerstag</v>
      </c>
      <c r="E1279">
        <f>WEEKDAY(tbl_Kalender[[#This Row],[Datum]],2)</f>
        <v>4</v>
      </c>
      <c r="F1279">
        <f>MONTH(tbl_Kalender[[#This Row],[Datum]])</f>
        <v>7</v>
      </c>
      <c r="G1279" t="str">
        <f>TEXT(tbl_Kalender[[#This Row],[Datum]],"MMMM")</f>
        <v>Juli</v>
      </c>
      <c r="H1279">
        <f>ROUNDUP(tbl_Kalender[[#This Row],[Monat]]/3,0)</f>
        <v>3</v>
      </c>
      <c r="I1279" t="str">
        <f>"Q "&amp;tbl_Kalender[[#This Row],[Quartal]]</f>
        <v>Q 3</v>
      </c>
      <c r="J1279" t="str">
        <f>tbl_Kalender[[#This Row],[Quartal]]&amp;". Quartal"</f>
        <v>3. Quartal</v>
      </c>
      <c r="K1279">
        <f>_xlfn.ISOWEEKNUM(tbl_Kalender[[#This Row],[Datum]])</f>
        <v>26</v>
      </c>
    </row>
    <row r="1280" spans="1:11" x14ac:dyDescent="0.25">
      <c r="A1280" s="1">
        <v>46570</v>
      </c>
      <c r="B1280">
        <f>YEAR(tbl_Kalender[[#This Row],[Datum]])</f>
        <v>2027</v>
      </c>
      <c r="C1280">
        <f>DAY(tbl_Kalender[[#This Row],[Datum]])</f>
        <v>2</v>
      </c>
      <c r="D1280" t="str">
        <f>TEXT(tbl_Kalender[[#This Row],[Datum]],"TTTT")</f>
        <v>Freitag</v>
      </c>
      <c r="E1280">
        <f>WEEKDAY(tbl_Kalender[[#This Row],[Datum]],2)</f>
        <v>5</v>
      </c>
      <c r="F1280">
        <f>MONTH(tbl_Kalender[[#This Row],[Datum]])</f>
        <v>7</v>
      </c>
      <c r="G1280" t="str">
        <f>TEXT(tbl_Kalender[[#This Row],[Datum]],"MMMM")</f>
        <v>Juli</v>
      </c>
      <c r="H1280">
        <f>ROUNDUP(tbl_Kalender[[#This Row],[Monat]]/3,0)</f>
        <v>3</v>
      </c>
      <c r="I1280" t="str">
        <f>"Q "&amp;tbl_Kalender[[#This Row],[Quartal]]</f>
        <v>Q 3</v>
      </c>
      <c r="J1280" t="str">
        <f>tbl_Kalender[[#This Row],[Quartal]]&amp;". Quartal"</f>
        <v>3. Quartal</v>
      </c>
      <c r="K1280">
        <f>_xlfn.ISOWEEKNUM(tbl_Kalender[[#This Row],[Datum]])</f>
        <v>26</v>
      </c>
    </row>
    <row r="1281" spans="1:11" x14ac:dyDescent="0.25">
      <c r="A1281" s="1">
        <v>46571</v>
      </c>
      <c r="B1281">
        <f>YEAR(tbl_Kalender[[#This Row],[Datum]])</f>
        <v>2027</v>
      </c>
      <c r="C1281">
        <f>DAY(tbl_Kalender[[#This Row],[Datum]])</f>
        <v>3</v>
      </c>
      <c r="D1281" t="str">
        <f>TEXT(tbl_Kalender[[#This Row],[Datum]],"TTTT")</f>
        <v>Samstag</v>
      </c>
      <c r="E1281">
        <f>WEEKDAY(tbl_Kalender[[#This Row],[Datum]],2)</f>
        <v>6</v>
      </c>
      <c r="F1281">
        <f>MONTH(tbl_Kalender[[#This Row],[Datum]])</f>
        <v>7</v>
      </c>
      <c r="G1281" t="str">
        <f>TEXT(tbl_Kalender[[#This Row],[Datum]],"MMMM")</f>
        <v>Juli</v>
      </c>
      <c r="H1281">
        <f>ROUNDUP(tbl_Kalender[[#This Row],[Monat]]/3,0)</f>
        <v>3</v>
      </c>
      <c r="I1281" t="str">
        <f>"Q "&amp;tbl_Kalender[[#This Row],[Quartal]]</f>
        <v>Q 3</v>
      </c>
      <c r="J1281" t="str">
        <f>tbl_Kalender[[#This Row],[Quartal]]&amp;". Quartal"</f>
        <v>3. Quartal</v>
      </c>
      <c r="K1281">
        <f>_xlfn.ISOWEEKNUM(tbl_Kalender[[#This Row],[Datum]])</f>
        <v>26</v>
      </c>
    </row>
    <row r="1282" spans="1:11" x14ac:dyDescent="0.25">
      <c r="A1282" s="1">
        <v>46572</v>
      </c>
      <c r="B1282">
        <f>YEAR(tbl_Kalender[[#This Row],[Datum]])</f>
        <v>2027</v>
      </c>
      <c r="C1282">
        <f>DAY(tbl_Kalender[[#This Row],[Datum]])</f>
        <v>4</v>
      </c>
      <c r="D1282" t="str">
        <f>TEXT(tbl_Kalender[[#This Row],[Datum]],"TTTT")</f>
        <v>Sonntag</v>
      </c>
      <c r="E1282">
        <f>WEEKDAY(tbl_Kalender[[#This Row],[Datum]],2)</f>
        <v>7</v>
      </c>
      <c r="F1282">
        <f>MONTH(tbl_Kalender[[#This Row],[Datum]])</f>
        <v>7</v>
      </c>
      <c r="G1282" t="str">
        <f>TEXT(tbl_Kalender[[#This Row],[Datum]],"MMMM")</f>
        <v>Juli</v>
      </c>
      <c r="H1282">
        <f>ROUNDUP(tbl_Kalender[[#This Row],[Monat]]/3,0)</f>
        <v>3</v>
      </c>
      <c r="I1282" t="str">
        <f>"Q "&amp;tbl_Kalender[[#This Row],[Quartal]]</f>
        <v>Q 3</v>
      </c>
      <c r="J1282" t="str">
        <f>tbl_Kalender[[#This Row],[Quartal]]&amp;". Quartal"</f>
        <v>3. Quartal</v>
      </c>
      <c r="K1282">
        <f>_xlfn.ISOWEEKNUM(tbl_Kalender[[#This Row],[Datum]])</f>
        <v>26</v>
      </c>
    </row>
    <row r="1283" spans="1:11" x14ac:dyDescent="0.25">
      <c r="A1283" s="1">
        <v>46573</v>
      </c>
      <c r="B1283">
        <f>YEAR(tbl_Kalender[[#This Row],[Datum]])</f>
        <v>2027</v>
      </c>
      <c r="C1283">
        <f>DAY(tbl_Kalender[[#This Row],[Datum]])</f>
        <v>5</v>
      </c>
      <c r="D1283" t="str">
        <f>TEXT(tbl_Kalender[[#This Row],[Datum]],"TTTT")</f>
        <v>Montag</v>
      </c>
      <c r="E1283">
        <f>WEEKDAY(tbl_Kalender[[#This Row],[Datum]],2)</f>
        <v>1</v>
      </c>
      <c r="F1283">
        <f>MONTH(tbl_Kalender[[#This Row],[Datum]])</f>
        <v>7</v>
      </c>
      <c r="G1283" t="str">
        <f>TEXT(tbl_Kalender[[#This Row],[Datum]],"MMMM")</f>
        <v>Juli</v>
      </c>
      <c r="H1283">
        <f>ROUNDUP(tbl_Kalender[[#This Row],[Monat]]/3,0)</f>
        <v>3</v>
      </c>
      <c r="I1283" t="str">
        <f>"Q "&amp;tbl_Kalender[[#This Row],[Quartal]]</f>
        <v>Q 3</v>
      </c>
      <c r="J1283" t="str">
        <f>tbl_Kalender[[#This Row],[Quartal]]&amp;". Quartal"</f>
        <v>3. Quartal</v>
      </c>
      <c r="K1283">
        <f>_xlfn.ISOWEEKNUM(tbl_Kalender[[#This Row],[Datum]])</f>
        <v>27</v>
      </c>
    </row>
    <row r="1284" spans="1:11" x14ac:dyDescent="0.25">
      <c r="A1284" s="1">
        <v>46574</v>
      </c>
      <c r="B1284">
        <f>YEAR(tbl_Kalender[[#This Row],[Datum]])</f>
        <v>2027</v>
      </c>
      <c r="C1284">
        <f>DAY(tbl_Kalender[[#This Row],[Datum]])</f>
        <v>6</v>
      </c>
      <c r="D1284" t="str">
        <f>TEXT(tbl_Kalender[[#This Row],[Datum]],"TTTT")</f>
        <v>Dienstag</v>
      </c>
      <c r="E1284">
        <f>WEEKDAY(tbl_Kalender[[#This Row],[Datum]],2)</f>
        <v>2</v>
      </c>
      <c r="F1284">
        <f>MONTH(tbl_Kalender[[#This Row],[Datum]])</f>
        <v>7</v>
      </c>
      <c r="G1284" t="str">
        <f>TEXT(tbl_Kalender[[#This Row],[Datum]],"MMMM")</f>
        <v>Juli</v>
      </c>
      <c r="H1284">
        <f>ROUNDUP(tbl_Kalender[[#This Row],[Monat]]/3,0)</f>
        <v>3</v>
      </c>
      <c r="I1284" t="str">
        <f>"Q "&amp;tbl_Kalender[[#This Row],[Quartal]]</f>
        <v>Q 3</v>
      </c>
      <c r="J1284" t="str">
        <f>tbl_Kalender[[#This Row],[Quartal]]&amp;". Quartal"</f>
        <v>3. Quartal</v>
      </c>
      <c r="K1284">
        <f>_xlfn.ISOWEEKNUM(tbl_Kalender[[#This Row],[Datum]])</f>
        <v>27</v>
      </c>
    </row>
    <row r="1285" spans="1:11" x14ac:dyDescent="0.25">
      <c r="A1285" s="1">
        <v>46575</v>
      </c>
      <c r="B1285">
        <f>YEAR(tbl_Kalender[[#This Row],[Datum]])</f>
        <v>2027</v>
      </c>
      <c r="C1285">
        <f>DAY(tbl_Kalender[[#This Row],[Datum]])</f>
        <v>7</v>
      </c>
      <c r="D1285" t="str">
        <f>TEXT(tbl_Kalender[[#This Row],[Datum]],"TTTT")</f>
        <v>Mittwoch</v>
      </c>
      <c r="E1285">
        <f>WEEKDAY(tbl_Kalender[[#This Row],[Datum]],2)</f>
        <v>3</v>
      </c>
      <c r="F1285">
        <f>MONTH(tbl_Kalender[[#This Row],[Datum]])</f>
        <v>7</v>
      </c>
      <c r="G1285" t="str">
        <f>TEXT(tbl_Kalender[[#This Row],[Datum]],"MMMM")</f>
        <v>Juli</v>
      </c>
      <c r="H1285">
        <f>ROUNDUP(tbl_Kalender[[#This Row],[Monat]]/3,0)</f>
        <v>3</v>
      </c>
      <c r="I1285" t="str">
        <f>"Q "&amp;tbl_Kalender[[#This Row],[Quartal]]</f>
        <v>Q 3</v>
      </c>
      <c r="J1285" t="str">
        <f>tbl_Kalender[[#This Row],[Quartal]]&amp;". Quartal"</f>
        <v>3. Quartal</v>
      </c>
      <c r="K1285">
        <f>_xlfn.ISOWEEKNUM(tbl_Kalender[[#This Row],[Datum]])</f>
        <v>27</v>
      </c>
    </row>
    <row r="1286" spans="1:11" x14ac:dyDescent="0.25">
      <c r="A1286" s="1">
        <v>46576</v>
      </c>
      <c r="B1286">
        <f>YEAR(tbl_Kalender[[#This Row],[Datum]])</f>
        <v>2027</v>
      </c>
      <c r="C1286">
        <f>DAY(tbl_Kalender[[#This Row],[Datum]])</f>
        <v>8</v>
      </c>
      <c r="D1286" t="str">
        <f>TEXT(tbl_Kalender[[#This Row],[Datum]],"TTTT")</f>
        <v>Donnerstag</v>
      </c>
      <c r="E1286">
        <f>WEEKDAY(tbl_Kalender[[#This Row],[Datum]],2)</f>
        <v>4</v>
      </c>
      <c r="F1286">
        <f>MONTH(tbl_Kalender[[#This Row],[Datum]])</f>
        <v>7</v>
      </c>
      <c r="G1286" t="str">
        <f>TEXT(tbl_Kalender[[#This Row],[Datum]],"MMMM")</f>
        <v>Juli</v>
      </c>
      <c r="H1286">
        <f>ROUNDUP(tbl_Kalender[[#This Row],[Monat]]/3,0)</f>
        <v>3</v>
      </c>
      <c r="I1286" t="str">
        <f>"Q "&amp;tbl_Kalender[[#This Row],[Quartal]]</f>
        <v>Q 3</v>
      </c>
      <c r="J1286" t="str">
        <f>tbl_Kalender[[#This Row],[Quartal]]&amp;". Quartal"</f>
        <v>3. Quartal</v>
      </c>
      <c r="K1286">
        <f>_xlfn.ISOWEEKNUM(tbl_Kalender[[#This Row],[Datum]])</f>
        <v>27</v>
      </c>
    </row>
    <row r="1287" spans="1:11" x14ac:dyDescent="0.25">
      <c r="A1287" s="1">
        <v>46577</v>
      </c>
      <c r="B1287">
        <f>YEAR(tbl_Kalender[[#This Row],[Datum]])</f>
        <v>2027</v>
      </c>
      <c r="C1287">
        <f>DAY(tbl_Kalender[[#This Row],[Datum]])</f>
        <v>9</v>
      </c>
      <c r="D1287" t="str">
        <f>TEXT(tbl_Kalender[[#This Row],[Datum]],"TTTT")</f>
        <v>Freitag</v>
      </c>
      <c r="E1287">
        <f>WEEKDAY(tbl_Kalender[[#This Row],[Datum]],2)</f>
        <v>5</v>
      </c>
      <c r="F1287">
        <f>MONTH(tbl_Kalender[[#This Row],[Datum]])</f>
        <v>7</v>
      </c>
      <c r="G1287" t="str">
        <f>TEXT(tbl_Kalender[[#This Row],[Datum]],"MMMM")</f>
        <v>Juli</v>
      </c>
      <c r="H1287">
        <f>ROUNDUP(tbl_Kalender[[#This Row],[Monat]]/3,0)</f>
        <v>3</v>
      </c>
      <c r="I1287" t="str">
        <f>"Q "&amp;tbl_Kalender[[#This Row],[Quartal]]</f>
        <v>Q 3</v>
      </c>
      <c r="J1287" t="str">
        <f>tbl_Kalender[[#This Row],[Quartal]]&amp;". Quartal"</f>
        <v>3. Quartal</v>
      </c>
      <c r="K1287">
        <f>_xlfn.ISOWEEKNUM(tbl_Kalender[[#This Row],[Datum]])</f>
        <v>27</v>
      </c>
    </row>
    <row r="1288" spans="1:11" x14ac:dyDescent="0.25">
      <c r="A1288" s="1">
        <v>46578</v>
      </c>
      <c r="B1288">
        <f>YEAR(tbl_Kalender[[#This Row],[Datum]])</f>
        <v>2027</v>
      </c>
      <c r="C1288">
        <f>DAY(tbl_Kalender[[#This Row],[Datum]])</f>
        <v>10</v>
      </c>
      <c r="D1288" t="str">
        <f>TEXT(tbl_Kalender[[#This Row],[Datum]],"TTTT")</f>
        <v>Samstag</v>
      </c>
      <c r="E1288">
        <f>WEEKDAY(tbl_Kalender[[#This Row],[Datum]],2)</f>
        <v>6</v>
      </c>
      <c r="F1288">
        <f>MONTH(tbl_Kalender[[#This Row],[Datum]])</f>
        <v>7</v>
      </c>
      <c r="G1288" t="str">
        <f>TEXT(tbl_Kalender[[#This Row],[Datum]],"MMMM")</f>
        <v>Juli</v>
      </c>
      <c r="H1288">
        <f>ROUNDUP(tbl_Kalender[[#This Row],[Monat]]/3,0)</f>
        <v>3</v>
      </c>
      <c r="I1288" t="str">
        <f>"Q "&amp;tbl_Kalender[[#This Row],[Quartal]]</f>
        <v>Q 3</v>
      </c>
      <c r="J1288" t="str">
        <f>tbl_Kalender[[#This Row],[Quartal]]&amp;". Quartal"</f>
        <v>3. Quartal</v>
      </c>
      <c r="K1288">
        <f>_xlfn.ISOWEEKNUM(tbl_Kalender[[#This Row],[Datum]])</f>
        <v>27</v>
      </c>
    </row>
    <row r="1289" spans="1:11" x14ac:dyDescent="0.25">
      <c r="A1289" s="1">
        <v>46579</v>
      </c>
      <c r="B1289">
        <f>YEAR(tbl_Kalender[[#This Row],[Datum]])</f>
        <v>2027</v>
      </c>
      <c r="C1289">
        <f>DAY(tbl_Kalender[[#This Row],[Datum]])</f>
        <v>11</v>
      </c>
      <c r="D1289" t="str">
        <f>TEXT(tbl_Kalender[[#This Row],[Datum]],"TTTT")</f>
        <v>Sonntag</v>
      </c>
      <c r="E1289">
        <f>WEEKDAY(tbl_Kalender[[#This Row],[Datum]],2)</f>
        <v>7</v>
      </c>
      <c r="F1289">
        <f>MONTH(tbl_Kalender[[#This Row],[Datum]])</f>
        <v>7</v>
      </c>
      <c r="G1289" t="str">
        <f>TEXT(tbl_Kalender[[#This Row],[Datum]],"MMMM")</f>
        <v>Juli</v>
      </c>
      <c r="H1289">
        <f>ROUNDUP(tbl_Kalender[[#This Row],[Monat]]/3,0)</f>
        <v>3</v>
      </c>
      <c r="I1289" t="str">
        <f>"Q "&amp;tbl_Kalender[[#This Row],[Quartal]]</f>
        <v>Q 3</v>
      </c>
      <c r="J1289" t="str">
        <f>tbl_Kalender[[#This Row],[Quartal]]&amp;". Quartal"</f>
        <v>3. Quartal</v>
      </c>
      <c r="K1289">
        <f>_xlfn.ISOWEEKNUM(tbl_Kalender[[#This Row],[Datum]])</f>
        <v>27</v>
      </c>
    </row>
    <row r="1290" spans="1:11" x14ac:dyDescent="0.25">
      <c r="A1290" s="1">
        <v>46580</v>
      </c>
      <c r="B1290">
        <f>YEAR(tbl_Kalender[[#This Row],[Datum]])</f>
        <v>2027</v>
      </c>
      <c r="C1290">
        <f>DAY(tbl_Kalender[[#This Row],[Datum]])</f>
        <v>12</v>
      </c>
      <c r="D1290" t="str">
        <f>TEXT(tbl_Kalender[[#This Row],[Datum]],"TTTT")</f>
        <v>Montag</v>
      </c>
      <c r="E1290">
        <f>WEEKDAY(tbl_Kalender[[#This Row],[Datum]],2)</f>
        <v>1</v>
      </c>
      <c r="F1290">
        <f>MONTH(tbl_Kalender[[#This Row],[Datum]])</f>
        <v>7</v>
      </c>
      <c r="G1290" t="str">
        <f>TEXT(tbl_Kalender[[#This Row],[Datum]],"MMMM")</f>
        <v>Juli</v>
      </c>
      <c r="H1290">
        <f>ROUNDUP(tbl_Kalender[[#This Row],[Monat]]/3,0)</f>
        <v>3</v>
      </c>
      <c r="I1290" t="str">
        <f>"Q "&amp;tbl_Kalender[[#This Row],[Quartal]]</f>
        <v>Q 3</v>
      </c>
      <c r="J1290" t="str">
        <f>tbl_Kalender[[#This Row],[Quartal]]&amp;". Quartal"</f>
        <v>3. Quartal</v>
      </c>
      <c r="K1290">
        <f>_xlfn.ISOWEEKNUM(tbl_Kalender[[#This Row],[Datum]])</f>
        <v>28</v>
      </c>
    </row>
    <row r="1291" spans="1:11" x14ac:dyDescent="0.25">
      <c r="A1291" s="1">
        <v>46581</v>
      </c>
      <c r="B1291">
        <f>YEAR(tbl_Kalender[[#This Row],[Datum]])</f>
        <v>2027</v>
      </c>
      <c r="C1291">
        <f>DAY(tbl_Kalender[[#This Row],[Datum]])</f>
        <v>13</v>
      </c>
      <c r="D1291" t="str">
        <f>TEXT(tbl_Kalender[[#This Row],[Datum]],"TTTT")</f>
        <v>Dienstag</v>
      </c>
      <c r="E1291">
        <f>WEEKDAY(tbl_Kalender[[#This Row],[Datum]],2)</f>
        <v>2</v>
      </c>
      <c r="F1291">
        <f>MONTH(tbl_Kalender[[#This Row],[Datum]])</f>
        <v>7</v>
      </c>
      <c r="G1291" t="str">
        <f>TEXT(tbl_Kalender[[#This Row],[Datum]],"MMMM")</f>
        <v>Juli</v>
      </c>
      <c r="H1291">
        <f>ROUNDUP(tbl_Kalender[[#This Row],[Monat]]/3,0)</f>
        <v>3</v>
      </c>
      <c r="I1291" t="str">
        <f>"Q "&amp;tbl_Kalender[[#This Row],[Quartal]]</f>
        <v>Q 3</v>
      </c>
      <c r="J1291" t="str">
        <f>tbl_Kalender[[#This Row],[Quartal]]&amp;". Quartal"</f>
        <v>3. Quartal</v>
      </c>
      <c r="K1291">
        <f>_xlfn.ISOWEEKNUM(tbl_Kalender[[#This Row],[Datum]])</f>
        <v>28</v>
      </c>
    </row>
    <row r="1292" spans="1:11" x14ac:dyDescent="0.25">
      <c r="A1292" s="1">
        <v>46582</v>
      </c>
      <c r="B1292">
        <f>YEAR(tbl_Kalender[[#This Row],[Datum]])</f>
        <v>2027</v>
      </c>
      <c r="C1292">
        <f>DAY(tbl_Kalender[[#This Row],[Datum]])</f>
        <v>14</v>
      </c>
      <c r="D1292" t="str">
        <f>TEXT(tbl_Kalender[[#This Row],[Datum]],"TTTT")</f>
        <v>Mittwoch</v>
      </c>
      <c r="E1292">
        <f>WEEKDAY(tbl_Kalender[[#This Row],[Datum]],2)</f>
        <v>3</v>
      </c>
      <c r="F1292">
        <f>MONTH(tbl_Kalender[[#This Row],[Datum]])</f>
        <v>7</v>
      </c>
      <c r="G1292" t="str">
        <f>TEXT(tbl_Kalender[[#This Row],[Datum]],"MMMM")</f>
        <v>Juli</v>
      </c>
      <c r="H1292">
        <f>ROUNDUP(tbl_Kalender[[#This Row],[Monat]]/3,0)</f>
        <v>3</v>
      </c>
      <c r="I1292" t="str">
        <f>"Q "&amp;tbl_Kalender[[#This Row],[Quartal]]</f>
        <v>Q 3</v>
      </c>
      <c r="J1292" t="str">
        <f>tbl_Kalender[[#This Row],[Quartal]]&amp;". Quartal"</f>
        <v>3. Quartal</v>
      </c>
      <c r="K1292">
        <f>_xlfn.ISOWEEKNUM(tbl_Kalender[[#This Row],[Datum]])</f>
        <v>28</v>
      </c>
    </row>
    <row r="1293" spans="1:11" x14ac:dyDescent="0.25">
      <c r="A1293" s="1">
        <v>46583</v>
      </c>
      <c r="B1293">
        <f>YEAR(tbl_Kalender[[#This Row],[Datum]])</f>
        <v>2027</v>
      </c>
      <c r="C1293">
        <f>DAY(tbl_Kalender[[#This Row],[Datum]])</f>
        <v>15</v>
      </c>
      <c r="D1293" t="str">
        <f>TEXT(tbl_Kalender[[#This Row],[Datum]],"TTTT")</f>
        <v>Donnerstag</v>
      </c>
      <c r="E1293">
        <f>WEEKDAY(tbl_Kalender[[#This Row],[Datum]],2)</f>
        <v>4</v>
      </c>
      <c r="F1293">
        <f>MONTH(tbl_Kalender[[#This Row],[Datum]])</f>
        <v>7</v>
      </c>
      <c r="G1293" t="str">
        <f>TEXT(tbl_Kalender[[#This Row],[Datum]],"MMMM")</f>
        <v>Juli</v>
      </c>
      <c r="H1293">
        <f>ROUNDUP(tbl_Kalender[[#This Row],[Monat]]/3,0)</f>
        <v>3</v>
      </c>
      <c r="I1293" t="str">
        <f>"Q "&amp;tbl_Kalender[[#This Row],[Quartal]]</f>
        <v>Q 3</v>
      </c>
      <c r="J1293" t="str">
        <f>tbl_Kalender[[#This Row],[Quartal]]&amp;". Quartal"</f>
        <v>3. Quartal</v>
      </c>
      <c r="K1293">
        <f>_xlfn.ISOWEEKNUM(tbl_Kalender[[#This Row],[Datum]])</f>
        <v>28</v>
      </c>
    </row>
    <row r="1294" spans="1:11" x14ac:dyDescent="0.25">
      <c r="A1294" s="1">
        <v>46584</v>
      </c>
      <c r="B1294">
        <f>YEAR(tbl_Kalender[[#This Row],[Datum]])</f>
        <v>2027</v>
      </c>
      <c r="C1294">
        <f>DAY(tbl_Kalender[[#This Row],[Datum]])</f>
        <v>16</v>
      </c>
      <c r="D1294" t="str">
        <f>TEXT(tbl_Kalender[[#This Row],[Datum]],"TTTT")</f>
        <v>Freitag</v>
      </c>
      <c r="E1294">
        <f>WEEKDAY(tbl_Kalender[[#This Row],[Datum]],2)</f>
        <v>5</v>
      </c>
      <c r="F1294">
        <f>MONTH(tbl_Kalender[[#This Row],[Datum]])</f>
        <v>7</v>
      </c>
      <c r="G1294" t="str">
        <f>TEXT(tbl_Kalender[[#This Row],[Datum]],"MMMM")</f>
        <v>Juli</v>
      </c>
      <c r="H1294">
        <f>ROUNDUP(tbl_Kalender[[#This Row],[Monat]]/3,0)</f>
        <v>3</v>
      </c>
      <c r="I1294" t="str">
        <f>"Q "&amp;tbl_Kalender[[#This Row],[Quartal]]</f>
        <v>Q 3</v>
      </c>
      <c r="J1294" t="str">
        <f>tbl_Kalender[[#This Row],[Quartal]]&amp;". Quartal"</f>
        <v>3. Quartal</v>
      </c>
      <c r="K1294">
        <f>_xlfn.ISOWEEKNUM(tbl_Kalender[[#This Row],[Datum]])</f>
        <v>28</v>
      </c>
    </row>
    <row r="1295" spans="1:11" x14ac:dyDescent="0.25">
      <c r="A1295" s="1">
        <v>46585</v>
      </c>
      <c r="B1295">
        <f>YEAR(tbl_Kalender[[#This Row],[Datum]])</f>
        <v>2027</v>
      </c>
      <c r="C1295">
        <f>DAY(tbl_Kalender[[#This Row],[Datum]])</f>
        <v>17</v>
      </c>
      <c r="D1295" t="str">
        <f>TEXT(tbl_Kalender[[#This Row],[Datum]],"TTTT")</f>
        <v>Samstag</v>
      </c>
      <c r="E1295">
        <f>WEEKDAY(tbl_Kalender[[#This Row],[Datum]],2)</f>
        <v>6</v>
      </c>
      <c r="F1295">
        <f>MONTH(tbl_Kalender[[#This Row],[Datum]])</f>
        <v>7</v>
      </c>
      <c r="G1295" t="str">
        <f>TEXT(tbl_Kalender[[#This Row],[Datum]],"MMMM")</f>
        <v>Juli</v>
      </c>
      <c r="H1295">
        <f>ROUNDUP(tbl_Kalender[[#This Row],[Monat]]/3,0)</f>
        <v>3</v>
      </c>
      <c r="I1295" t="str">
        <f>"Q "&amp;tbl_Kalender[[#This Row],[Quartal]]</f>
        <v>Q 3</v>
      </c>
      <c r="J1295" t="str">
        <f>tbl_Kalender[[#This Row],[Quartal]]&amp;". Quartal"</f>
        <v>3. Quartal</v>
      </c>
      <c r="K1295">
        <f>_xlfn.ISOWEEKNUM(tbl_Kalender[[#This Row],[Datum]])</f>
        <v>28</v>
      </c>
    </row>
    <row r="1296" spans="1:11" x14ac:dyDescent="0.25">
      <c r="A1296" s="1">
        <v>46586</v>
      </c>
      <c r="B1296">
        <f>YEAR(tbl_Kalender[[#This Row],[Datum]])</f>
        <v>2027</v>
      </c>
      <c r="C1296">
        <f>DAY(tbl_Kalender[[#This Row],[Datum]])</f>
        <v>18</v>
      </c>
      <c r="D1296" t="str">
        <f>TEXT(tbl_Kalender[[#This Row],[Datum]],"TTTT")</f>
        <v>Sonntag</v>
      </c>
      <c r="E1296">
        <f>WEEKDAY(tbl_Kalender[[#This Row],[Datum]],2)</f>
        <v>7</v>
      </c>
      <c r="F1296">
        <f>MONTH(tbl_Kalender[[#This Row],[Datum]])</f>
        <v>7</v>
      </c>
      <c r="G1296" t="str">
        <f>TEXT(tbl_Kalender[[#This Row],[Datum]],"MMMM")</f>
        <v>Juli</v>
      </c>
      <c r="H1296">
        <f>ROUNDUP(tbl_Kalender[[#This Row],[Monat]]/3,0)</f>
        <v>3</v>
      </c>
      <c r="I1296" t="str">
        <f>"Q "&amp;tbl_Kalender[[#This Row],[Quartal]]</f>
        <v>Q 3</v>
      </c>
      <c r="J1296" t="str">
        <f>tbl_Kalender[[#This Row],[Quartal]]&amp;". Quartal"</f>
        <v>3. Quartal</v>
      </c>
      <c r="K1296">
        <f>_xlfn.ISOWEEKNUM(tbl_Kalender[[#This Row],[Datum]])</f>
        <v>28</v>
      </c>
    </row>
    <row r="1297" spans="1:11" x14ac:dyDescent="0.25">
      <c r="A1297" s="1">
        <v>46587</v>
      </c>
      <c r="B1297">
        <f>YEAR(tbl_Kalender[[#This Row],[Datum]])</f>
        <v>2027</v>
      </c>
      <c r="C1297">
        <f>DAY(tbl_Kalender[[#This Row],[Datum]])</f>
        <v>19</v>
      </c>
      <c r="D1297" t="str">
        <f>TEXT(tbl_Kalender[[#This Row],[Datum]],"TTTT")</f>
        <v>Montag</v>
      </c>
      <c r="E1297">
        <f>WEEKDAY(tbl_Kalender[[#This Row],[Datum]],2)</f>
        <v>1</v>
      </c>
      <c r="F1297">
        <f>MONTH(tbl_Kalender[[#This Row],[Datum]])</f>
        <v>7</v>
      </c>
      <c r="G1297" t="str">
        <f>TEXT(tbl_Kalender[[#This Row],[Datum]],"MMMM")</f>
        <v>Juli</v>
      </c>
      <c r="H1297">
        <f>ROUNDUP(tbl_Kalender[[#This Row],[Monat]]/3,0)</f>
        <v>3</v>
      </c>
      <c r="I1297" t="str">
        <f>"Q "&amp;tbl_Kalender[[#This Row],[Quartal]]</f>
        <v>Q 3</v>
      </c>
      <c r="J1297" t="str">
        <f>tbl_Kalender[[#This Row],[Quartal]]&amp;". Quartal"</f>
        <v>3. Quartal</v>
      </c>
      <c r="K1297">
        <f>_xlfn.ISOWEEKNUM(tbl_Kalender[[#This Row],[Datum]])</f>
        <v>29</v>
      </c>
    </row>
    <row r="1298" spans="1:11" x14ac:dyDescent="0.25">
      <c r="A1298" s="1">
        <v>46588</v>
      </c>
      <c r="B1298">
        <f>YEAR(tbl_Kalender[[#This Row],[Datum]])</f>
        <v>2027</v>
      </c>
      <c r="C1298">
        <f>DAY(tbl_Kalender[[#This Row],[Datum]])</f>
        <v>20</v>
      </c>
      <c r="D1298" t="str">
        <f>TEXT(tbl_Kalender[[#This Row],[Datum]],"TTTT")</f>
        <v>Dienstag</v>
      </c>
      <c r="E1298">
        <f>WEEKDAY(tbl_Kalender[[#This Row],[Datum]],2)</f>
        <v>2</v>
      </c>
      <c r="F1298">
        <f>MONTH(tbl_Kalender[[#This Row],[Datum]])</f>
        <v>7</v>
      </c>
      <c r="G1298" t="str">
        <f>TEXT(tbl_Kalender[[#This Row],[Datum]],"MMMM")</f>
        <v>Juli</v>
      </c>
      <c r="H1298">
        <f>ROUNDUP(tbl_Kalender[[#This Row],[Monat]]/3,0)</f>
        <v>3</v>
      </c>
      <c r="I1298" t="str">
        <f>"Q "&amp;tbl_Kalender[[#This Row],[Quartal]]</f>
        <v>Q 3</v>
      </c>
      <c r="J1298" t="str">
        <f>tbl_Kalender[[#This Row],[Quartal]]&amp;". Quartal"</f>
        <v>3. Quartal</v>
      </c>
      <c r="K1298">
        <f>_xlfn.ISOWEEKNUM(tbl_Kalender[[#This Row],[Datum]])</f>
        <v>29</v>
      </c>
    </row>
    <row r="1299" spans="1:11" x14ac:dyDescent="0.25">
      <c r="A1299" s="1">
        <v>46589</v>
      </c>
      <c r="B1299">
        <f>YEAR(tbl_Kalender[[#This Row],[Datum]])</f>
        <v>2027</v>
      </c>
      <c r="C1299">
        <f>DAY(tbl_Kalender[[#This Row],[Datum]])</f>
        <v>21</v>
      </c>
      <c r="D1299" t="str">
        <f>TEXT(tbl_Kalender[[#This Row],[Datum]],"TTTT")</f>
        <v>Mittwoch</v>
      </c>
      <c r="E1299">
        <f>WEEKDAY(tbl_Kalender[[#This Row],[Datum]],2)</f>
        <v>3</v>
      </c>
      <c r="F1299">
        <f>MONTH(tbl_Kalender[[#This Row],[Datum]])</f>
        <v>7</v>
      </c>
      <c r="G1299" t="str">
        <f>TEXT(tbl_Kalender[[#This Row],[Datum]],"MMMM")</f>
        <v>Juli</v>
      </c>
      <c r="H1299">
        <f>ROUNDUP(tbl_Kalender[[#This Row],[Monat]]/3,0)</f>
        <v>3</v>
      </c>
      <c r="I1299" t="str">
        <f>"Q "&amp;tbl_Kalender[[#This Row],[Quartal]]</f>
        <v>Q 3</v>
      </c>
      <c r="J1299" t="str">
        <f>tbl_Kalender[[#This Row],[Quartal]]&amp;". Quartal"</f>
        <v>3. Quartal</v>
      </c>
      <c r="K1299">
        <f>_xlfn.ISOWEEKNUM(tbl_Kalender[[#This Row],[Datum]])</f>
        <v>29</v>
      </c>
    </row>
    <row r="1300" spans="1:11" x14ac:dyDescent="0.25">
      <c r="A1300" s="1">
        <v>46590</v>
      </c>
      <c r="B1300">
        <f>YEAR(tbl_Kalender[[#This Row],[Datum]])</f>
        <v>2027</v>
      </c>
      <c r="C1300">
        <f>DAY(tbl_Kalender[[#This Row],[Datum]])</f>
        <v>22</v>
      </c>
      <c r="D1300" t="str">
        <f>TEXT(tbl_Kalender[[#This Row],[Datum]],"TTTT")</f>
        <v>Donnerstag</v>
      </c>
      <c r="E1300">
        <f>WEEKDAY(tbl_Kalender[[#This Row],[Datum]],2)</f>
        <v>4</v>
      </c>
      <c r="F1300">
        <f>MONTH(tbl_Kalender[[#This Row],[Datum]])</f>
        <v>7</v>
      </c>
      <c r="G1300" t="str">
        <f>TEXT(tbl_Kalender[[#This Row],[Datum]],"MMMM")</f>
        <v>Juli</v>
      </c>
      <c r="H1300">
        <f>ROUNDUP(tbl_Kalender[[#This Row],[Monat]]/3,0)</f>
        <v>3</v>
      </c>
      <c r="I1300" t="str">
        <f>"Q "&amp;tbl_Kalender[[#This Row],[Quartal]]</f>
        <v>Q 3</v>
      </c>
      <c r="J1300" t="str">
        <f>tbl_Kalender[[#This Row],[Quartal]]&amp;". Quartal"</f>
        <v>3. Quartal</v>
      </c>
      <c r="K1300">
        <f>_xlfn.ISOWEEKNUM(tbl_Kalender[[#This Row],[Datum]])</f>
        <v>29</v>
      </c>
    </row>
    <row r="1301" spans="1:11" x14ac:dyDescent="0.25">
      <c r="A1301" s="1">
        <v>46591</v>
      </c>
      <c r="B1301">
        <f>YEAR(tbl_Kalender[[#This Row],[Datum]])</f>
        <v>2027</v>
      </c>
      <c r="C1301">
        <f>DAY(tbl_Kalender[[#This Row],[Datum]])</f>
        <v>23</v>
      </c>
      <c r="D1301" t="str">
        <f>TEXT(tbl_Kalender[[#This Row],[Datum]],"TTTT")</f>
        <v>Freitag</v>
      </c>
      <c r="E1301">
        <f>WEEKDAY(tbl_Kalender[[#This Row],[Datum]],2)</f>
        <v>5</v>
      </c>
      <c r="F1301">
        <f>MONTH(tbl_Kalender[[#This Row],[Datum]])</f>
        <v>7</v>
      </c>
      <c r="G1301" t="str">
        <f>TEXT(tbl_Kalender[[#This Row],[Datum]],"MMMM")</f>
        <v>Juli</v>
      </c>
      <c r="H1301">
        <f>ROUNDUP(tbl_Kalender[[#This Row],[Monat]]/3,0)</f>
        <v>3</v>
      </c>
      <c r="I1301" t="str">
        <f>"Q "&amp;tbl_Kalender[[#This Row],[Quartal]]</f>
        <v>Q 3</v>
      </c>
      <c r="J1301" t="str">
        <f>tbl_Kalender[[#This Row],[Quartal]]&amp;". Quartal"</f>
        <v>3. Quartal</v>
      </c>
      <c r="K1301">
        <f>_xlfn.ISOWEEKNUM(tbl_Kalender[[#This Row],[Datum]])</f>
        <v>29</v>
      </c>
    </row>
    <row r="1302" spans="1:11" x14ac:dyDescent="0.25">
      <c r="A1302" s="1">
        <v>46592</v>
      </c>
      <c r="B1302">
        <f>YEAR(tbl_Kalender[[#This Row],[Datum]])</f>
        <v>2027</v>
      </c>
      <c r="C1302">
        <f>DAY(tbl_Kalender[[#This Row],[Datum]])</f>
        <v>24</v>
      </c>
      <c r="D1302" t="str">
        <f>TEXT(tbl_Kalender[[#This Row],[Datum]],"TTTT")</f>
        <v>Samstag</v>
      </c>
      <c r="E1302">
        <f>WEEKDAY(tbl_Kalender[[#This Row],[Datum]],2)</f>
        <v>6</v>
      </c>
      <c r="F1302">
        <f>MONTH(tbl_Kalender[[#This Row],[Datum]])</f>
        <v>7</v>
      </c>
      <c r="G1302" t="str">
        <f>TEXT(tbl_Kalender[[#This Row],[Datum]],"MMMM")</f>
        <v>Juli</v>
      </c>
      <c r="H1302">
        <f>ROUNDUP(tbl_Kalender[[#This Row],[Monat]]/3,0)</f>
        <v>3</v>
      </c>
      <c r="I1302" t="str">
        <f>"Q "&amp;tbl_Kalender[[#This Row],[Quartal]]</f>
        <v>Q 3</v>
      </c>
      <c r="J1302" t="str">
        <f>tbl_Kalender[[#This Row],[Quartal]]&amp;". Quartal"</f>
        <v>3. Quartal</v>
      </c>
      <c r="K1302">
        <f>_xlfn.ISOWEEKNUM(tbl_Kalender[[#This Row],[Datum]])</f>
        <v>29</v>
      </c>
    </row>
    <row r="1303" spans="1:11" x14ac:dyDescent="0.25">
      <c r="A1303" s="1">
        <v>46593</v>
      </c>
      <c r="B1303">
        <f>YEAR(tbl_Kalender[[#This Row],[Datum]])</f>
        <v>2027</v>
      </c>
      <c r="C1303">
        <f>DAY(tbl_Kalender[[#This Row],[Datum]])</f>
        <v>25</v>
      </c>
      <c r="D1303" t="str">
        <f>TEXT(tbl_Kalender[[#This Row],[Datum]],"TTTT")</f>
        <v>Sonntag</v>
      </c>
      <c r="E1303">
        <f>WEEKDAY(tbl_Kalender[[#This Row],[Datum]],2)</f>
        <v>7</v>
      </c>
      <c r="F1303">
        <f>MONTH(tbl_Kalender[[#This Row],[Datum]])</f>
        <v>7</v>
      </c>
      <c r="G1303" t="str">
        <f>TEXT(tbl_Kalender[[#This Row],[Datum]],"MMMM")</f>
        <v>Juli</v>
      </c>
      <c r="H1303">
        <f>ROUNDUP(tbl_Kalender[[#This Row],[Monat]]/3,0)</f>
        <v>3</v>
      </c>
      <c r="I1303" t="str">
        <f>"Q "&amp;tbl_Kalender[[#This Row],[Quartal]]</f>
        <v>Q 3</v>
      </c>
      <c r="J1303" t="str">
        <f>tbl_Kalender[[#This Row],[Quartal]]&amp;". Quartal"</f>
        <v>3. Quartal</v>
      </c>
      <c r="K1303">
        <f>_xlfn.ISOWEEKNUM(tbl_Kalender[[#This Row],[Datum]])</f>
        <v>29</v>
      </c>
    </row>
    <row r="1304" spans="1:11" x14ac:dyDescent="0.25">
      <c r="A1304" s="1">
        <v>46594</v>
      </c>
      <c r="B1304">
        <f>YEAR(tbl_Kalender[[#This Row],[Datum]])</f>
        <v>2027</v>
      </c>
      <c r="C1304">
        <f>DAY(tbl_Kalender[[#This Row],[Datum]])</f>
        <v>26</v>
      </c>
      <c r="D1304" t="str">
        <f>TEXT(tbl_Kalender[[#This Row],[Datum]],"TTTT")</f>
        <v>Montag</v>
      </c>
      <c r="E1304">
        <f>WEEKDAY(tbl_Kalender[[#This Row],[Datum]],2)</f>
        <v>1</v>
      </c>
      <c r="F1304">
        <f>MONTH(tbl_Kalender[[#This Row],[Datum]])</f>
        <v>7</v>
      </c>
      <c r="G1304" t="str">
        <f>TEXT(tbl_Kalender[[#This Row],[Datum]],"MMMM")</f>
        <v>Juli</v>
      </c>
      <c r="H1304">
        <f>ROUNDUP(tbl_Kalender[[#This Row],[Monat]]/3,0)</f>
        <v>3</v>
      </c>
      <c r="I1304" t="str">
        <f>"Q "&amp;tbl_Kalender[[#This Row],[Quartal]]</f>
        <v>Q 3</v>
      </c>
      <c r="J1304" t="str">
        <f>tbl_Kalender[[#This Row],[Quartal]]&amp;". Quartal"</f>
        <v>3. Quartal</v>
      </c>
      <c r="K1304">
        <f>_xlfn.ISOWEEKNUM(tbl_Kalender[[#This Row],[Datum]])</f>
        <v>30</v>
      </c>
    </row>
    <row r="1305" spans="1:11" x14ac:dyDescent="0.25">
      <c r="A1305" s="1">
        <v>46595</v>
      </c>
      <c r="B1305">
        <f>YEAR(tbl_Kalender[[#This Row],[Datum]])</f>
        <v>2027</v>
      </c>
      <c r="C1305">
        <f>DAY(tbl_Kalender[[#This Row],[Datum]])</f>
        <v>27</v>
      </c>
      <c r="D1305" t="str">
        <f>TEXT(tbl_Kalender[[#This Row],[Datum]],"TTTT")</f>
        <v>Dienstag</v>
      </c>
      <c r="E1305">
        <f>WEEKDAY(tbl_Kalender[[#This Row],[Datum]],2)</f>
        <v>2</v>
      </c>
      <c r="F1305">
        <f>MONTH(tbl_Kalender[[#This Row],[Datum]])</f>
        <v>7</v>
      </c>
      <c r="G1305" t="str">
        <f>TEXT(tbl_Kalender[[#This Row],[Datum]],"MMMM")</f>
        <v>Juli</v>
      </c>
      <c r="H1305">
        <f>ROUNDUP(tbl_Kalender[[#This Row],[Monat]]/3,0)</f>
        <v>3</v>
      </c>
      <c r="I1305" t="str">
        <f>"Q "&amp;tbl_Kalender[[#This Row],[Quartal]]</f>
        <v>Q 3</v>
      </c>
      <c r="J1305" t="str">
        <f>tbl_Kalender[[#This Row],[Quartal]]&amp;". Quartal"</f>
        <v>3. Quartal</v>
      </c>
      <c r="K1305">
        <f>_xlfn.ISOWEEKNUM(tbl_Kalender[[#This Row],[Datum]])</f>
        <v>30</v>
      </c>
    </row>
    <row r="1306" spans="1:11" x14ac:dyDescent="0.25">
      <c r="A1306" s="1">
        <v>46596</v>
      </c>
      <c r="B1306">
        <f>YEAR(tbl_Kalender[[#This Row],[Datum]])</f>
        <v>2027</v>
      </c>
      <c r="C1306">
        <f>DAY(tbl_Kalender[[#This Row],[Datum]])</f>
        <v>28</v>
      </c>
      <c r="D1306" t="str">
        <f>TEXT(tbl_Kalender[[#This Row],[Datum]],"TTTT")</f>
        <v>Mittwoch</v>
      </c>
      <c r="E1306">
        <f>WEEKDAY(tbl_Kalender[[#This Row],[Datum]],2)</f>
        <v>3</v>
      </c>
      <c r="F1306">
        <f>MONTH(tbl_Kalender[[#This Row],[Datum]])</f>
        <v>7</v>
      </c>
      <c r="G1306" t="str">
        <f>TEXT(tbl_Kalender[[#This Row],[Datum]],"MMMM")</f>
        <v>Juli</v>
      </c>
      <c r="H1306">
        <f>ROUNDUP(tbl_Kalender[[#This Row],[Monat]]/3,0)</f>
        <v>3</v>
      </c>
      <c r="I1306" t="str">
        <f>"Q "&amp;tbl_Kalender[[#This Row],[Quartal]]</f>
        <v>Q 3</v>
      </c>
      <c r="J1306" t="str">
        <f>tbl_Kalender[[#This Row],[Quartal]]&amp;". Quartal"</f>
        <v>3. Quartal</v>
      </c>
      <c r="K1306">
        <f>_xlfn.ISOWEEKNUM(tbl_Kalender[[#This Row],[Datum]])</f>
        <v>30</v>
      </c>
    </row>
    <row r="1307" spans="1:11" x14ac:dyDescent="0.25">
      <c r="A1307" s="1">
        <v>46597</v>
      </c>
      <c r="B1307">
        <f>YEAR(tbl_Kalender[[#This Row],[Datum]])</f>
        <v>2027</v>
      </c>
      <c r="C1307">
        <f>DAY(tbl_Kalender[[#This Row],[Datum]])</f>
        <v>29</v>
      </c>
      <c r="D1307" t="str">
        <f>TEXT(tbl_Kalender[[#This Row],[Datum]],"TTTT")</f>
        <v>Donnerstag</v>
      </c>
      <c r="E1307">
        <f>WEEKDAY(tbl_Kalender[[#This Row],[Datum]],2)</f>
        <v>4</v>
      </c>
      <c r="F1307">
        <f>MONTH(tbl_Kalender[[#This Row],[Datum]])</f>
        <v>7</v>
      </c>
      <c r="G1307" t="str">
        <f>TEXT(tbl_Kalender[[#This Row],[Datum]],"MMMM")</f>
        <v>Juli</v>
      </c>
      <c r="H1307">
        <f>ROUNDUP(tbl_Kalender[[#This Row],[Monat]]/3,0)</f>
        <v>3</v>
      </c>
      <c r="I1307" t="str">
        <f>"Q "&amp;tbl_Kalender[[#This Row],[Quartal]]</f>
        <v>Q 3</v>
      </c>
      <c r="J1307" t="str">
        <f>tbl_Kalender[[#This Row],[Quartal]]&amp;". Quartal"</f>
        <v>3. Quartal</v>
      </c>
      <c r="K1307">
        <f>_xlfn.ISOWEEKNUM(tbl_Kalender[[#This Row],[Datum]])</f>
        <v>30</v>
      </c>
    </row>
    <row r="1308" spans="1:11" x14ac:dyDescent="0.25">
      <c r="A1308" s="1">
        <v>46598</v>
      </c>
      <c r="B1308">
        <f>YEAR(tbl_Kalender[[#This Row],[Datum]])</f>
        <v>2027</v>
      </c>
      <c r="C1308">
        <f>DAY(tbl_Kalender[[#This Row],[Datum]])</f>
        <v>30</v>
      </c>
      <c r="D1308" t="str">
        <f>TEXT(tbl_Kalender[[#This Row],[Datum]],"TTTT")</f>
        <v>Freitag</v>
      </c>
      <c r="E1308">
        <f>WEEKDAY(tbl_Kalender[[#This Row],[Datum]],2)</f>
        <v>5</v>
      </c>
      <c r="F1308">
        <f>MONTH(tbl_Kalender[[#This Row],[Datum]])</f>
        <v>7</v>
      </c>
      <c r="G1308" t="str">
        <f>TEXT(tbl_Kalender[[#This Row],[Datum]],"MMMM")</f>
        <v>Juli</v>
      </c>
      <c r="H1308">
        <f>ROUNDUP(tbl_Kalender[[#This Row],[Monat]]/3,0)</f>
        <v>3</v>
      </c>
      <c r="I1308" t="str">
        <f>"Q "&amp;tbl_Kalender[[#This Row],[Quartal]]</f>
        <v>Q 3</v>
      </c>
      <c r="J1308" t="str">
        <f>tbl_Kalender[[#This Row],[Quartal]]&amp;". Quartal"</f>
        <v>3. Quartal</v>
      </c>
      <c r="K1308">
        <f>_xlfn.ISOWEEKNUM(tbl_Kalender[[#This Row],[Datum]])</f>
        <v>30</v>
      </c>
    </row>
    <row r="1309" spans="1:11" x14ac:dyDescent="0.25">
      <c r="A1309" s="1">
        <v>46599</v>
      </c>
      <c r="B1309">
        <f>YEAR(tbl_Kalender[[#This Row],[Datum]])</f>
        <v>2027</v>
      </c>
      <c r="C1309">
        <f>DAY(tbl_Kalender[[#This Row],[Datum]])</f>
        <v>31</v>
      </c>
      <c r="D1309" t="str">
        <f>TEXT(tbl_Kalender[[#This Row],[Datum]],"TTTT")</f>
        <v>Samstag</v>
      </c>
      <c r="E1309">
        <f>WEEKDAY(tbl_Kalender[[#This Row],[Datum]],2)</f>
        <v>6</v>
      </c>
      <c r="F1309">
        <f>MONTH(tbl_Kalender[[#This Row],[Datum]])</f>
        <v>7</v>
      </c>
      <c r="G1309" t="str">
        <f>TEXT(tbl_Kalender[[#This Row],[Datum]],"MMMM")</f>
        <v>Juli</v>
      </c>
      <c r="H1309">
        <f>ROUNDUP(tbl_Kalender[[#This Row],[Monat]]/3,0)</f>
        <v>3</v>
      </c>
      <c r="I1309" t="str">
        <f>"Q "&amp;tbl_Kalender[[#This Row],[Quartal]]</f>
        <v>Q 3</v>
      </c>
      <c r="J1309" t="str">
        <f>tbl_Kalender[[#This Row],[Quartal]]&amp;". Quartal"</f>
        <v>3. Quartal</v>
      </c>
      <c r="K1309">
        <f>_xlfn.ISOWEEKNUM(tbl_Kalender[[#This Row],[Datum]])</f>
        <v>30</v>
      </c>
    </row>
    <row r="1310" spans="1:11" x14ac:dyDescent="0.25">
      <c r="A1310" s="1">
        <v>46600</v>
      </c>
      <c r="B1310">
        <f>YEAR(tbl_Kalender[[#This Row],[Datum]])</f>
        <v>2027</v>
      </c>
      <c r="C1310">
        <f>DAY(tbl_Kalender[[#This Row],[Datum]])</f>
        <v>1</v>
      </c>
      <c r="D1310" t="str">
        <f>TEXT(tbl_Kalender[[#This Row],[Datum]],"TTTT")</f>
        <v>Sonntag</v>
      </c>
      <c r="E1310">
        <f>WEEKDAY(tbl_Kalender[[#This Row],[Datum]],2)</f>
        <v>7</v>
      </c>
      <c r="F1310">
        <f>MONTH(tbl_Kalender[[#This Row],[Datum]])</f>
        <v>8</v>
      </c>
      <c r="G1310" t="str">
        <f>TEXT(tbl_Kalender[[#This Row],[Datum]],"MMMM")</f>
        <v>August</v>
      </c>
      <c r="H1310">
        <f>ROUNDUP(tbl_Kalender[[#This Row],[Monat]]/3,0)</f>
        <v>3</v>
      </c>
      <c r="I1310" t="str">
        <f>"Q "&amp;tbl_Kalender[[#This Row],[Quartal]]</f>
        <v>Q 3</v>
      </c>
      <c r="J1310" t="str">
        <f>tbl_Kalender[[#This Row],[Quartal]]&amp;". Quartal"</f>
        <v>3. Quartal</v>
      </c>
      <c r="K1310">
        <f>_xlfn.ISOWEEKNUM(tbl_Kalender[[#This Row],[Datum]])</f>
        <v>30</v>
      </c>
    </row>
    <row r="1311" spans="1:11" x14ac:dyDescent="0.25">
      <c r="A1311" s="1">
        <v>46601</v>
      </c>
      <c r="B1311">
        <f>YEAR(tbl_Kalender[[#This Row],[Datum]])</f>
        <v>2027</v>
      </c>
      <c r="C1311">
        <f>DAY(tbl_Kalender[[#This Row],[Datum]])</f>
        <v>2</v>
      </c>
      <c r="D1311" t="str">
        <f>TEXT(tbl_Kalender[[#This Row],[Datum]],"TTTT")</f>
        <v>Montag</v>
      </c>
      <c r="E1311">
        <f>WEEKDAY(tbl_Kalender[[#This Row],[Datum]],2)</f>
        <v>1</v>
      </c>
      <c r="F1311">
        <f>MONTH(tbl_Kalender[[#This Row],[Datum]])</f>
        <v>8</v>
      </c>
      <c r="G1311" t="str">
        <f>TEXT(tbl_Kalender[[#This Row],[Datum]],"MMMM")</f>
        <v>August</v>
      </c>
      <c r="H1311">
        <f>ROUNDUP(tbl_Kalender[[#This Row],[Monat]]/3,0)</f>
        <v>3</v>
      </c>
      <c r="I1311" t="str">
        <f>"Q "&amp;tbl_Kalender[[#This Row],[Quartal]]</f>
        <v>Q 3</v>
      </c>
      <c r="J1311" t="str">
        <f>tbl_Kalender[[#This Row],[Quartal]]&amp;". Quartal"</f>
        <v>3. Quartal</v>
      </c>
      <c r="K1311">
        <f>_xlfn.ISOWEEKNUM(tbl_Kalender[[#This Row],[Datum]])</f>
        <v>31</v>
      </c>
    </row>
    <row r="1312" spans="1:11" x14ac:dyDescent="0.25">
      <c r="A1312" s="1">
        <v>46602</v>
      </c>
      <c r="B1312">
        <f>YEAR(tbl_Kalender[[#This Row],[Datum]])</f>
        <v>2027</v>
      </c>
      <c r="C1312">
        <f>DAY(tbl_Kalender[[#This Row],[Datum]])</f>
        <v>3</v>
      </c>
      <c r="D1312" t="str">
        <f>TEXT(tbl_Kalender[[#This Row],[Datum]],"TTTT")</f>
        <v>Dienstag</v>
      </c>
      <c r="E1312">
        <f>WEEKDAY(tbl_Kalender[[#This Row],[Datum]],2)</f>
        <v>2</v>
      </c>
      <c r="F1312">
        <f>MONTH(tbl_Kalender[[#This Row],[Datum]])</f>
        <v>8</v>
      </c>
      <c r="G1312" t="str">
        <f>TEXT(tbl_Kalender[[#This Row],[Datum]],"MMMM")</f>
        <v>August</v>
      </c>
      <c r="H1312">
        <f>ROUNDUP(tbl_Kalender[[#This Row],[Monat]]/3,0)</f>
        <v>3</v>
      </c>
      <c r="I1312" t="str">
        <f>"Q "&amp;tbl_Kalender[[#This Row],[Quartal]]</f>
        <v>Q 3</v>
      </c>
      <c r="J1312" t="str">
        <f>tbl_Kalender[[#This Row],[Quartal]]&amp;". Quartal"</f>
        <v>3. Quartal</v>
      </c>
      <c r="K1312">
        <f>_xlfn.ISOWEEKNUM(tbl_Kalender[[#This Row],[Datum]])</f>
        <v>31</v>
      </c>
    </row>
    <row r="1313" spans="1:11" x14ac:dyDescent="0.25">
      <c r="A1313" s="1">
        <v>46603</v>
      </c>
      <c r="B1313">
        <f>YEAR(tbl_Kalender[[#This Row],[Datum]])</f>
        <v>2027</v>
      </c>
      <c r="C1313">
        <f>DAY(tbl_Kalender[[#This Row],[Datum]])</f>
        <v>4</v>
      </c>
      <c r="D1313" t="str">
        <f>TEXT(tbl_Kalender[[#This Row],[Datum]],"TTTT")</f>
        <v>Mittwoch</v>
      </c>
      <c r="E1313">
        <f>WEEKDAY(tbl_Kalender[[#This Row],[Datum]],2)</f>
        <v>3</v>
      </c>
      <c r="F1313">
        <f>MONTH(tbl_Kalender[[#This Row],[Datum]])</f>
        <v>8</v>
      </c>
      <c r="G1313" t="str">
        <f>TEXT(tbl_Kalender[[#This Row],[Datum]],"MMMM")</f>
        <v>August</v>
      </c>
      <c r="H1313">
        <f>ROUNDUP(tbl_Kalender[[#This Row],[Monat]]/3,0)</f>
        <v>3</v>
      </c>
      <c r="I1313" t="str">
        <f>"Q "&amp;tbl_Kalender[[#This Row],[Quartal]]</f>
        <v>Q 3</v>
      </c>
      <c r="J1313" t="str">
        <f>tbl_Kalender[[#This Row],[Quartal]]&amp;". Quartal"</f>
        <v>3. Quartal</v>
      </c>
      <c r="K1313">
        <f>_xlfn.ISOWEEKNUM(tbl_Kalender[[#This Row],[Datum]])</f>
        <v>31</v>
      </c>
    </row>
    <row r="1314" spans="1:11" x14ac:dyDescent="0.25">
      <c r="A1314" s="1">
        <v>46604</v>
      </c>
      <c r="B1314">
        <f>YEAR(tbl_Kalender[[#This Row],[Datum]])</f>
        <v>2027</v>
      </c>
      <c r="C1314">
        <f>DAY(tbl_Kalender[[#This Row],[Datum]])</f>
        <v>5</v>
      </c>
      <c r="D1314" t="str">
        <f>TEXT(tbl_Kalender[[#This Row],[Datum]],"TTTT")</f>
        <v>Donnerstag</v>
      </c>
      <c r="E1314">
        <f>WEEKDAY(tbl_Kalender[[#This Row],[Datum]],2)</f>
        <v>4</v>
      </c>
      <c r="F1314">
        <f>MONTH(tbl_Kalender[[#This Row],[Datum]])</f>
        <v>8</v>
      </c>
      <c r="G1314" t="str">
        <f>TEXT(tbl_Kalender[[#This Row],[Datum]],"MMMM")</f>
        <v>August</v>
      </c>
      <c r="H1314">
        <f>ROUNDUP(tbl_Kalender[[#This Row],[Monat]]/3,0)</f>
        <v>3</v>
      </c>
      <c r="I1314" t="str">
        <f>"Q "&amp;tbl_Kalender[[#This Row],[Quartal]]</f>
        <v>Q 3</v>
      </c>
      <c r="J1314" t="str">
        <f>tbl_Kalender[[#This Row],[Quartal]]&amp;". Quartal"</f>
        <v>3. Quartal</v>
      </c>
      <c r="K1314">
        <f>_xlfn.ISOWEEKNUM(tbl_Kalender[[#This Row],[Datum]])</f>
        <v>31</v>
      </c>
    </row>
    <row r="1315" spans="1:11" x14ac:dyDescent="0.25">
      <c r="A1315" s="1">
        <v>46605</v>
      </c>
      <c r="B1315">
        <f>YEAR(tbl_Kalender[[#This Row],[Datum]])</f>
        <v>2027</v>
      </c>
      <c r="C1315">
        <f>DAY(tbl_Kalender[[#This Row],[Datum]])</f>
        <v>6</v>
      </c>
      <c r="D1315" t="str">
        <f>TEXT(tbl_Kalender[[#This Row],[Datum]],"TTTT")</f>
        <v>Freitag</v>
      </c>
      <c r="E1315">
        <f>WEEKDAY(tbl_Kalender[[#This Row],[Datum]],2)</f>
        <v>5</v>
      </c>
      <c r="F1315">
        <f>MONTH(tbl_Kalender[[#This Row],[Datum]])</f>
        <v>8</v>
      </c>
      <c r="G1315" t="str">
        <f>TEXT(tbl_Kalender[[#This Row],[Datum]],"MMMM")</f>
        <v>August</v>
      </c>
      <c r="H1315">
        <f>ROUNDUP(tbl_Kalender[[#This Row],[Monat]]/3,0)</f>
        <v>3</v>
      </c>
      <c r="I1315" t="str">
        <f>"Q "&amp;tbl_Kalender[[#This Row],[Quartal]]</f>
        <v>Q 3</v>
      </c>
      <c r="J1315" t="str">
        <f>tbl_Kalender[[#This Row],[Quartal]]&amp;". Quartal"</f>
        <v>3. Quartal</v>
      </c>
      <c r="K1315">
        <f>_xlfn.ISOWEEKNUM(tbl_Kalender[[#This Row],[Datum]])</f>
        <v>31</v>
      </c>
    </row>
    <row r="1316" spans="1:11" x14ac:dyDescent="0.25">
      <c r="A1316" s="1">
        <v>46606</v>
      </c>
      <c r="B1316">
        <f>YEAR(tbl_Kalender[[#This Row],[Datum]])</f>
        <v>2027</v>
      </c>
      <c r="C1316">
        <f>DAY(tbl_Kalender[[#This Row],[Datum]])</f>
        <v>7</v>
      </c>
      <c r="D1316" t="str">
        <f>TEXT(tbl_Kalender[[#This Row],[Datum]],"TTTT")</f>
        <v>Samstag</v>
      </c>
      <c r="E1316">
        <f>WEEKDAY(tbl_Kalender[[#This Row],[Datum]],2)</f>
        <v>6</v>
      </c>
      <c r="F1316">
        <f>MONTH(tbl_Kalender[[#This Row],[Datum]])</f>
        <v>8</v>
      </c>
      <c r="G1316" t="str">
        <f>TEXT(tbl_Kalender[[#This Row],[Datum]],"MMMM")</f>
        <v>August</v>
      </c>
      <c r="H1316">
        <f>ROUNDUP(tbl_Kalender[[#This Row],[Monat]]/3,0)</f>
        <v>3</v>
      </c>
      <c r="I1316" t="str">
        <f>"Q "&amp;tbl_Kalender[[#This Row],[Quartal]]</f>
        <v>Q 3</v>
      </c>
      <c r="J1316" t="str">
        <f>tbl_Kalender[[#This Row],[Quartal]]&amp;". Quartal"</f>
        <v>3. Quartal</v>
      </c>
      <c r="K1316">
        <f>_xlfn.ISOWEEKNUM(tbl_Kalender[[#This Row],[Datum]])</f>
        <v>31</v>
      </c>
    </row>
    <row r="1317" spans="1:11" x14ac:dyDescent="0.25">
      <c r="A1317" s="1">
        <v>46607</v>
      </c>
      <c r="B1317">
        <f>YEAR(tbl_Kalender[[#This Row],[Datum]])</f>
        <v>2027</v>
      </c>
      <c r="C1317">
        <f>DAY(tbl_Kalender[[#This Row],[Datum]])</f>
        <v>8</v>
      </c>
      <c r="D1317" t="str">
        <f>TEXT(tbl_Kalender[[#This Row],[Datum]],"TTTT")</f>
        <v>Sonntag</v>
      </c>
      <c r="E1317">
        <f>WEEKDAY(tbl_Kalender[[#This Row],[Datum]],2)</f>
        <v>7</v>
      </c>
      <c r="F1317">
        <f>MONTH(tbl_Kalender[[#This Row],[Datum]])</f>
        <v>8</v>
      </c>
      <c r="G1317" t="str">
        <f>TEXT(tbl_Kalender[[#This Row],[Datum]],"MMMM")</f>
        <v>August</v>
      </c>
      <c r="H1317">
        <f>ROUNDUP(tbl_Kalender[[#This Row],[Monat]]/3,0)</f>
        <v>3</v>
      </c>
      <c r="I1317" t="str">
        <f>"Q "&amp;tbl_Kalender[[#This Row],[Quartal]]</f>
        <v>Q 3</v>
      </c>
      <c r="J1317" t="str">
        <f>tbl_Kalender[[#This Row],[Quartal]]&amp;". Quartal"</f>
        <v>3. Quartal</v>
      </c>
      <c r="K1317">
        <f>_xlfn.ISOWEEKNUM(tbl_Kalender[[#This Row],[Datum]])</f>
        <v>31</v>
      </c>
    </row>
    <row r="1318" spans="1:11" x14ac:dyDescent="0.25">
      <c r="A1318" s="1">
        <v>46608</v>
      </c>
      <c r="B1318">
        <f>YEAR(tbl_Kalender[[#This Row],[Datum]])</f>
        <v>2027</v>
      </c>
      <c r="C1318">
        <f>DAY(tbl_Kalender[[#This Row],[Datum]])</f>
        <v>9</v>
      </c>
      <c r="D1318" t="str">
        <f>TEXT(tbl_Kalender[[#This Row],[Datum]],"TTTT")</f>
        <v>Montag</v>
      </c>
      <c r="E1318">
        <f>WEEKDAY(tbl_Kalender[[#This Row],[Datum]],2)</f>
        <v>1</v>
      </c>
      <c r="F1318">
        <f>MONTH(tbl_Kalender[[#This Row],[Datum]])</f>
        <v>8</v>
      </c>
      <c r="G1318" t="str">
        <f>TEXT(tbl_Kalender[[#This Row],[Datum]],"MMMM")</f>
        <v>August</v>
      </c>
      <c r="H1318">
        <f>ROUNDUP(tbl_Kalender[[#This Row],[Monat]]/3,0)</f>
        <v>3</v>
      </c>
      <c r="I1318" t="str">
        <f>"Q "&amp;tbl_Kalender[[#This Row],[Quartal]]</f>
        <v>Q 3</v>
      </c>
      <c r="J1318" t="str">
        <f>tbl_Kalender[[#This Row],[Quartal]]&amp;". Quartal"</f>
        <v>3. Quartal</v>
      </c>
      <c r="K1318">
        <f>_xlfn.ISOWEEKNUM(tbl_Kalender[[#This Row],[Datum]])</f>
        <v>32</v>
      </c>
    </row>
    <row r="1319" spans="1:11" x14ac:dyDescent="0.25">
      <c r="A1319" s="1">
        <v>46609</v>
      </c>
      <c r="B1319">
        <f>YEAR(tbl_Kalender[[#This Row],[Datum]])</f>
        <v>2027</v>
      </c>
      <c r="C1319">
        <f>DAY(tbl_Kalender[[#This Row],[Datum]])</f>
        <v>10</v>
      </c>
      <c r="D1319" t="str">
        <f>TEXT(tbl_Kalender[[#This Row],[Datum]],"TTTT")</f>
        <v>Dienstag</v>
      </c>
      <c r="E1319">
        <f>WEEKDAY(tbl_Kalender[[#This Row],[Datum]],2)</f>
        <v>2</v>
      </c>
      <c r="F1319">
        <f>MONTH(tbl_Kalender[[#This Row],[Datum]])</f>
        <v>8</v>
      </c>
      <c r="G1319" t="str">
        <f>TEXT(tbl_Kalender[[#This Row],[Datum]],"MMMM")</f>
        <v>August</v>
      </c>
      <c r="H1319">
        <f>ROUNDUP(tbl_Kalender[[#This Row],[Monat]]/3,0)</f>
        <v>3</v>
      </c>
      <c r="I1319" t="str">
        <f>"Q "&amp;tbl_Kalender[[#This Row],[Quartal]]</f>
        <v>Q 3</v>
      </c>
      <c r="J1319" t="str">
        <f>tbl_Kalender[[#This Row],[Quartal]]&amp;". Quartal"</f>
        <v>3. Quartal</v>
      </c>
      <c r="K1319">
        <f>_xlfn.ISOWEEKNUM(tbl_Kalender[[#This Row],[Datum]])</f>
        <v>32</v>
      </c>
    </row>
    <row r="1320" spans="1:11" x14ac:dyDescent="0.25">
      <c r="A1320" s="1">
        <v>46610</v>
      </c>
      <c r="B1320">
        <f>YEAR(tbl_Kalender[[#This Row],[Datum]])</f>
        <v>2027</v>
      </c>
      <c r="C1320">
        <f>DAY(tbl_Kalender[[#This Row],[Datum]])</f>
        <v>11</v>
      </c>
      <c r="D1320" t="str">
        <f>TEXT(tbl_Kalender[[#This Row],[Datum]],"TTTT")</f>
        <v>Mittwoch</v>
      </c>
      <c r="E1320">
        <f>WEEKDAY(tbl_Kalender[[#This Row],[Datum]],2)</f>
        <v>3</v>
      </c>
      <c r="F1320">
        <f>MONTH(tbl_Kalender[[#This Row],[Datum]])</f>
        <v>8</v>
      </c>
      <c r="G1320" t="str">
        <f>TEXT(tbl_Kalender[[#This Row],[Datum]],"MMMM")</f>
        <v>August</v>
      </c>
      <c r="H1320">
        <f>ROUNDUP(tbl_Kalender[[#This Row],[Monat]]/3,0)</f>
        <v>3</v>
      </c>
      <c r="I1320" t="str">
        <f>"Q "&amp;tbl_Kalender[[#This Row],[Quartal]]</f>
        <v>Q 3</v>
      </c>
      <c r="J1320" t="str">
        <f>tbl_Kalender[[#This Row],[Quartal]]&amp;". Quartal"</f>
        <v>3. Quartal</v>
      </c>
      <c r="K1320">
        <f>_xlfn.ISOWEEKNUM(tbl_Kalender[[#This Row],[Datum]])</f>
        <v>32</v>
      </c>
    </row>
    <row r="1321" spans="1:11" x14ac:dyDescent="0.25">
      <c r="A1321" s="1">
        <v>46611</v>
      </c>
      <c r="B1321">
        <f>YEAR(tbl_Kalender[[#This Row],[Datum]])</f>
        <v>2027</v>
      </c>
      <c r="C1321">
        <f>DAY(tbl_Kalender[[#This Row],[Datum]])</f>
        <v>12</v>
      </c>
      <c r="D1321" t="str">
        <f>TEXT(tbl_Kalender[[#This Row],[Datum]],"TTTT")</f>
        <v>Donnerstag</v>
      </c>
      <c r="E1321">
        <f>WEEKDAY(tbl_Kalender[[#This Row],[Datum]],2)</f>
        <v>4</v>
      </c>
      <c r="F1321">
        <f>MONTH(tbl_Kalender[[#This Row],[Datum]])</f>
        <v>8</v>
      </c>
      <c r="G1321" t="str">
        <f>TEXT(tbl_Kalender[[#This Row],[Datum]],"MMMM")</f>
        <v>August</v>
      </c>
      <c r="H1321">
        <f>ROUNDUP(tbl_Kalender[[#This Row],[Monat]]/3,0)</f>
        <v>3</v>
      </c>
      <c r="I1321" t="str">
        <f>"Q "&amp;tbl_Kalender[[#This Row],[Quartal]]</f>
        <v>Q 3</v>
      </c>
      <c r="J1321" t="str">
        <f>tbl_Kalender[[#This Row],[Quartal]]&amp;". Quartal"</f>
        <v>3. Quartal</v>
      </c>
      <c r="K1321">
        <f>_xlfn.ISOWEEKNUM(tbl_Kalender[[#This Row],[Datum]])</f>
        <v>32</v>
      </c>
    </row>
    <row r="1322" spans="1:11" x14ac:dyDescent="0.25">
      <c r="A1322" s="1">
        <v>46612</v>
      </c>
      <c r="B1322">
        <f>YEAR(tbl_Kalender[[#This Row],[Datum]])</f>
        <v>2027</v>
      </c>
      <c r="C1322">
        <f>DAY(tbl_Kalender[[#This Row],[Datum]])</f>
        <v>13</v>
      </c>
      <c r="D1322" t="str">
        <f>TEXT(tbl_Kalender[[#This Row],[Datum]],"TTTT")</f>
        <v>Freitag</v>
      </c>
      <c r="E1322">
        <f>WEEKDAY(tbl_Kalender[[#This Row],[Datum]],2)</f>
        <v>5</v>
      </c>
      <c r="F1322">
        <f>MONTH(tbl_Kalender[[#This Row],[Datum]])</f>
        <v>8</v>
      </c>
      <c r="G1322" t="str">
        <f>TEXT(tbl_Kalender[[#This Row],[Datum]],"MMMM")</f>
        <v>August</v>
      </c>
      <c r="H1322">
        <f>ROUNDUP(tbl_Kalender[[#This Row],[Monat]]/3,0)</f>
        <v>3</v>
      </c>
      <c r="I1322" t="str">
        <f>"Q "&amp;tbl_Kalender[[#This Row],[Quartal]]</f>
        <v>Q 3</v>
      </c>
      <c r="J1322" t="str">
        <f>tbl_Kalender[[#This Row],[Quartal]]&amp;". Quartal"</f>
        <v>3. Quartal</v>
      </c>
      <c r="K1322">
        <f>_xlfn.ISOWEEKNUM(tbl_Kalender[[#This Row],[Datum]])</f>
        <v>32</v>
      </c>
    </row>
    <row r="1323" spans="1:11" x14ac:dyDescent="0.25">
      <c r="A1323" s="1">
        <v>46613</v>
      </c>
      <c r="B1323">
        <f>YEAR(tbl_Kalender[[#This Row],[Datum]])</f>
        <v>2027</v>
      </c>
      <c r="C1323">
        <f>DAY(tbl_Kalender[[#This Row],[Datum]])</f>
        <v>14</v>
      </c>
      <c r="D1323" t="str">
        <f>TEXT(tbl_Kalender[[#This Row],[Datum]],"TTTT")</f>
        <v>Samstag</v>
      </c>
      <c r="E1323">
        <f>WEEKDAY(tbl_Kalender[[#This Row],[Datum]],2)</f>
        <v>6</v>
      </c>
      <c r="F1323">
        <f>MONTH(tbl_Kalender[[#This Row],[Datum]])</f>
        <v>8</v>
      </c>
      <c r="G1323" t="str">
        <f>TEXT(tbl_Kalender[[#This Row],[Datum]],"MMMM")</f>
        <v>August</v>
      </c>
      <c r="H1323">
        <f>ROUNDUP(tbl_Kalender[[#This Row],[Monat]]/3,0)</f>
        <v>3</v>
      </c>
      <c r="I1323" t="str">
        <f>"Q "&amp;tbl_Kalender[[#This Row],[Quartal]]</f>
        <v>Q 3</v>
      </c>
      <c r="J1323" t="str">
        <f>tbl_Kalender[[#This Row],[Quartal]]&amp;". Quartal"</f>
        <v>3. Quartal</v>
      </c>
      <c r="K1323">
        <f>_xlfn.ISOWEEKNUM(tbl_Kalender[[#This Row],[Datum]])</f>
        <v>32</v>
      </c>
    </row>
    <row r="1324" spans="1:11" x14ac:dyDescent="0.25">
      <c r="A1324" s="1">
        <v>46614</v>
      </c>
      <c r="B1324">
        <f>YEAR(tbl_Kalender[[#This Row],[Datum]])</f>
        <v>2027</v>
      </c>
      <c r="C1324">
        <f>DAY(tbl_Kalender[[#This Row],[Datum]])</f>
        <v>15</v>
      </c>
      <c r="D1324" t="str">
        <f>TEXT(tbl_Kalender[[#This Row],[Datum]],"TTTT")</f>
        <v>Sonntag</v>
      </c>
      <c r="E1324">
        <f>WEEKDAY(tbl_Kalender[[#This Row],[Datum]],2)</f>
        <v>7</v>
      </c>
      <c r="F1324">
        <f>MONTH(tbl_Kalender[[#This Row],[Datum]])</f>
        <v>8</v>
      </c>
      <c r="G1324" t="str">
        <f>TEXT(tbl_Kalender[[#This Row],[Datum]],"MMMM")</f>
        <v>August</v>
      </c>
      <c r="H1324">
        <f>ROUNDUP(tbl_Kalender[[#This Row],[Monat]]/3,0)</f>
        <v>3</v>
      </c>
      <c r="I1324" t="str">
        <f>"Q "&amp;tbl_Kalender[[#This Row],[Quartal]]</f>
        <v>Q 3</v>
      </c>
      <c r="J1324" t="str">
        <f>tbl_Kalender[[#This Row],[Quartal]]&amp;". Quartal"</f>
        <v>3. Quartal</v>
      </c>
      <c r="K1324">
        <f>_xlfn.ISOWEEKNUM(tbl_Kalender[[#This Row],[Datum]])</f>
        <v>32</v>
      </c>
    </row>
    <row r="1325" spans="1:11" x14ac:dyDescent="0.25">
      <c r="A1325" s="1">
        <v>46615</v>
      </c>
      <c r="B1325">
        <f>YEAR(tbl_Kalender[[#This Row],[Datum]])</f>
        <v>2027</v>
      </c>
      <c r="C1325">
        <f>DAY(tbl_Kalender[[#This Row],[Datum]])</f>
        <v>16</v>
      </c>
      <c r="D1325" t="str">
        <f>TEXT(tbl_Kalender[[#This Row],[Datum]],"TTTT")</f>
        <v>Montag</v>
      </c>
      <c r="E1325">
        <f>WEEKDAY(tbl_Kalender[[#This Row],[Datum]],2)</f>
        <v>1</v>
      </c>
      <c r="F1325">
        <f>MONTH(tbl_Kalender[[#This Row],[Datum]])</f>
        <v>8</v>
      </c>
      <c r="G1325" t="str">
        <f>TEXT(tbl_Kalender[[#This Row],[Datum]],"MMMM")</f>
        <v>August</v>
      </c>
      <c r="H1325">
        <f>ROUNDUP(tbl_Kalender[[#This Row],[Monat]]/3,0)</f>
        <v>3</v>
      </c>
      <c r="I1325" t="str">
        <f>"Q "&amp;tbl_Kalender[[#This Row],[Quartal]]</f>
        <v>Q 3</v>
      </c>
      <c r="J1325" t="str">
        <f>tbl_Kalender[[#This Row],[Quartal]]&amp;". Quartal"</f>
        <v>3. Quartal</v>
      </c>
      <c r="K1325">
        <f>_xlfn.ISOWEEKNUM(tbl_Kalender[[#This Row],[Datum]])</f>
        <v>33</v>
      </c>
    </row>
    <row r="1326" spans="1:11" x14ac:dyDescent="0.25">
      <c r="A1326" s="1">
        <v>46616</v>
      </c>
      <c r="B1326">
        <f>YEAR(tbl_Kalender[[#This Row],[Datum]])</f>
        <v>2027</v>
      </c>
      <c r="C1326">
        <f>DAY(tbl_Kalender[[#This Row],[Datum]])</f>
        <v>17</v>
      </c>
      <c r="D1326" t="str">
        <f>TEXT(tbl_Kalender[[#This Row],[Datum]],"TTTT")</f>
        <v>Dienstag</v>
      </c>
      <c r="E1326">
        <f>WEEKDAY(tbl_Kalender[[#This Row],[Datum]],2)</f>
        <v>2</v>
      </c>
      <c r="F1326">
        <f>MONTH(tbl_Kalender[[#This Row],[Datum]])</f>
        <v>8</v>
      </c>
      <c r="G1326" t="str">
        <f>TEXT(tbl_Kalender[[#This Row],[Datum]],"MMMM")</f>
        <v>August</v>
      </c>
      <c r="H1326">
        <f>ROUNDUP(tbl_Kalender[[#This Row],[Monat]]/3,0)</f>
        <v>3</v>
      </c>
      <c r="I1326" t="str">
        <f>"Q "&amp;tbl_Kalender[[#This Row],[Quartal]]</f>
        <v>Q 3</v>
      </c>
      <c r="J1326" t="str">
        <f>tbl_Kalender[[#This Row],[Quartal]]&amp;". Quartal"</f>
        <v>3. Quartal</v>
      </c>
      <c r="K1326">
        <f>_xlfn.ISOWEEKNUM(tbl_Kalender[[#This Row],[Datum]])</f>
        <v>33</v>
      </c>
    </row>
    <row r="1327" spans="1:11" x14ac:dyDescent="0.25">
      <c r="A1327" s="1">
        <v>46617</v>
      </c>
      <c r="B1327">
        <f>YEAR(tbl_Kalender[[#This Row],[Datum]])</f>
        <v>2027</v>
      </c>
      <c r="C1327">
        <f>DAY(tbl_Kalender[[#This Row],[Datum]])</f>
        <v>18</v>
      </c>
      <c r="D1327" t="str">
        <f>TEXT(tbl_Kalender[[#This Row],[Datum]],"TTTT")</f>
        <v>Mittwoch</v>
      </c>
      <c r="E1327">
        <f>WEEKDAY(tbl_Kalender[[#This Row],[Datum]],2)</f>
        <v>3</v>
      </c>
      <c r="F1327">
        <f>MONTH(tbl_Kalender[[#This Row],[Datum]])</f>
        <v>8</v>
      </c>
      <c r="G1327" t="str">
        <f>TEXT(tbl_Kalender[[#This Row],[Datum]],"MMMM")</f>
        <v>August</v>
      </c>
      <c r="H1327">
        <f>ROUNDUP(tbl_Kalender[[#This Row],[Monat]]/3,0)</f>
        <v>3</v>
      </c>
      <c r="I1327" t="str">
        <f>"Q "&amp;tbl_Kalender[[#This Row],[Quartal]]</f>
        <v>Q 3</v>
      </c>
      <c r="J1327" t="str">
        <f>tbl_Kalender[[#This Row],[Quartal]]&amp;". Quartal"</f>
        <v>3. Quartal</v>
      </c>
      <c r="K1327">
        <f>_xlfn.ISOWEEKNUM(tbl_Kalender[[#This Row],[Datum]])</f>
        <v>33</v>
      </c>
    </row>
    <row r="1328" spans="1:11" x14ac:dyDescent="0.25">
      <c r="A1328" s="1">
        <v>46618</v>
      </c>
      <c r="B1328">
        <f>YEAR(tbl_Kalender[[#This Row],[Datum]])</f>
        <v>2027</v>
      </c>
      <c r="C1328">
        <f>DAY(tbl_Kalender[[#This Row],[Datum]])</f>
        <v>19</v>
      </c>
      <c r="D1328" t="str">
        <f>TEXT(tbl_Kalender[[#This Row],[Datum]],"TTTT")</f>
        <v>Donnerstag</v>
      </c>
      <c r="E1328">
        <f>WEEKDAY(tbl_Kalender[[#This Row],[Datum]],2)</f>
        <v>4</v>
      </c>
      <c r="F1328">
        <f>MONTH(tbl_Kalender[[#This Row],[Datum]])</f>
        <v>8</v>
      </c>
      <c r="G1328" t="str">
        <f>TEXT(tbl_Kalender[[#This Row],[Datum]],"MMMM")</f>
        <v>August</v>
      </c>
      <c r="H1328">
        <f>ROUNDUP(tbl_Kalender[[#This Row],[Monat]]/3,0)</f>
        <v>3</v>
      </c>
      <c r="I1328" t="str">
        <f>"Q "&amp;tbl_Kalender[[#This Row],[Quartal]]</f>
        <v>Q 3</v>
      </c>
      <c r="J1328" t="str">
        <f>tbl_Kalender[[#This Row],[Quartal]]&amp;". Quartal"</f>
        <v>3. Quartal</v>
      </c>
      <c r="K1328">
        <f>_xlfn.ISOWEEKNUM(tbl_Kalender[[#This Row],[Datum]])</f>
        <v>33</v>
      </c>
    </row>
    <row r="1329" spans="1:11" x14ac:dyDescent="0.25">
      <c r="A1329" s="1">
        <v>46619</v>
      </c>
      <c r="B1329">
        <f>YEAR(tbl_Kalender[[#This Row],[Datum]])</f>
        <v>2027</v>
      </c>
      <c r="C1329">
        <f>DAY(tbl_Kalender[[#This Row],[Datum]])</f>
        <v>20</v>
      </c>
      <c r="D1329" t="str">
        <f>TEXT(tbl_Kalender[[#This Row],[Datum]],"TTTT")</f>
        <v>Freitag</v>
      </c>
      <c r="E1329">
        <f>WEEKDAY(tbl_Kalender[[#This Row],[Datum]],2)</f>
        <v>5</v>
      </c>
      <c r="F1329">
        <f>MONTH(tbl_Kalender[[#This Row],[Datum]])</f>
        <v>8</v>
      </c>
      <c r="G1329" t="str">
        <f>TEXT(tbl_Kalender[[#This Row],[Datum]],"MMMM")</f>
        <v>August</v>
      </c>
      <c r="H1329">
        <f>ROUNDUP(tbl_Kalender[[#This Row],[Monat]]/3,0)</f>
        <v>3</v>
      </c>
      <c r="I1329" t="str">
        <f>"Q "&amp;tbl_Kalender[[#This Row],[Quartal]]</f>
        <v>Q 3</v>
      </c>
      <c r="J1329" t="str">
        <f>tbl_Kalender[[#This Row],[Quartal]]&amp;". Quartal"</f>
        <v>3. Quartal</v>
      </c>
      <c r="K1329">
        <f>_xlfn.ISOWEEKNUM(tbl_Kalender[[#This Row],[Datum]])</f>
        <v>33</v>
      </c>
    </row>
    <row r="1330" spans="1:11" x14ac:dyDescent="0.25">
      <c r="A1330" s="1">
        <v>46620</v>
      </c>
      <c r="B1330">
        <f>YEAR(tbl_Kalender[[#This Row],[Datum]])</f>
        <v>2027</v>
      </c>
      <c r="C1330">
        <f>DAY(tbl_Kalender[[#This Row],[Datum]])</f>
        <v>21</v>
      </c>
      <c r="D1330" t="str">
        <f>TEXT(tbl_Kalender[[#This Row],[Datum]],"TTTT")</f>
        <v>Samstag</v>
      </c>
      <c r="E1330">
        <f>WEEKDAY(tbl_Kalender[[#This Row],[Datum]],2)</f>
        <v>6</v>
      </c>
      <c r="F1330">
        <f>MONTH(tbl_Kalender[[#This Row],[Datum]])</f>
        <v>8</v>
      </c>
      <c r="G1330" t="str">
        <f>TEXT(tbl_Kalender[[#This Row],[Datum]],"MMMM")</f>
        <v>August</v>
      </c>
      <c r="H1330">
        <f>ROUNDUP(tbl_Kalender[[#This Row],[Monat]]/3,0)</f>
        <v>3</v>
      </c>
      <c r="I1330" t="str">
        <f>"Q "&amp;tbl_Kalender[[#This Row],[Quartal]]</f>
        <v>Q 3</v>
      </c>
      <c r="J1330" t="str">
        <f>tbl_Kalender[[#This Row],[Quartal]]&amp;". Quartal"</f>
        <v>3. Quartal</v>
      </c>
      <c r="K1330">
        <f>_xlfn.ISOWEEKNUM(tbl_Kalender[[#This Row],[Datum]])</f>
        <v>33</v>
      </c>
    </row>
    <row r="1331" spans="1:11" x14ac:dyDescent="0.25">
      <c r="A1331" s="1">
        <v>46621</v>
      </c>
      <c r="B1331">
        <f>YEAR(tbl_Kalender[[#This Row],[Datum]])</f>
        <v>2027</v>
      </c>
      <c r="C1331">
        <f>DAY(tbl_Kalender[[#This Row],[Datum]])</f>
        <v>22</v>
      </c>
      <c r="D1331" t="str">
        <f>TEXT(tbl_Kalender[[#This Row],[Datum]],"TTTT")</f>
        <v>Sonntag</v>
      </c>
      <c r="E1331">
        <f>WEEKDAY(tbl_Kalender[[#This Row],[Datum]],2)</f>
        <v>7</v>
      </c>
      <c r="F1331">
        <f>MONTH(tbl_Kalender[[#This Row],[Datum]])</f>
        <v>8</v>
      </c>
      <c r="G1331" t="str">
        <f>TEXT(tbl_Kalender[[#This Row],[Datum]],"MMMM")</f>
        <v>August</v>
      </c>
      <c r="H1331">
        <f>ROUNDUP(tbl_Kalender[[#This Row],[Monat]]/3,0)</f>
        <v>3</v>
      </c>
      <c r="I1331" t="str">
        <f>"Q "&amp;tbl_Kalender[[#This Row],[Quartal]]</f>
        <v>Q 3</v>
      </c>
      <c r="J1331" t="str">
        <f>tbl_Kalender[[#This Row],[Quartal]]&amp;". Quartal"</f>
        <v>3. Quartal</v>
      </c>
      <c r="K1331">
        <f>_xlfn.ISOWEEKNUM(tbl_Kalender[[#This Row],[Datum]])</f>
        <v>33</v>
      </c>
    </row>
    <row r="1332" spans="1:11" x14ac:dyDescent="0.25">
      <c r="A1332" s="1">
        <v>46622</v>
      </c>
      <c r="B1332">
        <f>YEAR(tbl_Kalender[[#This Row],[Datum]])</f>
        <v>2027</v>
      </c>
      <c r="C1332">
        <f>DAY(tbl_Kalender[[#This Row],[Datum]])</f>
        <v>23</v>
      </c>
      <c r="D1332" t="str">
        <f>TEXT(tbl_Kalender[[#This Row],[Datum]],"TTTT")</f>
        <v>Montag</v>
      </c>
      <c r="E1332">
        <f>WEEKDAY(tbl_Kalender[[#This Row],[Datum]],2)</f>
        <v>1</v>
      </c>
      <c r="F1332">
        <f>MONTH(tbl_Kalender[[#This Row],[Datum]])</f>
        <v>8</v>
      </c>
      <c r="G1332" t="str">
        <f>TEXT(tbl_Kalender[[#This Row],[Datum]],"MMMM")</f>
        <v>August</v>
      </c>
      <c r="H1332">
        <f>ROUNDUP(tbl_Kalender[[#This Row],[Monat]]/3,0)</f>
        <v>3</v>
      </c>
      <c r="I1332" t="str">
        <f>"Q "&amp;tbl_Kalender[[#This Row],[Quartal]]</f>
        <v>Q 3</v>
      </c>
      <c r="J1332" t="str">
        <f>tbl_Kalender[[#This Row],[Quartal]]&amp;". Quartal"</f>
        <v>3. Quartal</v>
      </c>
      <c r="K1332">
        <f>_xlfn.ISOWEEKNUM(tbl_Kalender[[#This Row],[Datum]])</f>
        <v>34</v>
      </c>
    </row>
    <row r="1333" spans="1:11" x14ac:dyDescent="0.25">
      <c r="A1333" s="1">
        <v>46623</v>
      </c>
      <c r="B1333">
        <f>YEAR(tbl_Kalender[[#This Row],[Datum]])</f>
        <v>2027</v>
      </c>
      <c r="C1333">
        <f>DAY(tbl_Kalender[[#This Row],[Datum]])</f>
        <v>24</v>
      </c>
      <c r="D1333" t="str">
        <f>TEXT(tbl_Kalender[[#This Row],[Datum]],"TTTT")</f>
        <v>Dienstag</v>
      </c>
      <c r="E1333">
        <f>WEEKDAY(tbl_Kalender[[#This Row],[Datum]],2)</f>
        <v>2</v>
      </c>
      <c r="F1333">
        <f>MONTH(tbl_Kalender[[#This Row],[Datum]])</f>
        <v>8</v>
      </c>
      <c r="G1333" t="str">
        <f>TEXT(tbl_Kalender[[#This Row],[Datum]],"MMMM")</f>
        <v>August</v>
      </c>
      <c r="H1333">
        <f>ROUNDUP(tbl_Kalender[[#This Row],[Monat]]/3,0)</f>
        <v>3</v>
      </c>
      <c r="I1333" t="str">
        <f>"Q "&amp;tbl_Kalender[[#This Row],[Quartal]]</f>
        <v>Q 3</v>
      </c>
      <c r="J1333" t="str">
        <f>tbl_Kalender[[#This Row],[Quartal]]&amp;". Quartal"</f>
        <v>3. Quartal</v>
      </c>
      <c r="K1333">
        <f>_xlfn.ISOWEEKNUM(tbl_Kalender[[#This Row],[Datum]])</f>
        <v>34</v>
      </c>
    </row>
    <row r="1334" spans="1:11" x14ac:dyDescent="0.25">
      <c r="A1334" s="1">
        <v>46624</v>
      </c>
      <c r="B1334">
        <f>YEAR(tbl_Kalender[[#This Row],[Datum]])</f>
        <v>2027</v>
      </c>
      <c r="C1334">
        <f>DAY(tbl_Kalender[[#This Row],[Datum]])</f>
        <v>25</v>
      </c>
      <c r="D1334" t="str">
        <f>TEXT(tbl_Kalender[[#This Row],[Datum]],"TTTT")</f>
        <v>Mittwoch</v>
      </c>
      <c r="E1334">
        <f>WEEKDAY(tbl_Kalender[[#This Row],[Datum]],2)</f>
        <v>3</v>
      </c>
      <c r="F1334">
        <f>MONTH(tbl_Kalender[[#This Row],[Datum]])</f>
        <v>8</v>
      </c>
      <c r="G1334" t="str">
        <f>TEXT(tbl_Kalender[[#This Row],[Datum]],"MMMM")</f>
        <v>August</v>
      </c>
      <c r="H1334">
        <f>ROUNDUP(tbl_Kalender[[#This Row],[Monat]]/3,0)</f>
        <v>3</v>
      </c>
      <c r="I1334" t="str">
        <f>"Q "&amp;tbl_Kalender[[#This Row],[Quartal]]</f>
        <v>Q 3</v>
      </c>
      <c r="J1334" t="str">
        <f>tbl_Kalender[[#This Row],[Quartal]]&amp;". Quartal"</f>
        <v>3. Quartal</v>
      </c>
      <c r="K1334">
        <f>_xlfn.ISOWEEKNUM(tbl_Kalender[[#This Row],[Datum]])</f>
        <v>34</v>
      </c>
    </row>
    <row r="1335" spans="1:11" x14ac:dyDescent="0.25">
      <c r="A1335" s="1">
        <v>46625</v>
      </c>
      <c r="B1335">
        <f>YEAR(tbl_Kalender[[#This Row],[Datum]])</f>
        <v>2027</v>
      </c>
      <c r="C1335">
        <f>DAY(tbl_Kalender[[#This Row],[Datum]])</f>
        <v>26</v>
      </c>
      <c r="D1335" t="str">
        <f>TEXT(tbl_Kalender[[#This Row],[Datum]],"TTTT")</f>
        <v>Donnerstag</v>
      </c>
      <c r="E1335">
        <f>WEEKDAY(tbl_Kalender[[#This Row],[Datum]],2)</f>
        <v>4</v>
      </c>
      <c r="F1335">
        <f>MONTH(tbl_Kalender[[#This Row],[Datum]])</f>
        <v>8</v>
      </c>
      <c r="G1335" t="str">
        <f>TEXT(tbl_Kalender[[#This Row],[Datum]],"MMMM")</f>
        <v>August</v>
      </c>
      <c r="H1335">
        <f>ROUNDUP(tbl_Kalender[[#This Row],[Monat]]/3,0)</f>
        <v>3</v>
      </c>
      <c r="I1335" t="str">
        <f>"Q "&amp;tbl_Kalender[[#This Row],[Quartal]]</f>
        <v>Q 3</v>
      </c>
      <c r="J1335" t="str">
        <f>tbl_Kalender[[#This Row],[Quartal]]&amp;". Quartal"</f>
        <v>3. Quartal</v>
      </c>
      <c r="K1335">
        <f>_xlfn.ISOWEEKNUM(tbl_Kalender[[#This Row],[Datum]])</f>
        <v>34</v>
      </c>
    </row>
    <row r="1336" spans="1:11" x14ac:dyDescent="0.25">
      <c r="A1336" s="1">
        <v>46626</v>
      </c>
      <c r="B1336">
        <f>YEAR(tbl_Kalender[[#This Row],[Datum]])</f>
        <v>2027</v>
      </c>
      <c r="C1336">
        <f>DAY(tbl_Kalender[[#This Row],[Datum]])</f>
        <v>27</v>
      </c>
      <c r="D1336" t="str">
        <f>TEXT(tbl_Kalender[[#This Row],[Datum]],"TTTT")</f>
        <v>Freitag</v>
      </c>
      <c r="E1336">
        <f>WEEKDAY(tbl_Kalender[[#This Row],[Datum]],2)</f>
        <v>5</v>
      </c>
      <c r="F1336">
        <f>MONTH(tbl_Kalender[[#This Row],[Datum]])</f>
        <v>8</v>
      </c>
      <c r="G1336" t="str">
        <f>TEXT(tbl_Kalender[[#This Row],[Datum]],"MMMM")</f>
        <v>August</v>
      </c>
      <c r="H1336">
        <f>ROUNDUP(tbl_Kalender[[#This Row],[Monat]]/3,0)</f>
        <v>3</v>
      </c>
      <c r="I1336" t="str">
        <f>"Q "&amp;tbl_Kalender[[#This Row],[Quartal]]</f>
        <v>Q 3</v>
      </c>
      <c r="J1336" t="str">
        <f>tbl_Kalender[[#This Row],[Quartal]]&amp;". Quartal"</f>
        <v>3. Quartal</v>
      </c>
      <c r="K1336">
        <f>_xlfn.ISOWEEKNUM(tbl_Kalender[[#This Row],[Datum]])</f>
        <v>34</v>
      </c>
    </row>
    <row r="1337" spans="1:11" x14ac:dyDescent="0.25">
      <c r="A1337" s="1">
        <v>46627</v>
      </c>
      <c r="B1337">
        <f>YEAR(tbl_Kalender[[#This Row],[Datum]])</f>
        <v>2027</v>
      </c>
      <c r="C1337">
        <f>DAY(tbl_Kalender[[#This Row],[Datum]])</f>
        <v>28</v>
      </c>
      <c r="D1337" t="str">
        <f>TEXT(tbl_Kalender[[#This Row],[Datum]],"TTTT")</f>
        <v>Samstag</v>
      </c>
      <c r="E1337">
        <f>WEEKDAY(tbl_Kalender[[#This Row],[Datum]],2)</f>
        <v>6</v>
      </c>
      <c r="F1337">
        <f>MONTH(tbl_Kalender[[#This Row],[Datum]])</f>
        <v>8</v>
      </c>
      <c r="G1337" t="str">
        <f>TEXT(tbl_Kalender[[#This Row],[Datum]],"MMMM")</f>
        <v>August</v>
      </c>
      <c r="H1337">
        <f>ROUNDUP(tbl_Kalender[[#This Row],[Monat]]/3,0)</f>
        <v>3</v>
      </c>
      <c r="I1337" t="str">
        <f>"Q "&amp;tbl_Kalender[[#This Row],[Quartal]]</f>
        <v>Q 3</v>
      </c>
      <c r="J1337" t="str">
        <f>tbl_Kalender[[#This Row],[Quartal]]&amp;". Quartal"</f>
        <v>3. Quartal</v>
      </c>
      <c r="K1337">
        <f>_xlfn.ISOWEEKNUM(tbl_Kalender[[#This Row],[Datum]])</f>
        <v>34</v>
      </c>
    </row>
    <row r="1338" spans="1:11" x14ac:dyDescent="0.25">
      <c r="A1338" s="1">
        <v>46628</v>
      </c>
      <c r="B1338">
        <f>YEAR(tbl_Kalender[[#This Row],[Datum]])</f>
        <v>2027</v>
      </c>
      <c r="C1338">
        <f>DAY(tbl_Kalender[[#This Row],[Datum]])</f>
        <v>29</v>
      </c>
      <c r="D1338" t="str">
        <f>TEXT(tbl_Kalender[[#This Row],[Datum]],"TTTT")</f>
        <v>Sonntag</v>
      </c>
      <c r="E1338">
        <f>WEEKDAY(tbl_Kalender[[#This Row],[Datum]],2)</f>
        <v>7</v>
      </c>
      <c r="F1338">
        <f>MONTH(tbl_Kalender[[#This Row],[Datum]])</f>
        <v>8</v>
      </c>
      <c r="G1338" t="str">
        <f>TEXT(tbl_Kalender[[#This Row],[Datum]],"MMMM")</f>
        <v>August</v>
      </c>
      <c r="H1338">
        <f>ROUNDUP(tbl_Kalender[[#This Row],[Monat]]/3,0)</f>
        <v>3</v>
      </c>
      <c r="I1338" t="str">
        <f>"Q "&amp;tbl_Kalender[[#This Row],[Quartal]]</f>
        <v>Q 3</v>
      </c>
      <c r="J1338" t="str">
        <f>tbl_Kalender[[#This Row],[Quartal]]&amp;". Quartal"</f>
        <v>3. Quartal</v>
      </c>
      <c r="K1338">
        <f>_xlfn.ISOWEEKNUM(tbl_Kalender[[#This Row],[Datum]])</f>
        <v>34</v>
      </c>
    </row>
    <row r="1339" spans="1:11" x14ac:dyDescent="0.25">
      <c r="A1339" s="1">
        <v>46629</v>
      </c>
      <c r="B1339">
        <f>YEAR(tbl_Kalender[[#This Row],[Datum]])</f>
        <v>2027</v>
      </c>
      <c r="C1339">
        <f>DAY(tbl_Kalender[[#This Row],[Datum]])</f>
        <v>30</v>
      </c>
      <c r="D1339" t="str">
        <f>TEXT(tbl_Kalender[[#This Row],[Datum]],"TTTT")</f>
        <v>Montag</v>
      </c>
      <c r="E1339">
        <f>WEEKDAY(tbl_Kalender[[#This Row],[Datum]],2)</f>
        <v>1</v>
      </c>
      <c r="F1339">
        <f>MONTH(tbl_Kalender[[#This Row],[Datum]])</f>
        <v>8</v>
      </c>
      <c r="G1339" t="str">
        <f>TEXT(tbl_Kalender[[#This Row],[Datum]],"MMMM")</f>
        <v>August</v>
      </c>
      <c r="H1339">
        <f>ROUNDUP(tbl_Kalender[[#This Row],[Monat]]/3,0)</f>
        <v>3</v>
      </c>
      <c r="I1339" t="str">
        <f>"Q "&amp;tbl_Kalender[[#This Row],[Quartal]]</f>
        <v>Q 3</v>
      </c>
      <c r="J1339" t="str">
        <f>tbl_Kalender[[#This Row],[Quartal]]&amp;". Quartal"</f>
        <v>3. Quartal</v>
      </c>
      <c r="K1339">
        <f>_xlfn.ISOWEEKNUM(tbl_Kalender[[#This Row],[Datum]])</f>
        <v>35</v>
      </c>
    </row>
    <row r="1340" spans="1:11" x14ac:dyDescent="0.25">
      <c r="A1340" s="1">
        <v>46630</v>
      </c>
      <c r="B1340">
        <f>YEAR(tbl_Kalender[[#This Row],[Datum]])</f>
        <v>2027</v>
      </c>
      <c r="C1340">
        <f>DAY(tbl_Kalender[[#This Row],[Datum]])</f>
        <v>31</v>
      </c>
      <c r="D1340" t="str">
        <f>TEXT(tbl_Kalender[[#This Row],[Datum]],"TTTT")</f>
        <v>Dienstag</v>
      </c>
      <c r="E1340">
        <f>WEEKDAY(tbl_Kalender[[#This Row],[Datum]],2)</f>
        <v>2</v>
      </c>
      <c r="F1340">
        <f>MONTH(tbl_Kalender[[#This Row],[Datum]])</f>
        <v>8</v>
      </c>
      <c r="G1340" t="str">
        <f>TEXT(tbl_Kalender[[#This Row],[Datum]],"MMMM")</f>
        <v>August</v>
      </c>
      <c r="H1340">
        <f>ROUNDUP(tbl_Kalender[[#This Row],[Monat]]/3,0)</f>
        <v>3</v>
      </c>
      <c r="I1340" t="str">
        <f>"Q "&amp;tbl_Kalender[[#This Row],[Quartal]]</f>
        <v>Q 3</v>
      </c>
      <c r="J1340" t="str">
        <f>tbl_Kalender[[#This Row],[Quartal]]&amp;". Quartal"</f>
        <v>3. Quartal</v>
      </c>
      <c r="K1340">
        <f>_xlfn.ISOWEEKNUM(tbl_Kalender[[#This Row],[Datum]])</f>
        <v>35</v>
      </c>
    </row>
    <row r="1341" spans="1:11" x14ac:dyDescent="0.25">
      <c r="A1341" s="1">
        <v>46631</v>
      </c>
      <c r="B1341">
        <f>YEAR(tbl_Kalender[[#This Row],[Datum]])</f>
        <v>2027</v>
      </c>
      <c r="C1341">
        <f>DAY(tbl_Kalender[[#This Row],[Datum]])</f>
        <v>1</v>
      </c>
      <c r="D1341" t="str">
        <f>TEXT(tbl_Kalender[[#This Row],[Datum]],"TTTT")</f>
        <v>Mittwoch</v>
      </c>
      <c r="E1341">
        <f>WEEKDAY(tbl_Kalender[[#This Row],[Datum]],2)</f>
        <v>3</v>
      </c>
      <c r="F1341">
        <f>MONTH(tbl_Kalender[[#This Row],[Datum]])</f>
        <v>9</v>
      </c>
      <c r="G1341" t="str">
        <f>TEXT(tbl_Kalender[[#This Row],[Datum]],"MMMM")</f>
        <v>September</v>
      </c>
      <c r="H1341">
        <f>ROUNDUP(tbl_Kalender[[#This Row],[Monat]]/3,0)</f>
        <v>3</v>
      </c>
      <c r="I1341" t="str">
        <f>"Q "&amp;tbl_Kalender[[#This Row],[Quartal]]</f>
        <v>Q 3</v>
      </c>
      <c r="J1341" t="str">
        <f>tbl_Kalender[[#This Row],[Quartal]]&amp;". Quartal"</f>
        <v>3. Quartal</v>
      </c>
      <c r="K1341">
        <f>_xlfn.ISOWEEKNUM(tbl_Kalender[[#This Row],[Datum]])</f>
        <v>35</v>
      </c>
    </row>
    <row r="1342" spans="1:11" x14ac:dyDescent="0.25">
      <c r="A1342" s="1">
        <v>46632</v>
      </c>
      <c r="B1342">
        <f>YEAR(tbl_Kalender[[#This Row],[Datum]])</f>
        <v>2027</v>
      </c>
      <c r="C1342">
        <f>DAY(tbl_Kalender[[#This Row],[Datum]])</f>
        <v>2</v>
      </c>
      <c r="D1342" t="str">
        <f>TEXT(tbl_Kalender[[#This Row],[Datum]],"TTTT")</f>
        <v>Donnerstag</v>
      </c>
      <c r="E1342">
        <f>WEEKDAY(tbl_Kalender[[#This Row],[Datum]],2)</f>
        <v>4</v>
      </c>
      <c r="F1342">
        <f>MONTH(tbl_Kalender[[#This Row],[Datum]])</f>
        <v>9</v>
      </c>
      <c r="G1342" t="str">
        <f>TEXT(tbl_Kalender[[#This Row],[Datum]],"MMMM")</f>
        <v>September</v>
      </c>
      <c r="H1342">
        <f>ROUNDUP(tbl_Kalender[[#This Row],[Monat]]/3,0)</f>
        <v>3</v>
      </c>
      <c r="I1342" t="str">
        <f>"Q "&amp;tbl_Kalender[[#This Row],[Quartal]]</f>
        <v>Q 3</v>
      </c>
      <c r="J1342" t="str">
        <f>tbl_Kalender[[#This Row],[Quartal]]&amp;". Quartal"</f>
        <v>3. Quartal</v>
      </c>
      <c r="K1342">
        <f>_xlfn.ISOWEEKNUM(tbl_Kalender[[#This Row],[Datum]])</f>
        <v>35</v>
      </c>
    </row>
    <row r="1343" spans="1:11" x14ac:dyDescent="0.25">
      <c r="A1343" s="1">
        <v>46633</v>
      </c>
      <c r="B1343">
        <f>YEAR(tbl_Kalender[[#This Row],[Datum]])</f>
        <v>2027</v>
      </c>
      <c r="C1343">
        <f>DAY(tbl_Kalender[[#This Row],[Datum]])</f>
        <v>3</v>
      </c>
      <c r="D1343" t="str">
        <f>TEXT(tbl_Kalender[[#This Row],[Datum]],"TTTT")</f>
        <v>Freitag</v>
      </c>
      <c r="E1343">
        <f>WEEKDAY(tbl_Kalender[[#This Row],[Datum]],2)</f>
        <v>5</v>
      </c>
      <c r="F1343">
        <f>MONTH(tbl_Kalender[[#This Row],[Datum]])</f>
        <v>9</v>
      </c>
      <c r="G1343" t="str">
        <f>TEXT(tbl_Kalender[[#This Row],[Datum]],"MMMM")</f>
        <v>September</v>
      </c>
      <c r="H1343">
        <f>ROUNDUP(tbl_Kalender[[#This Row],[Monat]]/3,0)</f>
        <v>3</v>
      </c>
      <c r="I1343" t="str">
        <f>"Q "&amp;tbl_Kalender[[#This Row],[Quartal]]</f>
        <v>Q 3</v>
      </c>
      <c r="J1343" t="str">
        <f>tbl_Kalender[[#This Row],[Quartal]]&amp;". Quartal"</f>
        <v>3. Quartal</v>
      </c>
      <c r="K1343">
        <f>_xlfn.ISOWEEKNUM(tbl_Kalender[[#This Row],[Datum]])</f>
        <v>35</v>
      </c>
    </row>
    <row r="1344" spans="1:11" x14ac:dyDescent="0.25">
      <c r="A1344" s="1">
        <v>46634</v>
      </c>
      <c r="B1344">
        <f>YEAR(tbl_Kalender[[#This Row],[Datum]])</f>
        <v>2027</v>
      </c>
      <c r="C1344">
        <f>DAY(tbl_Kalender[[#This Row],[Datum]])</f>
        <v>4</v>
      </c>
      <c r="D1344" t="str">
        <f>TEXT(tbl_Kalender[[#This Row],[Datum]],"TTTT")</f>
        <v>Samstag</v>
      </c>
      <c r="E1344">
        <f>WEEKDAY(tbl_Kalender[[#This Row],[Datum]],2)</f>
        <v>6</v>
      </c>
      <c r="F1344">
        <f>MONTH(tbl_Kalender[[#This Row],[Datum]])</f>
        <v>9</v>
      </c>
      <c r="G1344" t="str">
        <f>TEXT(tbl_Kalender[[#This Row],[Datum]],"MMMM")</f>
        <v>September</v>
      </c>
      <c r="H1344">
        <f>ROUNDUP(tbl_Kalender[[#This Row],[Monat]]/3,0)</f>
        <v>3</v>
      </c>
      <c r="I1344" t="str">
        <f>"Q "&amp;tbl_Kalender[[#This Row],[Quartal]]</f>
        <v>Q 3</v>
      </c>
      <c r="J1344" t="str">
        <f>tbl_Kalender[[#This Row],[Quartal]]&amp;". Quartal"</f>
        <v>3. Quartal</v>
      </c>
      <c r="K1344">
        <f>_xlfn.ISOWEEKNUM(tbl_Kalender[[#This Row],[Datum]])</f>
        <v>35</v>
      </c>
    </row>
    <row r="1345" spans="1:11" x14ac:dyDescent="0.25">
      <c r="A1345" s="1">
        <v>46635</v>
      </c>
      <c r="B1345">
        <f>YEAR(tbl_Kalender[[#This Row],[Datum]])</f>
        <v>2027</v>
      </c>
      <c r="C1345">
        <f>DAY(tbl_Kalender[[#This Row],[Datum]])</f>
        <v>5</v>
      </c>
      <c r="D1345" t="str">
        <f>TEXT(tbl_Kalender[[#This Row],[Datum]],"TTTT")</f>
        <v>Sonntag</v>
      </c>
      <c r="E1345">
        <f>WEEKDAY(tbl_Kalender[[#This Row],[Datum]],2)</f>
        <v>7</v>
      </c>
      <c r="F1345">
        <f>MONTH(tbl_Kalender[[#This Row],[Datum]])</f>
        <v>9</v>
      </c>
      <c r="G1345" t="str">
        <f>TEXT(tbl_Kalender[[#This Row],[Datum]],"MMMM")</f>
        <v>September</v>
      </c>
      <c r="H1345">
        <f>ROUNDUP(tbl_Kalender[[#This Row],[Monat]]/3,0)</f>
        <v>3</v>
      </c>
      <c r="I1345" t="str">
        <f>"Q "&amp;tbl_Kalender[[#This Row],[Quartal]]</f>
        <v>Q 3</v>
      </c>
      <c r="J1345" t="str">
        <f>tbl_Kalender[[#This Row],[Quartal]]&amp;". Quartal"</f>
        <v>3. Quartal</v>
      </c>
      <c r="K1345">
        <f>_xlfn.ISOWEEKNUM(tbl_Kalender[[#This Row],[Datum]])</f>
        <v>35</v>
      </c>
    </row>
    <row r="1346" spans="1:11" x14ac:dyDescent="0.25">
      <c r="A1346" s="1">
        <v>46636</v>
      </c>
      <c r="B1346">
        <f>YEAR(tbl_Kalender[[#This Row],[Datum]])</f>
        <v>2027</v>
      </c>
      <c r="C1346">
        <f>DAY(tbl_Kalender[[#This Row],[Datum]])</f>
        <v>6</v>
      </c>
      <c r="D1346" t="str">
        <f>TEXT(tbl_Kalender[[#This Row],[Datum]],"TTTT")</f>
        <v>Montag</v>
      </c>
      <c r="E1346">
        <f>WEEKDAY(tbl_Kalender[[#This Row],[Datum]],2)</f>
        <v>1</v>
      </c>
      <c r="F1346">
        <f>MONTH(tbl_Kalender[[#This Row],[Datum]])</f>
        <v>9</v>
      </c>
      <c r="G1346" t="str">
        <f>TEXT(tbl_Kalender[[#This Row],[Datum]],"MMMM")</f>
        <v>September</v>
      </c>
      <c r="H1346">
        <f>ROUNDUP(tbl_Kalender[[#This Row],[Monat]]/3,0)</f>
        <v>3</v>
      </c>
      <c r="I1346" t="str">
        <f>"Q "&amp;tbl_Kalender[[#This Row],[Quartal]]</f>
        <v>Q 3</v>
      </c>
      <c r="J1346" t="str">
        <f>tbl_Kalender[[#This Row],[Quartal]]&amp;". Quartal"</f>
        <v>3. Quartal</v>
      </c>
      <c r="K1346">
        <f>_xlfn.ISOWEEKNUM(tbl_Kalender[[#This Row],[Datum]])</f>
        <v>36</v>
      </c>
    </row>
    <row r="1347" spans="1:11" x14ac:dyDescent="0.25">
      <c r="A1347" s="1">
        <v>46637</v>
      </c>
      <c r="B1347">
        <f>YEAR(tbl_Kalender[[#This Row],[Datum]])</f>
        <v>2027</v>
      </c>
      <c r="C1347">
        <f>DAY(tbl_Kalender[[#This Row],[Datum]])</f>
        <v>7</v>
      </c>
      <c r="D1347" t="str">
        <f>TEXT(tbl_Kalender[[#This Row],[Datum]],"TTTT")</f>
        <v>Dienstag</v>
      </c>
      <c r="E1347">
        <f>WEEKDAY(tbl_Kalender[[#This Row],[Datum]],2)</f>
        <v>2</v>
      </c>
      <c r="F1347">
        <f>MONTH(tbl_Kalender[[#This Row],[Datum]])</f>
        <v>9</v>
      </c>
      <c r="G1347" t="str">
        <f>TEXT(tbl_Kalender[[#This Row],[Datum]],"MMMM")</f>
        <v>September</v>
      </c>
      <c r="H1347">
        <f>ROUNDUP(tbl_Kalender[[#This Row],[Monat]]/3,0)</f>
        <v>3</v>
      </c>
      <c r="I1347" t="str">
        <f>"Q "&amp;tbl_Kalender[[#This Row],[Quartal]]</f>
        <v>Q 3</v>
      </c>
      <c r="J1347" t="str">
        <f>tbl_Kalender[[#This Row],[Quartal]]&amp;". Quartal"</f>
        <v>3. Quartal</v>
      </c>
      <c r="K1347">
        <f>_xlfn.ISOWEEKNUM(tbl_Kalender[[#This Row],[Datum]])</f>
        <v>36</v>
      </c>
    </row>
    <row r="1348" spans="1:11" x14ac:dyDescent="0.25">
      <c r="A1348" s="1">
        <v>46638</v>
      </c>
      <c r="B1348">
        <f>YEAR(tbl_Kalender[[#This Row],[Datum]])</f>
        <v>2027</v>
      </c>
      <c r="C1348">
        <f>DAY(tbl_Kalender[[#This Row],[Datum]])</f>
        <v>8</v>
      </c>
      <c r="D1348" t="str">
        <f>TEXT(tbl_Kalender[[#This Row],[Datum]],"TTTT")</f>
        <v>Mittwoch</v>
      </c>
      <c r="E1348">
        <f>WEEKDAY(tbl_Kalender[[#This Row],[Datum]],2)</f>
        <v>3</v>
      </c>
      <c r="F1348">
        <f>MONTH(tbl_Kalender[[#This Row],[Datum]])</f>
        <v>9</v>
      </c>
      <c r="G1348" t="str">
        <f>TEXT(tbl_Kalender[[#This Row],[Datum]],"MMMM")</f>
        <v>September</v>
      </c>
      <c r="H1348">
        <f>ROUNDUP(tbl_Kalender[[#This Row],[Monat]]/3,0)</f>
        <v>3</v>
      </c>
      <c r="I1348" t="str">
        <f>"Q "&amp;tbl_Kalender[[#This Row],[Quartal]]</f>
        <v>Q 3</v>
      </c>
      <c r="J1348" t="str">
        <f>tbl_Kalender[[#This Row],[Quartal]]&amp;". Quartal"</f>
        <v>3. Quartal</v>
      </c>
      <c r="K1348">
        <f>_xlfn.ISOWEEKNUM(tbl_Kalender[[#This Row],[Datum]])</f>
        <v>36</v>
      </c>
    </row>
    <row r="1349" spans="1:11" x14ac:dyDescent="0.25">
      <c r="A1349" s="1">
        <v>46639</v>
      </c>
      <c r="B1349">
        <f>YEAR(tbl_Kalender[[#This Row],[Datum]])</f>
        <v>2027</v>
      </c>
      <c r="C1349">
        <f>DAY(tbl_Kalender[[#This Row],[Datum]])</f>
        <v>9</v>
      </c>
      <c r="D1349" t="str">
        <f>TEXT(tbl_Kalender[[#This Row],[Datum]],"TTTT")</f>
        <v>Donnerstag</v>
      </c>
      <c r="E1349">
        <f>WEEKDAY(tbl_Kalender[[#This Row],[Datum]],2)</f>
        <v>4</v>
      </c>
      <c r="F1349">
        <f>MONTH(tbl_Kalender[[#This Row],[Datum]])</f>
        <v>9</v>
      </c>
      <c r="G1349" t="str">
        <f>TEXT(tbl_Kalender[[#This Row],[Datum]],"MMMM")</f>
        <v>September</v>
      </c>
      <c r="H1349">
        <f>ROUNDUP(tbl_Kalender[[#This Row],[Monat]]/3,0)</f>
        <v>3</v>
      </c>
      <c r="I1349" t="str">
        <f>"Q "&amp;tbl_Kalender[[#This Row],[Quartal]]</f>
        <v>Q 3</v>
      </c>
      <c r="J1349" t="str">
        <f>tbl_Kalender[[#This Row],[Quartal]]&amp;". Quartal"</f>
        <v>3. Quartal</v>
      </c>
      <c r="K1349">
        <f>_xlfn.ISOWEEKNUM(tbl_Kalender[[#This Row],[Datum]])</f>
        <v>36</v>
      </c>
    </row>
    <row r="1350" spans="1:11" x14ac:dyDescent="0.25">
      <c r="A1350" s="1">
        <v>46640</v>
      </c>
      <c r="B1350">
        <f>YEAR(tbl_Kalender[[#This Row],[Datum]])</f>
        <v>2027</v>
      </c>
      <c r="C1350">
        <f>DAY(tbl_Kalender[[#This Row],[Datum]])</f>
        <v>10</v>
      </c>
      <c r="D1350" t="str">
        <f>TEXT(tbl_Kalender[[#This Row],[Datum]],"TTTT")</f>
        <v>Freitag</v>
      </c>
      <c r="E1350">
        <f>WEEKDAY(tbl_Kalender[[#This Row],[Datum]],2)</f>
        <v>5</v>
      </c>
      <c r="F1350">
        <f>MONTH(tbl_Kalender[[#This Row],[Datum]])</f>
        <v>9</v>
      </c>
      <c r="G1350" t="str">
        <f>TEXT(tbl_Kalender[[#This Row],[Datum]],"MMMM")</f>
        <v>September</v>
      </c>
      <c r="H1350">
        <f>ROUNDUP(tbl_Kalender[[#This Row],[Monat]]/3,0)</f>
        <v>3</v>
      </c>
      <c r="I1350" t="str">
        <f>"Q "&amp;tbl_Kalender[[#This Row],[Quartal]]</f>
        <v>Q 3</v>
      </c>
      <c r="J1350" t="str">
        <f>tbl_Kalender[[#This Row],[Quartal]]&amp;". Quartal"</f>
        <v>3. Quartal</v>
      </c>
      <c r="K1350">
        <f>_xlfn.ISOWEEKNUM(tbl_Kalender[[#This Row],[Datum]])</f>
        <v>36</v>
      </c>
    </row>
    <row r="1351" spans="1:11" x14ac:dyDescent="0.25">
      <c r="A1351" s="1">
        <v>46641</v>
      </c>
      <c r="B1351">
        <f>YEAR(tbl_Kalender[[#This Row],[Datum]])</f>
        <v>2027</v>
      </c>
      <c r="C1351">
        <f>DAY(tbl_Kalender[[#This Row],[Datum]])</f>
        <v>11</v>
      </c>
      <c r="D1351" t="str">
        <f>TEXT(tbl_Kalender[[#This Row],[Datum]],"TTTT")</f>
        <v>Samstag</v>
      </c>
      <c r="E1351">
        <f>WEEKDAY(tbl_Kalender[[#This Row],[Datum]],2)</f>
        <v>6</v>
      </c>
      <c r="F1351">
        <f>MONTH(tbl_Kalender[[#This Row],[Datum]])</f>
        <v>9</v>
      </c>
      <c r="G1351" t="str">
        <f>TEXT(tbl_Kalender[[#This Row],[Datum]],"MMMM")</f>
        <v>September</v>
      </c>
      <c r="H1351">
        <f>ROUNDUP(tbl_Kalender[[#This Row],[Monat]]/3,0)</f>
        <v>3</v>
      </c>
      <c r="I1351" t="str">
        <f>"Q "&amp;tbl_Kalender[[#This Row],[Quartal]]</f>
        <v>Q 3</v>
      </c>
      <c r="J1351" t="str">
        <f>tbl_Kalender[[#This Row],[Quartal]]&amp;". Quartal"</f>
        <v>3. Quartal</v>
      </c>
      <c r="K1351">
        <f>_xlfn.ISOWEEKNUM(tbl_Kalender[[#This Row],[Datum]])</f>
        <v>36</v>
      </c>
    </row>
    <row r="1352" spans="1:11" x14ac:dyDescent="0.25">
      <c r="A1352" s="1">
        <v>46642</v>
      </c>
      <c r="B1352">
        <f>YEAR(tbl_Kalender[[#This Row],[Datum]])</f>
        <v>2027</v>
      </c>
      <c r="C1352">
        <f>DAY(tbl_Kalender[[#This Row],[Datum]])</f>
        <v>12</v>
      </c>
      <c r="D1352" t="str">
        <f>TEXT(tbl_Kalender[[#This Row],[Datum]],"TTTT")</f>
        <v>Sonntag</v>
      </c>
      <c r="E1352">
        <f>WEEKDAY(tbl_Kalender[[#This Row],[Datum]],2)</f>
        <v>7</v>
      </c>
      <c r="F1352">
        <f>MONTH(tbl_Kalender[[#This Row],[Datum]])</f>
        <v>9</v>
      </c>
      <c r="G1352" t="str">
        <f>TEXT(tbl_Kalender[[#This Row],[Datum]],"MMMM")</f>
        <v>September</v>
      </c>
      <c r="H1352">
        <f>ROUNDUP(tbl_Kalender[[#This Row],[Monat]]/3,0)</f>
        <v>3</v>
      </c>
      <c r="I1352" t="str">
        <f>"Q "&amp;tbl_Kalender[[#This Row],[Quartal]]</f>
        <v>Q 3</v>
      </c>
      <c r="J1352" t="str">
        <f>tbl_Kalender[[#This Row],[Quartal]]&amp;". Quartal"</f>
        <v>3. Quartal</v>
      </c>
      <c r="K1352">
        <f>_xlfn.ISOWEEKNUM(tbl_Kalender[[#This Row],[Datum]])</f>
        <v>36</v>
      </c>
    </row>
    <row r="1353" spans="1:11" x14ac:dyDescent="0.25">
      <c r="A1353" s="1">
        <v>46643</v>
      </c>
      <c r="B1353">
        <f>YEAR(tbl_Kalender[[#This Row],[Datum]])</f>
        <v>2027</v>
      </c>
      <c r="C1353">
        <f>DAY(tbl_Kalender[[#This Row],[Datum]])</f>
        <v>13</v>
      </c>
      <c r="D1353" t="str">
        <f>TEXT(tbl_Kalender[[#This Row],[Datum]],"TTTT")</f>
        <v>Montag</v>
      </c>
      <c r="E1353">
        <f>WEEKDAY(tbl_Kalender[[#This Row],[Datum]],2)</f>
        <v>1</v>
      </c>
      <c r="F1353">
        <f>MONTH(tbl_Kalender[[#This Row],[Datum]])</f>
        <v>9</v>
      </c>
      <c r="G1353" t="str">
        <f>TEXT(tbl_Kalender[[#This Row],[Datum]],"MMMM")</f>
        <v>September</v>
      </c>
      <c r="H1353">
        <f>ROUNDUP(tbl_Kalender[[#This Row],[Monat]]/3,0)</f>
        <v>3</v>
      </c>
      <c r="I1353" t="str">
        <f>"Q "&amp;tbl_Kalender[[#This Row],[Quartal]]</f>
        <v>Q 3</v>
      </c>
      <c r="J1353" t="str">
        <f>tbl_Kalender[[#This Row],[Quartal]]&amp;". Quartal"</f>
        <v>3. Quartal</v>
      </c>
      <c r="K1353">
        <f>_xlfn.ISOWEEKNUM(tbl_Kalender[[#This Row],[Datum]])</f>
        <v>37</v>
      </c>
    </row>
    <row r="1354" spans="1:11" x14ac:dyDescent="0.25">
      <c r="A1354" s="1">
        <v>46644</v>
      </c>
      <c r="B1354">
        <f>YEAR(tbl_Kalender[[#This Row],[Datum]])</f>
        <v>2027</v>
      </c>
      <c r="C1354">
        <f>DAY(tbl_Kalender[[#This Row],[Datum]])</f>
        <v>14</v>
      </c>
      <c r="D1354" t="str">
        <f>TEXT(tbl_Kalender[[#This Row],[Datum]],"TTTT")</f>
        <v>Dienstag</v>
      </c>
      <c r="E1354">
        <f>WEEKDAY(tbl_Kalender[[#This Row],[Datum]],2)</f>
        <v>2</v>
      </c>
      <c r="F1354">
        <f>MONTH(tbl_Kalender[[#This Row],[Datum]])</f>
        <v>9</v>
      </c>
      <c r="G1354" t="str">
        <f>TEXT(tbl_Kalender[[#This Row],[Datum]],"MMMM")</f>
        <v>September</v>
      </c>
      <c r="H1354">
        <f>ROUNDUP(tbl_Kalender[[#This Row],[Monat]]/3,0)</f>
        <v>3</v>
      </c>
      <c r="I1354" t="str">
        <f>"Q "&amp;tbl_Kalender[[#This Row],[Quartal]]</f>
        <v>Q 3</v>
      </c>
      <c r="J1354" t="str">
        <f>tbl_Kalender[[#This Row],[Quartal]]&amp;". Quartal"</f>
        <v>3. Quartal</v>
      </c>
      <c r="K1354">
        <f>_xlfn.ISOWEEKNUM(tbl_Kalender[[#This Row],[Datum]])</f>
        <v>37</v>
      </c>
    </row>
    <row r="1355" spans="1:11" x14ac:dyDescent="0.25">
      <c r="A1355" s="1">
        <v>46645</v>
      </c>
      <c r="B1355">
        <f>YEAR(tbl_Kalender[[#This Row],[Datum]])</f>
        <v>2027</v>
      </c>
      <c r="C1355">
        <f>DAY(tbl_Kalender[[#This Row],[Datum]])</f>
        <v>15</v>
      </c>
      <c r="D1355" t="str">
        <f>TEXT(tbl_Kalender[[#This Row],[Datum]],"TTTT")</f>
        <v>Mittwoch</v>
      </c>
      <c r="E1355">
        <f>WEEKDAY(tbl_Kalender[[#This Row],[Datum]],2)</f>
        <v>3</v>
      </c>
      <c r="F1355">
        <f>MONTH(tbl_Kalender[[#This Row],[Datum]])</f>
        <v>9</v>
      </c>
      <c r="G1355" t="str">
        <f>TEXT(tbl_Kalender[[#This Row],[Datum]],"MMMM")</f>
        <v>September</v>
      </c>
      <c r="H1355">
        <f>ROUNDUP(tbl_Kalender[[#This Row],[Monat]]/3,0)</f>
        <v>3</v>
      </c>
      <c r="I1355" t="str">
        <f>"Q "&amp;tbl_Kalender[[#This Row],[Quartal]]</f>
        <v>Q 3</v>
      </c>
      <c r="J1355" t="str">
        <f>tbl_Kalender[[#This Row],[Quartal]]&amp;". Quartal"</f>
        <v>3. Quartal</v>
      </c>
      <c r="K1355">
        <f>_xlfn.ISOWEEKNUM(tbl_Kalender[[#This Row],[Datum]])</f>
        <v>37</v>
      </c>
    </row>
    <row r="1356" spans="1:11" x14ac:dyDescent="0.25">
      <c r="A1356" s="1">
        <v>46646</v>
      </c>
      <c r="B1356">
        <f>YEAR(tbl_Kalender[[#This Row],[Datum]])</f>
        <v>2027</v>
      </c>
      <c r="C1356">
        <f>DAY(tbl_Kalender[[#This Row],[Datum]])</f>
        <v>16</v>
      </c>
      <c r="D1356" t="str">
        <f>TEXT(tbl_Kalender[[#This Row],[Datum]],"TTTT")</f>
        <v>Donnerstag</v>
      </c>
      <c r="E1356">
        <f>WEEKDAY(tbl_Kalender[[#This Row],[Datum]],2)</f>
        <v>4</v>
      </c>
      <c r="F1356">
        <f>MONTH(tbl_Kalender[[#This Row],[Datum]])</f>
        <v>9</v>
      </c>
      <c r="G1356" t="str">
        <f>TEXT(tbl_Kalender[[#This Row],[Datum]],"MMMM")</f>
        <v>September</v>
      </c>
      <c r="H1356">
        <f>ROUNDUP(tbl_Kalender[[#This Row],[Monat]]/3,0)</f>
        <v>3</v>
      </c>
      <c r="I1356" t="str">
        <f>"Q "&amp;tbl_Kalender[[#This Row],[Quartal]]</f>
        <v>Q 3</v>
      </c>
      <c r="J1356" t="str">
        <f>tbl_Kalender[[#This Row],[Quartal]]&amp;". Quartal"</f>
        <v>3. Quartal</v>
      </c>
      <c r="K1356">
        <f>_xlfn.ISOWEEKNUM(tbl_Kalender[[#This Row],[Datum]])</f>
        <v>37</v>
      </c>
    </row>
    <row r="1357" spans="1:11" x14ac:dyDescent="0.25">
      <c r="A1357" s="1">
        <v>46647</v>
      </c>
      <c r="B1357">
        <f>YEAR(tbl_Kalender[[#This Row],[Datum]])</f>
        <v>2027</v>
      </c>
      <c r="C1357">
        <f>DAY(tbl_Kalender[[#This Row],[Datum]])</f>
        <v>17</v>
      </c>
      <c r="D1357" t="str">
        <f>TEXT(tbl_Kalender[[#This Row],[Datum]],"TTTT")</f>
        <v>Freitag</v>
      </c>
      <c r="E1357">
        <f>WEEKDAY(tbl_Kalender[[#This Row],[Datum]],2)</f>
        <v>5</v>
      </c>
      <c r="F1357">
        <f>MONTH(tbl_Kalender[[#This Row],[Datum]])</f>
        <v>9</v>
      </c>
      <c r="G1357" t="str">
        <f>TEXT(tbl_Kalender[[#This Row],[Datum]],"MMMM")</f>
        <v>September</v>
      </c>
      <c r="H1357">
        <f>ROUNDUP(tbl_Kalender[[#This Row],[Monat]]/3,0)</f>
        <v>3</v>
      </c>
      <c r="I1357" t="str">
        <f>"Q "&amp;tbl_Kalender[[#This Row],[Quartal]]</f>
        <v>Q 3</v>
      </c>
      <c r="J1357" t="str">
        <f>tbl_Kalender[[#This Row],[Quartal]]&amp;". Quartal"</f>
        <v>3. Quartal</v>
      </c>
      <c r="K1357">
        <f>_xlfn.ISOWEEKNUM(tbl_Kalender[[#This Row],[Datum]])</f>
        <v>37</v>
      </c>
    </row>
    <row r="1358" spans="1:11" x14ac:dyDescent="0.25">
      <c r="A1358" s="1">
        <v>46648</v>
      </c>
      <c r="B1358">
        <f>YEAR(tbl_Kalender[[#This Row],[Datum]])</f>
        <v>2027</v>
      </c>
      <c r="C1358">
        <f>DAY(tbl_Kalender[[#This Row],[Datum]])</f>
        <v>18</v>
      </c>
      <c r="D1358" t="str">
        <f>TEXT(tbl_Kalender[[#This Row],[Datum]],"TTTT")</f>
        <v>Samstag</v>
      </c>
      <c r="E1358">
        <f>WEEKDAY(tbl_Kalender[[#This Row],[Datum]],2)</f>
        <v>6</v>
      </c>
      <c r="F1358">
        <f>MONTH(tbl_Kalender[[#This Row],[Datum]])</f>
        <v>9</v>
      </c>
      <c r="G1358" t="str">
        <f>TEXT(tbl_Kalender[[#This Row],[Datum]],"MMMM")</f>
        <v>September</v>
      </c>
      <c r="H1358">
        <f>ROUNDUP(tbl_Kalender[[#This Row],[Monat]]/3,0)</f>
        <v>3</v>
      </c>
      <c r="I1358" t="str">
        <f>"Q "&amp;tbl_Kalender[[#This Row],[Quartal]]</f>
        <v>Q 3</v>
      </c>
      <c r="J1358" t="str">
        <f>tbl_Kalender[[#This Row],[Quartal]]&amp;". Quartal"</f>
        <v>3. Quartal</v>
      </c>
      <c r="K1358">
        <f>_xlfn.ISOWEEKNUM(tbl_Kalender[[#This Row],[Datum]])</f>
        <v>37</v>
      </c>
    </row>
    <row r="1359" spans="1:11" x14ac:dyDescent="0.25">
      <c r="A1359" s="1">
        <v>46649</v>
      </c>
      <c r="B1359">
        <f>YEAR(tbl_Kalender[[#This Row],[Datum]])</f>
        <v>2027</v>
      </c>
      <c r="C1359">
        <f>DAY(tbl_Kalender[[#This Row],[Datum]])</f>
        <v>19</v>
      </c>
      <c r="D1359" t="str">
        <f>TEXT(tbl_Kalender[[#This Row],[Datum]],"TTTT")</f>
        <v>Sonntag</v>
      </c>
      <c r="E1359">
        <f>WEEKDAY(tbl_Kalender[[#This Row],[Datum]],2)</f>
        <v>7</v>
      </c>
      <c r="F1359">
        <f>MONTH(tbl_Kalender[[#This Row],[Datum]])</f>
        <v>9</v>
      </c>
      <c r="G1359" t="str">
        <f>TEXT(tbl_Kalender[[#This Row],[Datum]],"MMMM")</f>
        <v>September</v>
      </c>
      <c r="H1359">
        <f>ROUNDUP(tbl_Kalender[[#This Row],[Monat]]/3,0)</f>
        <v>3</v>
      </c>
      <c r="I1359" t="str">
        <f>"Q "&amp;tbl_Kalender[[#This Row],[Quartal]]</f>
        <v>Q 3</v>
      </c>
      <c r="J1359" t="str">
        <f>tbl_Kalender[[#This Row],[Quartal]]&amp;". Quartal"</f>
        <v>3. Quartal</v>
      </c>
      <c r="K1359">
        <f>_xlfn.ISOWEEKNUM(tbl_Kalender[[#This Row],[Datum]])</f>
        <v>37</v>
      </c>
    </row>
    <row r="1360" spans="1:11" x14ac:dyDescent="0.25">
      <c r="A1360" s="1">
        <v>46650</v>
      </c>
      <c r="B1360">
        <f>YEAR(tbl_Kalender[[#This Row],[Datum]])</f>
        <v>2027</v>
      </c>
      <c r="C1360">
        <f>DAY(tbl_Kalender[[#This Row],[Datum]])</f>
        <v>20</v>
      </c>
      <c r="D1360" t="str">
        <f>TEXT(tbl_Kalender[[#This Row],[Datum]],"TTTT")</f>
        <v>Montag</v>
      </c>
      <c r="E1360">
        <f>WEEKDAY(tbl_Kalender[[#This Row],[Datum]],2)</f>
        <v>1</v>
      </c>
      <c r="F1360">
        <f>MONTH(tbl_Kalender[[#This Row],[Datum]])</f>
        <v>9</v>
      </c>
      <c r="G1360" t="str">
        <f>TEXT(tbl_Kalender[[#This Row],[Datum]],"MMMM")</f>
        <v>September</v>
      </c>
      <c r="H1360">
        <f>ROUNDUP(tbl_Kalender[[#This Row],[Monat]]/3,0)</f>
        <v>3</v>
      </c>
      <c r="I1360" t="str">
        <f>"Q "&amp;tbl_Kalender[[#This Row],[Quartal]]</f>
        <v>Q 3</v>
      </c>
      <c r="J1360" t="str">
        <f>tbl_Kalender[[#This Row],[Quartal]]&amp;". Quartal"</f>
        <v>3. Quartal</v>
      </c>
      <c r="K1360">
        <f>_xlfn.ISOWEEKNUM(tbl_Kalender[[#This Row],[Datum]])</f>
        <v>38</v>
      </c>
    </row>
    <row r="1361" spans="1:11" x14ac:dyDescent="0.25">
      <c r="A1361" s="1">
        <v>46651</v>
      </c>
      <c r="B1361">
        <f>YEAR(tbl_Kalender[[#This Row],[Datum]])</f>
        <v>2027</v>
      </c>
      <c r="C1361">
        <f>DAY(tbl_Kalender[[#This Row],[Datum]])</f>
        <v>21</v>
      </c>
      <c r="D1361" t="str">
        <f>TEXT(tbl_Kalender[[#This Row],[Datum]],"TTTT")</f>
        <v>Dienstag</v>
      </c>
      <c r="E1361">
        <f>WEEKDAY(tbl_Kalender[[#This Row],[Datum]],2)</f>
        <v>2</v>
      </c>
      <c r="F1361">
        <f>MONTH(tbl_Kalender[[#This Row],[Datum]])</f>
        <v>9</v>
      </c>
      <c r="G1361" t="str">
        <f>TEXT(tbl_Kalender[[#This Row],[Datum]],"MMMM")</f>
        <v>September</v>
      </c>
      <c r="H1361">
        <f>ROUNDUP(tbl_Kalender[[#This Row],[Monat]]/3,0)</f>
        <v>3</v>
      </c>
      <c r="I1361" t="str">
        <f>"Q "&amp;tbl_Kalender[[#This Row],[Quartal]]</f>
        <v>Q 3</v>
      </c>
      <c r="J1361" t="str">
        <f>tbl_Kalender[[#This Row],[Quartal]]&amp;". Quartal"</f>
        <v>3. Quartal</v>
      </c>
      <c r="K1361">
        <f>_xlfn.ISOWEEKNUM(tbl_Kalender[[#This Row],[Datum]])</f>
        <v>38</v>
      </c>
    </row>
    <row r="1362" spans="1:11" x14ac:dyDescent="0.25">
      <c r="A1362" s="1">
        <v>46652</v>
      </c>
      <c r="B1362">
        <f>YEAR(tbl_Kalender[[#This Row],[Datum]])</f>
        <v>2027</v>
      </c>
      <c r="C1362">
        <f>DAY(tbl_Kalender[[#This Row],[Datum]])</f>
        <v>22</v>
      </c>
      <c r="D1362" t="str">
        <f>TEXT(tbl_Kalender[[#This Row],[Datum]],"TTTT")</f>
        <v>Mittwoch</v>
      </c>
      <c r="E1362">
        <f>WEEKDAY(tbl_Kalender[[#This Row],[Datum]],2)</f>
        <v>3</v>
      </c>
      <c r="F1362">
        <f>MONTH(tbl_Kalender[[#This Row],[Datum]])</f>
        <v>9</v>
      </c>
      <c r="G1362" t="str">
        <f>TEXT(tbl_Kalender[[#This Row],[Datum]],"MMMM")</f>
        <v>September</v>
      </c>
      <c r="H1362">
        <f>ROUNDUP(tbl_Kalender[[#This Row],[Monat]]/3,0)</f>
        <v>3</v>
      </c>
      <c r="I1362" t="str">
        <f>"Q "&amp;tbl_Kalender[[#This Row],[Quartal]]</f>
        <v>Q 3</v>
      </c>
      <c r="J1362" t="str">
        <f>tbl_Kalender[[#This Row],[Quartal]]&amp;". Quartal"</f>
        <v>3. Quartal</v>
      </c>
      <c r="K1362">
        <f>_xlfn.ISOWEEKNUM(tbl_Kalender[[#This Row],[Datum]])</f>
        <v>38</v>
      </c>
    </row>
    <row r="1363" spans="1:11" x14ac:dyDescent="0.25">
      <c r="A1363" s="1">
        <v>46653</v>
      </c>
      <c r="B1363">
        <f>YEAR(tbl_Kalender[[#This Row],[Datum]])</f>
        <v>2027</v>
      </c>
      <c r="C1363">
        <f>DAY(tbl_Kalender[[#This Row],[Datum]])</f>
        <v>23</v>
      </c>
      <c r="D1363" t="str">
        <f>TEXT(tbl_Kalender[[#This Row],[Datum]],"TTTT")</f>
        <v>Donnerstag</v>
      </c>
      <c r="E1363">
        <f>WEEKDAY(tbl_Kalender[[#This Row],[Datum]],2)</f>
        <v>4</v>
      </c>
      <c r="F1363">
        <f>MONTH(tbl_Kalender[[#This Row],[Datum]])</f>
        <v>9</v>
      </c>
      <c r="G1363" t="str">
        <f>TEXT(tbl_Kalender[[#This Row],[Datum]],"MMMM")</f>
        <v>September</v>
      </c>
      <c r="H1363">
        <f>ROUNDUP(tbl_Kalender[[#This Row],[Monat]]/3,0)</f>
        <v>3</v>
      </c>
      <c r="I1363" t="str">
        <f>"Q "&amp;tbl_Kalender[[#This Row],[Quartal]]</f>
        <v>Q 3</v>
      </c>
      <c r="J1363" t="str">
        <f>tbl_Kalender[[#This Row],[Quartal]]&amp;". Quartal"</f>
        <v>3. Quartal</v>
      </c>
      <c r="K1363">
        <f>_xlfn.ISOWEEKNUM(tbl_Kalender[[#This Row],[Datum]])</f>
        <v>38</v>
      </c>
    </row>
    <row r="1364" spans="1:11" x14ac:dyDescent="0.25">
      <c r="A1364" s="1">
        <v>46654</v>
      </c>
      <c r="B1364">
        <f>YEAR(tbl_Kalender[[#This Row],[Datum]])</f>
        <v>2027</v>
      </c>
      <c r="C1364">
        <f>DAY(tbl_Kalender[[#This Row],[Datum]])</f>
        <v>24</v>
      </c>
      <c r="D1364" t="str">
        <f>TEXT(tbl_Kalender[[#This Row],[Datum]],"TTTT")</f>
        <v>Freitag</v>
      </c>
      <c r="E1364">
        <f>WEEKDAY(tbl_Kalender[[#This Row],[Datum]],2)</f>
        <v>5</v>
      </c>
      <c r="F1364">
        <f>MONTH(tbl_Kalender[[#This Row],[Datum]])</f>
        <v>9</v>
      </c>
      <c r="G1364" t="str">
        <f>TEXT(tbl_Kalender[[#This Row],[Datum]],"MMMM")</f>
        <v>September</v>
      </c>
      <c r="H1364">
        <f>ROUNDUP(tbl_Kalender[[#This Row],[Monat]]/3,0)</f>
        <v>3</v>
      </c>
      <c r="I1364" t="str">
        <f>"Q "&amp;tbl_Kalender[[#This Row],[Quartal]]</f>
        <v>Q 3</v>
      </c>
      <c r="J1364" t="str">
        <f>tbl_Kalender[[#This Row],[Quartal]]&amp;". Quartal"</f>
        <v>3. Quartal</v>
      </c>
      <c r="K1364">
        <f>_xlfn.ISOWEEKNUM(tbl_Kalender[[#This Row],[Datum]])</f>
        <v>38</v>
      </c>
    </row>
    <row r="1365" spans="1:11" x14ac:dyDescent="0.25">
      <c r="A1365" s="1">
        <v>46655</v>
      </c>
      <c r="B1365">
        <f>YEAR(tbl_Kalender[[#This Row],[Datum]])</f>
        <v>2027</v>
      </c>
      <c r="C1365">
        <f>DAY(tbl_Kalender[[#This Row],[Datum]])</f>
        <v>25</v>
      </c>
      <c r="D1365" t="str">
        <f>TEXT(tbl_Kalender[[#This Row],[Datum]],"TTTT")</f>
        <v>Samstag</v>
      </c>
      <c r="E1365">
        <f>WEEKDAY(tbl_Kalender[[#This Row],[Datum]],2)</f>
        <v>6</v>
      </c>
      <c r="F1365">
        <f>MONTH(tbl_Kalender[[#This Row],[Datum]])</f>
        <v>9</v>
      </c>
      <c r="G1365" t="str">
        <f>TEXT(tbl_Kalender[[#This Row],[Datum]],"MMMM")</f>
        <v>September</v>
      </c>
      <c r="H1365">
        <f>ROUNDUP(tbl_Kalender[[#This Row],[Monat]]/3,0)</f>
        <v>3</v>
      </c>
      <c r="I1365" t="str">
        <f>"Q "&amp;tbl_Kalender[[#This Row],[Quartal]]</f>
        <v>Q 3</v>
      </c>
      <c r="J1365" t="str">
        <f>tbl_Kalender[[#This Row],[Quartal]]&amp;". Quartal"</f>
        <v>3. Quartal</v>
      </c>
      <c r="K1365">
        <f>_xlfn.ISOWEEKNUM(tbl_Kalender[[#This Row],[Datum]])</f>
        <v>38</v>
      </c>
    </row>
    <row r="1366" spans="1:11" x14ac:dyDescent="0.25">
      <c r="A1366" s="1">
        <v>46656</v>
      </c>
      <c r="B1366">
        <f>YEAR(tbl_Kalender[[#This Row],[Datum]])</f>
        <v>2027</v>
      </c>
      <c r="C1366">
        <f>DAY(tbl_Kalender[[#This Row],[Datum]])</f>
        <v>26</v>
      </c>
      <c r="D1366" t="str">
        <f>TEXT(tbl_Kalender[[#This Row],[Datum]],"TTTT")</f>
        <v>Sonntag</v>
      </c>
      <c r="E1366">
        <f>WEEKDAY(tbl_Kalender[[#This Row],[Datum]],2)</f>
        <v>7</v>
      </c>
      <c r="F1366">
        <f>MONTH(tbl_Kalender[[#This Row],[Datum]])</f>
        <v>9</v>
      </c>
      <c r="G1366" t="str">
        <f>TEXT(tbl_Kalender[[#This Row],[Datum]],"MMMM")</f>
        <v>September</v>
      </c>
      <c r="H1366">
        <f>ROUNDUP(tbl_Kalender[[#This Row],[Monat]]/3,0)</f>
        <v>3</v>
      </c>
      <c r="I1366" t="str">
        <f>"Q "&amp;tbl_Kalender[[#This Row],[Quartal]]</f>
        <v>Q 3</v>
      </c>
      <c r="J1366" t="str">
        <f>tbl_Kalender[[#This Row],[Quartal]]&amp;". Quartal"</f>
        <v>3. Quartal</v>
      </c>
      <c r="K1366">
        <f>_xlfn.ISOWEEKNUM(tbl_Kalender[[#This Row],[Datum]])</f>
        <v>38</v>
      </c>
    </row>
    <row r="1367" spans="1:11" x14ac:dyDescent="0.25">
      <c r="A1367" s="1">
        <v>46657</v>
      </c>
      <c r="B1367">
        <f>YEAR(tbl_Kalender[[#This Row],[Datum]])</f>
        <v>2027</v>
      </c>
      <c r="C1367">
        <f>DAY(tbl_Kalender[[#This Row],[Datum]])</f>
        <v>27</v>
      </c>
      <c r="D1367" t="str">
        <f>TEXT(tbl_Kalender[[#This Row],[Datum]],"TTTT")</f>
        <v>Montag</v>
      </c>
      <c r="E1367">
        <f>WEEKDAY(tbl_Kalender[[#This Row],[Datum]],2)</f>
        <v>1</v>
      </c>
      <c r="F1367">
        <f>MONTH(tbl_Kalender[[#This Row],[Datum]])</f>
        <v>9</v>
      </c>
      <c r="G1367" t="str">
        <f>TEXT(tbl_Kalender[[#This Row],[Datum]],"MMMM")</f>
        <v>September</v>
      </c>
      <c r="H1367">
        <f>ROUNDUP(tbl_Kalender[[#This Row],[Monat]]/3,0)</f>
        <v>3</v>
      </c>
      <c r="I1367" t="str">
        <f>"Q "&amp;tbl_Kalender[[#This Row],[Quartal]]</f>
        <v>Q 3</v>
      </c>
      <c r="J1367" t="str">
        <f>tbl_Kalender[[#This Row],[Quartal]]&amp;". Quartal"</f>
        <v>3. Quartal</v>
      </c>
      <c r="K1367">
        <f>_xlfn.ISOWEEKNUM(tbl_Kalender[[#This Row],[Datum]])</f>
        <v>39</v>
      </c>
    </row>
    <row r="1368" spans="1:11" x14ac:dyDescent="0.25">
      <c r="A1368" s="1">
        <v>46658</v>
      </c>
      <c r="B1368">
        <f>YEAR(tbl_Kalender[[#This Row],[Datum]])</f>
        <v>2027</v>
      </c>
      <c r="C1368">
        <f>DAY(tbl_Kalender[[#This Row],[Datum]])</f>
        <v>28</v>
      </c>
      <c r="D1368" t="str">
        <f>TEXT(tbl_Kalender[[#This Row],[Datum]],"TTTT")</f>
        <v>Dienstag</v>
      </c>
      <c r="E1368">
        <f>WEEKDAY(tbl_Kalender[[#This Row],[Datum]],2)</f>
        <v>2</v>
      </c>
      <c r="F1368">
        <f>MONTH(tbl_Kalender[[#This Row],[Datum]])</f>
        <v>9</v>
      </c>
      <c r="G1368" t="str">
        <f>TEXT(tbl_Kalender[[#This Row],[Datum]],"MMMM")</f>
        <v>September</v>
      </c>
      <c r="H1368">
        <f>ROUNDUP(tbl_Kalender[[#This Row],[Monat]]/3,0)</f>
        <v>3</v>
      </c>
      <c r="I1368" t="str">
        <f>"Q "&amp;tbl_Kalender[[#This Row],[Quartal]]</f>
        <v>Q 3</v>
      </c>
      <c r="J1368" t="str">
        <f>tbl_Kalender[[#This Row],[Quartal]]&amp;". Quartal"</f>
        <v>3. Quartal</v>
      </c>
      <c r="K1368">
        <f>_xlfn.ISOWEEKNUM(tbl_Kalender[[#This Row],[Datum]])</f>
        <v>39</v>
      </c>
    </row>
    <row r="1369" spans="1:11" x14ac:dyDescent="0.25">
      <c r="A1369" s="1">
        <v>46659</v>
      </c>
      <c r="B1369">
        <f>YEAR(tbl_Kalender[[#This Row],[Datum]])</f>
        <v>2027</v>
      </c>
      <c r="C1369">
        <f>DAY(tbl_Kalender[[#This Row],[Datum]])</f>
        <v>29</v>
      </c>
      <c r="D1369" t="str">
        <f>TEXT(tbl_Kalender[[#This Row],[Datum]],"TTTT")</f>
        <v>Mittwoch</v>
      </c>
      <c r="E1369">
        <f>WEEKDAY(tbl_Kalender[[#This Row],[Datum]],2)</f>
        <v>3</v>
      </c>
      <c r="F1369">
        <f>MONTH(tbl_Kalender[[#This Row],[Datum]])</f>
        <v>9</v>
      </c>
      <c r="G1369" t="str">
        <f>TEXT(tbl_Kalender[[#This Row],[Datum]],"MMMM")</f>
        <v>September</v>
      </c>
      <c r="H1369">
        <f>ROUNDUP(tbl_Kalender[[#This Row],[Monat]]/3,0)</f>
        <v>3</v>
      </c>
      <c r="I1369" t="str">
        <f>"Q "&amp;tbl_Kalender[[#This Row],[Quartal]]</f>
        <v>Q 3</v>
      </c>
      <c r="J1369" t="str">
        <f>tbl_Kalender[[#This Row],[Quartal]]&amp;". Quartal"</f>
        <v>3. Quartal</v>
      </c>
      <c r="K1369">
        <f>_xlfn.ISOWEEKNUM(tbl_Kalender[[#This Row],[Datum]])</f>
        <v>39</v>
      </c>
    </row>
    <row r="1370" spans="1:11" x14ac:dyDescent="0.25">
      <c r="A1370" s="1">
        <v>46660</v>
      </c>
      <c r="B1370">
        <f>YEAR(tbl_Kalender[[#This Row],[Datum]])</f>
        <v>2027</v>
      </c>
      <c r="C1370">
        <f>DAY(tbl_Kalender[[#This Row],[Datum]])</f>
        <v>30</v>
      </c>
      <c r="D1370" t="str">
        <f>TEXT(tbl_Kalender[[#This Row],[Datum]],"TTTT")</f>
        <v>Donnerstag</v>
      </c>
      <c r="E1370">
        <f>WEEKDAY(tbl_Kalender[[#This Row],[Datum]],2)</f>
        <v>4</v>
      </c>
      <c r="F1370">
        <f>MONTH(tbl_Kalender[[#This Row],[Datum]])</f>
        <v>9</v>
      </c>
      <c r="G1370" t="str">
        <f>TEXT(tbl_Kalender[[#This Row],[Datum]],"MMMM")</f>
        <v>September</v>
      </c>
      <c r="H1370">
        <f>ROUNDUP(tbl_Kalender[[#This Row],[Monat]]/3,0)</f>
        <v>3</v>
      </c>
      <c r="I1370" t="str">
        <f>"Q "&amp;tbl_Kalender[[#This Row],[Quartal]]</f>
        <v>Q 3</v>
      </c>
      <c r="J1370" t="str">
        <f>tbl_Kalender[[#This Row],[Quartal]]&amp;". Quartal"</f>
        <v>3. Quartal</v>
      </c>
      <c r="K1370">
        <f>_xlfn.ISOWEEKNUM(tbl_Kalender[[#This Row],[Datum]])</f>
        <v>39</v>
      </c>
    </row>
    <row r="1371" spans="1:11" x14ac:dyDescent="0.25">
      <c r="A1371" s="1">
        <v>46661</v>
      </c>
      <c r="B1371">
        <f>YEAR(tbl_Kalender[[#This Row],[Datum]])</f>
        <v>2027</v>
      </c>
      <c r="C1371">
        <f>DAY(tbl_Kalender[[#This Row],[Datum]])</f>
        <v>1</v>
      </c>
      <c r="D1371" t="str">
        <f>TEXT(tbl_Kalender[[#This Row],[Datum]],"TTTT")</f>
        <v>Freitag</v>
      </c>
      <c r="E1371">
        <f>WEEKDAY(tbl_Kalender[[#This Row],[Datum]],2)</f>
        <v>5</v>
      </c>
      <c r="F1371">
        <f>MONTH(tbl_Kalender[[#This Row],[Datum]])</f>
        <v>10</v>
      </c>
      <c r="G1371" t="str">
        <f>TEXT(tbl_Kalender[[#This Row],[Datum]],"MMMM")</f>
        <v>Oktober</v>
      </c>
      <c r="H1371">
        <f>ROUNDUP(tbl_Kalender[[#This Row],[Monat]]/3,0)</f>
        <v>4</v>
      </c>
      <c r="I1371" t="str">
        <f>"Q "&amp;tbl_Kalender[[#This Row],[Quartal]]</f>
        <v>Q 4</v>
      </c>
      <c r="J1371" t="str">
        <f>tbl_Kalender[[#This Row],[Quartal]]&amp;". Quartal"</f>
        <v>4. Quartal</v>
      </c>
      <c r="K1371">
        <f>_xlfn.ISOWEEKNUM(tbl_Kalender[[#This Row],[Datum]])</f>
        <v>39</v>
      </c>
    </row>
    <row r="1372" spans="1:11" x14ac:dyDescent="0.25">
      <c r="A1372" s="1">
        <v>46662</v>
      </c>
      <c r="B1372">
        <f>YEAR(tbl_Kalender[[#This Row],[Datum]])</f>
        <v>2027</v>
      </c>
      <c r="C1372">
        <f>DAY(tbl_Kalender[[#This Row],[Datum]])</f>
        <v>2</v>
      </c>
      <c r="D1372" t="str">
        <f>TEXT(tbl_Kalender[[#This Row],[Datum]],"TTTT")</f>
        <v>Samstag</v>
      </c>
      <c r="E1372">
        <f>WEEKDAY(tbl_Kalender[[#This Row],[Datum]],2)</f>
        <v>6</v>
      </c>
      <c r="F1372">
        <f>MONTH(tbl_Kalender[[#This Row],[Datum]])</f>
        <v>10</v>
      </c>
      <c r="G1372" t="str">
        <f>TEXT(tbl_Kalender[[#This Row],[Datum]],"MMMM")</f>
        <v>Oktober</v>
      </c>
      <c r="H1372">
        <f>ROUNDUP(tbl_Kalender[[#This Row],[Monat]]/3,0)</f>
        <v>4</v>
      </c>
      <c r="I1372" t="str">
        <f>"Q "&amp;tbl_Kalender[[#This Row],[Quartal]]</f>
        <v>Q 4</v>
      </c>
      <c r="J1372" t="str">
        <f>tbl_Kalender[[#This Row],[Quartal]]&amp;". Quartal"</f>
        <v>4. Quartal</v>
      </c>
      <c r="K1372">
        <f>_xlfn.ISOWEEKNUM(tbl_Kalender[[#This Row],[Datum]])</f>
        <v>39</v>
      </c>
    </row>
    <row r="1373" spans="1:11" x14ac:dyDescent="0.25">
      <c r="A1373" s="1">
        <v>46663</v>
      </c>
      <c r="B1373">
        <f>YEAR(tbl_Kalender[[#This Row],[Datum]])</f>
        <v>2027</v>
      </c>
      <c r="C1373">
        <f>DAY(tbl_Kalender[[#This Row],[Datum]])</f>
        <v>3</v>
      </c>
      <c r="D1373" t="str">
        <f>TEXT(tbl_Kalender[[#This Row],[Datum]],"TTTT")</f>
        <v>Sonntag</v>
      </c>
      <c r="E1373">
        <f>WEEKDAY(tbl_Kalender[[#This Row],[Datum]],2)</f>
        <v>7</v>
      </c>
      <c r="F1373">
        <f>MONTH(tbl_Kalender[[#This Row],[Datum]])</f>
        <v>10</v>
      </c>
      <c r="G1373" t="str">
        <f>TEXT(tbl_Kalender[[#This Row],[Datum]],"MMMM")</f>
        <v>Oktober</v>
      </c>
      <c r="H1373">
        <f>ROUNDUP(tbl_Kalender[[#This Row],[Monat]]/3,0)</f>
        <v>4</v>
      </c>
      <c r="I1373" t="str">
        <f>"Q "&amp;tbl_Kalender[[#This Row],[Quartal]]</f>
        <v>Q 4</v>
      </c>
      <c r="J1373" t="str">
        <f>tbl_Kalender[[#This Row],[Quartal]]&amp;". Quartal"</f>
        <v>4. Quartal</v>
      </c>
      <c r="K1373">
        <f>_xlfn.ISOWEEKNUM(tbl_Kalender[[#This Row],[Datum]])</f>
        <v>39</v>
      </c>
    </row>
    <row r="1374" spans="1:11" x14ac:dyDescent="0.25">
      <c r="A1374" s="1">
        <v>46664</v>
      </c>
      <c r="B1374">
        <f>YEAR(tbl_Kalender[[#This Row],[Datum]])</f>
        <v>2027</v>
      </c>
      <c r="C1374">
        <f>DAY(tbl_Kalender[[#This Row],[Datum]])</f>
        <v>4</v>
      </c>
      <c r="D1374" t="str">
        <f>TEXT(tbl_Kalender[[#This Row],[Datum]],"TTTT")</f>
        <v>Montag</v>
      </c>
      <c r="E1374">
        <f>WEEKDAY(tbl_Kalender[[#This Row],[Datum]],2)</f>
        <v>1</v>
      </c>
      <c r="F1374">
        <f>MONTH(tbl_Kalender[[#This Row],[Datum]])</f>
        <v>10</v>
      </c>
      <c r="G1374" t="str">
        <f>TEXT(tbl_Kalender[[#This Row],[Datum]],"MMMM")</f>
        <v>Oktober</v>
      </c>
      <c r="H1374">
        <f>ROUNDUP(tbl_Kalender[[#This Row],[Monat]]/3,0)</f>
        <v>4</v>
      </c>
      <c r="I1374" t="str">
        <f>"Q "&amp;tbl_Kalender[[#This Row],[Quartal]]</f>
        <v>Q 4</v>
      </c>
      <c r="J1374" t="str">
        <f>tbl_Kalender[[#This Row],[Quartal]]&amp;". Quartal"</f>
        <v>4. Quartal</v>
      </c>
      <c r="K1374">
        <f>_xlfn.ISOWEEKNUM(tbl_Kalender[[#This Row],[Datum]])</f>
        <v>40</v>
      </c>
    </row>
    <row r="1375" spans="1:11" x14ac:dyDescent="0.25">
      <c r="A1375" s="1">
        <v>46665</v>
      </c>
      <c r="B1375">
        <f>YEAR(tbl_Kalender[[#This Row],[Datum]])</f>
        <v>2027</v>
      </c>
      <c r="C1375">
        <f>DAY(tbl_Kalender[[#This Row],[Datum]])</f>
        <v>5</v>
      </c>
      <c r="D1375" t="str">
        <f>TEXT(tbl_Kalender[[#This Row],[Datum]],"TTTT")</f>
        <v>Dienstag</v>
      </c>
      <c r="E1375">
        <f>WEEKDAY(tbl_Kalender[[#This Row],[Datum]],2)</f>
        <v>2</v>
      </c>
      <c r="F1375">
        <f>MONTH(tbl_Kalender[[#This Row],[Datum]])</f>
        <v>10</v>
      </c>
      <c r="G1375" t="str">
        <f>TEXT(tbl_Kalender[[#This Row],[Datum]],"MMMM")</f>
        <v>Oktober</v>
      </c>
      <c r="H1375">
        <f>ROUNDUP(tbl_Kalender[[#This Row],[Monat]]/3,0)</f>
        <v>4</v>
      </c>
      <c r="I1375" t="str">
        <f>"Q "&amp;tbl_Kalender[[#This Row],[Quartal]]</f>
        <v>Q 4</v>
      </c>
      <c r="J1375" t="str">
        <f>tbl_Kalender[[#This Row],[Quartal]]&amp;". Quartal"</f>
        <v>4. Quartal</v>
      </c>
      <c r="K1375">
        <f>_xlfn.ISOWEEKNUM(tbl_Kalender[[#This Row],[Datum]])</f>
        <v>40</v>
      </c>
    </row>
    <row r="1376" spans="1:11" x14ac:dyDescent="0.25">
      <c r="A1376" s="1">
        <v>46666</v>
      </c>
      <c r="B1376">
        <f>YEAR(tbl_Kalender[[#This Row],[Datum]])</f>
        <v>2027</v>
      </c>
      <c r="C1376">
        <f>DAY(tbl_Kalender[[#This Row],[Datum]])</f>
        <v>6</v>
      </c>
      <c r="D1376" t="str">
        <f>TEXT(tbl_Kalender[[#This Row],[Datum]],"TTTT")</f>
        <v>Mittwoch</v>
      </c>
      <c r="E1376">
        <f>WEEKDAY(tbl_Kalender[[#This Row],[Datum]],2)</f>
        <v>3</v>
      </c>
      <c r="F1376">
        <f>MONTH(tbl_Kalender[[#This Row],[Datum]])</f>
        <v>10</v>
      </c>
      <c r="G1376" t="str">
        <f>TEXT(tbl_Kalender[[#This Row],[Datum]],"MMMM")</f>
        <v>Oktober</v>
      </c>
      <c r="H1376">
        <f>ROUNDUP(tbl_Kalender[[#This Row],[Monat]]/3,0)</f>
        <v>4</v>
      </c>
      <c r="I1376" t="str">
        <f>"Q "&amp;tbl_Kalender[[#This Row],[Quartal]]</f>
        <v>Q 4</v>
      </c>
      <c r="J1376" t="str">
        <f>tbl_Kalender[[#This Row],[Quartal]]&amp;". Quartal"</f>
        <v>4. Quartal</v>
      </c>
      <c r="K1376">
        <f>_xlfn.ISOWEEKNUM(tbl_Kalender[[#This Row],[Datum]])</f>
        <v>40</v>
      </c>
    </row>
    <row r="1377" spans="1:11" x14ac:dyDescent="0.25">
      <c r="A1377" s="1">
        <v>46667</v>
      </c>
      <c r="B1377">
        <f>YEAR(tbl_Kalender[[#This Row],[Datum]])</f>
        <v>2027</v>
      </c>
      <c r="C1377">
        <f>DAY(tbl_Kalender[[#This Row],[Datum]])</f>
        <v>7</v>
      </c>
      <c r="D1377" t="str">
        <f>TEXT(tbl_Kalender[[#This Row],[Datum]],"TTTT")</f>
        <v>Donnerstag</v>
      </c>
      <c r="E1377">
        <f>WEEKDAY(tbl_Kalender[[#This Row],[Datum]],2)</f>
        <v>4</v>
      </c>
      <c r="F1377">
        <f>MONTH(tbl_Kalender[[#This Row],[Datum]])</f>
        <v>10</v>
      </c>
      <c r="G1377" t="str">
        <f>TEXT(tbl_Kalender[[#This Row],[Datum]],"MMMM")</f>
        <v>Oktober</v>
      </c>
      <c r="H1377">
        <f>ROUNDUP(tbl_Kalender[[#This Row],[Monat]]/3,0)</f>
        <v>4</v>
      </c>
      <c r="I1377" t="str">
        <f>"Q "&amp;tbl_Kalender[[#This Row],[Quartal]]</f>
        <v>Q 4</v>
      </c>
      <c r="J1377" t="str">
        <f>tbl_Kalender[[#This Row],[Quartal]]&amp;". Quartal"</f>
        <v>4. Quartal</v>
      </c>
      <c r="K1377">
        <f>_xlfn.ISOWEEKNUM(tbl_Kalender[[#This Row],[Datum]])</f>
        <v>40</v>
      </c>
    </row>
    <row r="1378" spans="1:11" x14ac:dyDescent="0.25">
      <c r="A1378" s="1">
        <v>46668</v>
      </c>
      <c r="B1378">
        <f>YEAR(tbl_Kalender[[#This Row],[Datum]])</f>
        <v>2027</v>
      </c>
      <c r="C1378">
        <f>DAY(tbl_Kalender[[#This Row],[Datum]])</f>
        <v>8</v>
      </c>
      <c r="D1378" t="str">
        <f>TEXT(tbl_Kalender[[#This Row],[Datum]],"TTTT")</f>
        <v>Freitag</v>
      </c>
      <c r="E1378">
        <f>WEEKDAY(tbl_Kalender[[#This Row],[Datum]],2)</f>
        <v>5</v>
      </c>
      <c r="F1378">
        <f>MONTH(tbl_Kalender[[#This Row],[Datum]])</f>
        <v>10</v>
      </c>
      <c r="G1378" t="str">
        <f>TEXT(tbl_Kalender[[#This Row],[Datum]],"MMMM")</f>
        <v>Oktober</v>
      </c>
      <c r="H1378">
        <f>ROUNDUP(tbl_Kalender[[#This Row],[Monat]]/3,0)</f>
        <v>4</v>
      </c>
      <c r="I1378" t="str">
        <f>"Q "&amp;tbl_Kalender[[#This Row],[Quartal]]</f>
        <v>Q 4</v>
      </c>
      <c r="J1378" t="str">
        <f>tbl_Kalender[[#This Row],[Quartal]]&amp;". Quartal"</f>
        <v>4. Quartal</v>
      </c>
      <c r="K1378">
        <f>_xlfn.ISOWEEKNUM(tbl_Kalender[[#This Row],[Datum]])</f>
        <v>40</v>
      </c>
    </row>
    <row r="1379" spans="1:11" x14ac:dyDescent="0.25">
      <c r="A1379" s="1">
        <v>46669</v>
      </c>
      <c r="B1379">
        <f>YEAR(tbl_Kalender[[#This Row],[Datum]])</f>
        <v>2027</v>
      </c>
      <c r="C1379">
        <f>DAY(tbl_Kalender[[#This Row],[Datum]])</f>
        <v>9</v>
      </c>
      <c r="D1379" t="str">
        <f>TEXT(tbl_Kalender[[#This Row],[Datum]],"TTTT")</f>
        <v>Samstag</v>
      </c>
      <c r="E1379">
        <f>WEEKDAY(tbl_Kalender[[#This Row],[Datum]],2)</f>
        <v>6</v>
      </c>
      <c r="F1379">
        <f>MONTH(tbl_Kalender[[#This Row],[Datum]])</f>
        <v>10</v>
      </c>
      <c r="G1379" t="str">
        <f>TEXT(tbl_Kalender[[#This Row],[Datum]],"MMMM")</f>
        <v>Oktober</v>
      </c>
      <c r="H1379">
        <f>ROUNDUP(tbl_Kalender[[#This Row],[Monat]]/3,0)</f>
        <v>4</v>
      </c>
      <c r="I1379" t="str">
        <f>"Q "&amp;tbl_Kalender[[#This Row],[Quartal]]</f>
        <v>Q 4</v>
      </c>
      <c r="J1379" t="str">
        <f>tbl_Kalender[[#This Row],[Quartal]]&amp;". Quartal"</f>
        <v>4. Quartal</v>
      </c>
      <c r="K1379">
        <f>_xlfn.ISOWEEKNUM(tbl_Kalender[[#This Row],[Datum]])</f>
        <v>40</v>
      </c>
    </row>
    <row r="1380" spans="1:11" x14ac:dyDescent="0.25">
      <c r="A1380" s="1">
        <v>46670</v>
      </c>
      <c r="B1380">
        <f>YEAR(tbl_Kalender[[#This Row],[Datum]])</f>
        <v>2027</v>
      </c>
      <c r="C1380">
        <f>DAY(tbl_Kalender[[#This Row],[Datum]])</f>
        <v>10</v>
      </c>
      <c r="D1380" t="str">
        <f>TEXT(tbl_Kalender[[#This Row],[Datum]],"TTTT")</f>
        <v>Sonntag</v>
      </c>
      <c r="E1380">
        <f>WEEKDAY(tbl_Kalender[[#This Row],[Datum]],2)</f>
        <v>7</v>
      </c>
      <c r="F1380">
        <f>MONTH(tbl_Kalender[[#This Row],[Datum]])</f>
        <v>10</v>
      </c>
      <c r="G1380" t="str">
        <f>TEXT(tbl_Kalender[[#This Row],[Datum]],"MMMM")</f>
        <v>Oktober</v>
      </c>
      <c r="H1380">
        <f>ROUNDUP(tbl_Kalender[[#This Row],[Monat]]/3,0)</f>
        <v>4</v>
      </c>
      <c r="I1380" t="str">
        <f>"Q "&amp;tbl_Kalender[[#This Row],[Quartal]]</f>
        <v>Q 4</v>
      </c>
      <c r="J1380" t="str">
        <f>tbl_Kalender[[#This Row],[Quartal]]&amp;". Quartal"</f>
        <v>4. Quartal</v>
      </c>
      <c r="K1380">
        <f>_xlfn.ISOWEEKNUM(tbl_Kalender[[#This Row],[Datum]])</f>
        <v>40</v>
      </c>
    </row>
    <row r="1381" spans="1:11" x14ac:dyDescent="0.25">
      <c r="A1381" s="1">
        <v>46671</v>
      </c>
      <c r="B1381">
        <f>YEAR(tbl_Kalender[[#This Row],[Datum]])</f>
        <v>2027</v>
      </c>
      <c r="C1381">
        <f>DAY(tbl_Kalender[[#This Row],[Datum]])</f>
        <v>11</v>
      </c>
      <c r="D1381" t="str">
        <f>TEXT(tbl_Kalender[[#This Row],[Datum]],"TTTT")</f>
        <v>Montag</v>
      </c>
      <c r="E1381">
        <f>WEEKDAY(tbl_Kalender[[#This Row],[Datum]],2)</f>
        <v>1</v>
      </c>
      <c r="F1381">
        <f>MONTH(tbl_Kalender[[#This Row],[Datum]])</f>
        <v>10</v>
      </c>
      <c r="G1381" t="str">
        <f>TEXT(tbl_Kalender[[#This Row],[Datum]],"MMMM")</f>
        <v>Oktober</v>
      </c>
      <c r="H1381">
        <f>ROUNDUP(tbl_Kalender[[#This Row],[Monat]]/3,0)</f>
        <v>4</v>
      </c>
      <c r="I1381" t="str">
        <f>"Q "&amp;tbl_Kalender[[#This Row],[Quartal]]</f>
        <v>Q 4</v>
      </c>
      <c r="J1381" t="str">
        <f>tbl_Kalender[[#This Row],[Quartal]]&amp;". Quartal"</f>
        <v>4. Quartal</v>
      </c>
      <c r="K1381">
        <f>_xlfn.ISOWEEKNUM(tbl_Kalender[[#This Row],[Datum]])</f>
        <v>41</v>
      </c>
    </row>
    <row r="1382" spans="1:11" x14ac:dyDescent="0.25">
      <c r="A1382" s="1">
        <v>46672</v>
      </c>
      <c r="B1382">
        <f>YEAR(tbl_Kalender[[#This Row],[Datum]])</f>
        <v>2027</v>
      </c>
      <c r="C1382">
        <f>DAY(tbl_Kalender[[#This Row],[Datum]])</f>
        <v>12</v>
      </c>
      <c r="D1382" t="str">
        <f>TEXT(tbl_Kalender[[#This Row],[Datum]],"TTTT")</f>
        <v>Dienstag</v>
      </c>
      <c r="E1382">
        <f>WEEKDAY(tbl_Kalender[[#This Row],[Datum]],2)</f>
        <v>2</v>
      </c>
      <c r="F1382">
        <f>MONTH(tbl_Kalender[[#This Row],[Datum]])</f>
        <v>10</v>
      </c>
      <c r="G1382" t="str">
        <f>TEXT(tbl_Kalender[[#This Row],[Datum]],"MMMM")</f>
        <v>Oktober</v>
      </c>
      <c r="H1382">
        <f>ROUNDUP(tbl_Kalender[[#This Row],[Monat]]/3,0)</f>
        <v>4</v>
      </c>
      <c r="I1382" t="str">
        <f>"Q "&amp;tbl_Kalender[[#This Row],[Quartal]]</f>
        <v>Q 4</v>
      </c>
      <c r="J1382" t="str">
        <f>tbl_Kalender[[#This Row],[Quartal]]&amp;". Quartal"</f>
        <v>4. Quartal</v>
      </c>
      <c r="K1382">
        <f>_xlfn.ISOWEEKNUM(tbl_Kalender[[#This Row],[Datum]])</f>
        <v>41</v>
      </c>
    </row>
    <row r="1383" spans="1:11" x14ac:dyDescent="0.25">
      <c r="A1383" s="1">
        <v>46673</v>
      </c>
      <c r="B1383">
        <f>YEAR(tbl_Kalender[[#This Row],[Datum]])</f>
        <v>2027</v>
      </c>
      <c r="C1383">
        <f>DAY(tbl_Kalender[[#This Row],[Datum]])</f>
        <v>13</v>
      </c>
      <c r="D1383" t="str">
        <f>TEXT(tbl_Kalender[[#This Row],[Datum]],"TTTT")</f>
        <v>Mittwoch</v>
      </c>
      <c r="E1383">
        <f>WEEKDAY(tbl_Kalender[[#This Row],[Datum]],2)</f>
        <v>3</v>
      </c>
      <c r="F1383">
        <f>MONTH(tbl_Kalender[[#This Row],[Datum]])</f>
        <v>10</v>
      </c>
      <c r="G1383" t="str">
        <f>TEXT(tbl_Kalender[[#This Row],[Datum]],"MMMM")</f>
        <v>Oktober</v>
      </c>
      <c r="H1383">
        <f>ROUNDUP(tbl_Kalender[[#This Row],[Monat]]/3,0)</f>
        <v>4</v>
      </c>
      <c r="I1383" t="str">
        <f>"Q "&amp;tbl_Kalender[[#This Row],[Quartal]]</f>
        <v>Q 4</v>
      </c>
      <c r="J1383" t="str">
        <f>tbl_Kalender[[#This Row],[Quartal]]&amp;". Quartal"</f>
        <v>4. Quartal</v>
      </c>
      <c r="K1383">
        <f>_xlfn.ISOWEEKNUM(tbl_Kalender[[#This Row],[Datum]])</f>
        <v>41</v>
      </c>
    </row>
    <row r="1384" spans="1:11" x14ac:dyDescent="0.25">
      <c r="A1384" s="1">
        <v>46674</v>
      </c>
      <c r="B1384">
        <f>YEAR(tbl_Kalender[[#This Row],[Datum]])</f>
        <v>2027</v>
      </c>
      <c r="C1384">
        <f>DAY(tbl_Kalender[[#This Row],[Datum]])</f>
        <v>14</v>
      </c>
      <c r="D1384" t="str">
        <f>TEXT(tbl_Kalender[[#This Row],[Datum]],"TTTT")</f>
        <v>Donnerstag</v>
      </c>
      <c r="E1384">
        <f>WEEKDAY(tbl_Kalender[[#This Row],[Datum]],2)</f>
        <v>4</v>
      </c>
      <c r="F1384">
        <f>MONTH(tbl_Kalender[[#This Row],[Datum]])</f>
        <v>10</v>
      </c>
      <c r="G1384" t="str">
        <f>TEXT(tbl_Kalender[[#This Row],[Datum]],"MMMM")</f>
        <v>Oktober</v>
      </c>
      <c r="H1384">
        <f>ROUNDUP(tbl_Kalender[[#This Row],[Monat]]/3,0)</f>
        <v>4</v>
      </c>
      <c r="I1384" t="str">
        <f>"Q "&amp;tbl_Kalender[[#This Row],[Quartal]]</f>
        <v>Q 4</v>
      </c>
      <c r="J1384" t="str">
        <f>tbl_Kalender[[#This Row],[Quartal]]&amp;". Quartal"</f>
        <v>4. Quartal</v>
      </c>
      <c r="K1384">
        <f>_xlfn.ISOWEEKNUM(tbl_Kalender[[#This Row],[Datum]])</f>
        <v>41</v>
      </c>
    </row>
    <row r="1385" spans="1:11" x14ac:dyDescent="0.25">
      <c r="A1385" s="1">
        <v>46675</v>
      </c>
      <c r="B1385">
        <f>YEAR(tbl_Kalender[[#This Row],[Datum]])</f>
        <v>2027</v>
      </c>
      <c r="C1385">
        <f>DAY(tbl_Kalender[[#This Row],[Datum]])</f>
        <v>15</v>
      </c>
      <c r="D1385" t="str">
        <f>TEXT(tbl_Kalender[[#This Row],[Datum]],"TTTT")</f>
        <v>Freitag</v>
      </c>
      <c r="E1385">
        <f>WEEKDAY(tbl_Kalender[[#This Row],[Datum]],2)</f>
        <v>5</v>
      </c>
      <c r="F1385">
        <f>MONTH(tbl_Kalender[[#This Row],[Datum]])</f>
        <v>10</v>
      </c>
      <c r="G1385" t="str">
        <f>TEXT(tbl_Kalender[[#This Row],[Datum]],"MMMM")</f>
        <v>Oktober</v>
      </c>
      <c r="H1385">
        <f>ROUNDUP(tbl_Kalender[[#This Row],[Monat]]/3,0)</f>
        <v>4</v>
      </c>
      <c r="I1385" t="str">
        <f>"Q "&amp;tbl_Kalender[[#This Row],[Quartal]]</f>
        <v>Q 4</v>
      </c>
      <c r="J1385" t="str">
        <f>tbl_Kalender[[#This Row],[Quartal]]&amp;". Quartal"</f>
        <v>4. Quartal</v>
      </c>
      <c r="K1385">
        <f>_xlfn.ISOWEEKNUM(tbl_Kalender[[#This Row],[Datum]])</f>
        <v>41</v>
      </c>
    </row>
    <row r="1386" spans="1:11" x14ac:dyDescent="0.25">
      <c r="A1386" s="1">
        <v>46676</v>
      </c>
      <c r="B1386">
        <f>YEAR(tbl_Kalender[[#This Row],[Datum]])</f>
        <v>2027</v>
      </c>
      <c r="C1386">
        <f>DAY(tbl_Kalender[[#This Row],[Datum]])</f>
        <v>16</v>
      </c>
      <c r="D1386" t="str">
        <f>TEXT(tbl_Kalender[[#This Row],[Datum]],"TTTT")</f>
        <v>Samstag</v>
      </c>
      <c r="E1386">
        <f>WEEKDAY(tbl_Kalender[[#This Row],[Datum]],2)</f>
        <v>6</v>
      </c>
      <c r="F1386">
        <f>MONTH(tbl_Kalender[[#This Row],[Datum]])</f>
        <v>10</v>
      </c>
      <c r="G1386" t="str">
        <f>TEXT(tbl_Kalender[[#This Row],[Datum]],"MMMM")</f>
        <v>Oktober</v>
      </c>
      <c r="H1386">
        <f>ROUNDUP(tbl_Kalender[[#This Row],[Monat]]/3,0)</f>
        <v>4</v>
      </c>
      <c r="I1386" t="str">
        <f>"Q "&amp;tbl_Kalender[[#This Row],[Quartal]]</f>
        <v>Q 4</v>
      </c>
      <c r="J1386" t="str">
        <f>tbl_Kalender[[#This Row],[Quartal]]&amp;". Quartal"</f>
        <v>4. Quartal</v>
      </c>
      <c r="K1386">
        <f>_xlfn.ISOWEEKNUM(tbl_Kalender[[#This Row],[Datum]])</f>
        <v>41</v>
      </c>
    </row>
    <row r="1387" spans="1:11" x14ac:dyDescent="0.25">
      <c r="A1387" s="1">
        <v>46677</v>
      </c>
      <c r="B1387">
        <f>YEAR(tbl_Kalender[[#This Row],[Datum]])</f>
        <v>2027</v>
      </c>
      <c r="C1387">
        <f>DAY(tbl_Kalender[[#This Row],[Datum]])</f>
        <v>17</v>
      </c>
      <c r="D1387" t="str">
        <f>TEXT(tbl_Kalender[[#This Row],[Datum]],"TTTT")</f>
        <v>Sonntag</v>
      </c>
      <c r="E1387">
        <f>WEEKDAY(tbl_Kalender[[#This Row],[Datum]],2)</f>
        <v>7</v>
      </c>
      <c r="F1387">
        <f>MONTH(tbl_Kalender[[#This Row],[Datum]])</f>
        <v>10</v>
      </c>
      <c r="G1387" t="str">
        <f>TEXT(tbl_Kalender[[#This Row],[Datum]],"MMMM")</f>
        <v>Oktober</v>
      </c>
      <c r="H1387">
        <f>ROUNDUP(tbl_Kalender[[#This Row],[Monat]]/3,0)</f>
        <v>4</v>
      </c>
      <c r="I1387" t="str">
        <f>"Q "&amp;tbl_Kalender[[#This Row],[Quartal]]</f>
        <v>Q 4</v>
      </c>
      <c r="J1387" t="str">
        <f>tbl_Kalender[[#This Row],[Quartal]]&amp;". Quartal"</f>
        <v>4. Quartal</v>
      </c>
      <c r="K1387">
        <f>_xlfn.ISOWEEKNUM(tbl_Kalender[[#This Row],[Datum]])</f>
        <v>41</v>
      </c>
    </row>
    <row r="1388" spans="1:11" x14ac:dyDescent="0.25">
      <c r="A1388" s="1">
        <v>46678</v>
      </c>
      <c r="B1388">
        <f>YEAR(tbl_Kalender[[#This Row],[Datum]])</f>
        <v>2027</v>
      </c>
      <c r="C1388">
        <f>DAY(tbl_Kalender[[#This Row],[Datum]])</f>
        <v>18</v>
      </c>
      <c r="D1388" t="str">
        <f>TEXT(tbl_Kalender[[#This Row],[Datum]],"TTTT")</f>
        <v>Montag</v>
      </c>
      <c r="E1388">
        <f>WEEKDAY(tbl_Kalender[[#This Row],[Datum]],2)</f>
        <v>1</v>
      </c>
      <c r="F1388">
        <f>MONTH(tbl_Kalender[[#This Row],[Datum]])</f>
        <v>10</v>
      </c>
      <c r="G1388" t="str">
        <f>TEXT(tbl_Kalender[[#This Row],[Datum]],"MMMM")</f>
        <v>Oktober</v>
      </c>
      <c r="H1388">
        <f>ROUNDUP(tbl_Kalender[[#This Row],[Monat]]/3,0)</f>
        <v>4</v>
      </c>
      <c r="I1388" t="str">
        <f>"Q "&amp;tbl_Kalender[[#This Row],[Quartal]]</f>
        <v>Q 4</v>
      </c>
      <c r="J1388" t="str">
        <f>tbl_Kalender[[#This Row],[Quartal]]&amp;". Quartal"</f>
        <v>4. Quartal</v>
      </c>
      <c r="K1388">
        <f>_xlfn.ISOWEEKNUM(tbl_Kalender[[#This Row],[Datum]])</f>
        <v>42</v>
      </c>
    </row>
    <row r="1389" spans="1:11" x14ac:dyDescent="0.25">
      <c r="A1389" s="1">
        <v>46679</v>
      </c>
      <c r="B1389">
        <f>YEAR(tbl_Kalender[[#This Row],[Datum]])</f>
        <v>2027</v>
      </c>
      <c r="C1389">
        <f>DAY(tbl_Kalender[[#This Row],[Datum]])</f>
        <v>19</v>
      </c>
      <c r="D1389" t="str">
        <f>TEXT(tbl_Kalender[[#This Row],[Datum]],"TTTT")</f>
        <v>Dienstag</v>
      </c>
      <c r="E1389">
        <f>WEEKDAY(tbl_Kalender[[#This Row],[Datum]],2)</f>
        <v>2</v>
      </c>
      <c r="F1389">
        <f>MONTH(tbl_Kalender[[#This Row],[Datum]])</f>
        <v>10</v>
      </c>
      <c r="G1389" t="str">
        <f>TEXT(tbl_Kalender[[#This Row],[Datum]],"MMMM")</f>
        <v>Oktober</v>
      </c>
      <c r="H1389">
        <f>ROUNDUP(tbl_Kalender[[#This Row],[Monat]]/3,0)</f>
        <v>4</v>
      </c>
      <c r="I1389" t="str">
        <f>"Q "&amp;tbl_Kalender[[#This Row],[Quartal]]</f>
        <v>Q 4</v>
      </c>
      <c r="J1389" t="str">
        <f>tbl_Kalender[[#This Row],[Quartal]]&amp;". Quartal"</f>
        <v>4. Quartal</v>
      </c>
      <c r="K1389">
        <f>_xlfn.ISOWEEKNUM(tbl_Kalender[[#This Row],[Datum]])</f>
        <v>42</v>
      </c>
    </row>
    <row r="1390" spans="1:11" x14ac:dyDescent="0.25">
      <c r="A1390" s="1">
        <v>46680</v>
      </c>
      <c r="B1390">
        <f>YEAR(tbl_Kalender[[#This Row],[Datum]])</f>
        <v>2027</v>
      </c>
      <c r="C1390">
        <f>DAY(tbl_Kalender[[#This Row],[Datum]])</f>
        <v>20</v>
      </c>
      <c r="D1390" t="str">
        <f>TEXT(tbl_Kalender[[#This Row],[Datum]],"TTTT")</f>
        <v>Mittwoch</v>
      </c>
      <c r="E1390">
        <f>WEEKDAY(tbl_Kalender[[#This Row],[Datum]],2)</f>
        <v>3</v>
      </c>
      <c r="F1390">
        <f>MONTH(tbl_Kalender[[#This Row],[Datum]])</f>
        <v>10</v>
      </c>
      <c r="G1390" t="str">
        <f>TEXT(tbl_Kalender[[#This Row],[Datum]],"MMMM")</f>
        <v>Oktober</v>
      </c>
      <c r="H1390">
        <f>ROUNDUP(tbl_Kalender[[#This Row],[Monat]]/3,0)</f>
        <v>4</v>
      </c>
      <c r="I1390" t="str">
        <f>"Q "&amp;tbl_Kalender[[#This Row],[Quartal]]</f>
        <v>Q 4</v>
      </c>
      <c r="J1390" t="str">
        <f>tbl_Kalender[[#This Row],[Quartal]]&amp;". Quartal"</f>
        <v>4. Quartal</v>
      </c>
      <c r="K1390">
        <f>_xlfn.ISOWEEKNUM(tbl_Kalender[[#This Row],[Datum]])</f>
        <v>42</v>
      </c>
    </row>
    <row r="1391" spans="1:11" x14ac:dyDescent="0.25">
      <c r="A1391" s="1">
        <v>46681</v>
      </c>
      <c r="B1391">
        <f>YEAR(tbl_Kalender[[#This Row],[Datum]])</f>
        <v>2027</v>
      </c>
      <c r="C1391">
        <f>DAY(tbl_Kalender[[#This Row],[Datum]])</f>
        <v>21</v>
      </c>
      <c r="D1391" t="str">
        <f>TEXT(tbl_Kalender[[#This Row],[Datum]],"TTTT")</f>
        <v>Donnerstag</v>
      </c>
      <c r="E1391">
        <f>WEEKDAY(tbl_Kalender[[#This Row],[Datum]],2)</f>
        <v>4</v>
      </c>
      <c r="F1391">
        <f>MONTH(tbl_Kalender[[#This Row],[Datum]])</f>
        <v>10</v>
      </c>
      <c r="G1391" t="str">
        <f>TEXT(tbl_Kalender[[#This Row],[Datum]],"MMMM")</f>
        <v>Oktober</v>
      </c>
      <c r="H1391">
        <f>ROUNDUP(tbl_Kalender[[#This Row],[Monat]]/3,0)</f>
        <v>4</v>
      </c>
      <c r="I1391" t="str">
        <f>"Q "&amp;tbl_Kalender[[#This Row],[Quartal]]</f>
        <v>Q 4</v>
      </c>
      <c r="J1391" t="str">
        <f>tbl_Kalender[[#This Row],[Quartal]]&amp;". Quartal"</f>
        <v>4. Quartal</v>
      </c>
      <c r="K1391">
        <f>_xlfn.ISOWEEKNUM(tbl_Kalender[[#This Row],[Datum]])</f>
        <v>42</v>
      </c>
    </row>
    <row r="1392" spans="1:11" x14ac:dyDescent="0.25">
      <c r="A1392" s="1">
        <v>46682</v>
      </c>
      <c r="B1392">
        <f>YEAR(tbl_Kalender[[#This Row],[Datum]])</f>
        <v>2027</v>
      </c>
      <c r="C1392">
        <f>DAY(tbl_Kalender[[#This Row],[Datum]])</f>
        <v>22</v>
      </c>
      <c r="D1392" t="str">
        <f>TEXT(tbl_Kalender[[#This Row],[Datum]],"TTTT")</f>
        <v>Freitag</v>
      </c>
      <c r="E1392">
        <f>WEEKDAY(tbl_Kalender[[#This Row],[Datum]],2)</f>
        <v>5</v>
      </c>
      <c r="F1392">
        <f>MONTH(tbl_Kalender[[#This Row],[Datum]])</f>
        <v>10</v>
      </c>
      <c r="G1392" t="str">
        <f>TEXT(tbl_Kalender[[#This Row],[Datum]],"MMMM")</f>
        <v>Oktober</v>
      </c>
      <c r="H1392">
        <f>ROUNDUP(tbl_Kalender[[#This Row],[Monat]]/3,0)</f>
        <v>4</v>
      </c>
      <c r="I1392" t="str">
        <f>"Q "&amp;tbl_Kalender[[#This Row],[Quartal]]</f>
        <v>Q 4</v>
      </c>
      <c r="J1392" t="str">
        <f>tbl_Kalender[[#This Row],[Quartal]]&amp;". Quartal"</f>
        <v>4. Quartal</v>
      </c>
      <c r="K1392">
        <f>_xlfn.ISOWEEKNUM(tbl_Kalender[[#This Row],[Datum]])</f>
        <v>42</v>
      </c>
    </row>
    <row r="1393" spans="1:11" x14ac:dyDescent="0.25">
      <c r="A1393" s="1">
        <v>46683</v>
      </c>
      <c r="B1393">
        <f>YEAR(tbl_Kalender[[#This Row],[Datum]])</f>
        <v>2027</v>
      </c>
      <c r="C1393">
        <f>DAY(tbl_Kalender[[#This Row],[Datum]])</f>
        <v>23</v>
      </c>
      <c r="D1393" t="str">
        <f>TEXT(tbl_Kalender[[#This Row],[Datum]],"TTTT")</f>
        <v>Samstag</v>
      </c>
      <c r="E1393">
        <f>WEEKDAY(tbl_Kalender[[#This Row],[Datum]],2)</f>
        <v>6</v>
      </c>
      <c r="F1393">
        <f>MONTH(tbl_Kalender[[#This Row],[Datum]])</f>
        <v>10</v>
      </c>
      <c r="G1393" t="str">
        <f>TEXT(tbl_Kalender[[#This Row],[Datum]],"MMMM")</f>
        <v>Oktober</v>
      </c>
      <c r="H1393">
        <f>ROUNDUP(tbl_Kalender[[#This Row],[Monat]]/3,0)</f>
        <v>4</v>
      </c>
      <c r="I1393" t="str">
        <f>"Q "&amp;tbl_Kalender[[#This Row],[Quartal]]</f>
        <v>Q 4</v>
      </c>
      <c r="J1393" t="str">
        <f>tbl_Kalender[[#This Row],[Quartal]]&amp;". Quartal"</f>
        <v>4. Quartal</v>
      </c>
      <c r="K1393">
        <f>_xlfn.ISOWEEKNUM(tbl_Kalender[[#This Row],[Datum]])</f>
        <v>42</v>
      </c>
    </row>
    <row r="1394" spans="1:11" x14ac:dyDescent="0.25">
      <c r="A1394" s="1">
        <v>46684</v>
      </c>
      <c r="B1394">
        <f>YEAR(tbl_Kalender[[#This Row],[Datum]])</f>
        <v>2027</v>
      </c>
      <c r="C1394">
        <f>DAY(tbl_Kalender[[#This Row],[Datum]])</f>
        <v>24</v>
      </c>
      <c r="D1394" t="str">
        <f>TEXT(tbl_Kalender[[#This Row],[Datum]],"TTTT")</f>
        <v>Sonntag</v>
      </c>
      <c r="E1394">
        <f>WEEKDAY(tbl_Kalender[[#This Row],[Datum]],2)</f>
        <v>7</v>
      </c>
      <c r="F1394">
        <f>MONTH(tbl_Kalender[[#This Row],[Datum]])</f>
        <v>10</v>
      </c>
      <c r="G1394" t="str">
        <f>TEXT(tbl_Kalender[[#This Row],[Datum]],"MMMM")</f>
        <v>Oktober</v>
      </c>
      <c r="H1394">
        <f>ROUNDUP(tbl_Kalender[[#This Row],[Monat]]/3,0)</f>
        <v>4</v>
      </c>
      <c r="I1394" t="str">
        <f>"Q "&amp;tbl_Kalender[[#This Row],[Quartal]]</f>
        <v>Q 4</v>
      </c>
      <c r="J1394" t="str">
        <f>tbl_Kalender[[#This Row],[Quartal]]&amp;". Quartal"</f>
        <v>4. Quartal</v>
      </c>
      <c r="K1394">
        <f>_xlfn.ISOWEEKNUM(tbl_Kalender[[#This Row],[Datum]])</f>
        <v>42</v>
      </c>
    </row>
    <row r="1395" spans="1:11" x14ac:dyDescent="0.25">
      <c r="A1395" s="1">
        <v>46685</v>
      </c>
      <c r="B1395">
        <f>YEAR(tbl_Kalender[[#This Row],[Datum]])</f>
        <v>2027</v>
      </c>
      <c r="C1395">
        <f>DAY(tbl_Kalender[[#This Row],[Datum]])</f>
        <v>25</v>
      </c>
      <c r="D1395" t="str">
        <f>TEXT(tbl_Kalender[[#This Row],[Datum]],"TTTT")</f>
        <v>Montag</v>
      </c>
      <c r="E1395">
        <f>WEEKDAY(tbl_Kalender[[#This Row],[Datum]],2)</f>
        <v>1</v>
      </c>
      <c r="F1395">
        <f>MONTH(tbl_Kalender[[#This Row],[Datum]])</f>
        <v>10</v>
      </c>
      <c r="G1395" t="str">
        <f>TEXT(tbl_Kalender[[#This Row],[Datum]],"MMMM")</f>
        <v>Oktober</v>
      </c>
      <c r="H1395">
        <f>ROUNDUP(tbl_Kalender[[#This Row],[Monat]]/3,0)</f>
        <v>4</v>
      </c>
      <c r="I1395" t="str">
        <f>"Q "&amp;tbl_Kalender[[#This Row],[Quartal]]</f>
        <v>Q 4</v>
      </c>
      <c r="J1395" t="str">
        <f>tbl_Kalender[[#This Row],[Quartal]]&amp;". Quartal"</f>
        <v>4. Quartal</v>
      </c>
      <c r="K1395">
        <f>_xlfn.ISOWEEKNUM(tbl_Kalender[[#This Row],[Datum]])</f>
        <v>43</v>
      </c>
    </row>
    <row r="1396" spans="1:11" x14ac:dyDescent="0.25">
      <c r="A1396" s="1">
        <v>46686</v>
      </c>
      <c r="B1396">
        <f>YEAR(tbl_Kalender[[#This Row],[Datum]])</f>
        <v>2027</v>
      </c>
      <c r="C1396">
        <f>DAY(tbl_Kalender[[#This Row],[Datum]])</f>
        <v>26</v>
      </c>
      <c r="D1396" t="str">
        <f>TEXT(tbl_Kalender[[#This Row],[Datum]],"TTTT")</f>
        <v>Dienstag</v>
      </c>
      <c r="E1396">
        <f>WEEKDAY(tbl_Kalender[[#This Row],[Datum]],2)</f>
        <v>2</v>
      </c>
      <c r="F1396">
        <f>MONTH(tbl_Kalender[[#This Row],[Datum]])</f>
        <v>10</v>
      </c>
      <c r="G1396" t="str">
        <f>TEXT(tbl_Kalender[[#This Row],[Datum]],"MMMM")</f>
        <v>Oktober</v>
      </c>
      <c r="H1396">
        <f>ROUNDUP(tbl_Kalender[[#This Row],[Monat]]/3,0)</f>
        <v>4</v>
      </c>
      <c r="I1396" t="str">
        <f>"Q "&amp;tbl_Kalender[[#This Row],[Quartal]]</f>
        <v>Q 4</v>
      </c>
      <c r="J1396" t="str">
        <f>tbl_Kalender[[#This Row],[Quartal]]&amp;". Quartal"</f>
        <v>4. Quartal</v>
      </c>
      <c r="K1396">
        <f>_xlfn.ISOWEEKNUM(tbl_Kalender[[#This Row],[Datum]])</f>
        <v>43</v>
      </c>
    </row>
    <row r="1397" spans="1:11" x14ac:dyDescent="0.25">
      <c r="A1397" s="1">
        <v>46687</v>
      </c>
      <c r="B1397">
        <f>YEAR(tbl_Kalender[[#This Row],[Datum]])</f>
        <v>2027</v>
      </c>
      <c r="C1397">
        <f>DAY(tbl_Kalender[[#This Row],[Datum]])</f>
        <v>27</v>
      </c>
      <c r="D1397" t="str">
        <f>TEXT(tbl_Kalender[[#This Row],[Datum]],"TTTT")</f>
        <v>Mittwoch</v>
      </c>
      <c r="E1397">
        <f>WEEKDAY(tbl_Kalender[[#This Row],[Datum]],2)</f>
        <v>3</v>
      </c>
      <c r="F1397">
        <f>MONTH(tbl_Kalender[[#This Row],[Datum]])</f>
        <v>10</v>
      </c>
      <c r="G1397" t="str">
        <f>TEXT(tbl_Kalender[[#This Row],[Datum]],"MMMM")</f>
        <v>Oktober</v>
      </c>
      <c r="H1397">
        <f>ROUNDUP(tbl_Kalender[[#This Row],[Monat]]/3,0)</f>
        <v>4</v>
      </c>
      <c r="I1397" t="str">
        <f>"Q "&amp;tbl_Kalender[[#This Row],[Quartal]]</f>
        <v>Q 4</v>
      </c>
      <c r="J1397" t="str">
        <f>tbl_Kalender[[#This Row],[Quartal]]&amp;". Quartal"</f>
        <v>4. Quartal</v>
      </c>
      <c r="K1397">
        <f>_xlfn.ISOWEEKNUM(tbl_Kalender[[#This Row],[Datum]])</f>
        <v>43</v>
      </c>
    </row>
    <row r="1398" spans="1:11" x14ac:dyDescent="0.25">
      <c r="A1398" s="1">
        <v>46688</v>
      </c>
      <c r="B1398">
        <f>YEAR(tbl_Kalender[[#This Row],[Datum]])</f>
        <v>2027</v>
      </c>
      <c r="C1398">
        <f>DAY(tbl_Kalender[[#This Row],[Datum]])</f>
        <v>28</v>
      </c>
      <c r="D1398" t="str">
        <f>TEXT(tbl_Kalender[[#This Row],[Datum]],"TTTT")</f>
        <v>Donnerstag</v>
      </c>
      <c r="E1398">
        <f>WEEKDAY(tbl_Kalender[[#This Row],[Datum]],2)</f>
        <v>4</v>
      </c>
      <c r="F1398">
        <f>MONTH(tbl_Kalender[[#This Row],[Datum]])</f>
        <v>10</v>
      </c>
      <c r="G1398" t="str">
        <f>TEXT(tbl_Kalender[[#This Row],[Datum]],"MMMM")</f>
        <v>Oktober</v>
      </c>
      <c r="H1398">
        <f>ROUNDUP(tbl_Kalender[[#This Row],[Monat]]/3,0)</f>
        <v>4</v>
      </c>
      <c r="I1398" t="str">
        <f>"Q "&amp;tbl_Kalender[[#This Row],[Quartal]]</f>
        <v>Q 4</v>
      </c>
      <c r="J1398" t="str">
        <f>tbl_Kalender[[#This Row],[Quartal]]&amp;". Quartal"</f>
        <v>4. Quartal</v>
      </c>
      <c r="K1398">
        <f>_xlfn.ISOWEEKNUM(tbl_Kalender[[#This Row],[Datum]])</f>
        <v>43</v>
      </c>
    </row>
    <row r="1399" spans="1:11" x14ac:dyDescent="0.25">
      <c r="A1399" s="1">
        <v>46689</v>
      </c>
      <c r="B1399">
        <f>YEAR(tbl_Kalender[[#This Row],[Datum]])</f>
        <v>2027</v>
      </c>
      <c r="C1399">
        <f>DAY(tbl_Kalender[[#This Row],[Datum]])</f>
        <v>29</v>
      </c>
      <c r="D1399" t="str">
        <f>TEXT(tbl_Kalender[[#This Row],[Datum]],"TTTT")</f>
        <v>Freitag</v>
      </c>
      <c r="E1399">
        <f>WEEKDAY(tbl_Kalender[[#This Row],[Datum]],2)</f>
        <v>5</v>
      </c>
      <c r="F1399">
        <f>MONTH(tbl_Kalender[[#This Row],[Datum]])</f>
        <v>10</v>
      </c>
      <c r="G1399" t="str">
        <f>TEXT(tbl_Kalender[[#This Row],[Datum]],"MMMM")</f>
        <v>Oktober</v>
      </c>
      <c r="H1399">
        <f>ROUNDUP(tbl_Kalender[[#This Row],[Monat]]/3,0)</f>
        <v>4</v>
      </c>
      <c r="I1399" t="str">
        <f>"Q "&amp;tbl_Kalender[[#This Row],[Quartal]]</f>
        <v>Q 4</v>
      </c>
      <c r="J1399" t="str">
        <f>tbl_Kalender[[#This Row],[Quartal]]&amp;". Quartal"</f>
        <v>4. Quartal</v>
      </c>
      <c r="K1399">
        <f>_xlfn.ISOWEEKNUM(tbl_Kalender[[#This Row],[Datum]])</f>
        <v>43</v>
      </c>
    </row>
    <row r="1400" spans="1:11" x14ac:dyDescent="0.25">
      <c r="A1400" s="1">
        <v>46690</v>
      </c>
      <c r="B1400">
        <f>YEAR(tbl_Kalender[[#This Row],[Datum]])</f>
        <v>2027</v>
      </c>
      <c r="C1400">
        <f>DAY(tbl_Kalender[[#This Row],[Datum]])</f>
        <v>30</v>
      </c>
      <c r="D1400" t="str">
        <f>TEXT(tbl_Kalender[[#This Row],[Datum]],"TTTT")</f>
        <v>Samstag</v>
      </c>
      <c r="E1400">
        <f>WEEKDAY(tbl_Kalender[[#This Row],[Datum]],2)</f>
        <v>6</v>
      </c>
      <c r="F1400">
        <f>MONTH(tbl_Kalender[[#This Row],[Datum]])</f>
        <v>10</v>
      </c>
      <c r="G1400" t="str">
        <f>TEXT(tbl_Kalender[[#This Row],[Datum]],"MMMM")</f>
        <v>Oktober</v>
      </c>
      <c r="H1400">
        <f>ROUNDUP(tbl_Kalender[[#This Row],[Monat]]/3,0)</f>
        <v>4</v>
      </c>
      <c r="I1400" t="str">
        <f>"Q "&amp;tbl_Kalender[[#This Row],[Quartal]]</f>
        <v>Q 4</v>
      </c>
      <c r="J1400" t="str">
        <f>tbl_Kalender[[#This Row],[Quartal]]&amp;". Quartal"</f>
        <v>4. Quartal</v>
      </c>
      <c r="K1400">
        <f>_xlfn.ISOWEEKNUM(tbl_Kalender[[#This Row],[Datum]])</f>
        <v>43</v>
      </c>
    </row>
    <row r="1401" spans="1:11" x14ac:dyDescent="0.25">
      <c r="A1401" s="1">
        <v>46691</v>
      </c>
      <c r="B1401">
        <f>YEAR(tbl_Kalender[[#This Row],[Datum]])</f>
        <v>2027</v>
      </c>
      <c r="C1401">
        <f>DAY(tbl_Kalender[[#This Row],[Datum]])</f>
        <v>31</v>
      </c>
      <c r="D1401" t="str">
        <f>TEXT(tbl_Kalender[[#This Row],[Datum]],"TTTT")</f>
        <v>Sonntag</v>
      </c>
      <c r="E1401">
        <f>WEEKDAY(tbl_Kalender[[#This Row],[Datum]],2)</f>
        <v>7</v>
      </c>
      <c r="F1401">
        <f>MONTH(tbl_Kalender[[#This Row],[Datum]])</f>
        <v>10</v>
      </c>
      <c r="G1401" t="str">
        <f>TEXT(tbl_Kalender[[#This Row],[Datum]],"MMMM")</f>
        <v>Oktober</v>
      </c>
      <c r="H1401">
        <f>ROUNDUP(tbl_Kalender[[#This Row],[Monat]]/3,0)</f>
        <v>4</v>
      </c>
      <c r="I1401" t="str">
        <f>"Q "&amp;tbl_Kalender[[#This Row],[Quartal]]</f>
        <v>Q 4</v>
      </c>
      <c r="J1401" t="str">
        <f>tbl_Kalender[[#This Row],[Quartal]]&amp;". Quartal"</f>
        <v>4. Quartal</v>
      </c>
      <c r="K1401">
        <f>_xlfn.ISOWEEKNUM(tbl_Kalender[[#This Row],[Datum]])</f>
        <v>43</v>
      </c>
    </row>
    <row r="1402" spans="1:11" x14ac:dyDescent="0.25">
      <c r="A1402" s="1">
        <v>46692</v>
      </c>
      <c r="B1402">
        <f>YEAR(tbl_Kalender[[#This Row],[Datum]])</f>
        <v>2027</v>
      </c>
      <c r="C1402">
        <f>DAY(tbl_Kalender[[#This Row],[Datum]])</f>
        <v>1</v>
      </c>
      <c r="D1402" t="str">
        <f>TEXT(tbl_Kalender[[#This Row],[Datum]],"TTTT")</f>
        <v>Montag</v>
      </c>
      <c r="E1402">
        <f>WEEKDAY(tbl_Kalender[[#This Row],[Datum]],2)</f>
        <v>1</v>
      </c>
      <c r="F1402">
        <f>MONTH(tbl_Kalender[[#This Row],[Datum]])</f>
        <v>11</v>
      </c>
      <c r="G1402" t="str">
        <f>TEXT(tbl_Kalender[[#This Row],[Datum]],"MMMM")</f>
        <v>November</v>
      </c>
      <c r="H1402">
        <f>ROUNDUP(tbl_Kalender[[#This Row],[Monat]]/3,0)</f>
        <v>4</v>
      </c>
      <c r="I1402" t="str">
        <f>"Q "&amp;tbl_Kalender[[#This Row],[Quartal]]</f>
        <v>Q 4</v>
      </c>
      <c r="J1402" t="str">
        <f>tbl_Kalender[[#This Row],[Quartal]]&amp;". Quartal"</f>
        <v>4. Quartal</v>
      </c>
      <c r="K1402">
        <f>_xlfn.ISOWEEKNUM(tbl_Kalender[[#This Row],[Datum]])</f>
        <v>44</v>
      </c>
    </row>
    <row r="1403" spans="1:11" x14ac:dyDescent="0.25">
      <c r="A1403" s="1">
        <v>46693</v>
      </c>
      <c r="B1403">
        <f>YEAR(tbl_Kalender[[#This Row],[Datum]])</f>
        <v>2027</v>
      </c>
      <c r="C1403">
        <f>DAY(tbl_Kalender[[#This Row],[Datum]])</f>
        <v>2</v>
      </c>
      <c r="D1403" t="str">
        <f>TEXT(tbl_Kalender[[#This Row],[Datum]],"TTTT")</f>
        <v>Dienstag</v>
      </c>
      <c r="E1403">
        <f>WEEKDAY(tbl_Kalender[[#This Row],[Datum]],2)</f>
        <v>2</v>
      </c>
      <c r="F1403">
        <f>MONTH(tbl_Kalender[[#This Row],[Datum]])</f>
        <v>11</v>
      </c>
      <c r="G1403" t="str">
        <f>TEXT(tbl_Kalender[[#This Row],[Datum]],"MMMM")</f>
        <v>November</v>
      </c>
      <c r="H1403">
        <f>ROUNDUP(tbl_Kalender[[#This Row],[Monat]]/3,0)</f>
        <v>4</v>
      </c>
      <c r="I1403" t="str">
        <f>"Q "&amp;tbl_Kalender[[#This Row],[Quartal]]</f>
        <v>Q 4</v>
      </c>
      <c r="J1403" t="str">
        <f>tbl_Kalender[[#This Row],[Quartal]]&amp;". Quartal"</f>
        <v>4. Quartal</v>
      </c>
      <c r="K1403">
        <f>_xlfn.ISOWEEKNUM(tbl_Kalender[[#This Row],[Datum]])</f>
        <v>44</v>
      </c>
    </row>
    <row r="1404" spans="1:11" x14ac:dyDescent="0.25">
      <c r="A1404" s="1">
        <v>46694</v>
      </c>
      <c r="B1404">
        <f>YEAR(tbl_Kalender[[#This Row],[Datum]])</f>
        <v>2027</v>
      </c>
      <c r="C1404">
        <f>DAY(tbl_Kalender[[#This Row],[Datum]])</f>
        <v>3</v>
      </c>
      <c r="D1404" t="str">
        <f>TEXT(tbl_Kalender[[#This Row],[Datum]],"TTTT")</f>
        <v>Mittwoch</v>
      </c>
      <c r="E1404">
        <f>WEEKDAY(tbl_Kalender[[#This Row],[Datum]],2)</f>
        <v>3</v>
      </c>
      <c r="F1404">
        <f>MONTH(tbl_Kalender[[#This Row],[Datum]])</f>
        <v>11</v>
      </c>
      <c r="G1404" t="str">
        <f>TEXT(tbl_Kalender[[#This Row],[Datum]],"MMMM")</f>
        <v>November</v>
      </c>
      <c r="H1404">
        <f>ROUNDUP(tbl_Kalender[[#This Row],[Monat]]/3,0)</f>
        <v>4</v>
      </c>
      <c r="I1404" t="str">
        <f>"Q "&amp;tbl_Kalender[[#This Row],[Quartal]]</f>
        <v>Q 4</v>
      </c>
      <c r="J1404" t="str">
        <f>tbl_Kalender[[#This Row],[Quartal]]&amp;". Quartal"</f>
        <v>4. Quartal</v>
      </c>
      <c r="K1404">
        <f>_xlfn.ISOWEEKNUM(tbl_Kalender[[#This Row],[Datum]])</f>
        <v>44</v>
      </c>
    </row>
    <row r="1405" spans="1:11" x14ac:dyDescent="0.25">
      <c r="A1405" s="1">
        <v>46695</v>
      </c>
      <c r="B1405">
        <f>YEAR(tbl_Kalender[[#This Row],[Datum]])</f>
        <v>2027</v>
      </c>
      <c r="C1405">
        <f>DAY(tbl_Kalender[[#This Row],[Datum]])</f>
        <v>4</v>
      </c>
      <c r="D1405" t="str">
        <f>TEXT(tbl_Kalender[[#This Row],[Datum]],"TTTT")</f>
        <v>Donnerstag</v>
      </c>
      <c r="E1405">
        <f>WEEKDAY(tbl_Kalender[[#This Row],[Datum]],2)</f>
        <v>4</v>
      </c>
      <c r="F1405">
        <f>MONTH(tbl_Kalender[[#This Row],[Datum]])</f>
        <v>11</v>
      </c>
      <c r="G1405" t="str">
        <f>TEXT(tbl_Kalender[[#This Row],[Datum]],"MMMM")</f>
        <v>November</v>
      </c>
      <c r="H1405">
        <f>ROUNDUP(tbl_Kalender[[#This Row],[Monat]]/3,0)</f>
        <v>4</v>
      </c>
      <c r="I1405" t="str">
        <f>"Q "&amp;tbl_Kalender[[#This Row],[Quartal]]</f>
        <v>Q 4</v>
      </c>
      <c r="J1405" t="str">
        <f>tbl_Kalender[[#This Row],[Quartal]]&amp;". Quartal"</f>
        <v>4. Quartal</v>
      </c>
      <c r="K1405">
        <f>_xlfn.ISOWEEKNUM(tbl_Kalender[[#This Row],[Datum]])</f>
        <v>44</v>
      </c>
    </row>
    <row r="1406" spans="1:11" x14ac:dyDescent="0.25">
      <c r="A1406" s="1">
        <v>46696</v>
      </c>
      <c r="B1406">
        <f>YEAR(tbl_Kalender[[#This Row],[Datum]])</f>
        <v>2027</v>
      </c>
      <c r="C1406">
        <f>DAY(tbl_Kalender[[#This Row],[Datum]])</f>
        <v>5</v>
      </c>
      <c r="D1406" t="str">
        <f>TEXT(tbl_Kalender[[#This Row],[Datum]],"TTTT")</f>
        <v>Freitag</v>
      </c>
      <c r="E1406">
        <f>WEEKDAY(tbl_Kalender[[#This Row],[Datum]],2)</f>
        <v>5</v>
      </c>
      <c r="F1406">
        <f>MONTH(tbl_Kalender[[#This Row],[Datum]])</f>
        <v>11</v>
      </c>
      <c r="G1406" t="str">
        <f>TEXT(tbl_Kalender[[#This Row],[Datum]],"MMMM")</f>
        <v>November</v>
      </c>
      <c r="H1406">
        <f>ROUNDUP(tbl_Kalender[[#This Row],[Monat]]/3,0)</f>
        <v>4</v>
      </c>
      <c r="I1406" t="str">
        <f>"Q "&amp;tbl_Kalender[[#This Row],[Quartal]]</f>
        <v>Q 4</v>
      </c>
      <c r="J1406" t="str">
        <f>tbl_Kalender[[#This Row],[Quartal]]&amp;". Quartal"</f>
        <v>4. Quartal</v>
      </c>
      <c r="K1406">
        <f>_xlfn.ISOWEEKNUM(tbl_Kalender[[#This Row],[Datum]])</f>
        <v>44</v>
      </c>
    </row>
    <row r="1407" spans="1:11" x14ac:dyDescent="0.25">
      <c r="A1407" s="1">
        <v>46697</v>
      </c>
      <c r="B1407">
        <f>YEAR(tbl_Kalender[[#This Row],[Datum]])</f>
        <v>2027</v>
      </c>
      <c r="C1407">
        <f>DAY(tbl_Kalender[[#This Row],[Datum]])</f>
        <v>6</v>
      </c>
      <c r="D1407" t="str">
        <f>TEXT(tbl_Kalender[[#This Row],[Datum]],"TTTT")</f>
        <v>Samstag</v>
      </c>
      <c r="E1407">
        <f>WEEKDAY(tbl_Kalender[[#This Row],[Datum]],2)</f>
        <v>6</v>
      </c>
      <c r="F1407">
        <f>MONTH(tbl_Kalender[[#This Row],[Datum]])</f>
        <v>11</v>
      </c>
      <c r="G1407" t="str">
        <f>TEXT(tbl_Kalender[[#This Row],[Datum]],"MMMM")</f>
        <v>November</v>
      </c>
      <c r="H1407">
        <f>ROUNDUP(tbl_Kalender[[#This Row],[Monat]]/3,0)</f>
        <v>4</v>
      </c>
      <c r="I1407" t="str">
        <f>"Q "&amp;tbl_Kalender[[#This Row],[Quartal]]</f>
        <v>Q 4</v>
      </c>
      <c r="J1407" t="str">
        <f>tbl_Kalender[[#This Row],[Quartal]]&amp;". Quartal"</f>
        <v>4. Quartal</v>
      </c>
      <c r="K1407">
        <f>_xlfn.ISOWEEKNUM(tbl_Kalender[[#This Row],[Datum]])</f>
        <v>44</v>
      </c>
    </row>
    <row r="1408" spans="1:11" x14ac:dyDescent="0.25">
      <c r="A1408" s="1">
        <v>46698</v>
      </c>
      <c r="B1408">
        <f>YEAR(tbl_Kalender[[#This Row],[Datum]])</f>
        <v>2027</v>
      </c>
      <c r="C1408">
        <f>DAY(tbl_Kalender[[#This Row],[Datum]])</f>
        <v>7</v>
      </c>
      <c r="D1408" t="str">
        <f>TEXT(tbl_Kalender[[#This Row],[Datum]],"TTTT")</f>
        <v>Sonntag</v>
      </c>
      <c r="E1408">
        <f>WEEKDAY(tbl_Kalender[[#This Row],[Datum]],2)</f>
        <v>7</v>
      </c>
      <c r="F1408">
        <f>MONTH(tbl_Kalender[[#This Row],[Datum]])</f>
        <v>11</v>
      </c>
      <c r="G1408" t="str">
        <f>TEXT(tbl_Kalender[[#This Row],[Datum]],"MMMM")</f>
        <v>November</v>
      </c>
      <c r="H1408">
        <f>ROUNDUP(tbl_Kalender[[#This Row],[Monat]]/3,0)</f>
        <v>4</v>
      </c>
      <c r="I1408" t="str">
        <f>"Q "&amp;tbl_Kalender[[#This Row],[Quartal]]</f>
        <v>Q 4</v>
      </c>
      <c r="J1408" t="str">
        <f>tbl_Kalender[[#This Row],[Quartal]]&amp;". Quartal"</f>
        <v>4. Quartal</v>
      </c>
      <c r="K1408">
        <f>_xlfn.ISOWEEKNUM(tbl_Kalender[[#This Row],[Datum]])</f>
        <v>44</v>
      </c>
    </row>
    <row r="1409" spans="1:11" x14ac:dyDescent="0.25">
      <c r="A1409" s="1">
        <v>46699</v>
      </c>
      <c r="B1409">
        <f>YEAR(tbl_Kalender[[#This Row],[Datum]])</f>
        <v>2027</v>
      </c>
      <c r="C1409">
        <f>DAY(tbl_Kalender[[#This Row],[Datum]])</f>
        <v>8</v>
      </c>
      <c r="D1409" t="str">
        <f>TEXT(tbl_Kalender[[#This Row],[Datum]],"TTTT")</f>
        <v>Montag</v>
      </c>
      <c r="E1409">
        <f>WEEKDAY(tbl_Kalender[[#This Row],[Datum]],2)</f>
        <v>1</v>
      </c>
      <c r="F1409">
        <f>MONTH(tbl_Kalender[[#This Row],[Datum]])</f>
        <v>11</v>
      </c>
      <c r="G1409" t="str">
        <f>TEXT(tbl_Kalender[[#This Row],[Datum]],"MMMM")</f>
        <v>November</v>
      </c>
      <c r="H1409">
        <f>ROUNDUP(tbl_Kalender[[#This Row],[Monat]]/3,0)</f>
        <v>4</v>
      </c>
      <c r="I1409" t="str">
        <f>"Q "&amp;tbl_Kalender[[#This Row],[Quartal]]</f>
        <v>Q 4</v>
      </c>
      <c r="J1409" t="str">
        <f>tbl_Kalender[[#This Row],[Quartal]]&amp;". Quartal"</f>
        <v>4. Quartal</v>
      </c>
      <c r="K1409">
        <f>_xlfn.ISOWEEKNUM(tbl_Kalender[[#This Row],[Datum]])</f>
        <v>45</v>
      </c>
    </row>
    <row r="1410" spans="1:11" x14ac:dyDescent="0.25">
      <c r="A1410" s="1">
        <v>46700</v>
      </c>
      <c r="B1410">
        <f>YEAR(tbl_Kalender[[#This Row],[Datum]])</f>
        <v>2027</v>
      </c>
      <c r="C1410">
        <f>DAY(tbl_Kalender[[#This Row],[Datum]])</f>
        <v>9</v>
      </c>
      <c r="D1410" t="str">
        <f>TEXT(tbl_Kalender[[#This Row],[Datum]],"TTTT")</f>
        <v>Dienstag</v>
      </c>
      <c r="E1410">
        <f>WEEKDAY(tbl_Kalender[[#This Row],[Datum]],2)</f>
        <v>2</v>
      </c>
      <c r="F1410">
        <f>MONTH(tbl_Kalender[[#This Row],[Datum]])</f>
        <v>11</v>
      </c>
      <c r="G1410" t="str">
        <f>TEXT(tbl_Kalender[[#This Row],[Datum]],"MMMM")</f>
        <v>November</v>
      </c>
      <c r="H1410">
        <f>ROUNDUP(tbl_Kalender[[#This Row],[Monat]]/3,0)</f>
        <v>4</v>
      </c>
      <c r="I1410" t="str">
        <f>"Q "&amp;tbl_Kalender[[#This Row],[Quartal]]</f>
        <v>Q 4</v>
      </c>
      <c r="J1410" t="str">
        <f>tbl_Kalender[[#This Row],[Quartal]]&amp;". Quartal"</f>
        <v>4. Quartal</v>
      </c>
      <c r="K1410">
        <f>_xlfn.ISOWEEKNUM(tbl_Kalender[[#This Row],[Datum]])</f>
        <v>45</v>
      </c>
    </row>
    <row r="1411" spans="1:11" x14ac:dyDescent="0.25">
      <c r="A1411" s="1">
        <v>46701</v>
      </c>
      <c r="B1411">
        <f>YEAR(tbl_Kalender[[#This Row],[Datum]])</f>
        <v>2027</v>
      </c>
      <c r="C1411">
        <f>DAY(tbl_Kalender[[#This Row],[Datum]])</f>
        <v>10</v>
      </c>
      <c r="D1411" t="str">
        <f>TEXT(tbl_Kalender[[#This Row],[Datum]],"TTTT")</f>
        <v>Mittwoch</v>
      </c>
      <c r="E1411">
        <f>WEEKDAY(tbl_Kalender[[#This Row],[Datum]],2)</f>
        <v>3</v>
      </c>
      <c r="F1411">
        <f>MONTH(tbl_Kalender[[#This Row],[Datum]])</f>
        <v>11</v>
      </c>
      <c r="G1411" t="str">
        <f>TEXT(tbl_Kalender[[#This Row],[Datum]],"MMMM")</f>
        <v>November</v>
      </c>
      <c r="H1411">
        <f>ROUNDUP(tbl_Kalender[[#This Row],[Monat]]/3,0)</f>
        <v>4</v>
      </c>
      <c r="I1411" t="str">
        <f>"Q "&amp;tbl_Kalender[[#This Row],[Quartal]]</f>
        <v>Q 4</v>
      </c>
      <c r="J1411" t="str">
        <f>tbl_Kalender[[#This Row],[Quartal]]&amp;". Quartal"</f>
        <v>4. Quartal</v>
      </c>
      <c r="K1411">
        <f>_xlfn.ISOWEEKNUM(tbl_Kalender[[#This Row],[Datum]])</f>
        <v>45</v>
      </c>
    </row>
    <row r="1412" spans="1:11" x14ac:dyDescent="0.25">
      <c r="A1412" s="1">
        <v>46702</v>
      </c>
      <c r="B1412">
        <f>YEAR(tbl_Kalender[[#This Row],[Datum]])</f>
        <v>2027</v>
      </c>
      <c r="C1412">
        <f>DAY(tbl_Kalender[[#This Row],[Datum]])</f>
        <v>11</v>
      </c>
      <c r="D1412" t="str">
        <f>TEXT(tbl_Kalender[[#This Row],[Datum]],"TTTT")</f>
        <v>Donnerstag</v>
      </c>
      <c r="E1412">
        <f>WEEKDAY(tbl_Kalender[[#This Row],[Datum]],2)</f>
        <v>4</v>
      </c>
      <c r="F1412">
        <f>MONTH(tbl_Kalender[[#This Row],[Datum]])</f>
        <v>11</v>
      </c>
      <c r="G1412" t="str">
        <f>TEXT(tbl_Kalender[[#This Row],[Datum]],"MMMM")</f>
        <v>November</v>
      </c>
      <c r="H1412">
        <f>ROUNDUP(tbl_Kalender[[#This Row],[Monat]]/3,0)</f>
        <v>4</v>
      </c>
      <c r="I1412" t="str">
        <f>"Q "&amp;tbl_Kalender[[#This Row],[Quartal]]</f>
        <v>Q 4</v>
      </c>
      <c r="J1412" t="str">
        <f>tbl_Kalender[[#This Row],[Quartal]]&amp;". Quartal"</f>
        <v>4. Quartal</v>
      </c>
      <c r="K1412">
        <f>_xlfn.ISOWEEKNUM(tbl_Kalender[[#This Row],[Datum]])</f>
        <v>45</v>
      </c>
    </row>
    <row r="1413" spans="1:11" x14ac:dyDescent="0.25">
      <c r="A1413" s="1">
        <v>46703</v>
      </c>
      <c r="B1413">
        <f>YEAR(tbl_Kalender[[#This Row],[Datum]])</f>
        <v>2027</v>
      </c>
      <c r="C1413">
        <f>DAY(tbl_Kalender[[#This Row],[Datum]])</f>
        <v>12</v>
      </c>
      <c r="D1413" t="str">
        <f>TEXT(tbl_Kalender[[#This Row],[Datum]],"TTTT")</f>
        <v>Freitag</v>
      </c>
      <c r="E1413">
        <f>WEEKDAY(tbl_Kalender[[#This Row],[Datum]],2)</f>
        <v>5</v>
      </c>
      <c r="F1413">
        <f>MONTH(tbl_Kalender[[#This Row],[Datum]])</f>
        <v>11</v>
      </c>
      <c r="G1413" t="str">
        <f>TEXT(tbl_Kalender[[#This Row],[Datum]],"MMMM")</f>
        <v>November</v>
      </c>
      <c r="H1413">
        <f>ROUNDUP(tbl_Kalender[[#This Row],[Monat]]/3,0)</f>
        <v>4</v>
      </c>
      <c r="I1413" t="str">
        <f>"Q "&amp;tbl_Kalender[[#This Row],[Quartal]]</f>
        <v>Q 4</v>
      </c>
      <c r="J1413" t="str">
        <f>tbl_Kalender[[#This Row],[Quartal]]&amp;". Quartal"</f>
        <v>4. Quartal</v>
      </c>
      <c r="K1413">
        <f>_xlfn.ISOWEEKNUM(tbl_Kalender[[#This Row],[Datum]])</f>
        <v>45</v>
      </c>
    </row>
    <row r="1414" spans="1:11" x14ac:dyDescent="0.25">
      <c r="A1414" s="1">
        <v>46704</v>
      </c>
      <c r="B1414">
        <f>YEAR(tbl_Kalender[[#This Row],[Datum]])</f>
        <v>2027</v>
      </c>
      <c r="C1414">
        <f>DAY(tbl_Kalender[[#This Row],[Datum]])</f>
        <v>13</v>
      </c>
      <c r="D1414" t="str">
        <f>TEXT(tbl_Kalender[[#This Row],[Datum]],"TTTT")</f>
        <v>Samstag</v>
      </c>
      <c r="E1414">
        <f>WEEKDAY(tbl_Kalender[[#This Row],[Datum]],2)</f>
        <v>6</v>
      </c>
      <c r="F1414">
        <f>MONTH(tbl_Kalender[[#This Row],[Datum]])</f>
        <v>11</v>
      </c>
      <c r="G1414" t="str">
        <f>TEXT(tbl_Kalender[[#This Row],[Datum]],"MMMM")</f>
        <v>November</v>
      </c>
      <c r="H1414">
        <f>ROUNDUP(tbl_Kalender[[#This Row],[Monat]]/3,0)</f>
        <v>4</v>
      </c>
      <c r="I1414" t="str">
        <f>"Q "&amp;tbl_Kalender[[#This Row],[Quartal]]</f>
        <v>Q 4</v>
      </c>
      <c r="J1414" t="str">
        <f>tbl_Kalender[[#This Row],[Quartal]]&amp;". Quartal"</f>
        <v>4. Quartal</v>
      </c>
      <c r="K1414">
        <f>_xlfn.ISOWEEKNUM(tbl_Kalender[[#This Row],[Datum]])</f>
        <v>45</v>
      </c>
    </row>
    <row r="1415" spans="1:11" x14ac:dyDescent="0.25">
      <c r="A1415" s="1">
        <v>46705</v>
      </c>
      <c r="B1415">
        <f>YEAR(tbl_Kalender[[#This Row],[Datum]])</f>
        <v>2027</v>
      </c>
      <c r="C1415">
        <f>DAY(tbl_Kalender[[#This Row],[Datum]])</f>
        <v>14</v>
      </c>
      <c r="D1415" t="str">
        <f>TEXT(tbl_Kalender[[#This Row],[Datum]],"TTTT")</f>
        <v>Sonntag</v>
      </c>
      <c r="E1415">
        <f>WEEKDAY(tbl_Kalender[[#This Row],[Datum]],2)</f>
        <v>7</v>
      </c>
      <c r="F1415">
        <f>MONTH(tbl_Kalender[[#This Row],[Datum]])</f>
        <v>11</v>
      </c>
      <c r="G1415" t="str">
        <f>TEXT(tbl_Kalender[[#This Row],[Datum]],"MMMM")</f>
        <v>November</v>
      </c>
      <c r="H1415">
        <f>ROUNDUP(tbl_Kalender[[#This Row],[Monat]]/3,0)</f>
        <v>4</v>
      </c>
      <c r="I1415" t="str">
        <f>"Q "&amp;tbl_Kalender[[#This Row],[Quartal]]</f>
        <v>Q 4</v>
      </c>
      <c r="J1415" t="str">
        <f>tbl_Kalender[[#This Row],[Quartal]]&amp;". Quartal"</f>
        <v>4. Quartal</v>
      </c>
      <c r="K1415">
        <f>_xlfn.ISOWEEKNUM(tbl_Kalender[[#This Row],[Datum]])</f>
        <v>45</v>
      </c>
    </row>
    <row r="1416" spans="1:11" x14ac:dyDescent="0.25">
      <c r="A1416" s="1">
        <v>46706</v>
      </c>
      <c r="B1416">
        <f>YEAR(tbl_Kalender[[#This Row],[Datum]])</f>
        <v>2027</v>
      </c>
      <c r="C1416">
        <f>DAY(tbl_Kalender[[#This Row],[Datum]])</f>
        <v>15</v>
      </c>
      <c r="D1416" t="str">
        <f>TEXT(tbl_Kalender[[#This Row],[Datum]],"TTTT")</f>
        <v>Montag</v>
      </c>
      <c r="E1416">
        <f>WEEKDAY(tbl_Kalender[[#This Row],[Datum]],2)</f>
        <v>1</v>
      </c>
      <c r="F1416">
        <f>MONTH(tbl_Kalender[[#This Row],[Datum]])</f>
        <v>11</v>
      </c>
      <c r="G1416" t="str">
        <f>TEXT(tbl_Kalender[[#This Row],[Datum]],"MMMM")</f>
        <v>November</v>
      </c>
      <c r="H1416">
        <f>ROUNDUP(tbl_Kalender[[#This Row],[Monat]]/3,0)</f>
        <v>4</v>
      </c>
      <c r="I1416" t="str">
        <f>"Q "&amp;tbl_Kalender[[#This Row],[Quartal]]</f>
        <v>Q 4</v>
      </c>
      <c r="J1416" t="str">
        <f>tbl_Kalender[[#This Row],[Quartal]]&amp;". Quartal"</f>
        <v>4. Quartal</v>
      </c>
      <c r="K1416">
        <f>_xlfn.ISOWEEKNUM(tbl_Kalender[[#This Row],[Datum]])</f>
        <v>46</v>
      </c>
    </row>
    <row r="1417" spans="1:11" x14ac:dyDescent="0.25">
      <c r="A1417" s="1">
        <v>46707</v>
      </c>
      <c r="B1417">
        <f>YEAR(tbl_Kalender[[#This Row],[Datum]])</f>
        <v>2027</v>
      </c>
      <c r="C1417">
        <f>DAY(tbl_Kalender[[#This Row],[Datum]])</f>
        <v>16</v>
      </c>
      <c r="D1417" t="str">
        <f>TEXT(tbl_Kalender[[#This Row],[Datum]],"TTTT")</f>
        <v>Dienstag</v>
      </c>
      <c r="E1417">
        <f>WEEKDAY(tbl_Kalender[[#This Row],[Datum]],2)</f>
        <v>2</v>
      </c>
      <c r="F1417">
        <f>MONTH(tbl_Kalender[[#This Row],[Datum]])</f>
        <v>11</v>
      </c>
      <c r="G1417" t="str">
        <f>TEXT(tbl_Kalender[[#This Row],[Datum]],"MMMM")</f>
        <v>November</v>
      </c>
      <c r="H1417">
        <f>ROUNDUP(tbl_Kalender[[#This Row],[Monat]]/3,0)</f>
        <v>4</v>
      </c>
      <c r="I1417" t="str">
        <f>"Q "&amp;tbl_Kalender[[#This Row],[Quartal]]</f>
        <v>Q 4</v>
      </c>
      <c r="J1417" t="str">
        <f>tbl_Kalender[[#This Row],[Quartal]]&amp;". Quartal"</f>
        <v>4. Quartal</v>
      </c>
      <c r="K1417">
        <f>_xlfn.ISOWEEKNUM(tbl_Kalender[[#This Row],[Datum]])</f>
        <v>46</v>
      </c>
    </row>
    <row r="1418" spans="1:11" x14ac:dyDescent="0.25">
      <c r="A1418" s="1">
        <v>46708</v>
      </c>
      <c r="B1418">
        <f>YEAR(tbl_Kalender[[#This Row],[Datum]])</f>
        <v>2027</v>
      </c>
      <c r="C1418">
        <f>DAY(tbl_Kalender[[#This Row],[Datum]])</f>
        <v>17</v>
      </c>
      <c r="D1418" t="str">
        <f>TEXT(tbl_Kalender[[#This Row],[Datum]],"TTTT")</f>
        <v>Mittwoch</v>
      </c>
      <c r="E1418">
        <f>WEEKDAY(tbl_Kalender[[#This Row],[Datum]],2)</f>
        <v>3</v>
      </c>
      <c r="F1418">
        <f>MONTH(tbl_Kalender[[#This Row],[Datum]])</f>
        <v>11</v>
      </c>
      <c r="G1418" t="str">
        <f>TEXT(tbl_Kalender[[#This Row],[Datum]],"MMMM")</f>
        <v>November</v>
      </c>
      <c r="H1418">
        <f>ROUNDUP(tbl_Kalender[[#This Row],[Monat]]/3,0)</f>
        <v>4</v>
      </c>
      <c r="I1418" t="str">
        <f>"Q "&amp;tbl_Kalender[[#This Row],[Quartal]]</f>
        <v>Q 4</v>
      </c>
      <c r="J1418" t="str">
        <f>tbl_Kalender[[#This Row],[Quartal]]&amp;". Quartal"</f>
        <v>4. Quartal</v>
      </c>
      <c r="K1418">
        <f>_xlfn.ISOWEEKNUM(tbl_Kalender[[#This Row],[Datum]])</f>
        <v>46</v>
      </c>
    </row>
    <row r="1419" spans="1:11" x14ac:dyDescent="0.25">
      <c r="A1419" s="1">
        <v>46709</v>
      </c>
      <c r="B1419">
        <f>YEAR(tbl_Kalender[[#This Row],[Datum]])</f>
        <v>2027</v>
      </c>
      <c r="C1419">
        <f>DAY(tbl_Kalender[[#This Row],[Datum]])</f>
        <v>18</v>
      </c>
      <c r="D1419" t="str">
        <f>TEXT(tbl_Kalender[[#This Row],[Datum]],"TTTT")</f>
        <v>Donnerstag</v>
      </c>
      <c r="E1419">
        <f>WEEKDAY(tbl_Kalender[[#This Row],[Datum]],2)</f>
        <v>4</v>
      </c>
      <c r="F1419">
        <f>MONTH(tbl_Kalender[[#This Row],[Datum]])</f>
        <v>11</v>
      </c>
      <c r="G1419" t="str">
        <f>TEXT(tbl_Kalender[[#This Row],[Datum]],"MMMM")</f>
        <v>November</v>
      </c>
      <c r="H1419">
        <f>ROUNDUP(tbl_Kalender[[#This Row],[Monat]]/3,0)</f>
        <v>4</v>
      </c>
      <c r="I1419" t="str">
        <f>"Q "&amp;tbl_Kalender[[#This Row],[Quartal]]</f>
        <v>Q 4</v>
      </c>
      <c r="J1419" t="str">
        <f>tbl_Kalender[[#This Row],[Quartal]]&amp;". Quartal"</f>
        <v>4. Quartal</v>
      </c>
      <c r="K1419">
        <f>_xlfn.ISOWEEKNUM(tbl_Kalender[[#This Row],[Datum]])</f>
        <v>46</v>
      </c>
    </row>
    <row r="1420" spans="1:11" x14ac:dyDescent="0.25">
      <c r="A1420" s="1">
        <v>46710</v>
      </c>
      <c r="B1420">
        <f>YEAR(tbl_Kalender[[#This Row],[Datum]])</f>
        <v>2027</v>
      </c>
      <c r="C1420">
        <f>DAY(tbl_Kalender[[#This Row],[Datum]])</f>
        <v>19</v>
      </c>
      <c r="D1420" t="str">
        <f>TEXT(tbl_Kalender[[#This Row],[Datum]],"TTTT")</f>
        <v>Freitag</v>
      </c>
      <c r="E1420">
        <f>WEEKDAY(tbl_Kalender[[#This Row],[Datum]],2)</f>
        <v>5</v>
      </c>
      <c r="F1420">
        <f>MONTH(tbl_Kalender[[#This Row],[Datum]])</f>
        <v>11</v>
      </c>
      <c r="G1420" t="str">
        <f>TEXT(tbl_Kalender[[#This Row],[Datum]],"MMMM")</f>
        <v>November</v>
      </c>
      <c r="H1420">
        <f>ROUNDUP(tbl_Kalender[[#This Row],[Monat]]/3,0)</f>
        <v>4</v>
      </c>
      <c r="I1420" t="str">
        <f>"Q "&amp;tbl_Kalender[[#This Row],[Quartal]]</f>
        <v>Q 4</v>
      </c>
      <c r="J1420" t="str">
        <f>tbl_Kalender[[#This Row],[Quartal]]&amp;". Quartal"</f>
        <v>4. Quartal</v>
      </c>
      <c r="K1420">
        <f>_xlfn.ISOWEEKNUM(tbl_Kalender[[#This Row],[Datum]])</f>
        <v>46</v>
      </c>
    </row>
    <row r="1421" spans="1:11" x14ac:dyDescent="0.25">
      <c r="A1421" s="1">
        <v>46711</v>
      </c>
      <c r="B1421">
        <f>YEAR(tbl_Kalender[[#This Row],[Datum]])</f>
        <v>2027</v>
      </c>
      <c r="C1421">
        <f>DAY(tbl_Kalender[[#This Row],[Datum]])</f>
        <v>20</v>
      </c>
      <c r="D1421" t="str">
        <f>TEXT(tbl_Kalender[[#This Row],[Datum]],"TTTT")</f>
        <v>Samstag</v>
      </c>
      <c r="E1421">
        <f>WEEKDAY(tbl_Kalender[[#This Row],[Datum]],2)</f>
        <v>6</v>
      </c>
      <c r="F1421">
        <f>MONTH(tbl_Kalender[[#This Row],[Datum]])</f>
        <v>11</v>
      </c>
      <c r="G1421" t="str">
        <f>TEXT(tbl_Kalender[[#This Row],[Datum]],"MMMM")</f>
        <v>November</v>
      </c>
      <c r="H1421">
        <f>ROUNDUP(tbl_Kalender[[#This Row],[Monat]]/3,0)</f>
        <v>4</v>
      </c>
      <c r="I1421" t="str">
        <f>"Q "&amp;tbl_Kalender[[#This Row],[Quartal]]</f>
        <v>Q 4</v>
      </c>
      <c r="J1421" t="str">
        <f>tbl_Kalender[[#This Row],[Quartal]]&amp;". Quartal"</f>
        <v>4. Quartal</v>
      </c>
      <c r="K1421">
        <f>_xlfn.ISOWEEKNUM(tbl_Kalender[[#This Row],[Datum]])</f>
        <v>46</v>
      </c>
    </row>
    <row r="1422" spans="1:11" x14ac:dyDescent="0.25">
      <c r="A1422" s="1">
        <v>46712</v>
      </c>
      <c r="B1422">
        <f>YEAR(tbl_Kalender[[#This Row],[Datum]])</f>
        <v>2027</v>
      </c>
      <c r="C1422">
        <f>DAY(tbl_Kalender[[#This Row],[Datum]])</f>
        <v>21</v>
      </c>
      <c r="D1422" t="str">
        <f>TEXT(tbl_Kalender[[#This Row],[Datum]],"TTTT")</f>
        <v>Sonntag</v>
      </c>
      <c r="E1422">
        <f>WEEKDAY(tbl_Kalender[[#This Row],[Datum]],2)</f>
        <v>7</v>
      </c>
      <c r="F1422">
        <f>MONTH(tbl_Kalender[[#This Row],[Datum]])</f>
        <v>11</v>
      </c>
      <c r="G1422" t="str">
        <f>TEXT(tbl_Kalender[[#This Row],[Datum]],"MMMM")</f>
        <v>November</v>
      </c>
      <c r="H1422">
        <f>ROUNDUP(tbl_Kalender[[#This Row],[Monat]]/3,0)</f>
        <v>4</v>
      </c>
      <c r="I1422" t="str">
        <f>"Q "&amp;tbl_Kalender[[#This Row],[Quartal]]</f>
        <v>Q 4</v>
      </c>
      <c r="J1422" t="str">
        <f>tbl_Kalender[[#This Row],[Quartal]]&amp;". Quartal"</f>
        <v>4. Quartal</v>
      </c>
      <c r="K1422">
        <f>_xlfn.ISOWEEKNUM(tbl_Kalender[[#This Row],[Datum]])</f>
        <v>46</v>
      </c>
    </row>
    <row r="1423" spans="1:11" x14ac:dyDescent="0.25">
      <c r="A1423" s="1">
        <v>46713</v>
      </c>
      <c r="B1423">
        <f>YEAR(tbl_Kalender[[#This Row],[Datum]])</f>
        <v>2027</v>
      </c>
      <c r="C1423">
        <f>DAY(tbl_Kalender[[#This Row],[Datum]])</f>
        <v>22</v>
      </c>
      <c r="D1423" t="str">
        <f>TEXT(tbl_Kalender[[#This Row],[Datum]],"TTTT")</f>
        <v>Montag</v>
      </c>
      <c r="E1423">
        <f>WEEKDAY(tbl_Kalender[[#This Row],[Datum]],2)</f>
        <v>1</v>
      </c>
      <c r="F1423">
        <f>MONTH(tbl_Kalender[[#This Row],[Datum]])</f>
        <v>11</v>
      </c>
      <c r="G1423" t="str">
        <f>TEXT(tbl_Kalender[[#This Row],[Datum]],"MMMM")</f>
        <v>November</v>
      </c>
      <c r="H1423">
        <f>ROUNDUP(tbl_Kalender[[#This Row],[Monat]]/3,0)</f>
        <v>4</v>
      </c>
      <c r="I1423" t="str">
        <f>"Q "&amp;tbl_Kalender[[#This Row],[Quartal]]</f>
        <v>Q 4</v>
      </c>
      <c r="J1423" t="str">
        <f>tbl_Kalender[[#This Row],[Quartal]]&amp;". Quartal"</f>
        <v>4. Quartal</v>
      </c>
      <c r="K1423">
        <f>_xlfn.ISOWEEKNUM(tbl_Kalender[[#This Row],[Datum]])</f>
        <v>47</v>
      </c>
    </row>
    <row r="1424" spans="1:11" x14ac:dyDescent="0.25">
      <c r="A1424" s="1">
        <v>46714</v>
      </c>
      <c r="B1424">
        <f>YEAR(tbl_Kalender[[#This Row],[Datum]])</f>
        <v>2027</v>
      </c>
      <c r="C1424">
        <f>DAY(tbl_Kalender[[#This Row],[Datum]])</f>
        <v>23</v>
      </c>
      <c r="D1424" t="str">
        <f>TEXT(tbl_Kalender[[#This Row],[Datum]],"TTTT")</f>
        <v>Dienstag</v>
      </c>
      <c r="E1424">
        <f>WEEKDAY(tbl_Kalender[[#This Row],[Datum]],2)</f>
        <v>2</v>
      </c>
      <c r="F1424">
        <f>MONTH(tbl_Kalender[[#This Row],[Datum]])</f>
        <v>11</v>
      </c>
      <c r="G1424" t="str">
        <f>TEXT(tbl_Kalender[[#This Row],[Datum]],"MMMM")</f>
        <v>November</v>
      </c>
      <c r="H1424">
        <f>ROUNDUP(tbl_Kalender[[#This Row],[Monat]]/3,0)</f>
        <v>4</v>
      </c>
      <c r="I1424" t="str">
        <f>"Q "&amp;tbl_Kalender[[#This Row],[Quartal]]</f>
        <v>Q 4</v>
      </c>
      <c r="J1424" t="str">
        <f>tbl_Kalender[[#This Row],[Quartal]]&amp;". Quartal"</f>
        <v>4. Quartal</v>
      </c>
      <c r="K1424">
        <f>_xlfn.ISOWEEKNUM(tbl_Kalender[[#This Row],[Datum]])</f>
        <v>47</v>
      </c>
    </row>
    <row r="1425" spans="1:11" x14ac:dyDescent="0.25">
      <c r="A1425" s="1">
        <v>46715</v>
      </c>
      <c r="B1425">
        <f>YEAR(tbl_Kalender[[#This Row],[Datum]])</f>
        <v>2027</v>
      </c>
      <c r="C1425">
        <f>DAY(tbl_Kalender[[#This Row],[Datum]])</f>
        <v>24</v>
      </c>
      <c r="D1425" t="str">
        <f>TEXT(tbl_Kalender[[#This Row],[Datum]],"TTTT")</f>
        <v>Mittwoch</v>
      </c>
      <c r="E1425">
        <f>WEEKDAY(tbl_Kalender[[#This Row],[Datum]],2)</f>
        <v>3</v>
      </c>
      <c r="F1425">
        <f>MONTH(tbl_Kalender[[#This Row],[Datum]])</f>
        <v>11</v>
      </c>
      <c r="G1425" t="str">
        <f>TEXT(tbl_Kalender[[#This Row],[Datum]],"MMMM")</f>
        <v>November</v>
      </c>
      <c r="H1425">
        <f>ROUNDUP(tbl_Kalender[[#This Row],[Monat]]/3,0)</f>
        <v>4</v>
      </c>
      <c r="I1425" t="str">
        <f>"Q "&amp;tbl_Kalender[[#This Row],[Quartal]]</f>
        <v>Q 4</v>
      </c>
      <c r="J1425" t="str">
        <f>tbl_Kalender[[#This Row],[Quartal]]&amp;". Quartal"</f>
        <v>4. Quartal</v>
      </c>
      <c r="K1425">
        <f>_xlfn.ISOWEEKNUM(tbl_Kalender[[#This Row],[Datum]])</f>
        <v>47</v>
      </c>
    </row>
    <row r="1426" spans="1:11" x14ac:dyDescent="0.25">
      <c r="A1426" s="1">
        <v>46716</v>
      </c>
      <c r="B1426">
        <f>YEAR(tbl_Kalender[[#This Row],[Datum]])</f>
        <v>2027</v>
      </c>
      <c r="C1426">
        <f>DAY(tbl_Kalender[[#This Row],[Datum]])</f>
        <v>25</v>
      </c>
      <c r="D1426" t="str">
        <f>TEXT(tbl_Kalender[[#This Row],[Datum]],"TTTT")</f>
        <v>Donnerstag</v>
      </c>
      <c r="E1426">
        <f>WEEKDAY(tbl_Kalender[[#This Row],[Datum]],2)</f>
        <v>4</v>
      </c>
      <c r="F1426">
        <f>MONTH(tbl_Kalender[[#This Row],[Datum]])</f>
        <v>11</v>
      </c>
      <c r="G1426" t="str">
        <f>TEXT(tbl_Kalender[[#This Row],[Datum]],"MMMM")</f>
        <v>November</v>
      </c>
      <c r="H1426">
        <f>ROUNDUP(tbl_Kalender[[#This Row],[Monat]]/3,0)</f>
        <v>4</v>
      </c>
      <c r="I1426" t="str">
        <f>"Q "&amp;tbl_Kalender[[#This Row],[Quartal]]</f>
        <v>Q 4</v>
      </c>
      <c r="J1426" t="str">
        <f>tbl_Kalender[[#This Row],[Quartal]]&amp;". Quartal"</f>
        <v>4. Quartal</v>
      </c>
      <c r="K1426">
        <f>_xlfn.ISOWEEKNUM(tbl_Kalender[[#This Row],[Datum]])</f>
        <v>47</v>
      </c>
    </row>
    <row r="1427" spans="1:11" x14ac:dyDescent="0.25">
      <c r="A1427" s="1">
        <v>46717</v>
      </c>
      <c r="B1427">
        <f>YEAR(tbl_Kalender[[#This Row],[Datum]])</f>
        <v>2027</v>
      </c>
      <c r="C1427">
        <f>DAY(tbl_Kalender[[#This Row],[Datum]])</f>
        <v>26</v>
      </c>
      <c r="D1427" t="str">
        <f>TEXT(tbl_Kalender[[#This Row],[Datum]],"TTTT")</f>
        <v>Freitag</v>
      </c>
      <c r="E1427">
        <f>WEEKDAY(tbl_Kalender[[#This Row],[Datum]],2)</f>
        <v>5</v>
      </c>
      <c r="F1427">
        <f>MONTH(tbl_Kalender[[#This Row],[Datum]])</f>
        <v>11</v>
      </c>
      <c r="G1427" t="str">
        <f>TEXT(tbl_Kalender[[#This Row],[Datum]],"MMMM")</f>
        <v>November</v>
      </c>
      <c r="H1427">
        <f>ROUNDUP(tbl_Kalender[[#This Row],[Monat]]/3,0)</f>
        <v>4</v>
      </c>
      <c r="I1427" t="str">
        <f>"Q "&amp;tbl_Kalender[[#This Row],[Quartal]]</f>
        <v>Q 4</v>
      </c>
      <c r="J1427" t="str">
        <f>tbl_Kalender[[#This Row],[Quartal]]&amp;". Quartal"</f>
        <v>4. Quartal</v>
      </c>
      <c r="K1427">
        <f>_xlfn.ISOWEEKNUM(tbl_Kalender[[#This Row],[Datum]])</f>
        <v>47</v>
      </c>
    </row>
    <row r="1428" spans="1:11" x14ac:dyDescent="0.25">
      <c r="A1428" s="1">
        <v>46718</v>
      </c>
      <c r="B1428">
        <f>YEAR(tbl_Kalender[[#This Row],[Datum]])</f>
        <v>2027</v>
      </c>
      <c r="C1428">
        <f>DAY(tbl_Kalender[[#This Row],[Datum]])</f>
        <v>27</v>
      </c>
      <c r="D1428" t="str">
        <f>TEXT(tbl_Kalender[[#This Row],[Datum]],"TTTT")</f>
        <v>Samstag</v>
      </c>
      <c r="E1428">
        <f>WEEKDAY(tbl_Kalender[[#This Row],[Datum]],2)</f>
        <v>6</v>
      </c>
      <c r="F1428">
        <f>MONTH(tbl_Kalender[[#This Row],[Datum]])</f>
        <v>11</v>
      </c>
      <c r="G1428" t="str">
        <f>TEXT(tbl_Kalender[[#This Row],[Datum]],"MMMM")</f>
        <v>November</v>
      </c>
      <c r="H1428">
        <f>ROUNDUP(tbl_Kalender[[#This Row],[Monat]]/3,0)</f>
        <v>4</v>
      </c>
      <c r="I1428" t="str">
        <f>"Q "&amp;tbl_Kalender[[#This Row],[Quartal]]</f>
        <v>Q 4</v>
      </c>
      <c r="J1428" t="str">
        <f>tbl_Kalender[[#This Row],[Quartal]]&amp;". Quartal"</f>
        <v>4. Quartal</v>
      </c>
      <c r="K1428">
        <f>_xlfn.ISOWEEKNUM(tbl_Kalender[[#This Row],[Datum]])</f>
        <v>47</v>
      </c>
    </row>
    <row r="1429" spans="1:11" x14ac:dyDescent="0.25">
      <c r="A1429" s="1">
        <v>46719</v>
      </c>
      <c r="B1429">
        <f>YEAR(tbl_Kalender[[#This Row],[Datum]])</f>
        <v>2027</v>
      </c>
      <c r="C1429">
        <f>DAY(tbl_Kalender[[#This Row],[Datum]])</f>
        <v>28</v>
      </c>
      <c r="D1429" t="str">
        <f>TEXT(tbl_Kalender[[#This Row],[Datum]],"TTTT")</f>
        <v>Sonntag</v>
      </c>
      <c r="E1429">
        <f>WEEKDAY(tbl_Kalender[[#This Row],[Datum]],2)</f>
        <v>7</v>
      </c>
      <c r="F1429">
        <f>MONTH(tbl_Kalender[[#This Row],[Datum]])</f>
        <v>11</v>
      </c>
      <c r="G1429" t="str">
        <f>TEXT(tbl_Kalender[[#This Row],[Datum]],"MMMM")</f>
        <v>November</v>
      </c>
      <c r="H1429">
        <f>ROUNDUP(tbl_Kalender[[#This Row],[Monat]]/3,0)</f>
        <v>4</v>
      </c>
      <c r="I1429" t="str">
        <f>"Q "&amp;tbl_Kalender[[#This Row],[Quartal]]</f>
        <v>Q 4</v>
      </c>
      <c r="J1429" t="str">
        <f>tbl_Kalender[[#This Row],[Quartal]]&amp;". Quartal"</f>
        <v>4. Quartal</v>
      </c>
      <c r="K1429">
        <f>_xlfn.ISOWEEKNUM(tbl_Kalender[[#This Row],[Datum]])</f>
        <v>47</v>
      </c>
    </row>
    <row r="1430" spans="1:11" x14ac:dyDescent="0.25">
      <c r="A1430" s="1">
        <v>46720</v>
      </c>
      <c r="B1430">
        <f>YEAR(tbl_Kalender[[#This Row],[Datum]])</f>
        <v>2027</v>
      </c>
      <c r="C1430">
        <f>DAY(tbl_Kalender[[#This Row],[Datum]])</f>
        <v>29</v>
      </c>
      <c r="D1430" t="str">
        <f>TEXT(tbl_Kalender[[#This Row],[Datum]],"TTTT")</f>
        <v>Montag</v>
      </c>
      <c r="E1430">
        <f>WEEKDAY(tbl_Kalender[[#This Row],[Datum]],2)</f>
        <v>1</v>
      </c>
      <c r="F1430">
        <f>MONTH(tbl_Kalender[[#This Row],[Datum]])</f>
        <v>11</v>
      </c>
      <c r="G1430" t="str">
        <f>TEXT(tbl_Kalender[[#This Row],[Datum]],"MMMM")</f>
        <v>November</v>
      </c>
      <c r="H1430">
        <f>ROUNDUP(tbl_Kalender[[#This Row],[Monat]]/3,0)</f>
        <v>4</v>
      </c>
      <c r="I1430" t="str">
        <f>"Q "&amp;tbl_Kalender[[#This Row],[Quartal]]</f>
        <v>Q 4</v>
      </c>
      <c r="J1430" t="str">
        <f>tbl_Kalender[[#This Row],[Quartal]]&amp;". Quartal"</f>
        <v>4. Quartal</v>
      </c>
      <c r="K1430">
        <f>_xlfn.ISOWEEKNUM(tbl_Kalender[[#This Row],[Datum]])</f>
        <v>48</v>
      </c>
    </row>
    <row r="1431" spans="1:11" x14ac:dyDescent="0.25">
      <c r="A1431" s="1">
        <v>46721</v>
      </c>
      <c r="B1431">
        <f>YEAR(tbl_Kalender[[#This Row],[Datum]])</f>
        <v>2027</v>
      </c>
      <c r="C1431">
        <f>DAY(tbl_Kalender[[#This Row],[Datum]])</f>
        <v>30</v>
      </c>
      <c r="D1431" t="str">
        <f>TEXT(tbl_Kalender[[#This Row],[Datum]],"TTTT")</f>
        <v>Dienstag</v>
      </c>
      <c r="E1431">
        <f>WEEKDAY(tbl_Kalender[[#This Row],[Datum]],2)</f>
        <v>2</v>
      </c>
      <c r="F1431">
        <f>MONTH(tbl_Kalender[[#This Row],[Datum]])</f>
        <v>11</v>
      </c>
      <c r="G1431" t="str">
        <f>TEXT(tbl_Kalender[[#This Row],[Datum]],"MMMM")</f>
        <v>November</v>
      </c>
      <c r="H1431">
        <f>ROUNDUP(tbl_Kalender[[#This Row],[Monat]]/3,0)</f>
        <v>4</v>
      </c>
      <c r="I1431" t="str">
        <f>"Q "&amp;tbl_Kalender[[#This Row],[Quartal]]</f>
        <v>Q 4</v>
      </c>
      <c r="J1431" t="str">
        <f>tbl_Kalender[[#This Row],[Quartal]]&amp;". Quartal"</f>
        <v>4. Quartal</v>
      </c>
      <c r="K1431">
        <f>_xlfn.ISOWEEKNUM(tbl_Kalender[[#This Row],[Datum]])</f>
        <v>48</v>
      </c>
    </row>
    <row r="1432" spans="1:11" x14ac:dyDescent="0.25">
      <c r="A1432" s="1">
        <v>46722</v>
      </c>
      <c r="B1432">
        <f>YEAR(tbl_Kalender[[#This Row],[Datum]])</f>
        <v>2027</v>
      </c>
      <c r="C1432">
        <f>DAY(tbl_Kalender[[#This Row],[Datum]])</f>
        <v>1</v>
      </c>
      <c r="D1432" t="str">
        <f>TEXT(tbl_Kalender[[#This Row],[Datum]],"TTTT")</f>
        <v>Mittwoch</v>
      </c>
      <c r="E1432">
        <f>WEEKDAY(tbl_Kalender[[#This Row],[Datum]],2)</f>
        <v>3</v>
      </c>
      <c r="F1432">
        <f>MONTH(tbl_Kalender[[#This Row],[Datum]])</f>
        <v>12</v>
      </c>
      <c r="G1432" t="str">
        <f>TEXT(tbl_Kalender[[#This Row],[Datum]],"MMMM")</f>
        <v>Dezember</v>
      </c>
      <c r="H1432">
        <f>ROUNDUP(tbl_Kalender[[#This Row],[Monat]]/3,0)</f>
        <v>4</v>
      </c>
      <c r="I1432" t="str">
        <f>"Q "&amp;tbl_Kalender[[#This Row],[Quartal]]</f>
        <v>Q 4</v>
      </c>
      <c r="J1432" t="str">
        <f>tbl_Kalender[[#This Row],[Quartal]]&amp;". Quartal"</f>
        <v>4. Quartal</v>
      </c>
      <c r="K1432">
        <f>_xlfn.ISOWEEKNUM(tbl_Kalender[[#This Row],[Datum]])</f>
        <v>48</v>
      </c>
    </row>
    <row r="1433" spans="1:11" x14ac:dyDescent="0.25">
      <c r="A1433" s="1">
        <v>46723</v>
      </c>
      <c r="B1433">
        <f>YEAR(tbl_Kalender[[#This Row],[Datum]])</f>
        <v>2027</v>
      </c>
      <c r="C1433">
        <f>DAY(tbl_Kalender[[#This Row],[Datum]])</f>
        <v>2</v>
      </c>
      <c r="D1433" t="str">
        <f>TEXT(tbl_Kalender[[#This Row],[Datum]],"TTTT")</f>
        <v>Donnerstag</v>
      </c>
      <c r="E1433">
        <f>WEEKDAY(tbl_Kalender[[#This Row],[Datum]],2)</f>
        <v>4</v>
      </c>
      <c r="F1433">
        <f>MONTH(tbl_Kalender[[#This Row],[Datum]])</f>
        <v>12</v>
      </c>
      <c r="G1433" t="str">
        <f>TEXT(tbl_Kalender[[#This Row],[Datum]],"MMMM")</f>
        <v>Dezember</v>
      </c>
      <c r="H1433">
        <f>ROUNDUP(tbl_Kalender[[#This Row],[Monat]]/3,0)</f>
        <v>4</v>
      </c>
      <c r="I1433" t="str">
        <f>"Q "&amp;tbl_Kalender[[#This Row],[Quartal]]</f>
        <v>Q 4</v>
      </c>
      <c r="J1433" t="str">
        <f>tbl_Kalender[[#This Row],[Quartal]]&amp;". Quartal"</f>
        <v>4. Quartal</v>
      </c>
      <c r="K1433">
        <f>_xlfn.ISOWEEKNUM(tbl_Kalender[[#This Row],[Datum]])</f>
        <v>48</v>
      </c>
    </row>
    <row r="1434" spans="1:11" x14ac:dyDescent="0.25">
      <c r="A1434" s="1">
        <v>46724</v>
      </c>
      <c r="B1434">
        <f>YEAR(tbl_Kalender[[#This Row],[Datum]])</f>
        <v>2027</v>
      </c>
      <c r="C1434">
        <f>DAY(tbl_Kalender[[#This Row],[Datum]])</f>
        <v>3</v>
      </c>
      <c r="D1434" t="str">
        <f>TEXT(tbl_Kalender[[#This Row],[Datum]],"TTTT")</f>
        <v>Freitag</v>
      </c>
      <c r="E1434">
        <f>WEEKDAY(tbl_Kalender[[#This Row],[Datum]],2)</f>
        <v>5</v>
      </c>
      <c r="F1434">
        <f>MONTH(tbl_Kalender[[#This Row],[Datum]])</f>
        <v>12</v>
      </c>
      <c r="G1434" t="str">
        <f>TEXT(tbl_Kalender[[#This Row],[Datum]],"MMMM")</f>
        <v>Dezember</v>
      </c>
      <c r="H1434">
        <f>ROUNDUP(tbl_Kalender[[#This Row],[Monat]]/3,0)</f>
        <v>4</v>
      </c>
      <c r="I1434" t="str">
        <f>"Q "&amp;tbl_Kalender[[#This Row],[Quartal]]</f>
        <v>Q 4</v>
      </c>
      <c r="J1434" t="str">
        <f>tbl_Kalender[[#This Row],[Quartal]]&amp;". Quartal"</f>
        <v>4. Quartal</v>
      </c>
      <c r="K1434">
        <f>_xlfn.ISOWEEKNUM(tbl_Kalender[[#This Row],[Datum]])</f>
        <v>48</v>
      </c>
    </row>
    <row r="1435" spans="1:11" x14ac:dyDescent="0.25">
      <c r="A1435" s="1">
        <v>46725</v>
      </c>
      <c r="B1435">
        <f>YEAR(tbl_Kalender[[#This Row],[Datum]])</f>
        <v>2027</v>
      </c>
      <c r="C1435">
        <f>DAY(tbl_Kalender[[#This Row],[Datum]])</f>
        <v>4</v>
      </c>
      <c r="D1435" t="str">
        <f>TEXT(tbl_Kalender[[#This Row],[Datum]],"TTTT")</f>
        <v>Samstag</v>
      </c>
      <c r="E1435">
        <f>WEEKDAY(tbl_Kalender[[#This Row],[Datum]],2)</f>
        <v>6</v>
      </c>
      <c r="F1435">
        <f>MONTH(tbl_Kalender[[#This Row],[Datum]])</f>
        <v>12</v>
      </c>
      <c r="G1435" t="str">
        <f>TEXT(tbl_Kalender[[#This Row],[Datum]],"MMMM")</f>
        <v>Dezember</v>
      </c>
      <c r="H1435">
        <f>ROUNDUP(tbl_Kalender[[#This Row],[Monat]]/3,0)</f>
        <v>4</v>
      </c>
      <c r="I1435" t="str">
        <f>"Q "&amp;tbl_Kalender[[#This Row],[Quartal]]</f>
        <v>Q 4</v>
      </c>
      <c r="J1435" t="str">
        <f>tbl_Kalender[[#This Row],[Quartal]]&amp;". Quartal"</f>
        <v>4. Quartal</v>
      </c>
      <c r="K1435">
        <f>_xlfn.ISOWEEKNUM(tbl_Kalender[[#This Row],[Datum]])</f>
        <v>48</v>
      </c>
    </row>
    <row r="1436" spans="1:11" x14ac:dyDescent="0.25">
      <c r="A1436" s="1">
        <v>46726</v>
      </c>
      <c r="B1436">
        <f>YEAR(tbl_Kalender[[#This Row],[Datum]])</f>
        <v>2027</v>
      </c>
      <c r="C1436">
        <f>DAY(tbl_Kalender[[#This Row],[Datum]])</f>
        <v>5</v>
      </c>
      <c r="D1436" t="str">
        <f>TEXT(tbl_Kalender[[#This Row],[Datum]],"TTTT")</f>
        <v>Sonntag</v>
      </c>
      <c r="E1436">
        <f>WEEKDAY(tbl_Kalender[[#This Row],[Datum]],2)</f>
        <v>7</v>
      </c>
      <c r="F1436">
        <f>MONTH(tbl_Kalender[[#This Row],[Datum]])</f>
        <v>12</v>
      </c>
      <c r="G1436" t="str">
        <f>TEXT(tbl_Kalender[[#This Row],[Datum]],"MMMM")</f>
        <v>Dezember</v>
      </c>
      <c r="H1436">
        <f>ROUNDUP(tbl_Kalender[[#This Row],[Monat]]/3,0)</f>
        <v>4</v>
      </c>
      <c r="I1436" t="str">
        <f>"Q "&amp;tbl_Kalender[[#This Row],[Quartal]]</f>
        <v>Q 4</v>
      </c>
      <c r="J1436" t="str">
        <f>tbl_Kalender[[#This Row],[Quartal]]&amp;". Quartal"</f>
        <v>4. Quartal</v>
      </c>
      <c r="K1436">
        <f>_xlfn.ISOWEEKNUM(tbl_Kalender[[#This Row],[Datum]])</f>
        <v>48</v>
      </c>
    </row>
    <row r="1437" spans="1:11" x14ac:dyDescent="0.25">
      <c r="A1437" s="1">
        <v>46727</v>
      </c>
      <c r="B1437">
        <f>YEAR(tbl_Kalender[[#This Row],[Datum]])</f>
        <v>2027</v>
      </c>
      <c r="C1437">
        <f>DAY(tbl_Kalender[[#This Row],[Datum]])</f>
        <v>6</v>
      </c>
      <c r="D1437" t="str">
        <f>TEXT(tbl_Kalender[[#This Row],[Datum]],"TTTT")</f>
        <v>Montag</v>
      </c>
      <c r="E1437">
        <f>WEEKDAY(tbl_Kalender[[#This Row],[Datum]],2)</f>
        <v>1</v>
      </c>
      <c r="F1437">
        <f>MONTH(tbl_Kalender[[#This Row],[Datum]])</f>
        <v>12</v>
      </c>
      <c r="G1437" t="str">
        <f>TEXT(tbl_Kalender[[#This Row],[Datum]],"MMMM")</f>
        <v>Dezember</v>
      </c>
      <c r="H1437">
        <f>ROUNDUP(tbl_Kalender[[#This Row],[Monat]]/3,0)</f>
        <v>4</v>
      </c>
      <c r="I1437" t="str">
        <f>"Q "&amp;tbl_Kalender[[#This Row],[Quartal]]</f>
        <v>Q 4</v>
      </c>
      <c r="J1437" t="str">
        <f>tbl_Kalender[[#This Row],[Quartal]]&amp;". Quartal"</f>
        <v>4. Quartal</v>
      </c>
      <c r="K1437">
        <f>_xlfn.ISOWEEKNUM(tbl_Kalender[[#This Row],[Datum]])</f>
        <v>49</v>
      </c>
    </row>
    <row r="1438" spans="1:11" x14ac:dyDescent="0.25">
      <c r="A1438" s="1">
        <v>46728</v>
      </c>
      <c r="B1438">
        <f>YEAR(tbl_Kalender[[#This Row],[Datum]])</f>
        <v>2027</v>
      </c>
      <c r="C1438">
        <f>DAY(tbl_Kalender[[#This Row],[Datum]])</f>
        <v>7</v>
      </c>
      <c r="D1438" t="str">
        <f>TEXT(tbl_Kalender[[#This Row],[Datum]],"TTTT")</f>
        <v>Dienstag</v>
      </c>
      <c r="E1438">
        <f>WEEKDAY(tbl_Kalender[[#This Row],[Datum]],2)</f>
        <v>2</v>
      </c>
      <c r="F1438">
        <f>MONTH(tbl_Kalender[[#This Row],[Datum]])</f>
        <v>12</v>
      </c>
      <c r="G1438" t="str">
        <f>TEXT(tbl_Kalender[[#This Row],[Datum]],"MMMM")</f>
        <v>Dezember</v>
      </c>
      <c r="H1438">
        <f>ROUNDUP(tbl_Kalender[[#This Row],[Monat]]/3,0)</f>
        <v>4</v>
      </c>
      <c r="I1438" t="str">
        <f>"Q "&amp;tbl_Kalender[[#This Row],[Quartal]]</f>
        <v>Q 4</v>
      </c>
      <c r="J1438" t="str">
        <f>tbl_Kalender[[#This Row],[Quartal]]&amp;". Quartal"</f>
        <v>4. Quartal</v>
      </c>
      <c r="K1438">
        <f>_xlfn.ISOWEEKNUM(tbl_Kalender[[#This Row],[Datum]])</f>
        <v>49</v>
      </c>
    </row>
    <row r="1439" spans="1:11" x14ac:dyDescent="0.25">
      <c r="A1439" s="1">
        <v>46729</v>
      </c>
      <c r="B1439">
        <f>YEAR(tbl_Kalender[[#This Row],[Datum]])</f>
        <v>2027</v>
      </c>
      <c r="C1439">
        <f>DAY(tbl_Kalender[[#This Row],[Datum]])</f>
        <v>8</v>
      </c>
      <c r="D1439" t="str">
        <f>TEXT(tbl_Kalender[[#This Row],[Datum]],"TTTT")</f>
        <v>Mittwoch</v>
      </c>
      <c r="E1439">
        <f>WEEKDAY(tbl_Kalender[[#This Row],[Datum]],2)</f>
        <v>3</v>
      </c>
      <c r="F1439">
        <f>MONTH(tbl_Kalender[[#This Row],[Datum]])</f>
        <v>12</v>
      </c>
      <c r="G1439" t="str">
        <f>TEXT(tbl_Kalender[[#This Row],[Datum]],"MMMM")</f>
        <v>Dezember</v>
      </c>
      <c r="H1439">
        <f>ROUNDUP(tbl_Kalender[[#This Row],[Monat]]/3,0)</f>
        <v>4</v>
      </c>
      <c r="I1439" t="str">
        <f>"Q "&amp;tbl_Kalender[[#This Row],[Quartal]]</f>
        <v>Q 4</v>
      </c>
      <c r="J1439" t="str">
        <f>tbl_Kalender[[#This Row],[Quartal]]&amp;". Quartal"</f>
        <v>4. Quartal</v>
      </c>
      <c r="K1439">
        <f>_xlfn.ISOWEEKNUM(tbl_Kalender[[#This Row],[Datum]])</f>
        <v>49</v>
      </c>
    </row>
    <row r="1440" spans="1:11" x14ac:dyDescent="0.25">
      <c r="A1440" s="1">
        <v>46730</v>
      </c>
      <c r="B1440">
        <f>YEAR(tbl_Kalender[[#This Row],[Datum]])</f>
        <v>2027</v>
      </c>
      <c r="C1440">
        <f>DAY(tbl_Kalender[[#This Row],[Datum]])</f>
        <v>9</v>
      </c>
      <c r="D1440" t="str">
        <f>TEXT(tbl_Kalender[[#This Row],[Datum]],"TTTT")</f>
        <v>Donnerstag</v>
      </c>
      <c r="E1440">
        <f>WEEKDAY(tbl_Kalender[[#This Row],[Datum]],2)</f>
        <v>4</v>
      </c>
      <c r="F1440">
        <f>MONTH(tbl_Kalender[[#This Row],[Datum]])</f>
        <v>12</v>
      </c>
      <c r="G1440" t="str">
        <f>TEXT(tbl_Kalender[[#This Row],[Datum]],"MMMM")</f>
        <v>Dezember</v>
      </c>
      <c r="H1440">
        <f>ROUNDUP(tbl_Kalender[[#This Row],[Monat]]/3,0)</f>
        <v>4</v>
      </c>
      <c r="I1440" t="str">
        <f>"Q "&amp;tbl_Kalender[[#This Row],[Quartal]]</f>
        <v>Q 4</v>
      </c>
      <c r="J1440" t="str">
        <f>tbl_Kalender[[#This Row],[Quartal]]&amp;". Quartal"</f>
        <v>4. Quartal</v>
      </c>
      <c r="K1440">
        <f>_xlfn.ISOWEEKNUM(tbl_Kalender[[#This Row],[Datum]])</f>
        <v>49</v>
      </c>
    </row>
    <row r="1441" spans="1:11" x14ac:dyDescent="0.25">
      <c r="A1441" s="1">
        <v>46731</v>
      </c>
      <c r="B1441">
        <f>YEAR(tbl_Kalender[[#This Row],[Datum]])</f>
        <v>2027</v>
      </c>
      <c r="C1441">
        <f>DAY(tbl_Kalender[[#This Row],[Datum]])</f>
        <v>10</v>
      </c>
      <c r="D1441" t="str">
        <f>TEXT(tbl_Kalender[[#This Row],[Datum]],"TTTT")</f>
        <v>Freitag</v>
      </c>
      <c r="E1441">
        <f>WEEKDAY(tbl_Kalender[[#This Row],[Datum]],2)</f>
        <v>5</v>
      </c>
      <c r="F1441">
        <f>MONTH(tbl_Kalender[[#This Row],[Datum]])</f>
        <v>12</v>
      </c>
      <c r="G1441" t="str">
        <f>TEXT(tbl_Kalender[[#This Row],[Datum]],"MMMM")</f>
        <v>Dezember</v>
      </c>
      <c r="H1441">
        <f>ROUNDUP(tbl_Kalender[[#This Row],[Monat]]/3,0)</f>
        <v>4</v>
      </c>
      <c r="I1441" t="str">
        <f>"Q "&amp;tbl_Kalender[[#This Row],[Quartal]]</f>
        <v>Q 4</v>
      </c>
      <c r="J1441" t="str">
        <f>tbl_Kalender[[#This Row],[Quartal]]&amp;". Quartal"</f>
        <v>4. Quartal</v>
      </c>
      <c r="K1441">
        <f>_xlfn.ISOWEEKNUM(tbl_Kalender[[#This Row],[Datum]])</f>
        <v>49</v>
      </c>
    </row>
    <row r="1442" spans="1:11" x14ac:dyDescent="0.25">
      <c r="A1442" s="1">
        <v>46732</v>
      </c>
      <c r="B1442">
        <f>YEAR(tbl_Kalender[[#This Row],[Datum]])</f>
        <v>2027</v>
      </c>
      <c r="C1442">
        <f>DAY(tbl_Kalender[[#This Row],[Datum]])</f>
        <v>11</v>
      </c>
      <c r="D1442" t="str">
        <f>TEXT(tbl_Kalender[[#This Row],[Datum]],"TTTT")</f>
        <v>Samstag</v>
      </c>
      <c r="E1442">
        <f>WEEKDAY(tbl_Kalender[[#This Row],[Datum]],2)</f>
        <v>6</v>
      </c>
      <c r="F1442">
        <f>MONTH(tbl_Kalender[[#This Row],[Datum]])</f>
        <v>12</v>
      </c>
      <c r="G1442" t="str">
        <f>TEXT(tbl_Kalender[[#This Row],[Datum]],"MMMM")</f>
        <v>Dezember</v>
      </c>
      <c r="H1442">
        <f>ROUNDUP(tbl_Kalender[[#This Row],[Monat]]/3,0)</f>
        <v>4</v>
      </c>
      <c r="I1442" t="str">
        <f>"Q "&amp;tbl_Kalender[[#This Row],[Quartal]]</f>
        <v>Q 4</v>
      </c>
      <c r="J1442" t="str">
        <f>tbl_Kalender[[#This Row],[Quartal]]&amp;". Quartal"</f>
        <v>4. Quartal</v>
      </c>
      <c r="K1442">
        <f>_xlfn.ISOWEEKNUM(tbl_Kalender[[#This Row],[Datum]])</f>
        <v>49</v>
      </c>
    </row>
    <row r="1443" spans="1:11" x14ac:dyDescent="0.25">
      <c r="A1443" s="1">
        <v>46733</v>
      </c>
      <c r="B1443">
        <f>YEAR(tbl_Kalender[[#This Row],[Datum]])</f>
        <v>2027</v>
      </c>
      <c r="C1443">
        <f>DAY(tbl_Kalender[[#This Row],[Datum]])</f>
        <v>12</v>
      </c>
      <c r="D1443" t="str">
        <f>TEXT(tbl_Kalender[[#This Row],[Datum]],"TTTT")</f>
        <v>Sonntag</v>
      </c>
      <c r="E1443">
        <f>WEEKDAY(tbl_Kalender[[#This Row],[Datum]],2)</f>
        <v>7</v>
      </c>
      <c r="F1443">
        <f>MONTH(tbl_Kalender[[#This Row],[Datum]])</f>
        <v>12</v>
      </c>
      <c r="G1443" t="str">
        <f>TEXT(tbl_Kalender[[#This Row],[Datum]],"MMMM")</f>
        <v>Dezember</v>
      </c>
      <c r="H1443">
        <f>ROUNDUP(tbl_Kalender[[#This Row],[Monat]]/3,0)</f>
        <v>4</v>
      </c>
      <c r="I1443" t="str">
        <f>"Q "&amp;tbl_Kalender[[#This Row],[Quartal]]</f>
        <v>Q 4</v>
      </c>
      <c r="J1443" t="str">
        <f>tbl_Kalender[[#This Row],[Quartal]]&amp;". Quartal"</f>
        <v>4. Quartal</v>
      </c>
      <c r="K1443">
        <f>_xlfn.ISOWEEKNUM(tbl_Kalender[[#This Row],[Datum]])</f>
        <v>49</v>
      </c>
    </row>
    <row r="1444" spans="1:11" x14ac:dyDescent="0.25">
      <c r="A1444" s="1">
        <v>46734</v>
      </c>
      <c r="B1444">
        <f>YEAR(tbl_Kalender[[#This Row],[Datum]])</f>
        <v>2027</v>
      </c>
      <c r="C1444">
        <f>DAY(tbl_Kalender[[#This Row],[Datum]])</f>
        <v>13</v>
      </c>
      <c r="D1444" t="str">
        <f>TEXT(tbl_Kalender[[#This Row],[Datum]],"TTTT")</f>
        <v>Montag</v>
      </c>
      <c r="E1444">
        <f>WEEKDAY(tbl_Kalender[[#This Row],[Datum]],2)</f>
        <v>1</v>
      </c>
      <c r="F1444">
        <f>MONTH(tbl_Kalender[[#This Row],[Datum]])</f>
        <v>12</v>
      </c>
      <c r="G1444" t="str">
        <f>TEXT(tbl_Kalender[[#This Row],[Datum]],"MMMM")</f>
        <v>Dezember</v>
      </c>
      <c r="H1444">
        <f>ROUNDUP(tbl_Kalender[[#This Row],[Monat]]/3,0)</f>
        <v>4</v>
      </c>
      <c r="I1444" t="str">
        <f>"Q "&amp;tbl_Kalender[[#This Row],[Quartal]]</f>
        <v>Q 4</v>
      </c>
      <c r="J1444" t="str">
        <f>tbl_Kalender[[#This Row],[Quartal]]&amp;". Quartal"</f>
        <v>4. Quartal</v>
      </c>
      <c r="K1444">
        <f>_xlfn.ISOWEEKNUM(tbl_Kalender[[#This Row],[Datum]])</f>
        <v>50</v>
      </c>
    </row>
    <row r="1445" spans="1:11" x14ac:dyDescent="0.25">
      <c r="A1445" s="1">
        <v>46735</v>
      </c>
      <c r="B1445">
        <f>YEAR(tbl_Kalender[[#This Row],[Datum]])</f>
        <v>2027</v>
      </c>
      <c r="C1445">
        <f>DAY(tbl_Kalender[[#This Row],[Datum]])</f>
        <v>14</v>
      </c>
      <c r="D1445" t="str">
        <f>TEXT(tbl_Kalender[[#This Row],[Datum]],"TTTT")</f>
        <v>Dienstag</v>
      </c>
      <c r="E1445">
        <f>WEEKDAY(tbl_Kalender[[#This Row],[Datum]],2)</f>
        <v>2</v>
      </c>
      <c r="F1445">
        <f>MONTH(tbl_Kalender[[#This Row],[Datum]])</f>
        <v>12</v>
      </c>
      <c r="G1445" t="str">
        <f>TEXT(tbl_Kalender[[#This Row],[Datum]],"MMMM")</f>
        <v>Dezember</v>
      </c>
      <c r="H1445">
        <f>ROUNDUP(tbl_Kalender[[#This Row],[Monat]]/3,0)</f>
        <v>4</v>
      </c>
      <c r="I1445" t="str">
        <f>"Q "&amp;tbl_Kalender[[#This Row],[Quartal]]</f>
        <v>Q 4</v>
      </c>
      <c r="J1445" t="str">
        <f>tbl_Kalender[[#This Row],[Quartal]]&amp;". Quartal"</f>
        <v>4. Quartal</v>
      </c>
      <c r="K1445">
        <f>_xlfn.ISOWEEKNUM(tbl_Kalender[[#This Row],[Datum]])</f>
        <v>50</v>
      </c>
    </row>
    <row r="1446" spans="1:11" x14ac:dyDescent="0.25">
      <c r="A1446" s="1">
        <v>46736</v>
      </c>
      <c r="B1446">
        <f>YEAR(tbl_Kalender[[#This Row],[Datum]])</f>
        <v>2027</v>
      </c>
      <c r="C1446">
        <f>DAY(tbl_Kalender[[#This Row],[Datum]])</f>
        <v>15</v>
      </c>
      <c r="D1446" t="str">
        <f>TEXT(tbl_Kalender[[#This Row],[Datum]],"TTTT")</f>
        <v>Mittwoch</v>
      </c>
      <c r="E1446">
        <f>WEEKDAY(tbl_Kalender[[#This Row],[Datum]],2)</f>
        <v>3</v>
      </c>
      <c r="F1446">
        <f>MONTH(tbl_Kalender[[#This Row],[Datum]])</f>
        <v>12</v>
      </c>
      <c r="G1446" t="str">
        <f>TEXT(tbl_Kalender[[#This Row],[Datum]],"MMMM")</f>
        <v>Dezember</v>
      </c>
      <c r="H1446">
        <f>ROUNDUP(tbl_Kalender[[#This Row],[Monat]]/3,0)</f>
        <v>4</v>
      </c>
      <c r="I1446" t="str">
        <f>"Q "&amp;tbl_Kalender[[#This Row],[Quartal]]</f>
        <v>Q 4</v>
      </c>
      <c r="J1446" t="str">
        <f>tbl_Kalender[[#This Row],[Quartal]]&amp;". Quartal"</f>
        <v>4. Quartal</v>
      </c>
      <c r="K1446">
        <f>_xlfn.ISOWEEKNUM(tbl_Kalender[[#This Row],[Datum]])</f>
        <v>50</v>
      </c>
    </row>
    <row r="1447" spans="1:11" x14ac:dyDescent="0.25">
      <c r="A1447" s="1">
        <v>46737</v>
      </c>
      <c r="B1447">
        <f>YEAR(tbl_Kalender[[#This Row],[Datum]])</f>
        <v>2027</v>
      </c>
      <c r="C1447">
        <f>DAY(tbl_Kalender[[#This Row],[Datum]])</f>
        <v>16</v>
      </c>
      <c r="D1447" t="str">
        <f>TEXT(tbl_Kalender[[#This Row],[Datum]],"TTTT")</f>
        <v>Donnerstag</v>
      </c>
      <c r="E1447">
        <f>WEEKDAY(tbl_Kalender[[#This Row],[Datum]],2)</f>
        <v>4</v>
      </c>
      <c r="F1447">
        <f>MONTH(tbl_Kalender[[#This Row],[Datum]])</f>
        <v>12</v>
      </c>
      <c r="G1447" t="str">
        <f>TEXT(tbl_Kalender[[#This Row],[Datum]],"MMMM")</f>
        <v>Dezember</v>
      </c>
      <c r="H1447">
        <f>ROUNDUP(tbl_Kalender[[#This Row],[Monat]]/3,0)</f>
        <v>4</v>
      </c>
      <c r="I1447" t="str">
        <f>"Q "&amp;tbl_Kalender[[#This Row],[Quartal]]</f>
        <v>Q 4</v>
      </c>
      <c r="J1447" t="str">
        <f>tbl_Kalender[[#This Row],[Quartal]]&amp;". Quartal"</f>
        <v>4. Quartal</v>
      </c>
      <c r="K1447">
        <f>_xlfn.ISOWEEKNUM(tbl_Kalender[[#This Row],[Datum]])</f>
        <v>50</v>
      </c>
    </row>
    <row r="1448" spans="1:11" x14ac:dyDescent="0.25">
      <c r="A1448" s="1">
        <v>46738</v>
      </c>
      <c r="B1448">
        <f>YEAR(tbl_Kalender[[#This Row],[Datum]])</f>
        <v>2027</v>
      </c>
      <c r="C1448">
        <f>DAY(tbl_Kalender[[#This Row],[Datum]])</f>
        <v>17</v>
      </c>
      <c r="D1448" t="str">
        <f>TEXT(tbl_Kalender[[#This Row],[Datum]],"TTTT")</f>
        <v>Freitag</v>
      </c>
      <c r="E1448">
        <f>WEEKDAY(tbl_Kalender[[#This Row],[Datum]],2)</f>
        <v>5</v>
      </c>
      <c r="F1448">
        <f>MONTH(tbl_Kalender[[#This Row],[Datum]])</f>
        <v>12</v>
      </c>
      <c r="G1448" t="str">
        <f>TEXT(tbl_Kalender[[#This Row],[Datum]],"MMMM")</f>
        <v>Dezember</v>
      </c>
      <c r="H1448">
        <f>ROUNDUP(tbl_Kalender[[#This Row],[Monat]]/3,0)</f>
        <v>4</v>
      </c>
      <c r="I1448" t="str">
        <f>"Q "&amp;tbl_Kalender[[#This Row],[Quartal]]</f>
        <v>Q 4</v>
      </c>
      <c r="J1448" t="str">
        <f>tbl_Kalender[[#This Row],[Quartal]]&amp;". Quartal"</f>
        <v>4. Quartal</v>
      </c>
      <c r="K1448">
        <f>_xlfn.ISOWEEKNUM(tbl_Kalender[[#This Row],[Datum]])</f>
        <v>50</v>
      </c>
    </row>
    <row r="1449" spans="1:11" x14ac:dyDescent="0.25">
      <c r="A1449" s="1">
        <v>46739</v>
      </c>
      <c r="B1449">
        <f>YEAR(tbl_Kalender[[#This Row],[Datum]])</f>
        <v>2027</v>
      </c>
      <c r="C1449">
        <f>DAY(tbl_Kalender[[#This Row],[Datum]])</f>
        <v>18</v>
      </c>
      <c r="D1449" t="str">
        <f>TEXT(tbl_Kalender[[#This Row],[Datum]],"TTTT")</f>
        <v>Samstag</v>
      </c>
      <c r="E1449">
        <f>WEEKDAY(tbl_Kalender[[#This Row],[Datum]],2)</f>
        <v>6</v>
      </c>
      <c r="F1449">
        <f>MONTH(tbl_Kalender[[#This Row],[Datum]])</f>
        <v>12</v>
      </c>
      <c r="G1449" t="str">
        <f>TEXT(tbl_Kalender[[#This Row],[Datum]],"MMMM")</f>
        <v>Dezember</v>
      </c>
      <c r="H1449">
        <f>ROUNDUP(tbl_Kalender[[#This Row],[Monat]]/3,0)</f>
        <v>4</v>
      </c>
      <c r="I1449" t="str">
        <f>"Q "&amp;tbl_Kalender[[#This Row],[Quartal]]</f>
        <v>Q 4</v>
      </c>
      <c r="J1449" t="str">
        <f>tbl_Kalender[[#This Row],[Quartal]]&amp;". Quartal"</f>
        <v>4. Quartal</v>
      </c>
      <c r="K1449">
        <f>_xlfn.ISOWEEKNUM(tbl_Kalender[[#This Row],[Datum]])</f>
        <v>50</v>
      </c>
    </row>
    <row r="1450" spans="1:11" x14ac:dyDescent="0.25">
      <c r="A1450" s="1">
        <v>46740</v>
      </c>
      <c r="B1450">
        <f>YEAR(tbl_Kalender[[#This Row],[Datum]])</f>
        <v>2027</v>
      </c>
      <c r="C1450">
        <f>DAY(tbl_Kalender[[#This Row],[Datum]])</f>
        <v>19</v>
      </c>
      <c r="D1450" t="str">
        <f>TEXT(tbl_Kalender[[#This Row],[Datum]],"TTTT")</f>
        <v>Sonntag</v>
      </c>
      <c r="E1450">
        <f>WEEKDAY(tbl_Kalender[[#This Row],[Datum]],2)</f>
        <v>7</v>
      </c>
      <c r="F1450">
        <f>MONTH(tbl_Kalender[[#This Row],[Datum]])</f>
        <v>12</v>
      </c>
      <c r="G1450" t="str">
        <f>TEXT(tbl_Kalender[[#This Row],[Datum]],"MMMM")</f>
        <v>Dezember</v>
      </c>
      <c r="H1450">
        <f>ROUNDUP(tbl_Kalender[[#This Row],[Monat]]/3,0)</f>
        <v>4</v>
      </c>
      <c r="I1450" t="str">
        <f>"Q "&amp;tbl_Kalender[[#This Row],[Quartal]]</f>
        <v>Q 4</v>
      </c>
      <c r="J1450" t="str">
        <f>tbl_Kalender[[#This Row],[Quartal]]&amp;". Quartal"</f>
        <v>4. Quartal</v>
      </c>
      <c r="K1450">
        <f>_xlfn.ISOWEEKNUM(tbl_Kalender[[#This Row],[Datum]])</f>
        <v>50</v>
      </c>
    </row>
    <row r="1451" spans="1:11" x14ac:dyDescent="0.25">
      <c r="A1451" s="1">
        <v>46741</v>
      </c>
      <c r="B1451">
        <f>YEAR(tbl_Kalender[[#This Row],[Datum]])</f>
        <v>2027</v>
      </c>
      <c r="C1451">
        <f>DAY(tbl_Kalender[[#This Row],[Datum]])</f>
        <v>20</v>
      </c>
      <c r="D1451" t="str">
        <f>TEXT(tbl_Kalender[[#This Row],[Datum]],"TTTT")</f>
        <v>Montag</v>
      </c>
      <c r="E1451">
        <f>WEEKDAY(tbl_Kalender[[#This Row],[Datum]],2)</f>
        <v>1</v>
      </c>
      <c r="F1451">
        <f>MONTH(tbl_Kalender[[#This Row],[Datum]])</f>
        <v>12</v>
      </c>
      <c r="G1451" t="str">
        <f>TEXT(tbl_Kalender[[#This Row],[Datum]],"MMMM")</f>
        <v>Dezember</v>
      </c>
      <c r="H1451">
        <f>ROUNDUP(tbl_Kalender[[#This Row],[Monat]]/3,0)</f>
        <v>4</v>
      </c>
      <c r="I1451" t="str">
        <f>"Q "&amp;tbl_Kalender[[#This Row],[Quartal]]</f>
        <v>Q 4</v>
      </c>
      <c r="J1451" t="str">
        <f>tbl_Kalender[[#This Row],[Quartal]]&amp;". Quartal"</f>
        <v>4. Quartal</v>
      </c>
      <c r="K1451">
        <f>_xlfn.ISOWEEKNUM(tbl_Kalender[[#This Row],[Datum]])</f>
        <v>51</v>
      </c>
    </row>
    <row r="1452" spans="1:11" x14ac:dyDescent="0.25">
      <c r="A1452" s="1">
        <v>46742</v>
      </c>
      <c r="B1452">
        <f>YEAR(tbl_Kalender[[#This Row],[Datum]])</f>
        <v>2027</v>
      </c>
      <c r="C1452">
        <f>DAY(tbl_Kalender[[#This Row],[Datum]])</f>
        <v>21</v>
      </c>
      <c r="D1452" t="str">
        <f>TEXT(tbl_Kalender[[#This Row],[Datum]],"TTTT")</f>
        <v>Dienstag</v>
      </c>
      <c r="E1452">
        <f>WEEKDAY(tbl_Kalender[[#This Row],[Datum]],2)</f>
        <v>2</v>
      </c>
      <c r="F1452">
        <f>MONTH(tbl_Kalender[[#This Row],[Datum]])</f>
        <v>12</v>
      </c>
      <c r="G1452" t="str">
        <f>TEXT(tbl_Kalender[[#This Row],[Datum]],"MMMM")</f>
        <v>Dezember</v>
      </c>
      <c r="H1452">
        <f>ROUNDUP(tbl_Kalender[[#This Row],[Monat]]/3,0)</f>
        <v>4</v>
      </c>
      <c r="I1452" t="str">
        <f>"Q "&amp;tbl_Kalender[[#This Row],[Quartal]]</f>
        <v>Q 4</v>
      </c>
      <c r="J1452" t="str">
        <f>tbl_Kalender[[#This Row],[Quartal]]&amp;". Quartal"</f>
        <v>4. Quartal</v>
      </c>
      <c r="K1452">
        <f>_xlfn.ISOWEEKNUM(tbl_Kalender[[#This Row],[Datum]])</f>
        <v>51</v>
      </c>
    </row>
    <row r="1453" spans="1:11" x14ac:dyDescent="0.25">
      <c r="A1453" s="1">
        <v>46743</v>
      </c>
      <c r="B1453">
        <f>YEAR(tbl_Kalender[[#This Row],[Datum]])</f>
        <v>2027</v>
      </c>
      <c r="C1453">
        <f>DAY(tbl_Kalender[[#This Row],[Datum]])</f>
        <v>22</v>
      </c>
      <c r="D1453" t="str">
        <f>TEXT(tbl_Kalender[[#This Row],[Datum]],"TTTT")</f>
        <v>Mittwoch</v>
      </c>
      <c r="E1453">
        <f>WEEKDAY(tbl_Kalender[[#This Row],[Datum]],2)</f>
        <v>3</v>
      </c>
      <c r="F1453">
        <f>MONTH(tbl_Kalender[[#This Row],[Datum]])</f>
        <v>12</v>
      </c>
      <c r="G1453" t="str">
        <f>TEXT(tbl_Kalender[[#This Row],[Datum]],"MMMM")</f>
        <v>Dezember</v>
      </c>
      <c r="H1453">
        <f>ROUNDUP(tbl_Kalender[[#This Row],[Monat]]/3,0)</f>
        <v>4</v>
      </c>
      <c r="I1453" t="str">
        <f>"Q "&amp;tbl_Kalender[[#This Row],[Quartal]]</f>
        <v>Q 4</v>
      </c>
      <c r="J1453" t="str">
        <f>tbl_Kalender[[#This Row],[Quartal]]&amp;". Quartal"</f>
        <v>4. Quartal</v>
      </c>
      <c r="K1453">
        <f>_xlfn.ISOWEEKNUM(tbl_Kalender[[#This Row],[Datum]])</f>
        <v>51</v>
      </c>
    </row>
    <row r="1454" spans="1:11" x14ac:dyDescent="0.25">
      <c r="A1454" s="1">
        <v>46744</v>
      </c>
      <c r="B1454">
        <f>YEAR(tbl_Kalender[[#This Row],[Datum]])</f>
        <v>2027</v>
      </c>
      <c r="C1454">
        <f>DAY(tbl_Kalender[[#This Row],[Datum]])</f>
        <v>23</v>
      </c>
      <c r="D1454" t="str">
        <f>TEXT(tbl_Kalender[[#This Row],[Datum]],"TTTT")</f>
        <v>Donnerstag</v>
      </c>
      <c r="E1454">
        <f>WEEKDAY(tbl_Kalender[[#This Row],[Datum]],2)</f>
        <v>4</v>
      </c>
      <c r="F1454">
        <f>MONTH(tbl_Kalender[[#This Row],[Datum]])</f>
        <v>12</v>
      </c>
      <c r="G1454" t="str">
        <f>TEXT(tbl_Kalender[[#This Row],[Datum]],"MMMM")</f>
        <v>Dezember</v>
      </c>
      <c r="H1454">
        <f>ROUNDUP(tbl_Kalender[[#This Row],[Monat]]/3,0)</f>
        <v>4</v>
      </c>
      <c r="I1454" t="str">
        <f>"Q "&amp;tbl_Kalender[[#This Row],[Quartal]]</f>
        <v>Q 4</v>
      </c>
      <c r="J1454" t="str">
        <f>tbl_Kalender[[#This Row],[Quartal]]&amp;". Quartal"</f>
        <v>4. Quartal</v>
      </c>
      <c r="K1454">
        <f>_xlfn.ISOWEEKNUM(tbl_Kalender[[#This Row],[Datum]])</f>
        <v>51</v>
      </c>
    </row>
    <row r="1455" spans="1:11" x14ac:dyDescent="0.25">
      <c r="A1455" s="1">
        <v>46745</v>
      </c>
      <c r="B1455">
        <f>YEAR(tbl_Kalender[[#This Row],[Datum]])</f>
        <v>2027</v>
      </c>
      <c r="C1455">
        <f>DAY(tbl_Kalender[[#This Row],[Datum]])</f>
        <v>24</v>
      </c>
      <c r="D1455" t="str">
        <f>TEXT(tbl_Kalender[[#This Row],[Datum]],"TTTT")</f>
        <v>Freitag</v>
      </c>
      <c r="E1455">
        <f>WEEKDAY(tbl_Kalender[[#This Row],[Datum]],2)</f>
        <v>5</v>
      </c>
      <c r="F1455">
        <f>MONTH(tbl_Kalender[[#This Row],[Datum]])</f>
        <v>12</v>
      </c>
      <c r="G1455" t="str">
        <f>TEXT(tbl_Kalender[[#This Row],[Datum]],"MMMM")</f>
        <v>Dezember</v>
      </c>
      <c r="H1455">
        <f>ROUNDUP(tbl_Kalender[[#This Row],[Monat]]/3,0)</f>
        <v>4</v>
      </c>
      <c r="I1455" t="str">
        <f>"Q "&amp;tbl_Kalender[[#This Row],[Quartal]]</f>
        <v>Q 4</v>
      </c>
      <c r="J1455" t="str">
        <f>tbl_Kalender[[#This Row],[Quartal]]&amp;". Quartal"</f>
        <v>4. Quartal</v>
      </c>
      <c r="K1455">
        <f>_xlfn.ISOWEEKNUM(tbl_Kalender[[#This Row],[Datum]])</f>
        <v>51</v>
      </c>
    </row>
    <row r="1456" spans="1:11" x14ac:dyDescent="0.25">
      <c r="A1456" s="1">
        <v>46746</v>
      </c>
      <c r="B1456">
        <f>YEAR(tbl_Kalender[[#This Row],[Datum]])</f>
        <v>2027</v>
      </c>
      <c r="C1456">
        <f>DAY(tbl_Kalender[[#This Row],[Datum]])</f>
        <v>25</v>
      </c>
      <c r="D1456" t="str">
        <f>TEXT(tbl_Kalender[[#This Row],[Datum]],"TTTT")</f>
        <v>Samstag</v>
      </c>
      <c r="E1456">
        <f>WEEKDAY(tbl_Kalender[[#This Row],[Datum]],2)</f>
        <v>6</v>
      </c>
      <c r="F1456">
        <f>MONTH(tbl_Kalender[[#This Row],[Datum]])</f>
        <v>12</v>
      </c>
      <c r="G1456" t="str">
        <f>TEXT(tbl_Kalender[[#This Row],[Datum]],"MMMM")</f>
        <v>Dezember</v>
      </c>
      <c r="H1456">
        <f>ROUNDUP(tbl_Kalender[[#This Row],[Monat]]/3,0)</f>
        <v>4</v>
      </c>
      <c r="I1456" t="str">
        <f>"Q "&amp;tbl_Kalender[[#This Row],[Quartal]]</f>
        <v>Q 4</v>
      </c>
      <c r="J1456" t="str">
        <f>tbl_Kalender[[#This Row],[Quartal]]&amp;". Quartal"</f>
        <v>4. Quartal</v>
      </c>
      <c r="K1456">
        <f>_xlfn.ISOWEEKNUM(tbl_Kalender[[#This Row],[Datum]])</f>
        <v>51</v>
      </c>
    </row>
    <row r="1457" spans="1:11" x14ac:dyDescent="0.25">
      <c r="A1457" s="1">
        <v>46747</v>
      </c>
      <c r="B1457">
        <f>YEAR(tbl_Kalender[[#This Row],[Datum]])</f>
        <v>2027</v>
      </c>
      <c r="C1457">
        <f>DAY(tbl_Kalender[[#This Row],[Datum]])</f>
        <v>26</v>
      </c>
      <c r="D1457" t="str">
        <f>TEXT(tbl_Kalender[[#This Row],[Datum]],"TTTT")</f>
        <v>Sonntag</v>
      </c>
      <c r="E1457">
        <f>WEEKDAY(tbl_Kalender[[#This Row],[Datum]],2)</f>
        <v>7</v>
      </c>
      <c r="F1457">
        <f>MONTH(tbl_Kalender[[#This Row],[Datum]])</f>
        <v>12</v>
      </c>
      <c r="G1457" t="str">
        <f>TEXT(tbl_Kalender[[#This Row],[Datum]],"MMMM")</f>
        <v>Dezember</v>
      </c>
      <c r="H1457">
        <f>ROUNDUP(tbl_Kalender[[#This Row],[Monat]]/3,0)</f>
        <v>4</v>
      </c>
      <c r="I1457" t="str">
        <f>"Q "&amp;tbl_Kalender[[#This Row],[Quartal]]</f>
        <v>Q 4</v>
      </c>
      <c r="J1457" t="str">
        <f>tbl_Kalender[[#This Row],[Quartal]]&amp;". Quartal"</f>
        <v>4. Quartal</v>
      </c>
      <c r="K1457">
        <f>_xlfn.ISOWEEKNUM(tbl_Kalender[[#This Row],[Datum]])</f>
        <v>51</v>
      </c>
    </row>
    <row r="1458" spans="1:11" x14ac:dyDescent="0.25">
      <c r="A1458" s="1">
        <v>46748</v>
      </c>
      <c r="B1458">
        <f>YEAR(tbl_Kalender[[#This Row],[Datum]])</f>
        <v>2027</v>
      </c>
      <c r="C1458">
        <f>DAY(tbl_Kalender[[#This Row],[Datum]])</f>
        <v>27</v>
      </c>
      <c r="D1458" t="str">
        <f>TEXT(tbl_Kalender[[#This Row],[Datum]],"TTTT")</f>
        <v>Montag</v>
      </c>
      <c r="E1458">
        <f>WEEKDAY(tbl_Kalender[[#This Row],[Datum]],2)</f>
        <v>1</v>
      </c>
      <c r="F1458">
        <f>MONTH(tbl_Kalender[[#This Row],[Datum]])</f>
        <v>12</v>
      </c>
      <c r="G1458" t="str">
        <f>TEXT(tbl_Kalender[[#This Row],[Datum]],"MMMM")</f>
        <v>Dezember</v>
      </c>
      <c r="H1458">
        <f>ROUNDUP(tbl_Kalender[[#This Row],[Monat]]/3,0)</f>
        <v>4</v>
      </c>
      <c r="I1458" t="str">
        <f>"Q "&amp;tbl_Kalender[[#This Row],[Quartal]]</f>
        <v>Q 4</v>
      </c>
      <c r="J1458" t="str">
        <f>tbl_Kalender[[#This Row],[Quartal]]&amp;". Quartal"</f>
        <v>4. Quartal</v>
      </c>
      <c r="K1458">
        <f>_xlfn.ISOWEEKNUM(tbl_Kalender[[#This Row],[Datum]])</f>
        <v>52</v>
      </c>
    </row>
    <row r="1459" spans="1:11" x14ac:dyDescent="0.25">
      <c r="A1459" s="1">
        <v>46749</v>
      </c>
      <c r="B1459">
        <f>YEAR(tbl_Kalender[[#This Row],[Datum]])</f>
        <v>2027</v>
      </c>
      <c r="C1459">
        <f>DAY(tbl_Kalender[[#This Row],[Datum]])</f>
        <v>28</v>
      </c>
      <c r="D1459" t="str">
        <f>TEXT(tbl_Kalender[[#This Row],[Datum]],"TTTT")</f>
        <v>Dienstag</v>
      </c>
      <c r="E1459">
        <f>WEEKDAY(tbl_Kalender[[#This Row],[Datum]],2)</f>
        <v>2</v>
      </c>
      <c r="F1459">
        <f>MONTH(tbl_Kalender[[#This Row],[Datum]])</f>
        <v>12</v>
      </c>
      <c r="G1459" t="str">
        <f>TEXT(tbl_Kalender[[#This Row],[Datum]],"MMMM")</f>
        <v>Dezember</v>
      </c>
      <c r="H1459">
        <f>ROUNDUP(tbl_Kalender[[#This Row],[Monat]]/3,0)</f>
        <v>4</v>
      </c>
      <c r="I1459" t="str">
        <f>"Q "&amp;tbl_Kalender[[#This Row],[Quartal]]</f>
        <v>Q 4</v>
      </c>
      <c r="J1459" t="str">
        <f>tbl_Kalender[[#This Row],[Quartal]]&amp;". Quartal"</f>
        <v>4. Quartal</v>
      </c>
      <c r="K1459">
        <f>_xlfn.ISOWEEKNUM(tbl_Kalender[[#This Row],[Datum]])</f>
        <v>52</v>
      </c>
    </row>
    <row r="1460" spans="1:11" x14ac:dyDescent="0.25">
      <c r="A1460" s="1">
        <v>46750</v>
      </c>
      <c r="B1460">
        <f>YEAR(tbl_Kalender[[#This Row],[Datum]])</f>
        <v>2027</v>
      </c>
      <c r="C1460">
        <f>DAY(tbl_Kalender[[#This Row],[Datum]])</f>
        <v>29</v>
      </c>
      <c r="D1460" t="str">
        <f>TEXT(tbl_Kalender[[#This Row],[Datum]],"TTTT")</f>
        <v>Mittwoch</v>
      </c>
      <c r="E1460">
        <f>WEEKDAY(tbl_Kalender[[#This Row],[Datum]],2)</f>
        <v>3</v>
      </c>
      <c r="F1460">
        <f>MONTH(tbl_Kalender[[#This Row],[Datum]])</f>
        <v>12</v>
      </c>
      <c r="G1460" t="str">
        <f>TEXT(tbl_Kalender[[#This Row],[Datum]],"MMMM")</f>
        <v>Dezember</v>
      </c>
      <c r="H1460">
        <f>ROUNDUP(tbl_Kalender[[#This Row],[Monat]]/3,0)</f>
        <v>4</v>
      </c>
      <c r="I1460" t="str">
        <f>"Q "&amp;tbl_Kalender[[#This Row],[Quartal]]</f>
        <v>Q 4</v>
      </c>
      <c r="J1460" t="str">
        <f>tbl_Kalender[[#This Row],[Quartal]]&amp;". Quartal"</f>
        <v>4. Quartal</v>
      </c>
      <c r="K1460">
        <f>_xlfn.ISOWEEKNUM(tbl_Kalender[[#This Row],[Datum]])</f>
        <v>52</v>
      </c>
    </row>
    <row r="1461" spans="1:11" x14ac:dyDescent="0.25">
      <c r="A1461" s="1">
        <v>46751</v>
      </c>
      <c r="B1461">
        <f>YEAR(tbl_Kalender[[#This Row],[Datum]])</f>
        <v>2027</v>
      </c>
      <c r="C1461">
        <f>DAY(tbl_Kalender[[#This Row],[Datum]])</f>
        <v>30</v>
      </c>
      <c r="D1461" t="str">
        <f>TEXT(tbl_Kalender[[#This Row],[Datum]],"TTTT")</f>
        <v>Donnerstag</v>
      </c>
      <c r="E1461">
        <f>WEEKDAY(tbl_Kalender[[#This Row],[Datum]],2)</f>
        <v>4</v>
      </c>
      <c r="F1461">
        <f>MONTH(tbl_Kalender[[#This Row],[Datum]])</f>
        <v>12</v>
      </c>
      <c r="G1461" t="str">
        <f>TEXT(tbl_Kalender[[#This Row],[Datum]],"MMMM")</f>
        <v>Dezember</v>
      </c>
      <c r="H1461">
        <f>ROUNDUP(tbl_Kalender[[#This Row],[Monat]]/3,0)</f>
        <v>4</v>
      </c>
      <c r="I1461" t="str">
        <f>"Q "&amp;tbl_Kalender[[#This Row],[Quartal]]</f>
        <v>Q 4</v>
      </c>
      <c r="J1461" t="str">
        <f>tbl_Kalender[[#This Row],[Quartal]]&amp;". Quartal"</f>
        <v>4. Quartal</v>
      </c>
      <c r="K1461">
        <f>_xlfn.ISOWEEKNUM(tbl_Kalender[[#This Row],[Datum]])</f>
        <v>52</v>
      </c>
    </row>
    <row r="1462" spans="1:11" x14ac:dyDescent="0.25">
      <c r="A1462" s="1">
        <v>46752</v>
      </c>
      <c r="B1462">
        <f>YEAR(tbl_Kalender[[#This Row],[Datum]])</f>
        <v>2027</v>
      </c>
      <c r="C1462">
        <f>DAY(tbl_Kalender[[#This Row],[Datum]])</f>
        <v>31</v>
      </c>
      <c r="D1462" t="str">
        <f>TEXT(tbl_Kalender[[#This Row],[Datum]],"TTTT")</f>
        <v>Freitag</v>
      </c>
      <c r="E1462">
        <f>WEEKDAY(tbl_Kalender[[#This Row],[Datum]],2)</f>
        <v>5</v>
      </c>
      <c r="F1462">
        <f>MONTH(tbl_Kalender[[#This Row],[Datum]])</f>
        <v>12</v>
      </c>
      <c r="G1462" t="str">
        <f>TEXT(tbl_Kalender[[#This Row],[Datum]],"MMMM")</f>
        <v>Dezember</v>
      </c>
      <c r="H1462">
        <f>ROUNDUP(tbl_Kalender[[#This Row],[Monat]]/3,0)</f>
        <v>4</v>
      </c>
      <c r="I1462" t="str">
        <f>"Q "&amp;tbl_Kalender[[#This Row],[Quartal]]</f>
        <v>Q 4</v>
      </c>
      <c r="J1462" t="str">
        <f>tbl_Kalender[[#This Row],[Quartal]]&amp;". Quartal"</f>
        <v>4. Quartal</v>
      </c>
      <c r="K1462">
        <f>_xlfn.ISOWEEKNUM(tbl_Kalender[[#This Row],[Datum]])</f>
        <v>52</v>
      </c>
    </row>
    <row r="1463" spans="1:11" x14ac:dyDescent="0.25">
      <c r="A1463" s="1">
        <v>46753</v>
      </c>
      <c r="B1463">
        <f>YEAR(tbl_Kalender[[#This Row],[Datum]])</f>
        <v>2028</v>
      </c>
      <c r="C1463">
        <f>DAY(tbl_Kalender[[#This Row],[Datum]])</f>
        <v>1</v>
      </c>
      <c r="D1463" t="str">
        <f>TEXT(tbl_Kalender[[#This Row],[Datum]],"TTTT")</f>
        <v>Samstag</v>
      </c>
      <c r="E1463">
        <f>WEEKDAY(tbl_Kalender[[#This Row],[Datum]],2)</f>
        <v>6</v>
      </c>
      <c r="F1463">
        <f>MONTH(tbl_Kalender[[#This Row],[Datum]])</f>
        <v>1</v>
      </c>
      <c r="G1463" t="str">
        <f>TEXT(tbl_Kalender[[#This Row],[Datum]],"MMMM")</f>
        <v>Januar</v>
      </c>
      <c r="H1463">
        <f>ROUNDUP(tbl_Kalender[[#This Row],[Monat]]/3,0)</f>
        <v>1</v>
      </c>
      <c r="I1463" t="str">
        <f>"Q "&amp;tbl_Kalender[[#This Row],[Quartal]]</f>
        <v>Q 1</v>
      </c>
      <c r="J1463" t="str">
        <f>tbl_Kalender[[#This Row],[Quartal]]&amp;". Quartal"</f>
        <v>1. Quartal</v>
      </c>
      <c r="K1463">
        <f>_xlfn.ISOWEEKNUM(tbl_Kalender[[#This Row],[Datum]])</f>
        <v>52</v>
      </c>
    </row>
    <row r="1464" spans="1:11" x14ac:dyDescent="0.25">
      <c r="A1464" s="1">
        <v>46754</v>
      </c>
      <c r="B1464">
        <f>YEAR(tbl_Kalender[[#This Row],[Datum]])</f>
        <v>2028</v>
      </c>
      <c r="C1464">
        <f>DAY(tbl_Kalender[[#This Row],[Datum]])</f>
        <v>2</v>
      </c>
      <c r="D1464" t="str">
        <f>TEXT(tbl_Kalender[[#This Row],[Datum]],"TTTT")</f>
        <v>Sonntag</v>
      </c>
      <c r="E1464">
        <f>WEEKDAY(tbl_Kalender[[#This Row],[Datum]],2)</f>
        <v>7</v>
      </c>
      <c r="F1464">
        <f>MONTH(tbl_Kalender[[#This Row],[Datum]])</f>
        <v>1</v>
      </c>
      <c r="G1464" t="str">
        <f>TEXT(tbl_Kalender[[#This Row],[Datum]],"MMMM")</f>
        <v>Januar</v>
      </c>
      <c r="H1464">
        <f>ROUNDUP(tbl_Kalender[[#This Row],[Monat]]/3,0)</f>
        <v>1</v>
      </c>
      <c r="I1464" t="str">
        <f>"Q "&amp;tbl_Kalender[[#This Row],[Quartal]]</f>
        <v>Q 1</v>
      </c>
      <c r="J1464" t="str">
        <f>tbl_Kalender[[#This Row],[Quartal]]&amp;". Quartal"</f>
        <v>1. Quartal</v>
      </c>
      <c r="K1464">
        <f>_xlfn.ISOWEEKNUM(tbl_Kalender[[#This Row],[Datum]])</f>
        <v>52</v>
      </c>
    </row>
    <row r="1465" spans="1:11" x14ac:dyDescent="0.25">
      <c r="A1465" s="1">
        <v>46755</v>
      </c>
      <c r="B1465">
        <f>YEAR(tbl_Kalender[[#This Row],[Datum]])</f>
        <v>2028</v>
      </c>
      <c r="C1465">
        <f>DAY(tbl_Kalender[[#This Row],[Datum]])</f>
        <v>3</v>
      </c>
      <c r="D1465" t="str">
        <f>TEXT(tbl_Kalender[[#This Row],[Datum]],"TTTT")</f>
        <v>Montag</v>
      </c>
      <c r="E1465">
        <f>WEEKDAY(tbl_Kalender[[#This Row],[Datum]],2)</f>
        <v>1</v>
      </c>
      <c r="F1465">
        <f>MONTH(tbl_Kalender[[#This Row],[Datum]])</f>
        <v>1</v>
      </c>
      <c r="G1465" t="str">
        <f>TEXT(tbl_Kalender[[#This Row],[Datum]],"MMMM")</f>
        <v>Januar</v>
      </c>
      <c r="H1465">
        <f>ROUNDUP(tbl_Kalender[[#This Row],[Monat]]/3,0)</f>
        <v>1</v>
      </c>
      <c r="I1465" t="str">
        <f>"Q "&amp;tbl_Kalender[[#This Row],[Quartal]]</f>
        <v>Q 1</v>
      </c>
      <c r="J1465" t="str">
        <f>tbl_Kalender[[#This Row],[Quartal]]&amp;". Quartal"</f>
        <v>1. Quartal</v>
      </c>
      <c r="K1465">
        <f>_xlfn.ISOWEEKNUM(tbl_Kalender[[#This Row],[Datum]])</f>
        <v>1</v>
      </c>
    </row>
    <row r="1466" spans="1:11" x14ac:dyDescent="0.25">
      <c r="A1466" s="1">
        <v>46756</v>
      </c>
      <c r="B1466">
        <f>YEAR(tbl_Kalender[[#This Row],[Datum]])</f>
        <v>2028</v>
      </c>
      <c r="C1466">
        <f>DAY(tbl_Kalender[[#This Row],[Datum]])</f>
        <v>4</v>
      </c>
      <c r="D1466" t="str">
        <f>TEXT(tbl_Kalender[[#This Row],[Datum]],"TTTT")</f>
        <v>Dienstag</v>
      </c>
      <c r="E1466">
        <f>WEEKDAY(tbl_Kalender[[#This Row],[Datum]],2)</f>
        <v>2</v>
      </c>
      <c r="F1466">
        <f>MONTH(tbl_Kalender[[#This Row],[Datum]])</f>
        <v>1</v>
      </c>
      <c r="G1466" t="str">
        <f>TEXT(tbl_Kalender[[#This Row],[Datum]],"MMMM")</f>
        <v>Januar</v>
      </c>
      <c r="H1466">
        <f>ROUNDUP(tbl_Kalender[[#This Row],[Monat]]/3,0)</f>
        <v>1</v>
      </c>
      <c r="I1466" t="str">
        <f>"Q "&amp;tbl_Kalender[[#This Row],[Quartal]]</f>
        <v>Q 1</v>
      </c>
      <c r="J1466" t="str">
        <f>tbl_Kalender[[#This Row],[Quartal]]&amp;". Quartal"</f>
        <v>1. Quartal</v>
      </c>
      <c r="K1466">
        <f>_xlfn.ISOWEEKNUM(tbl_Kalender[[#This Row],[Datum]])</f>
        <v>1</v>
      </c>
    </row>
    <row r="1467" spans="1:11" x14ac:dyDescent="0.25">
      <c r="A1467" s="1">
        <v>46757</v>
      </c>
      <c r="B1467">
        <f>YEAR(tbl_Kalender[[#This Row],[Datum]])</f>
        <v>2028</v>
      </c>
      <c r="C1467">
        <f>DAY(tbl_Kalender[[#This Row],[Datum]])</f>
        <v>5</v>
      </c>
      <c r="D1467" t="str">
        <f>TEXT(tbl_Kalender[[#This Row],[Datum]],"TTTT")</f>
        <v>Mittwoch</v>
      </c>
      <c r="E1467">
        <f>WEEKDAY(tbl_Kalender[[#This Row],[Datum]],2)</f>
        <v>3</v>
      </c>
      <c r="F1467">
        <f>MONTH(tbl_Kalender[[#This Row],[Datum]])</f>
        <v>1</v>
      </c>
      <c r="G1467" t="str">
        <f>TEXT(tbl_Kalender[[#This Row],[Datum]],"MMMM")</f>
        <v>Januar</v>
      </c>
      <c r="H1467">
        <f>ROUNDUP(tbl_Kalender[[#This Row],[Monat]]/3,0)</f>
        <v>1</v>
      </c>
      <c r="I1467" t="str">
        <f>"Q "&amp;tbl_Kalender[[#This Row],[Quartal]]</f>
        <v>Q 1</v>
      </c>
      <c r="J1467" t="str">
        <f>tbl_Kalender[[#This Row],[Quartal]]&amp;". Quartal"</f>
        <v>1. Quartal</v>
      </c>
      <c r="K1467">
        <f>_xlfn.ISOWEEKNUM(tbl_Kalender[[#This Row],[Datum]])</f>
        <v>1</v>
      </c>
    </row>
    <row r="1468" spans="1:11" x14ac:dyDescent="0.25">
      <c r="A1468" s="1">
        <v>46758</v>
      </c>
      <c r="B1468">
        <f>YEAR(tbl_Kalender[[#This Row],[Datum]])</f>
        <v>2028</v>
      </c>
      <c r="C1468">
        <f>DAY(tbl_Kalender[[#This Row],[Datum]])</f>
        <v>6</v>
      </c>
      <c r="D1468" t="str">
        <f>TEXT(tbl_Kalender[[#This Row],[Datum]],"TTTT")</f>
        <v>Donnerstag</v>
      </c>
      <c r="E1468">
        <f>WEEKDAY(tbl_Kalender[[#This Row],[Datum]],2)</f>
        <v>4</v>
      </c>
      <c r="F1468">
        <f>MONTH(tbl_Kalender[[#This Row],[Datum]])</f>
        <v>1</v>
      </c>
      <c r="G1468" t="str">
        <f>TEXT(tbl_Kalender[[#This Row],[Datum]],"MMMM")</f>
        <v>Januar</v>
      </c>
      <c r="H1468">
        <f>ROUNDUP(tbl_Kalender[[#This Row],[Monat]]/3,0)</f>
        <v>1</v>
      </c>
      <c r="I1468" t="str">
        <f>"Q "&amp;tbl_Kalender[[#This Row],[Quartal]]</f>
        <v>Q 1</v>
      </c>
      <c r="J1468" t="str">
        <f>tbl_Kalender[[#This Row],[Quartal]]&amp;". Quartal"</f>
        <v>1. Quartal</v>
      </c>
      <c r="K1468">
        <f>_xlfn.ISOWEEKNUM(tbl_Kalender[[#This Row],[Datum]])</f>
        <v>1</v>
      </c>
    </row>
    <row r="1469" spans="1:11" x14ac:dyDescent="0.25">
      <c r="A1469" s="1">
        <v>46759</v>
      </c>
      <c r="B1469">
        <f>YEAR(tbl_Kalender[[#This Row],[Datum]])</f>
        <v>2028</v>
      </c>
      <c r="C1469">
        <f>DAY(tbl_Kalender[[#This Row],[Datum]])</f>
        <v>7</v>
      </c>
      <c r="D1469" t="str">
        <f>TEXT(tbl_Kalender[[#This Row],[Datum]],"TTTT")</f>
        <v>Freitag</v>
      </c>
      <c r="E1469">
        <f>WEEKDAY(tbl_Kalender[[#This Row],[Datum]],2)</f>
        <v>5</v>
      </c>
      <c r="F1469">
        <f>MONTH(tbl_Kalender[[#This Row],[Datum]])</f>
        <v>1</v>
      </c>
      <c r="G1469" t="str">
        <f>TEXT(tbl_Kalender[[#This Row],[Datum]],"MMMM")</f>
        <v>Januar</v>
      </c>
      <c r="H1469">
        <f>ROUNDUP(tbl_Kalender[[#This Row],[Monat]]/3,0)</f>
        <v>1</v>
      </c>
      <c r="I1469" t="str">
        <f>"Q "&amp;tbl_Kalender[[#This Row],[Quartal]]</f>
        <v>Q 1</v>
      </c>
      <c r="J1469" t="str">
        <f>tbl_Kalender[[#This Row],[Quartal]]&amp;". Quartal"</f>
        <v>1. Quartal</v>
      </c>
      <c r="K1469">
        <f>_xlfn.ISOWEEKNUM(tbl_Kalender[[#This Row],[Datum]])</f>
        <v>1</v>
      </c>
    </row>
    <row r="1470" spans="1:11" x14ac:dyDescent="0.25">
      <c r="A1470" s="1">
        <v>46760</v>
      </c>
      <c r="B1470">
        <f>YEAR(tbl_Kalender[[#This Row],[Datum]])</f>
        <v>2028</v>
      </c>
      <c r="C1470">
        <f>DAY(tbl_Kalender[[#This Row],[Datum]])</f>
        <v>8</v>
      </c>
      <c r="D1470" t="str">
        <f>TEXT(tbl_Kalender[[#This Row],[Datum]],"TTTT")</f>
        <v>Samstag</v>
      </c>
      <c r="E1470">
        <f>WEEKDAY(tbl_Kalender[[#This Row],[Datum]],2)</f>
        <v>6</v>
      </c>
      <c r="F1470">
        <f>MONTH(tbl_Kalender[[#This Row],[Datum]])</f>
        <v>1</v>
      </c>
      <c r="G1470" t="str">
        <f>TEXT(tbl_Kalender[[#This Row],[Datum]],"MMMM")</f>
        <v>Januar</v>
      </c>
      <c r="H1470">
        <f>ROUNDUP(tbl_Kalender[[#This Row],[Monat]]/3,0)</f>
        <v>1</v>
      </c>
      <c r="I1470" t="str">
        <f>"Q "&amp;tbl_Kalender[[#This Row],[Quartal]]</f>
        <v>Q 1</v>
      </c>
      <c r="J1470" t="str">
        <f>tbl_Kalender[[#This Row],[Quartal]]&amp;". Quartal"</f>
        <v>1. Quartal</v>
      </c>
      <c r="K1470">
        <f>_xlfn.ISOWEEKNUM(tbl_Kalender[[#This Row],[Datum]])</f>
        <v>1</v>
      </c>
    </row>
    <row r="1471" spans="1:11" x14ac:dyDescent="0.25">
      <c r="A1471" s="1">
        <v>46761</v>
      </c>
      <c r="B1471">
        <f>YEAR(tbl_Kalender[[#This Row],[Datum]])</f>
        <v>2028</v>
      </c>
      <c r="C1471">
        <f>DAY(tbl_Kalender[[#This Row],[Datum]])</f>
        <v>9</v>
      </c>
      <c r="D1471" t="str">
        <f>TEXT(tbl_Kalender[[#This Row],[Datum]],"TTTT")</f>
        <v>Sonntag</v>
      </c>
      <c r="E1471">
        <f>WEEKDAY(tbl_Kalender[[#This Row],[Datum]],2)</f>
        <v>7</v>
      </c>
      <c r="F1471">
        <f>MONTH(tbl_Kalender[[#This Row],[Datum]])</f>
        <v>1</v>
      </c>
      <c r="G1471" t="str">
        <f>TEXT(tbl_Kalender[[#This Row],[Datum]],"MMMM")</f>
        <v>Januar</v>
      </c>
      <c r="H1471">
        <f>ROUNDUP(tbl_Kalender[[#This Row],[Monat]]/3,0)</f>
        <v>1</v>
      </c>
      <c r="I1471" t="str">
        <f>"Q "&amp;tbl_Kalender[[#This Row],[Quartal]]</f>
        <v>Q 1</v>
      </c>
      <c r="J1471" t="str">
        <f>tbl_Kalender[[#This Row],[Quartal]]&amp;". Quartal"</f>
        <v>1. Quartal</v>
      </c>
      <c r="K1471">
        <f>_xlfn.ISOWEEKNUM(tbl_Kalender[[#This Row],[Datum]])</f>
        <v>1</v>
      </c>
    </row>
    <row r="1472" spans="1:11" x14ac:dyDescent="0.25">
      <c r="A1472" s="1">
        <v>46762</v>
      </c>
      <c r="B1472">
        <f>YEAR(tbl_Kalender[[#This Row],[Datum]])</f>
        <v>2028</v>
      </c>
      <c r="C1472">
        <f>DAY(tbl_Kalender[[#This Row],[Datum]])</f>
        <v>10</v>
      </c>
      <c r="D1472" t="str">
        <f>TEXT(tbl_Kalender[[#This Row],[Datum]],"TTTT")</f>
        <v>Montag</v>
      </c>
      <c r="E1472">
        <f>WEEKDAY(tbl_Kalender[[#This Row],[Datum]],2)</f>
        <v>1</v>
      </c>
      <c r="F1472">
        <f>MONTH(tbl_Kalender[[#This Row],[Datum]])</f>
        <v>1</v>
      </c>
      <c r="G1472" t="str">
        <f>TEXT(tbl_Kalender[[#This Row],[Datum]],"MMMM")</f>
        <v>Januar</v>
      </c>
      <c r="H1472">
        <f>ROUNDUP(tbl_Kalender[[#This Row],[Monat]]/3,0)</f>
        <v>1</v>
      </c>
      <c r="I1472" t="str">
        <f>"Q "&amp;tbl_Kalender[[#This Row],[Quartal]]</f>
        <v>Q 1</v>
      </c>
      <c r="J1472" t="str">
        <f>tbl_Kalender[[#This Row],[Quartal]]&amp;". Quartal"</f>
        <v>1. Quartal</v>
      </c>
      <c r="K1472">
        <f>_xlfn.ISOWEEKNUM(tbl_Kalender[[#This Row],[Datum]])</f>
        <v>2</v>
      </c>
    </row>
    <row r="1473" spans="1:11" x14ac:dyDescent="0.25">
      <c r="A1473" s="1">
        <v>46763</v>
      </c>
      <c r="B1473">
        <f>YEAR(tbl_Kalender[[#This Row],[Datum]])</f>
        <v>2028</v>
      </c>
      <c r="C1473">
        <f>DAY(tbl_Kalender[[#This Row],[Datum]])</f>
        <v>11</v>
      </c>
      <c r="D1473" t="str">
        <f>TEXT(tbl_Kalender[[#This Row],[Datum]],"TTTT")</f>
        <v>Dienstag</v>
      </c>
      <c r="E1473">
        <f>WEEKDAY(tbl_Kalender[[#This Row],[Datum]],2)</f>
        <v>2</v>
      </c>
      <c r="F1473">
        <f>MONTH(tbl_Kalender[[#This Row],[Datum]])</f>
        <v>1</v>
      </c>
      <c r="G1473" t="str">
        <f>TEXT(tbl_Kalender[[#This Row],[Datum]],"MMMM")</f>
        <v>Januar</v>
      </c>
      <c r="H1473">
        <f>ROUNDUP(tbl_Kalender[[#This Row],[Monat]]/3,0)</f>
        <v>1</v>
      </c>
      <c r="I1473" t="str">
        <f>"Q "&amp;tbl_Kalender[[#This Row],[Quartal]]</f>
        <v>Q 1</v>
      </c>
      <c r="J1473" t="str">
        <f>tbl_Kalender[[#This Row],[Quartal]]&amp;". Quartal"</f>
        <v>1. Quartal</v>
      </c>
      <c r="K1473">
        <f>_xlfn.ISOWEEKNUM(tbl_Kalender[[#This Row],[Datum]])</f>
        <v>2</v>
      </c>
    </row>
    <row r="1474" spans="1:11" x14ac:dyDescent="0.25">
      <c r="A1474" s="1">
        <v>46764</v>
      </c>
      <c r="B1474">
        <f>YEAR(tbl_Kalender[[#This Row],[Datum]])</f>
        <v>2028</v>
      </c>
      <c r="C1474">
        <f>DAY(tbl_Kalender[[#This Row],[Datum]])</f>
        <v>12</v>
      </c>
      <c r="D1474" t="str">
        <f>TEXT(tbl_Kalender[[#This Row],[Datum]],"TTTT")</f>
        <v>Mittwoch</v>
      </c>
      <c r="E1474">
        <f>WEEKDAY(tbl_Kalender[[#This Row],[Datum]],2)</f>
        <v>3</v>
      </c>
      <c r="F1474">
        <f>MONTH(tbl_Kalender[[#This Row],[Datum]])</f>
        <v>1</v>
      </c>
      <c r="G1474" t="str">
        <f>TEXT(tbl_Kalender[[#This Row],[Datum]],"MMMM")</f>
        <v>Januar</v>
      </c>
      <c r="H1474">
        <f>ROUNDUP(tbl_Kalender[[#This Row],[Monat]]/3,0)</f>
        <v>1</v>
      </c>
      <c r="I1474" t="str">
        <f>"Q "&amp;tbl_Kalender[[#This Row],[Quartal]]</f>
        <v>Q 1</v>
      </c>
      <c r="J1474" t="str">
        <f>tbl_Kalender[[#This Row],[Quartal]]&amp;". Quartal"</f>
        <v>1. Quartal</v>
      </c>
      <c r="K1474">
        <f>_xlfn.ISOWEEKNUM(tbl_Kalender[[#This Row],[Datum]])</f>
        <v>2</v>
      </c>
    </row>
    <row r="1475" spans="1:11" x14ac:dyDescent="0.25">
      <c r="A1475" s="1">
        <v>46765</v>
      </c>
      <c r="B1475">
        <f>YEAR(tbl_Kalender[[#This Row],[Datum]])</f>
        <v>2028</v>
      </c>
      <c r="C1475">
        <f>DAY(tbl_Kalender[[#This Row],[Datum]])</f>
        <v>13</v>
      </c>
      <c r="D1475" t="str">
        <f>TEXT(tbl_Kalender[[#This Row],[Datum]],"TTTT")</f>
        <v>Donnerstag</v>
      </c>
      <c r="E1475">
        <f>WEEKDAY(tbl_Kalender[[#This Row],[Datum]],2)</f>
        <v>4</v>
      </c>
      <c r="F1475">
        <f>MONTH(tbl_Kalender[[#This Row],[Datum]])</f>
        <v>1</v>
      </c>
      <c r="G1475" t="str">
        <f>TEXT(tbl_Kalender[[#This Row],[Datum]],"MMMM")</f>
        <v>Januar</v>
      </c>
      <c r="H1475">
        <f>ROUNDUP(tbl_Kalender[[#This Row],[Monat]]/3,0)</f>
        <v>1</v>
      </c>
      <c r="I1475" t="str">
        <f>"Q "&amp;tbl_Kalender[[#This Row],[Quartal]]</f>
        <v>Q 1</v>
      </c>
      <c r="J1475" t="str">
        <f>tbl_Kalender[[#This Row],[Quartal]]&amp;". Quartal"</f>
        <v>1. Quartal</v>
      </c>
      <c r="K1475">
        <f>_xlfn.ISOWEEKNUM(tbl_Kalender[[#This Row],[Datum]])</f>
        <v>2</v>
      </c>
    </row>
    <row r="1476" spans="1:11" x14ac:dyDescent="0.25">
      <c r="A1476" s="1">
        <v>46766</v>
      </c>
      <c r="B1476">
        <f>YEAR(tbl_Kalender[[#This Row],[Datum]])</f>
        <v>2028</v>
      </c>
      <c r="C1476">
        <f>DAY(tbl_Kalender[[#This Row],[Datum]])</f>
        <v>14</v>
      </c>
      <c r="D1476" t="str">
        <f>TEXT(tbl_Kalender[[#This Row],[Datum]],"TTTT")</f>
        <v>Freitag</v>
      </c>
      <c r="E1476">
        <f>WEEKDAY(tbl_Kalender[[#This Row],[Datum]],2)</f>
        <v>5</v>
      </c>
      <c r="F1476">
        <f>MONTH(tbl_Kalender[[#This Row],[Datum]])</f>
        <v>1</v>
      </c>
      <c r="G1476" t="str">
        <f>TEXT(tbl_Kalender[[#This Row],[Datum]],"MMMM")</f>
        <v>Januar</v>
      </c>
      <c r="H1476">
        <f>ROUNDUP(tbl_Kalender[[#This Row],[Monat]]/3,0)</f>
        <v>1</v>
      </c>
      <c r="I1476" t="str">
        <f>"Q "&amp;tbl_Kalender[[#This Row],[Quartal]]</f>
        <v>Q 1</v>
      </c>
      <c r="J1476" t="str">
        <f>tbl_Kalender[[#This Row],[Quartal]]&amp;". Quartal"</f>
        <v>1. Quartal</v>
      </c>
      <c r="K1476">
        <f>_xlfn.ISOWEEKNUM(tbl_Kalender[[#This Row],[Datum]])</f>
        <v>2</v>
      </c>
    </row>
    <row r="1477" spans="1:11" x14ac:dyDescent="0.25">
      <c r="A1477" s="1">
        <v>46767</v>
      </c>
      <c r="B1477">
        <f>YEAR(tbl_Kalender[[#This Row],[Datum]])</f>
        <v>2028</v>
      </c>
      <c r="C1477">
        <f>DAY(tbl_Kalender[[#This Row],[Datum]])</f>
        <v>15</v>
      </c>
      <c r="D1477" t="str">
        <f>TEXT(tbl_Kalender[[#This Row],[Datum]],"TTTT")</f>
        <v>Samstag</v>
      </c>
      <c r="E1477">
        <f>WEEKDAY(tbl_Kalender[[#This Row],[Datum]],2)</f>
        <v>6</v>
      </c>
      <c r="F1477">
        <f>MONTH(tbl_Kalender[[#This Row],[Datum]])</f>
        <v>1</v>
      </c>
      <c r="G1477" t="str">
        <f>TEXT(tbl_Kalender[[#This Row],[Datum]],"MMMM")</f>
        <v>Januar</v>
      </c>
      <c r="H1477">
        <f>ROUNDUP(tbl_Kalender[[#This Row],[Monat]]/3,0)</f>
        <v>1</v>
      </c>
      <c r="I1477" t="str">
        <f>"Q "&amp;tbl_Kalender[[#This Row],[Quartal]]</f>
        <v>Q 1</v>
      </c>
      <c r="J1477" t="str">
        <f>tbl_Kalender[[#This Row],[Quartal]]&amp;". Quartal"</f>
        <v>1. Quartal</v>
      </c>
      <c r="K1477">
        <f>_xlfn.ISOWEEKNUM(tbl_Kalender[[#This Row],[Datum]])</f>
        <v>2</v>
      </c>
    </row>
    <row r="1478" spans="1:11" x14ac:dyDescent="0.25">
      <c r="A1478" s="1">
        <v>46768</v>
      </c>
      <c r="B1478">
        <f>YEAR(tbl_Kalender[[#This Row],[Datum]])</f>
        <v>2028</v>
      </c>
      <c r="C1478">
        <f>DAY(tbl_Kalender[[#This Row],[Datum]])</f>
        <v>16</v>
      </c>
      <c r="D1478" t="str">
        <f>TEXT(tbl_Kalender[[#This Row],[Datum]],"TTTT")</f>
        <v>Sonntag</v>
      </c>
      <c r="E1478">
        <f>WEEKDAY(tbl_Kalender[[#This Row],[Datum]],2)</f>
        <v>7</v>
      </c>
      <c r="F1478">
        <f>MONTH(tbl_Kalender[[#This Row],[Datum]])</f>
        <v>1</v>
      </c>
      <c r="G1478" t="str">
        <f>TEXT(tbl_Kalender[[#This Row],[Datum]],"MMMM")</f>
        <v>Januar</v>
      </c>
      <c r="H1478">
        <f>ROUNDUP(tbl_Kalender[[#This Row],[Monat]]/3,0)</f>
        <v>1</v>
      </c>
      <c r="I1478" t="str">
        <f>"Q "&amp;tbl_Kalender[[#This Row],[Quartal]]</f>
        <v>Q 1</v>
      </c>
      <c r="J1478" t="str">
        <f>tbl_Kalender[[#This Row],[Quartal]]&amp;". Quartal"</f>
        <v>1. Quartal</v>
      </c>
      <c r="K1478">
        <f>_xlfn.ISOWEEKNUM(tbl_Kalender[[#This Row],[Datum]])</f>
        <v>2</v>
      </c>
    </row>
    <row r="1479" spans="1:11" x14ac:dyDescent="0.25">
      <c r="A1479" s="1">
        <v>46769</v>
      </c>
      <c r="B1479">
        <f>YEAR(tbl_Kalender[[#This Row],[Datum]])</f>
        <v>2028</v>
      </c>
      <c r="C1479">
        <f>DAY(tbl_Kalender[[#This Row],[Datum]])</f>
        <v>17</v>
      </c>
      <c r="D1479" t="str">
        <f>TEXT(tbl_Kalender[[#This Row],[Datum]],"TTTT")</f>
        <v>Montag</v>
      </c>
      <c r="E1479">
        <f>WEEKDAY(tbl_Kalender[[#This Row],[Datum]],2)</f>
        <v>1</v>
      </c>
      <c r="F1479">
        <f>MONTH(tbl_Kalender[[#This Row],[Datum]])</f>
        <v>1</v>
      </c>
      <c r="G1479" t="str">
        <f>TEXT(tbl_Kalender[[#This Row],[Datum]],"MMMM")</f>
        <v>Januar</v>
      </c>
      <c r="H1479">
        <f>ROUNDUP(tbl_Kalender[[#This Row],[Monat]]/3,0)</f>
        <v>1</v>
      </c>
      <c r="I1479" t="str">
        <f>"Q "&amp;tbl_Kalender[[#This Row],[Quartal]]</f>
        <v>Q 1</v>
      </c>
      <c r="J1479" t="str">
        <f>tbl_Kalender[[#This Row],[Quartal]]&amp;". Quartal"</f>
        <v>1. Quartal</v>
      </c>
      <c r="K1479">
        <f>_xlfn.ISOWEEKNUM(tbl_Kalender[[#This Row],[Datum]])</f>
        <v>3</v>
      </c>
    </row>
    <row r="1480" spans="1:11" x14ac:dyDescent="0.25">
      <c r="A1480" s="1">
        <v>46770</v>
      </c>
      <c r="B1480">
        <f>YEAR(tbl_Kalender[[#This Row],[Datum]])</f>
        <v>2028</v>
      </c>
      <c r="C1480">
        <f>DAY(tbl_Kalender[[#This Row],[Datum]])</f>
        <v>18</v>
      </c>
      <c r="D1480" t="str">
        <f>TEXT(tbl_Kalender[[#This Row],[Datum]],"TTTT")</f>
        <v>Dienstag</v>
      </c>
      <c r="E1480">
        <f>WEEKDAY(tbl_Kalender[[#This Row],[Datum]],2)</f>
        <v>2</v>
      </c>
      <c r="F1480">
        <f>MONTH(tbl_Kalender[[#This Row],[Datum]])</f>
        <v>1</v>
      </c>
      <c r="G1480" t="str">
        <f>TEXT(tbl_Kalender[[#This Row],[Datum]],"MMMM")</f>
        <v>Januar</v>
      </c>
      <c r="H1480">
        <f>ROUNDUP(tbl_Kalender[[#This Row],[Monat]]/3,0)</f>
        <v>1</v>
      </c>
      <c r="I1480" t="str">
        <f>"Q "&amp;tbl_Kalender[[#This Row],[Quartal]]</f>
        <v>Q 1</v>
      </c>
      <c r="J1480" t="str">
        <f>tbl_Kalender[[#This Row],[Quartal]]&amp;". Quartal"</f>
        <v>1. Quartal</v>
      </c>
      <c r="K1480">
        <f>_xlfn.ISOWEEKNUM(tbl_Kalender[[#This Row],[Datum]])</f>
        <v>3</v>
      </c>
    </row>
    <row r="1481" spans="1:11" x14ac:dyDescent="0.25">
      <c r="A1481" s="1">
        <v>46771</v>
      </c>
      <c r="B1481">
        <f>YEAR(tbl_Kalender[[#This Row],[Datum]])</f>
        <v>2028</v>
      </c>
      <c r="C1481">
        <f>DAY(tbl_Kalender[[#This Row],[Datum]])</f>
        <v>19</v>
      </c>
      <c r="D1481" t="str">
        <f>TEXT(tbl_Kalender[[#This Row],[Datum]],"TTTT")</f>
        <v>Mittwoch</v>
      </c>
      <c r="E1481">
        <f>WEEKDAY(tbl_Kalender[[#This Row],[Datum]],2)</f>
        <v>3</v>
      </c>
      <c r="F1481">
        <f>MONTH(tbl_Kalender[[#This Row],[Datum]])</f>
        <v>1</v>
      </c>
      <c r="G1481" t="str">
        <f>TEXT(tbl_Kalender[[#This Row],[Datum]],"MMMM")</f>
        <v>Januar</v>
      </c>
      <c r="H1481">
        <f>ROUNDUP(tbl_Kalender[[#This Row],[Monat]]/3,0)</f>
        <v>1</v>
      </c>
      <c r="I1481" t="str">
        <f>"Q "&amp;tbl_Kalender[[#This Row],[Quartal]]</f>
        <v>Q 1</v>
      </c>
      <c r="J1481" t="str">
        <f>tbl_Kalender[[#This Row],[Quartal]]&amp;". Quartal"</f>
        <v>1. Quartal</v>
      </c>
      <c r="K1481">
        <f>_xlfn.ISOWEEKNUM(tbl_Kalender[[#This Row],[Datum]])</f>
        <v>3</v>
      </c>
    </row>
    <row r="1482" spans="1:11" x14ac:dyDescent="0.25">
      <c r="A1482" s="1">
        <v>46772</v>
      </c>
      <c r="B1482">
        <f>YEAR(tbl_Kalender[[#This Row],[Datum]])</f>
        <v>2028</v>
      </c>
      <c r="C1482">
        <f>DAY(tbl_Kalender[[#This Row],[Datum]])</f>
        <v>20</v>
      </c>
      <c r="D1482" t="str">
        <f>TEXT(tbl_Kalender[[#This Row],[Datum]],"TTTT")</f>
        <v>Donnerstag</v>
      </c>
      <c r="E1482">
        <f>WEEKDAY(tbl_Kalender[[#This Row],[Datum]],2)</f>
        <v>4</v>
      </c>
      <c r="F1482">
        <f>MONTH(tbl_Kalender[[#This Row],[Datum]])</f>
        <v>1</v>
      </c>
      <c r="G1482" t="str">
        <f>TEXT(tbl_Kalender[[#This Row],[Datum]],"MMMM")</f>
        <v>Januar</v>
      </c>
      <c r="H1482">
        <f>ROUNDUP(tbl_Kalender[[#This Row],[Monat]]/3,0)</f>
        <v>1</v>
      </c>
      <c r="I1482" t="str">
        <f>"Q "&amp;tbl_Kalender[[#This Row],[Quartal]]</f>
        <v>Q 1</v>
      </c>
      <c r="J1482" t="str">
        <f>tbl_Kalender[[#This Row],[Quartal]]&amp;". Quartal"</f>
        <v>1. Quartal</v>
      </c>
      <c r="K1482">
        <f>_xlfn.ISOWEEKNUM(tbl_Kalender[[#This Row],[Datum]])</f>
        <v>3</v>
      </c>
    </row>
    <row r="1483" spans="1:11" x14ac:dyDescent="0.25">
      <c r="A1483" s="1">
        <v>46773</v>
      </c>
      <c r="B1483">
        <f>YEAR(tbl_Kalender[[#This Row],[Datum]])</f>
        <v>2028</v>
      </c>
      <c r="C1483">
        <f>DAY(tbl_Kalender[[#This Row],[Datum]])</f>
        <v>21</v>
      </c>
      <c r="D1483" t="str">
        <f>TEXT(tbl_Kalender[[#This Row],[Datum]],"TTTT")</f>
        <v>Freitag</v>
      </c>
      <c r="E1483">
        <f>WEEKDAY(tbl_Kalender[[#This Row],[Datum]],2)</f>
        <v>5</v>
      </c>
      <c r="F1483">
        <f>MONTH(tbl_Kalender[[#This Row],[Datum]])</f>
        <v>1</v>
      </c>
      <c r="G1483" t="str">
        <f>TEXT(tbl_Kalender[[#This Row],[Datum]],"MMMM")</f>
        <v>Januar</v>
      </c>
      <c r="H1483">
        <f>ROUNDUP(tbl_Kalender[[#This Row],[Monat]]/3,0)</f>
        <v>1</v>
      </c>
      <c r="I1483" t="str">
        <f>"Q "&amp;tbl_Kalender[[#This Row],[Quartal]]</f>
        <v>Q 1</v>
      </c>
      <c r="J1483" t="str">
        <f>tbl_Kalender[[#This Row],[Quartal]]&amp;". Quartal"</f>
        <v>1. Quartal</v>
      </c>
      <c r="K1483">
        <f>_xlfn.ISOWEEKNUM(tbl_Kalender[[#This Row],[Datum]])</f>
        <v>3</v>
      </c>
    </row>
    <row r="1484" spans="1:11" x14ac:dyDescent="0.25">
      <c r="A1484" s="1">
        <v>46774</v>
      </c>
      <c r="B1484">
        <f>YEAR(tbl_Kalender[[#This Row],[Datum]])</f>
        <v>2028</v>
      </c>
      <c r="C1484">
        <f>DAY(tbl_Kalender[[#This Row],[Datum]])</f>
        <v>22</v>
      </c>
      <c r="D1484" t="str">
        <f>TEXT(tbl_Kalender[[#This Row],[Datum]],"TTTT")</f>
        <v>Samstag</v>
      </c>
      <c r="E1484">
        <f>WEEKDAY(tbl_Kalender[[#This Row],[Datum]],2)</f>
        <v>6</v>
      </c>
      <c r="F1484">
        <f>MONTH(tbl_Kalender[[#This Row],[Datum]])</f>
        <v>1</v>
      </c>
      <c r="G1484" t="str">
        <f>TEXT(tbl_Kalender[[#This Row],[Datum]],"MMMM")</f>
        <v>Januar</v>
      </c>
      <c r="H1484">
        <f>ROUNDUP(tbl_Kalender[[#This Row],[Monat]]/3,0)</f>
        <v>1</v>
      </c>
      <c r="I1484" t="str">
        <f>"Q "&amp;tbl_Kalender[[#This Row],[Quartal]]</f>
        <v>Q 1</v>
      </c>
      <c r="J1484" t="str">
        <f>tbl_Kalender[[#This Row],[Quartal]]&amp;". Quartal"</f>
        <v>1. Quartal</v>
      </c>
      <c r="K1484">
        <f>_xlfn.ISOWEEKNUM(tbl_Kalender[[#This Row],[Datum]])</f>
        <v>3</v>
      </c>
    </row>
    <row r="1485" spans="1:11" x14ac:dyDescent="0.25">
      <c r="A1485" s="1">
        <v>46775</v>
      </c>
      <c r="B1485">
        <f>YEAR(tbl_Kalender[[#This Row],[Datum]])</f>
        <v>2028</v>
      </c>
      <c r="C1485">
        <f>DAY(tbl_Kalender[[#This Row],[Datum]])</f>
        <v>23</v>
      </c>
      <c r="D1485" t="str">
        <f>TEXT(tbl_Kalender[[#This Row],[Datum]],"TTTT")</f>
        <v>Sonntag</v>
      </c>
      <c r="E1485">
        <f>WEEKDAY(tbl_Kalender[[#This Row],[Datum]],2)</f>
        <v>7</v>
      </c>
      <c r="F1485">
        <f>MONTH(tbl_Kalender[[#This Row],[Datum]])</f>
        <v>1</v>
      </c>
      <c r="G1485" t="str">
        <f>TEXT(tbl_Kalender[[#This Row],[Datum]],"MMMM")</f>
        <v>Januar</v>
      </c>
      <c r="H1485">
        <f>ROUNDUP(tbl_Kalender[[#This Row],[Monat]]/3,0)</f>
        <v>1</v>
      </c>
      <c r="I1485" t="str">
        <f>"Q "&amp;tbl_Kalender[[#This Row],[Quartal]]</f>
        <v>Q 1</v>
      </c>
      <c r="J1485" t="str">
        <f>tbl_Kalender[[#This Row],[Quartal]]&amp;". Quartal"</f>
        <v>1. Quartal</v>
      </c>
      <c r="K1485">
        <f>_xlfn.ISOWEEKNUM(tbl_Kalender[[#This Row],[Datum]])</f>
        <v>3</v>
      </c>
    </row>
    <row r="1486" spans="1:11" x14ac:dyDescent="0.25">
      <c r="A1486" s="1">
        <v>46776</v>
      </c>
      <c r="B1486">
        <f>YEAR(tbl_Kalender[[#This Row],[Datum]])</f>
        <v>2028</v>
      </c>
      <c r="C1486">
        <f>DAY(tbl_Kalender[[#This Row],[Datum]])</f>
        <v>24</v>
      </c>
      <c r="D1486" t="str">
        <f>TEXT(tbl_Kalender[[#This Row],[Datum]],"TTTT")</f>
        <v>Montag</v>
      </c>
      <c r="E1486">
        <f>WEEKDAY(tbl_Kalender[[#This Row],[Datum]],2)</f>
        <v>1</v>
      </c>
      <c r="F1486">
        <f>MONTH(tbl_Kalender[[#This Row],[Datum]])</f>
        <v>1</v>
      </c>
      <c r="G1486" t="str">
        <f>TEXT(tbl_Kalender[[#This Row],[Datum]],"MMMM")</f>
        <v>Januar</v>
      </c>
      <c r="H1486">
        <f>ROUNDUP(tbl_Kalender[[#This Row],[Monat]]/3,0)</f>
        <v>1</v>
      </c>
      <c r="I1486" t="str">
        <f>"Q "&amp;tbl_Kalender[[#This Row],[Quartal]]</f>
        <v>Q 1</v>
      </c>
      <c r="J1486" t="str">
        <f>tbl_Kalender[[#This Row],[Quartal]]&amp;". Quartal"</f>
        <v>1. Quartal</v>
      </c>
      <c r="K1486">
        <f>_xlfn.ISOWEEKNUM(tbl_Kalender[[#This Row],[Datum]])</f>
        <v>4</v>
      </c>
    </row>
    <row r="1487" spans="1:11" x14ac:dyDescent="0.25">
      <c r="A1487" s="1">
        <v>46777</v>
      </c>
      <c r="B1487">
        <f>YEAR(tbl_Kalender[[#This Row],[Datum]])</f>
        <v>2028</v>
      </c>
      <c r="C1487">
        <f>DAY(tbl_Kalender[[#This Row],[Datum]])</f>
        <v>25</v>
      </c>
      <c r="D1487" t="str">
        <f>TEXT(tbl_Kalender[[#This Row],[Datum]],"TTTT")</f>
        <v>Dienstag</v>
      </c>
      <c r="E1487">
        <f>WEEKDAY(tbl_Kalender[[#This Row],[Datum]],2)</f>
        <v>2</v>
      </c>
      <c r="F1487">
        <f>MONTH(tbl_Kalender[[#This Row],[Datum]])</f>
        <v>1</v>
      </c>
      <c r="G1487" t="str">
        <f>TEXT(tbl_Kalender[[#This Row],[Datum]],"MMMM")</f>
        <v>Januar</v>
      </c>
      <c r="H1487">
        <f>ROUNDUP(tbl_Kalender[[#This Row],[Monat]]/3,0)</f>
        <v>1</v>
      </c>
      <c r="I1487" t="str">
        <f>"Q "&amp;tbl_Kalender[[#This Row],[Quartal]]</f>
        <v>Q 1</v>
      </c>
      <c r="J1487" t="str">
        <f>tbl_Kalender[[#This Row],[Quartal]]&amp;". Quartal"</f>
        <v>1. Quartal</v>
      </c>
      <c r="K1487">
        <f>_xlfn.ISOWEEKNUM(tbl_Kalender[[#This Row],[Datum]])</f>
        <v>4</v>
      </c>
    </row>
    <row r="1488" spans="1:11" x14ac:dyDescent="0.25">
      <c r="A1488" s="1">
        <v>46778</v>
      </c>
      <c r="B1488">
        <f>YEAR(tbl_Kalender[[#This Row],[Datum]])</f>
        <v>2028</v>
      </c>
      <c r="C1488">
        <f>DAY(tbl_Kalender[[#This Row],[Datum]])</f>
        <v>26</v>
      </c>
      <c r="D1488" t="str">
        <f>TEXT(tbl_Kalender[[#This Row],[Datum]],"TTTT")</f>
        <v>Mittwoch</v>
      </c>
      <c r="E1488">
        <f>WEEKDAY(tbl_Kalender[[#This Row],[Datum]],2)</f>
        <v>3</v>
      </c>
      <c r="F1488">
        <f>MONTH(tbl_Kalender[[#This Row],[Datum]])</f>
        <v>1</v>
      </c>
      <c r="G1488" t="str">
        <f>TEXT(tbl_Kalender[[#This Row],[Datum]],"MMMM")</f>
        <v>Januar</v>
      </c>
      <c r="H1488">
        <f>ROUNDUP(tbl_Kalender[[#This Row],[Monat]]/3,0)</f>
        <v>1</v>
      </c>
      <c r="I1488" t="str">
        <f>"Q "&amp;tbl_Kalender[[#This Row],[Quartal]]</f>
        <v>Q 1</v>
      </c>
      <c r="J1488" t="str">
        <f>tbl_Kalender[[#This Row],[Quartal]]&amp;". Quartal"</f>
        <v>1. Quartal</v>
      </c>
      <c r="K1488">
        <f>_xlfn.ISOWEEKNUM(tbl_Kalender[[#This Row],[Datum]])</f>
        <v>4</v>
      </c>
    </row>
    <row r="1489" spans="1:11" x14ac:dyDescent="0.25">
      <c r="A1489" s="1">
        <v>46779</v>
      </c>
      <c r="B1489">
        <f>YEAR(tbl_Kalender[[#This Row],[Datum]])</f>
        <v>2028</v>
      </c>
      <c r="C1489">
        <f>DAY(tbl_Kalender[[#This Row],[Datum]])</f>
        <v>27</v>
      </c>
      <c r="D1489" t="str">
        <f>TEXT(tbl_Kalender[[#This Row],[Datum]],"TTTT")</f>
        <v>Donnerstag</v>
      </c>
      <c r="E1489">
        <f>WEEKDAY(tbl_Kalender[[#This Row],[Datum]],2)</f>
        <v>4</v>
      </c>
      <c r="F1489">
        <f>MONTH(tbl_Kalender[[#This Row],[Datum]])</f>
        <v>1</v>
      </c>
      <c r="G1489" t="str">
        <f>TEXT(tbl_Kalender[[#This Row],[Datum]],"MMMM")</f>
        <v>Januar</v>
      </c>
      <c r="H1489">
        <f>ROUNDUP(tbl_Kalender[[#This Row],[Monat]]/3,0)</f>
        <v>1</v>
      </c>
      <c r="I1489" t="str">
        <f>"Q "&amp;tbl_Kalender[[#This Row],[Quartal]]</f>
        <v>Q 1</v>
      </c>
      <c r="J1489" t="str">
        <f>tbl_Kalender[[#This Row],[Quartal]]&amp;". Quartal"</f>
        <v>1. Quartal</v>
      </c>
      <c r="K1489">
        <f>_xlfn.ISOWEEKNUM(tbl_Kalender[[#This Row],[Datum]])</f>
        <v>4</v>
      </c>
    </row>
    <row r="1490" spans="1:11" x14ac:dyDescent="0.25">
      <c r="A1490" s="1">
        <v>46780</v>
      </c>
      <c r="B1490">
        <f>YEAR(tbl_Kalender[[#This Row],[Datum]])</f>
        <v>2028</v>
      </c>
      <c r="C1490">
        <f>DAY(tbl_Kalender[[#This Row],[Datum]])</f>
        <v>28</v>
      </c>
      <c r="D1490" t="str">
        <f>TEXT(tbl_Kalender[[#This Row],[Datum]],"TTTT")</f>
        <v>Freitag</v>
      </c>
      <c r="E1490">
        <f>WEEKDAY(tbl_Kalender[[#This Row],[Datum]],2)</f>
        <v>5</v>
      </c>
      <c r="F1490">
        <f>MONTH(tbl_Kalender[[#This Row],[Datum]])</f>
        <v>1</v>
      </c>
      <c r="G1490" t="str">
        <f>TEXT(tbl_Kalender[[#This Row],[Datum]],"MMMM")</f>
        <v>Januar</v>
      </c>
      <c r="H1490">
        <f>ROUNDUP(tbl_Kalender[[#This Row],[Monat]]/3,0)</f>
        <v>1</v>
      </c>
      <c r="I1490" t="str">
        <f>"Q "&amp;tbl_Kalender[[#This Row],[Quartal]]</f>
        <v>Q 1</v>
      </c>
      <c r="J1490" t="str">
        <f>tbl_Kalender[[#This Row],[Quartal]]&amp;". Quartal"</f>
        <v>1. Quartal</v>
      </c>
      <c r="K1490">
        <f>_xlfn.ISOWEEKNUM(tbl_Kalender[[#This Row],[Datum]])</f>
        <v>4</v>
      </c>
    </row>
    <row r="1491" spans="1:11" x14ac:dyDescent="0.25">
      <c r="A1491" s="1">
        <v>46781</v>
      </c>
      <c r="B1491">
        <f>YEAR(tbl_Kalender[[#This Row],[Datum]])</f>
        <v>2028</v>
      </c>
      <c r="C1491">
        <f>DAY(tbl_Kalender[[#This Row],[Datum]])</f>
        <v>29</v>
      </c>
      <c r="D1491" t="str">
        <f>TEXT(tbl_Kalender[[#This Row],[Datum]],"TTTT")</f>
        <v>Samstag</v>
      </c>
      <c r="E1491">
        <f>WEEKDAY(tbl_Kalender[[#This Row],[Datum]],2)</f>
        <v>6</v>
      </c>
      <c r="F1491">
        <f>MONTH(tbl_Kalender[[#This Row],[Datum]])</f>
        <v>1</v>
      </c>
      <c r="G1491" t="str">
        <f>TEXT(tbl_Kalender[[#This Row],[Datum]],"MMMM")</f>
        <v>Januar</v>
      </c>
      <c r="H1491">
        <f>ROUNDUP(tbl_Kalender[[#This Row],[Monat]]/3,0)</f>
        <v>1</v>
      </c>
      <c r="I1491" t="str">
        <f>"Q "&amp;tbl_Kalender[[#This Row],[Quartal]]</f>
        <v>Q 1</v>
      </c>
      <c r="J1491" t="str">
        <f>tbl_Kalender[[#This Row],[Quartal]]&amp;". Quartal"</f>
        <v>1. Quartal</v>
      </c>
      <c r="K1491">
        <f>_xlfn.ISOWEEKNUM(tbl_Kalender[[#This Row],[Datum]])</f>
        <v>4</v>
      </c>
    </row>
    <row r="1492" spans="1:11" x14ac:dyDescent="0.25">
      <c r="A1492" s="1">
        <v>46782</v>
      </c>
      <c r="B1492">
        <f>YEAR(tbl_Kalender[[#This Row],[Datum]])</f>
        <v>2028</v>
      </c>
      <c r="C1492">
        <f>DAY(tbl_Kalender[[#This Row],[Datum]])</f>
        <v>30</v>
      </c>
      <c r="D1492" t="str">
        <f>TEXT(tbl_Kalender[[#This Row],[Datum]],"TTTT")</f>
        <v>Sonntag</v>
      </c>
      <c r="E1492">
        <f>WEEKDAY(tbl_Kalender[[#This Row],[Datum]],2)</f>
        <v>7</v>
      </c>
      <c r="F1492">
        <f>MONTH(tbl_Kalender[[#This Row],[Datum]])</f>
        <v>1</v>
      </c>
      <c r="G1492" t="str">
        <f>TEXT(tbl_Kalender[[#This Row],[Datum]],"MMMM")</f>
        <v>Januar</v>
      </c>
      <c r="H1492">
        <f>ROUNDUP(tbl_Kalender[[#This Row],[Monat]]/3,0)</f>
        <v>1</v>
      </c>
      <c r="I1492" t="str">
        <f>"Q "&amp;tbl_Kalender[[#This Row],[Quartal]]</f>
        <v>Q 1</v>
      </c>
      <c r="J1492" t="str">
        <f>tbl_Kalender[[#This Row],[Quartal]]&amp;". Quartal"</f>
        <v>1. Quartal</v>
      </c>
      <c r="K1492">
        <f>_xlfn.ISOWEEKNUM(tbl_Kalender[[#This Row],[Datum]])</f>
        <v>4</v>
      </c>
    </row>
    <row r="1493" spans="1:11" x14ac:dyDescent="0.25">
      <c r="A1493" s="1">
        <v>46783</v>
      </c>
      <c r="B1493">
        <f>YEAR(tbl_Kalender[[#This Row],[Datum]])</f>
        <v>2028</v>
      </c>
      <c r="C1493">
        <f>DAY(tbl_Kalender[[#This Row],[Datum]])</f>
        <v>31</v>
      </c>
      <c r="D1493" t="str">
        <f>TEXT(tbl_Kalender[[#This Row],[Datum]],"TTTT")</f>
        <v>Montag</v>
      </c>
      <c r="E1493">
        <f>WEEKDAY(tbl_Kalender[[#This Row],[Datum]],2)</f>
        <v>1</v>
      </c>
      <c r="F1493">
        <f>MONTH(tbl_Kalender[[#This Row],[Datum]])</f>
        <v>1</v>
      </c>
      <c r="G1493" t="str">
        <f>TEXT(tbl_Kalender[[#This Row],[Datum]],"MMMM")</f>
        <v>Januar</v>
      </c>
      <c r="H1493">
        <f>ROUNDUP(tbl_Kalender[[#This Row],[Monat]]/3,0)</f>
        <v>1</v>
      </c>
      <c r="I1493" t="str">
        <f>"Q "&amp;tbl_Kalender[[#This Row],[Quartal]]</f>
        <v>Q 1</v>
      </c>
      <c r="J1493" t="str">
        <f>tbl_Kalender[[#This Row],[Quartal]]&amp;". Quartal"</f>
        <v>1. Quartal</v>
      </c>
      <c r="K1493">
        <f>_xlfn.ISOWEEKNUM(tbl_Kalender[[#This Row],[Datum]])</f>
        <v>5</v>
      </c>
    </row>
    <row r="1494" spans="1:11" x14ac:dyDescent="0.25">
      <c r="A1494" s="1">
        <v>46784</v>
      </c>
      <c r="B1494">
        <f>YEAR(tbl_Kalender[[#This Row],[Datum]])</f>
        <v>2028</v>
      </c>
      <c r="C1494">
        <f>DAY(tbl_Kalender[[#This Row],[Datum]])</f>
        <v>1</v>
      </c>
      <c r="D1494" t="str">
        <f>TEXT(tbl_Kalender[[#This Row],[Datum]],"TTTT")</f>
        <v>Dienstag</v>
      </c>
      <c r="E1494">
        <f>WEEKDAY(tbl_Kalender[[#This Row],[Datum]],2)</f>
        <v>2</v>
      </c>
      <c r="F1494">
        <f>MONTH(tbl_Kalender[[#This Row],[Datum]])</f>
        <v>2</v>
      </c>
      <c r="G1494" t="str">
        <f>TEXT(tbl_Kalender[[#This Row],[Datum]],"MMMM")</f>
        <v>Februar</v>
      </c>
      <c r="H1494">
        <f>ROUNDUP(tbl_Kalender[[#This Row],[Monat]]/3,0)</f>
        <v>1</v>
      </c>
      <c r="I1494" t="str">
        <f>"Q "&amp;tbl_Kalender[[#This Row],[Quartal]]</f>
        <v>Q 1</v>
      </c>
      <c r="J1494" t="str">
        <f>tbl_Kalender[[#This Row],[Quartal]]&amp;". Quartal"</f>
        <v>1. Quartal</v>
      </c>
      <c r="K1494">
        <f>_xlfn.ISOWEEKNUM(tbl_Kalender[[#This Row],[Datum]])</f>
        <v>5</v>
      </c>
    </row>
    <row r="1495" spans="1:11" x14ac:dyDescent="0.25">
      <c r="A1495" s="1">
        <v>46785</v>
      </c>
      <c r="B1495">
        <f>YEAR(tbl_Kalender[[#This Row],[Datum]])</f>
        <v>2028</v>
      </c>
      <c r="C1495">
        <f>DAY(tbl_Kalender[[#This Row],[Datum]])</f>
        <v>2</v>
      </c>
      <c r="D1495" t="str">
        <f>TEXT(tbl_Kalender[[#This Row],[Datum]],"TTTT")</f>
        <v>Mittwoch</v>
      </c>
      <c r="E1495">
        <f>WEEKDAY(tbl_Kalender[[#This Row],[Datum]],2)</f>
        <v>3</v>
      </c>
      <c r="F1495">
        <f>MONTH(tbl_Kalender[[#This Row],[Datum]])</f>
        <v>2</v>
      </c>
      <c r="G1495" t="str">
        <f>TEXT(tbl_Kalender[[#This Row],[Datum]],"MMMM")</f>
        <v>Februar</v>
      </c>
      <c r="H1495">
        <f>ROUNDUP(tbl_Kalender[[#This Row],[Monat]]/3,0)</f>
        <v>1</v>
      </c>
      <c r="I1495" t="str">
        <f>"Q "&amp;tbl_Kalender[[#This Row],[Quartal]]</f>
        <v>Q 1</v>
      </c>
      <c r="J1495" t="str">
        <f>tbl_Kalender[[#This Row],[Quartal]]&amp;". Quartal"</f>
        <v>1. Quartal</v>
      </c>
      <c r="K1495">
        <f>_xlfn.ISOWEEKNUM(tbl_Kalender[[#This Row],[Datum]])</f>
        <v>5</v>
      </c>
    </row>
    <row r="1496" spans="1:11" x14ac:dyDescent="0.25">
      <c r="A1496" s="1">
        <v>46786</v>
      </c>
      <c r="B1496">
        <f>YEAR(tbl_Kalender[[#This Row],[Datum]])</f>
        <v>2028</v>
      </c>
      <c r="C1496">
        <f>DAY(tbl_Kalender[[#This Row],[Datum]])</f>
        <v>3</v>
      </c>
      <c r="D1496" t="str">
        <f>TEXT(tbl_Kalender[[#This Row],[Datum]],"TTTT")</f>
        <v>Donnerstag</v>
      </c>
      <c r="E1496">
        <f>WEEKDAY(tbl_Kalender[[#This Row],[Datum]],2)</f>
        <v>4</v>
      </c>
      <c r="F1496">
        <f>MONTH(tbl_Kalender[[#This Row],[Datum]])</f>
        <v>2</v>
      </c>
      <c r="G1496" t="str">
        <f>TEXT(tbl_Kalender[[#This Row],[Datum]],"MMMM")</f>
        <v>Februar</v>
      </c>
      <c r="H1496">
        <f>ROUNDUP(tbl_Kalender[[#This Row],[Monat]]/3,0)</f>
        <v>1</v>
      </c>
      <c r="I1496" t="str">
        <f>"Q "&amp;tbl_Kalender[[#This Row],[Quartal]]</f>
        <v>Q 1</v>
      </c>
      <c r="J1496" t="str">
        <f>tbl_Kalender[[#This Row],[Quartal]]&amp;". Quartal"</f>
        <v>1. Quartal</v>
      </c>
      <c r="K1496">
        <f>_xlfn.ISOWEEKNUM(tbl_Kalender[[#This Row],[Datum]])</f>
        <v>5</v>
      </c>
    </row>
    <row r="1497" spans="1:11" x14ac:dyDescent="0.25">
      <c r="A1497" s="1">
        <v>46787</v>
      </c>
      <c r="B1497">
        <f>YEAR(tbl_Kalender[[#This Row],[Datum]])</f>
        <v>2028</v>
      </c>
      <c r="C1497">
        <f>DAY(tbl_Kalender[[#This Row],[Datum]])</f>
        <v>4</v>
      </c>
      <c r="D1497" t="str">
        <f>TEXT(tbl_Kalender[[#This Row],[Datum]],"TTTT")</f>
        <v>Freitag</v>
      </c>
      <c r="E1497">
        <f>WEEKDAY(tbl_Kalender[[#This Row],[Datum]],2)</f>
        <v>5</v>
      </c>
      <c r="F1497">
        <f>MONTH(tbl_Kalender[[#This Row],[Datum]])</f>
        <v>2</v>
      </c>
      <c r="G1497" t="str">
        <f>TEXT(tbl_Kalender[[#This Row],[Datum]],"MMMM")</f>
        <v>Februar</v>
      </c>
      <c r="H1497">
        <f>ROUNDUP(tbl_Kalender[[#This Row],[Monat]]/3,0)</f>
        <v>1</v>
      </c>
      <c r="I1497" t="str">
        <f>"Q "&amp;tbl_Kalender[[#This Row],[Quartal]]</f>
        <v>Q 1</v>
      </c>
      <c r="J1497" t="str">
        <f>tbl_Kalender[[#This Row],[Quartal]]&amp;". Quartal"</f>
        <v>1. Quartal</v>
      </c>
      <c r="K1497">
        <f>_xlfn.ISOWEEKNUM(tbl_Kalender[[#This Row],[Datum]])</f>
        <v>5</v>
      </c>
    </row>
    <row r="1498" spans="1:11" x14ac:dyDescent="0.25">
      <c r="A1498" s="1">
        <v>46788</v>
      </c>
      <c r="B1498">
        <f>YEAR(tbl_Kalender[[#This Row],[Datum]])</f>
        <v>2028</v>
      </c>
      <c r="C1498">
        <f>DAY(tbl_Kalender[[#This Row],[Datum]])</f>
        <v>5</v>
      </c>
      <c r="D1498" t="str">
        <f>TEXT(tbl_Kalender[[#This Row],[Datum]],"TTTT")</f>
        <v>Samstag</v>
      </c>
      <c r="E1498">
        <f>WEEKDAY(tbl_Kalender[[#This Row],[Datum]],2)</f>
        <v>6</v>
      </c>
      <c r="F1498">
        <f>MONTH(tbl_Kalender[[#This Row],[Datum]])</f>
        <v>2</v>
      </c>
      <c r="G1498" t="str">
        <f>TEXT(tbl_Kalender[[#This Row],[Datum]],"MMMM")</f>
        <v>Februar</v>
      </c>
      <c r="H1498">
        <f>ROUNDUP(tbl_Kalender[[#This Row],[Monat]]/3,0)</f>
        <v>1</v>
      </c>
      <c r="I1498" t="str">
        <f>"Q "&amp;tbl_Kalender[[#This Row],[Quartal]]</f>
        <v>Q 1</v>
      </c>
      <c r="J1498" t="str">
        <f>tbl_Kalender[[#This Row],[Quartal]]&amp;". Quartal"</f>
        <v>1. Quartal</v>
      </c>
      <c r="K1498">
        <f>_xlfn.ISOWEEKNUM(tbl_Kalender[[#This Row],[Datum]])</f>
        <v>5</v>
      </c>
    </row>
    <row r="1499" spans="1:11" x14ac:dyDescent="0.25">
      <c r="A1499" s="1">
        <v>46789</v>
      </c>
      <c r="B1499">
        <f>YEAR(tbl_Kalender[[#This Row],[Datum]])</f>
        <v>2028</v>
      </c>
      <c r="C1499">
        <f>DAY(tbl_Kalender[[#This Row],[Datum]])</f>
        <v>6</v>
      </c>
      <c r="D1499" t="str">
        <f>TEXT(tbl_Kalender[[#This Row],[Datum]],"TTTT")</f>
        <v>Sonntag</v>
      </c>
      <c r="E1499">
        <f>WEEKDAY(tbl_Kalender[[#This Row],[Datum]],2)</f>
        <v>7</v>
      </c>
      <c r="F1499">
        <f>MONTH(tbl_Kalender[[#This Row],[Datum]])</f>
        <v>2</v>
      </c>
      <c r="G1499" t="str">
        <f>TEXT(tbl_Kalender[[#This Row],[Datum]],"MMMM")</f>
        <v>Februar</v>
      </c>
      <c r="H1499">
        <f>ROUNDUP(tbl_Kalender[[#This Row],[Monat]]/3,0)</f>
        <v>1</v>
      </c>
      <c r="I1499" t="str">
        <f>"Q "&amp;tbl_Kalender[[#This Row],[Quartal]]</f>
        <v>Q 1</v>
      </c>
      <c r="J1499" t="str">
        <f>tbl_Kalender[[#This Row],[Quartal]]&amp;". Quartal"</f>
        <v>1. Quartal</v>
      </c>
      <c r="K1499">
        <f>_xlfn.ISOWEEKNUM(tbl_Kalender[[#This Row],[Datum]])</f>
        <v>5</v>
      </c>
    </row>
    <row r="1500" spans="1:11" x14ac:dyDescent="0.25">
      <c r="A1500" s="1">
        <v>46790</v>
      </c>
      <c r="B1500">
        <f>YEAR(tbl_Kalender[[#This Row],[Datum]])</f>
        <v>2028</v>
      </c>
      <c r="C1500">
        <f>DAY(tbl_Kalender[[#This Row],[Datum]])</f>
        <v>7</v>
      </c>
      <c r="D1500" t="str">
        <f>TEXT(tbl_Kalender[[#This Row],[Datum]],"TTTT")</f>
        <v>Montag</v>
      </c>
      <c r="E1500">
        <f>WEEKDAY(tbl_Kalender[[#This Row],[Datum]],2)</f>
        <v>1</v>
      </c>
      <c r="F1500">
        <f>MONTH(tbl_Kalender[[#This Row],[Datum]])</f>
        <v>2</v>
      </c>
      <c r="G1500" t="str">
        <f>TEXT(tbl_Kalender[[#This Row],[Datum]],"MMMM")</f>
        <v>Februar</v>
      </c>
      <c r="H1500">
        <f>ROUNDUP(tbl_Kalender[[#This Row],[Monat]]/3,0)</f>
        <v>1</v>
      </c>
      <c r="I1500" t="str">
        <f>"Q "&amp;tbl_Kalender[[#This Row],[Quartal]]</f>
        <v>Q 1</v>
      </c>
      <c r="J1500" t="str">
        <f>tbl_Kalender[[#This Row],[Quartal]]&amp;". Quartal"</f>
        <v>1. Quartal</v>
      </c>
      <c r="K1500">
        <f>_xlfn.ISOWEEKNUM(tbl_Kalender[[#This Row],[Datum]])</f>
        <v>6</v>
      </c>
    </row>
    <row r="1501" spans="1:11" x14ac:dyDescent="0.25">
      <c r="A1501" s="1">
        <v>46791</v>
      </c>
      <c r="B1501">
        <f>YEAR(tbl_Kalender[[#This Row],[Datum]])</f>
        <v>2028</v>
      </c>
      <c r="C1501">
        <f>DAY(tbl_Kalender[[#This Row],[Datum]])</f>
        <v>8</v>
      </c>
      <c r="D1501" t="str">
        <f>TEXT(tbl_Kalender[[#This Row],[Datum]],"TTTT")</f>
        <v>Dienstag</v>
      </c>
      <c r="E1501">
        <f>WEEKDAY(tbl_Kalender[[#This Row],[Datum]],2)</f>
        <v>2</v>
      </c>
      <c r="F1501">
        <f>MONTH(tbl_Kalender[[#This Row],[Datum]])</f>
        <v>2</v>
      </c>
      <c r="G1501" t="str">
        <f>TEXT(tbl_Kalender[[#This Row],[Datum]],"MMMM")</f>
        <v>Februar</v>
      </c>
      <c r="H1501">
        <f>ROUNDUP(tbl_Kalender[[#This Row],[Monat]]/3,0)</f>
        <v>1</v>
      </c>
      <c r="I1501" t="str">
        <f>"Q "&amp;tbl_Kalender[[#This Row],[Quartal]]</f>
        <v>Q 1</v>
      </c>
      <c r="J1501" t="str">
        <f>tbl_Kalender[[#This Row],[Quartal]]&amp;". Quartal"</f>
        <v>1. Quartal</v>
      </c>
      <c r="K1501">
        <f>_xlfn.ISOWEEKNUM(tbl_Kalender[[#This Row],[Datum]])</f>
        <v>6</v>
      </c>
    </row>
    <row r="1502" spans="1:11" x14ac:dyDescent="0.25">
      <c r="A1502" s="1">
        <v>46792</v>
      </c>
      <c r="B1502">
        <f>YEAR(tbl_Kalender[[#This Row],[Datum]])</f>
        <v>2028</v>
      </c>
      <c r="C1502">
        <f>DAY(tbl_Kalender[[#This Row],[Datum]])</f>
        <v>9</v>
      </c>
      <c r="D1502" t="str">
        <f>TEXT(tbl_Kalender[[#This Row],[Datum]],"TTTT")</f>
        <v>Mittwoch</v>
      </c>
      <c r="E1502">
        <f>WEEKDAY(tbl_Kalender[[#This Row],[Datum]],2)</f>
        <v>3</v>
      </c>
      <c r="F1502">
        <f>MONTH(tbl_Kalender[[#This Row],[Datum]])</f>
        <v>2</v>
      </c>
      <c r="G1502" t="str">
        <f>TEXT(tbl_Kalender[[#This Row],[Datum]],"MMMM")</f>
        <v>Februar</v>
      </c>
      <c r="H1502">
        <f>ROUNDUP(tbl_Kalender[[#This Row],[Monat]]/3,0)</f>
        <v>1</v>
      </c>
      <c r="I1502" t="str">
        <f>"Q "&amp;tbl_Kalender[[#This Row],[Quartal]]</f>
        <v>Q 1</v>
      </c>
      <c r="J1502" t="str">
        <f>tbl_Kalender[[#This Row],[Quartal]]&amp;". Quartal"</f>
        <v>1. Quartal</v>
      </c>
      <c r="K1502">
        <f>_xlfn.ISOWEEKNUM(tbl_Kalender[[#This Row],[Datum]])</f>
        <v>6</v>
      </c>
    </row>
    <row r="1503" spans="1:11" x14ac:dyDescent="0.25">
      <c r="A1503" s="1">
        <v>46793</v>
      </c>
      <c r="B1503">
        <f>YEAR(tbl_Kalender[[#This Row],[Datum]])</f>
        <v>2028</v>
      </c>
      <c r="C1503">
        <f>DAY(tbl_Kalender[[#This Row],[Datum]])</f>
        <v>10</v>
      </c>
      <c r="D1503" t="str">
        <f>TEXT(tbl_Kalender[[#This Row],[Datum]],"TTTT")</f>
        <v>Donnerstag</v>
      </c>
      <c r="E1503">
        <f>WEEKDAY(tbl_Kalender[[#This Row],[Datum]],2)</f>
        <v>4</v>
      </c>
      <c r="F1503">
        <f>MONTH(tbl_Kalender[[#This Row],[Datum]])</f>
        <v>2</v>
      </c>
      <c r="G1503" t="str">
        <f>TEXT(tbl_Kalender[[#This Row],[Datum]],"MMMM")</f>
        <v>Februar</v>
      </c>
      <c r="H1503">
        <f>ROUNDUP(tbl_Kalender[[#This Row],[Monat]]/3,0)</f>
        <v>1</v>
      </c>
      <c r="I1503" t="str">
        <f>"Q "&amp;tbl_Kalender[[#This Row],[Quartal]]</f>
        <v>Q 1</v>
      </c>
      <c r="J1503" t="str">
        <f>tbl_Kalender[[#This Row],[Quartal]]&amp;". Quartal"</f>
        <v>1. Quartal</v>
      </c>
      <c r="K1503">
        <f>_xlfn.ISOWEEKNUM(tbl_Kalender[[#This Row],[Datum]])</f>
        <v>6</v>
      </c>
    </row>
    <row r="1504" spans="1:11" x14ac:dyDescent="0.25">
      <c r="A1504" s="1">
        <v>46794</v>
      </c>
      <c r="B1504">
        <f>YEAR(tbl_Kalender[[#This Row],[Datum]])</f>
        <v>2028</v>
      </c>
      <c r="C1504">
        <f>DAY(tbl_Kalender[[#This Row],[Datum]])</f>
        <v>11</v>
      </c>
      <c r="D1504" t="str">
        <f>TEXT(tbl_Kalender[[#This Row],[Datum]],"TTTT")</f>
        <v>Freitag</v>
      </c>
      <c r="E1504">
        <f>WEEKDAY(tbl_Kalender[[#This Row],[Datum]],2)</f>
        <v>5</v>
      </c>
      <c r="F1504">
        <f>MONTH(tbl_Kalender[[#This Row],[Datum]])</f>
        <v>2</v>
      </c>
      <c r="G1504" t="str">
        <f>TEXT(tbl_Kalender[[#This Row],[Datum]],"MMMM")</f>
        <v>Februar</v>
      </c>
      <c r="H1504">
        <f>ROUNDUP(tbl_Kalender[[#This Row],[Monat]]/3,0)</f>
        <v>1</v>
      </c>
      <c r="I1504" t="str">
        <f>"Q "&amp;tbl_Kalender[[#This Row],[Quartal]]</f>
        <v>Q 1</v>
      </c>
      <c r="J1504" t="str">
        <f>tbl_Kalender[[#This Row],[Quartal]]&amp;". Quartal"</f>
        <v>1. Quartal</v>
      </c>
      <c r="K1504">
        <f>_xlfn.ISOWEEKNUM(tbl_Kalender[[#This Row],[Datum]])</f>
        <v>6</v>
      </c>
    </row>
    <row r="1505" spans="1:11" x14ac:dyDescent="0.25">
      <c r="A1505" s="1">
        <v>46795</v>
      </c>
      <c r="B1505">
        <f>YEAR(tbl_Kalender[[#This Row],[Datum]])</f>
        <v>2028</v>
      </c>
      <c r="C1505">
        <f>DAY(tbl_Kalender[[#This Row],[Datum]])</f>
        <v>12</v>
      </c>
      <c r="D1505" t="str">
        <f>TEXT(tbl_Kalender[[#This Row],[Datum]],"TTTT")</f>
        <v>Samstag</v>
      </c>
      <c r="E1505">
        <f>WEEKDAY(tbl_Kalender[[#This Row],[Datum]],2)</f>
        <v>6</v>
      </c>
      <c r="F1505">
        <f>MONTH(tbl_Kalender[[#This Row],[Datum]])</f>
        <v>2</v>
      </c>
      <c r="G1505" t="str">
        <f>TEXT(tbl_Kalender[[#This Row],[Datum]],"MMMM")</f>
        <v>Februar</v>
      </c>
      <c r="H1505">
        <f>ROUNDUP(tbl_Kalender[[#This Row],[Monat]]/3,0)</f>
        <v>1</v>
      </c>
      <c r="I1505" t="str">
        <f>"Q "&amp;tbl_Kalender[[#This Row],[Quartal]]</f>
        <v>Q 1</v>
      </c>
      <c r="J1505" t="str">
        <f>tbl_Kalender[[#This Row],[Quartal]]&amp;". Quartal"</f>
        <v>1. Quartal</v>
      </c>
      <c r="K1505">
        <f>_xlfn.ISOWEEKNUM(tbl_Kalender[[#This Row],[Datum]])</f>
        <v>6</v>
      </c>
    </row>
    <row r="1506" spans="1:11" x14ac:dyDescent="0.25">
      <c r="A1506" s="1">
        <v>46796</v>
      </c>
      <c r="B1506">
        <f>YEAR(tbl_Kalender[[#This Row],[Datum]])</f>
        <v>2028</v>
      </c>
      <c r="C1506">
        <f>DAY(tbl_Kalender[[#This Row],[Datum]])</f>
        <v>13</v>
      </c>
      <c r="D1506" t="str">
        <f>TEXT(tbl_Kalender[[#This Row],[Datum]],"TTTT")</f>
        <v>Sonntag</v>
      </c>
      <c r="E1506">
        <f>WEEKDAY(tbl_Kalender[[#This Row],[Datum]],2)</f>
        <v>7</v>
      </c>
      <c r="F1506">
        <f>MONTH(tbl_Kalender[[#This Row],[Datum]])</f>
        <v>2</v>
      </c>
      <c r="G1506" t="str">
        <f>TEXT(tbl_Kalender[[#This Row],[Datum]],"MMMM")</f>
        <v>Februar</v>
      </c>
      <c r="H1506">
        <f>ROUNDUP(tbl_Kalender[[#This Row],[Monat]]/3,0)</f>
        <v>1</v>
      </c>
      <c r="I1506" t="str">
        <f>"Q "&amp;tbl_Kalender[[#This Row],[Quartal]]</f>
        <v>Q 1</v>
      </c>
      <c r="J1506" t="str">
        <f>tbl_Kalender[[#This Row],[Quartal]]&amp;". Quartal"</f>
        <v>1. Quartal</v>
      </c>
      <c r="K1506">
        <f>_xlfn.ISOWEEKNUM(tbl_Kalender[[#This Row],[Datum]])</f>
        <v>6</v>
      </c>
    </row>
    <row r="1507" spans="1:11" x14ac:dyDescent="0.25">
      <c r="A1507" s="1">
        <v>46797</v>
      </c>
      <c r="B1507">
        <f>YEAR(tbl_Kalender[[#This Row],[Datum]])</f>
        <v>2028</v>
      </c>
      <c r="C1507">
        <f>DAY(tbl_Kalender[[#This Row],[Datum]])</f>
        <v>14</v>
      </c>
      <c r="D1507" t="str">
        <f>TEXT(tbl_Kalender[[#This Row],[Datum]],"TTTT")</f>
        <v>Montag</v>
      </c>
      <c r="E1507">
        <f>WEEKDAY(tbl_Kalender[[#This Row],[Datum]],2)</f>
        <v>1</v>
      </c>
      <c r="F1507">
        <f>MONTH(tbl_Kalender[[#This Row],[Datum]])</f>
        <v>2</v>
      </c>
      <c r="G1507" t="str">
        <f>TEXT(tbl_Kalender[[#This Row],[Datum]],"MMMM")</f>
        <v>Februar</v>
      </c>
      <c r="H1507">
        <f>ROUNDUP(tbl_Kalender[[#This Row],[Monat]]/3,0)</f>
        <v>1</v>
      </c>
      <c r="I1507" t="str">
        <f>"Q "&amp;tbl_Kalender[[#This Row],[Quartal]]</f>
        <v>Q 1</v>
      </c>
      <c r="J1507" t="str">
        <f>tbl_Kalender[[#This Row],[Quartal]]&amp;". Quartal"</f>
        <v>1. Quartal</v>
      </c>
      <c r="K1507">
        <f>_xlfn.ISOWEEKNUM(tbl_Kalender[[#This Row],[Datum]])</f>
        <v>7</v>
      </c>
    </row>
    <row r="1508" spans="1:11" x14ac:dyDescent="0.25">
      <c r="A1508" s="1">
        <v>46798</v>
      </c>
      <c r="B1508">
        <f>YEAR(tbl_Kalender[[#This Row],[Datum]])</f>
        <v>2028</v>
      </c>
      <c r="C1508">
        <f>DAY(tbl_Kalender[[#This Row],[Datum]])</f>
        <v>15</v>
      </c>
      <c r="D1508" t="str">
        <f>TEXT(tbl_Kalender[[#This Row],[Datum]],"TTTT")</f>
        <v>Dienstag</v>
      </c>
      <c r="E1508">
        <f>WEEKDAY(tbl_Kalender[[#This Row],[Datum]],2)</f>
        <v>2</v>
      </c>
      <c r="F1508">
        <f>MONTH(tbl_Kalender[[#This Row],[Datum]])</f>
        <v>2</v>
      </c>
      <c r="G1508" t="str">
        <f>TEXT(tbl_Kalender[[#This Row],[Datum]],"MMMM")</f>
        <v>Februar</v>
      </c>
      <c r="H1508">
        <f>ROUNDUP(tbl_Kalender[[#This Row],[Monat]]/3,0)</f>
        <v>1</v>
      </c>
      <c r="I1508" t="str">
        <f>"Q "&amp;tbl_Kalender[[#This Row],[Quartal]]</f>
        <v>Q 1</v>
      </c>
      <c r="J1508" t="str">
        <f>tbl_Kalender[[#This Row],[Quartal]]&amp;". Quartal"</f>
        <v>1. Quartal</v>
      </c>
      <c r="K1508">
        <f>_xlfn.ISOWEEKNUM(tbl_Kalender[[#This Row],[Datum]])</f>
        <v>7</v>
      </c>
    </row>
    <row r="1509" spans="1:11" x14ac:dyDescent="0.25">
      <c r="A1509" s="1">
        <v>46799</v>
      </c>
      <c r="B1509">
        <f>YEAR(tbl_Kalender[[#This Row],[Datum]])</f>
        <v>2028</v>
      </c>
      <c r="C1509">
        <f>DAY(tbl_Kalender[[#This Row],[Datum]])</f>
        <v>16</v>
      </c>
      <c r="D1509" t="str">
        <f>TEXT(tbl_Kalender[[#This Row],[Datum]],"TTTT")</f>
        <v>Mittwoch</v>
      </c>
      <c r="E1509">
        <f>WEEKDAY(tbl_Kalender[[#This Row],[Datum]],2)</f>
        <v>3</v>
      </c>
      <c r="F1509">
        <f>MONTH(tbl_Kalender[[#This Row],[Datum]])</f>
        <v>2</v>
      </c>
      <c r="G1509" t="str">
        <f>TEXT(tbl_Kalender[[#This Row],[Datum]],"MMMM")</f>
        <v>Februar</v>
      </c>
      <c r="H1509">
        <f>ROUNDUP(tbl_Kalender[[#This Row],[Monat]]/3,0)</f>
        <v>1</v>
      </c>
      <c r="I1509" t="str">
        <f>"Q "&amp;tbl_Kalender[[#This Row],[Quartal]]</f>
        <v>Q 1</v>
      </c>
      <c r="J1509" t="str">
        <f>tbl_Kalender[[#This Row],[Quartal]]&amp;". Quartal"</f>
        <v>1. Quartal</v>
      </c>
      <c r="K1509">
        <f>_xlfn.ISOWEEKNUM(tbl_Kalender[[#This Row],[Datum]])</f>
        <v>7</v>
      </c>
    </row>
    <row r="1510" spans="1:11" x14ac:dyDescent="0.25">
      <c r="A1510" s="1">
        <v>46800</v>
      </c>
      <c r="B1510">
        <f>YEAR(tbl_Kalender[[#This Row],[Datum]])</f>
        <v>2028</v>
      </c>
      <c r="C1510">
        <f>DAY(tbl_Kalender[[#This Row],[Datum]])</f>
        <v>17</v>
      </c>
      <c r="D1510" t="str">
        <f>TEXT(tbl_Kalender[[#This Row],[Datum]],"TTTT")</f>
        <v>Donnerstag</v>
      </c>
      <c r="E1510">
        <f>WEEKDAY(tbl_Kalender[[#This Row],[Datum]],2)</f>
        <v>4</v>
      </c>
      <c r="F1510">
        <f>MONTH(tbl_Kalender[[#This Row],[Datum]])</f>
        <v>2</v>
      </c>
      <c r="G1510" t="str">
        <f>TEXT(tbl_Kalender[[#This Row],[Datum]],"MMMM")</f>
        <v>Februar</v>
      </c>
      <c r="H1510">
        <f>ROUNDUP(tbl_Kalender[[#This Row],[Monat]]/3,0)</f>
        <v>1</v>
      </c>
      <c r="I1510" t="str">
        <f>"Q "&amp;tbl_Kalender[[#This Row],[Quartal]]</f>
        <v>Q 1</v>
      </c>
      <c r="J1510" t="str">
        <f>tbl_Kalender[[#This Row],[Quartal]]&amp;". Quartal"</f>
        <v>1. Quartal</v>
      </c>
      <c r="K1510">
        <f>_xlfn.ISOWEEKNUM(tbl_Kalender[[#This Row],[Datum]])</f>
        <v>7</v>
      </c>
    </row>
    <row r="1511" spans="1:11" x14ac:dyDescent="0.25">
      <c r="A1511" s="1">
        <v>46801</v>
      </c>
      <c r="B1511">
        <f>YEAR(tbl_Kalender[[#This Row],[Datum]])</f>
        <v>2028</v>
      </c>
      <c r="C1511">
        <f>DAY(tbl_Kalender[[#This Row],[Datum]])</f>
        <v>18</v>
      </c>
      <c r="D1511" t="str">
        <f>TEXT(tbl_Kalender[[#This Row],[Datum]],"TTTT")</f>
        <v>Freitag</v>
      </c>
      <c r="E1511">
        <f>WEEKDAY(tbl_Kalender[[#This Row],[Datum]],2)</f>
        <v>5</v>
      </c>
      <c r="F1511">
        <f>MONTH(tbl_Kalender[[#This Row],[Datum]])</f>
        <v>2</v>
      </c>
      <c r="G1511" t="str">
        <f>TEXT(tbl_Kalender[[#This Row],[Datum]],"MMMM")</f>
        <v>Februar</v>
      </c>
      <c r="H1511">
        <f>ROUNDUP(tbl_Kalender[[#This Row],[Monat]]/3,0)</f>
        <v>1</v>
      </c>
      <c r="I1511" t="str">
        <f>"Q "&amp;tbl_Kalender[[#This Row],[Quartal]]</f>
        <v>Q 1</v>
      </c>
      <c r="J1511" t="str">
        <f>tbl_Kalender[[#This Row],[Quartal]]&amp;". Quartal"</f>
        <v>1. Quartal</v>
      </c>
      <c r="K1511">
        <f>_xlfn.ISOWEEKNUM(tbl_Kalender[[#This Row],[Datum]])</f>
        <v>7</v>
      </c>
    </row>
    <row r="1512" spans="1:11" x14ac:dyDescent="0.25">
      <c r="A1512" s="1">
        <v>46802</v>
      </c>
      <c r="B1512">
        <f>YEAR(tbl_Kalender[[#This Row],[Datum]])</f>
        <v>2028</v>
      </c>
      <c r="C1512">
        <f>DAY(tbl_Kalender[[#This Row],[Datum]])</f>
        <v>19</v>
      </c>
      <c r="D1512" t="str">
        <f>TEXT(tbl_Kalender[[#This Row],[Datum]],"TTTT")</f>
        <v>Samstag</v>
      </c>
      <c r="E1512">
        <f>WEEKDAY(tbl_Kalender[[#This Row],[Datum]],2)</f>
        <v>6</v>
      </c>
      <c r="F1512">
        <f>MONTH(tbl_Kalender[[#This Row],[Datum]])</f>
        <v>2</v>
      </c>
      <c r="G1512" t="str">
        <f>TEXT(tbl_Kalender[[#This Row],[Datum]],"MMMM")</f>
        <v>Februar</v>
      </c>
      <c r="H1512">
        <f>ROUNDUP(tbl_Kalender[[#This Row],[Monat]]/3,0)</f>
        <v>1</v>
      </c>
      <c r="I1512" t="str">
        <f>"Q "&amp;tbl_Kalender[[#This Row],[Quartal]]</f>
        <v>Q 1</v>
      </c>
      <c r="J1512" t="str">
        <f>tbl_Kalender[[#This Row],[Quartal]]&amp;". Quartal"</f>
        <v>1. Quartal</v>
      </c>
      <c r="K1512">
        <f>_xlfn.ISOWEEKNUM(tbl_Kalender[[#This Row],[Datum]])</f>
        <v>7</v>
      </c>
    </row>
    <row r="1513" spans="1:11" x14ac:dyDescent="0.25">
      <c r="A1513" s="1">
        <v>46803</v>
      </c>
      <c r="B1513">
        <f>YEAR(tbl_Kalender[[#This Row],[Datum]])</f>
        <v>2028</v>
      </c>
      <c r="C1513">
        <f>DAY(tbl_Kalender[[#This Row],[Datum]])</f>
        <v>20</v>
      </c>
      <c r="D1513" t="str">
        <f>TEXT(tbl_Kalender[[#This Row],[Datum]],"TTTT")</f>
        <v>Sonntag</v>
      </c>
      <c r="E1513">
        <f>WEEKDAY(tbl_Kalender[[#This Row],[Datum]],2)</f>
        <v>7</v>
      </c>
      <c r="F1513">
        <f>MONTH(tbl_Kalender[[#This Row],[Datum]])</f>
        <v>2</v>
      </c>
      <c r="G1513" t="str">
        <f>TEXT(tbl_Kalender[[#This Row],[Datum]],"MMMM")</f>
        <v>Februar</v>
      </c>
      <c r="H1513">
        <f>ROUNDUP(tbl_Kalender[[#This Row],[Monat]]/3,0)</f>
        <v>1</v>
      </c>
      <c r="I1513" t="str">
        <f>"Q "&amp;tbl_Kalender[[#This Row],[Quartal]]</f>
        <v>Q 1</v>
      </c>
      <c r="J1513" t="str">
        <f>tbl_Kalender[[#This Row],[Quartal]]&amp;". Quartal"</f>
        <v>1. Quartal</v>
      </c>
      <c r="K1513">
        <f>_xlfn.ISOWEEKNUM(tbl_Kalender[[#This Row],[Datum]])</f>
        <v>7</v>
      </c>
    </row>
    <row r="1514" spans="1:11" x14ac:dyDescent="0.25">
      <c r="A1514" s="1">
        <v>46804</v>
      </c>
      <c r="B1514">
        <f>YEAR(tbl_Kalender[[#This Row],[Datum]])</f>
        <v>2028</v>
      </c>
      <c r="C1514">
        <f>DAY(tbl_Kalender[[#This Row],[Datum]])</f>
        <v>21</v>
      </c>
      <c r="D1514" t="str">
        <f>TEXT(tbl_Kalender[[#This Row],[Datum]],"TTTT")</f>
        <v>Montag</v>
      </c>
      <c r="E1514">
        <f>WEEKDAY(tbl_Kalender[[#This Row],[Datum]],2)</f>
        <v>1</v>
      </c>
      <c r="F1514">
        <f>MONTH(tbl_Kalender[[#This Row],[Datum]])</f>
        <v>2</v>
      </c>
      <c r="G1514" t="str">
        <f>TEXT(tbl_Kalender[[#This Row],[Datum]],"MMMM")</f>
        <v>Februar</v>
      </c>
      <c r="H1514">
        <f>ROUNDUP(tbl_Kalender[[#This Row],[Monat]]/3,0)</f>
        <v>1</v>
      </c>
      <c r="I1514" t="str">
        <f>"Q "&amp;tbl_Kalender[[#This Row],[Quartal]]</f>
        <v>Q 1</v>
      </c>
      <c r="J1514" t="str">
        <f>tbl_Kalender[[#This Row],[Quartal]]&amp;". Quartal"</f>
        <v>1. Quartal</v>
      </c>
      <c r="K1514">
        <f>_xlfn.ISOWEEKNUM(tbl_Kalender[[#This Row],[Datum]])</f>
        <v>8</v>
      </c>
    </row>
    <row r="1515" spans="1:11" x14ac:dyDescent="0.25">
      <c r="A1515" s="1">
        <v>46805</v>
      </c>
      <c r="B1515">
        <f>YEAR(tbl_Kalender[[#This Row],[Datum]])</f>
        <v>2028</v>
      </c>
      <c r="C1515">
        <f>DAY(tbl_Kalender[[#This Row],[Datum]])</f>
        <v>22</v>
      </c>
      <c r="D1515" t="str">
        <f>TEXT(tbl_Kalender[[#This Row],[Datum]],"TTTT")</f>
        <v>Dienstag</v>
      </c>
      <c r="E1515">
        <f>WEEKDAY(tbl_Kalender[[#This Row],[Datum]],2)</f>
        <v>2</v>
      </c>
      <c r="F1515">
        <f>MONTH(tbl_Kalender[[#This Row],[Datum]])</f>
        <v>2</v>
      </c>
      <c r="G1515" t="str">
        <f>TEXT(tbl_Kalender[[#This Row],[Datum]],"MMMM")</f>
        <v>Februar</v>
      </c>
      <c r="H1515">
        <f>ROUNDUP(tbl_Kalender[[#This Row],[Monat]]/3,0)</f>
        <v>1</v>
      </c>
      <c r="I1515" t="str">
        <f>"Q "&amp;tbl_Kalender[[#This Row],[Quartal]]</f>
        <v>Q 1</v>
      </c>
      <c r="J1515" t="str">
        <f>tbl_Kalender[[#This Row],[Quartal]]&amp;". Quartal"</f>
        <v>1. Quartal</v>
      </c>
      <c r="K1515">
        <f>_xlfn.ISOWEEKNUM(tbl_Kalender[[#This Row],[Datum]])</f>
        <v>8</v>
      </c>
    </row>
    <row r="1516" spans="1:11" x14ac:dyDescent="0.25">
      <c r="A1516" s="1">
        <v>46806</v>
      </c>
      <c r="B1516">
        <f>YEAR(tbl_Kalender[[#This Row],[Datum]])</f>
        <v>2028</v>
      </c>
      <c r="C1516">
        <f>DAY(tbl_Kalender[[#This Row],[Datum]])</f>
        <v>23</v>
      </c>
      <c r="D1516" t="str">
        <f>TEXT(tbl_Kalender[[#This Row],[Datum]],"TTTT")</f>
        <v>Mittwoch</v>
      </c>
      <c r="E1516">
        <f>WEEKDAY(tbl_Kalender[[#This Row],[Datum]],2)</f>
        <v>3</v>
      </c>
      <c r="F1516">
        <f>MONTH(tbl_Kalender[[#This Row],[Datum]])</f>
        <v>2</v>
      </c>
      <c r="G1516" t="str">
        <f>TEXT(tbl_Kalender[[#This Row],[Datum]],"MMMM")</f>
        <v>Februar</v>
      </c>
      <c r="H1516">
        <f>ROUNDUP(tbl_Kalender[[#This Row],[Monat]]/3,0)</f>
        <v>1</v>
      </c>
      <c r="I1516" t="str">
        <f>"Q "&amp;tbl_Kalender[[#This Row],[Quartal]]</f>
        <v>Q 1</v>
      </c>
      <c r="J1516" t="str">
        <f>tbl_Kalender[[#This Row],[Quartal]]&amp;". Quartal"</f>
        <v>1. Quartal</v>
      </c>
      <c r="K1516">
        <f>_xlfn.ISOWEEKNUM(tbl_Kalender[[#This Row],[Datum]])</f>
        <v>8</v>
      </c>
    </row>
    <row r="1517" spans="1:11" x14ac:dyDescent="0.25">
      <c r="A1517" s="1">
        <v>46807</v>
      </c>
      <c r="B1517">
        <f>YEAR(tbl_Kalender[[#This Row],[Datum]])</f>
        <v>2028</v>
      </c>
      <c r="C1517">
        <f>DAY(tbl_Kalender[[#This Row],[Datum]])</f>
        <v>24</v>
      </c>
      <c r="D1517" t="str">
        <f>TEXT(tbl_Kalender[[#This Row],[Datum]],"TTTT")</f>
        <v>Donnerstag</v>
      </c>
      <c r="E1517">
        <f>WEEKDAY(tbl_Kalender[[#This Row],[Datum]],2)</f>
        <v>4</v>
      </c>
      <c r="F1517">
        <f>MONTH(tbl_Kalender[[#This Row],[Datum]])</f>
        <v>2</v>
      </c>
      <c r="G1517" t="str">
        <f>TEXT(tbl_Kalender[[#This Row],[Datum]],"MMMM")</f>
        <v>Februar</v>
      </c>
      <c r="H1517">
        <f>ROUNDUP(tbl_Kalender[[#This Row],[Monat]]/3,0)</f>
        <v>1</v>
      </c>
      <c r="I1517" t="str">
        <f>"Q "&amp;tbl_Kalender[[#This Row],[Quartal]]</f>
        <v>Q 1</v>
      </c>
      <c r="J1517" t="str">
        <f>tbl_Kalender[[#This Row],[Quartal]]&amp;". Quartal"</f>
        <v>1. Quartal</v>
      </c>
      <c r="K1517">
        <f>_xlfn.ISOWEEKNUM(tbl_Kalender[[#This Row],[Datum]])</f>
        <v>8</v>
      </c>
    </row>
    <row r="1518" spans="1:11" x14ac:dyDescent="0.25">
      <c r="A1518" s="1">
        <v>46808</v>
      </c>
      <c r="B1518">
        <f>YEAR(tbl_Kalender[[#This Row],[Datum]])</f>
        <v>2028</v>
      </c>
      <c r="C1518">
        <f>DAY(tbl_Kalender[[#This Row],[Datum]])</f>
        <v>25</v>
      </c>
      <c r="D1518" t="str">
        <f>TEXT(tbl_Kalender[[#This Row],[Datum]],"TTTT")</f>
        <v>Freitag</v>
      </c>
      <c r="E1518">
        <f>WEEKDAY(tbl_Kalender[[#This Row],[Datum]],2)</f>
        <v>5</v>
      </c>
      <c r="F1518">
        <f>MONTH(tbl_Kalender[[#This Row],[Datum]])</f>
        <v>2</v>
      </c>
      <c r="G1518" t="str">
        <f>TEXT(tbl_Kalender[[#This Row],[Datum]],"MMMM")</f>
        <v>Februar</v>
      </c>
      <c r="H1518">
        <f>ROUNDUP(tbl_Kalender[[#This Row],[Monat]]/3,0)</f>
        <v>1</v>
      </c>
      <c r="I1518" t="str">
        <f>"Q "&amp;tbl_Kalender[[#This Row],[Quartal]]</f>
        <v>Q 1</v>
      </c>
      <c r="J1518" t="str">
        <f>tbl_Kalender[[#This Row],[Quartal]]&amp;". Quartal"</f>
        <v>1. Quartal</v>
      </c>
      <c r="K1518">
        <f>_xlfn.ISOWEEKNUM(tbl_Kalender[[#This Row],[Datum]])</f>
        <v>8</v>
      </c>
    </row>
    <row r="1519" spans="1:11" x14ac:dyDescent="0.25">
      <c r="A1519" s="1">
        <v>46809</v>
      </c>
      <c r="B1519">
        <f>YEAR(tbl_Kalender[[#This Row],[Datum]])</f>
        <v>2028</v>
      </c>
      <c r="C1519">
        <f>DAY(tbl_Kalender[[#This Row],[Datum]])</f>
        <v>26</v>
      </c>
      <c r="D1519" t="str">
        <f>TEXT(tbl_Kalender[[#This Row],[Datum]],"TTTT")</f>
        <v>Samstag</v>
      </c>
      <c r="E1519">
        <f>WEEKDAY(tbl_Kalender[[#This Row],[Datum]],2)</f>
        <v>6</v>
      </c>
      <c r="F1519">
        <f>MONTH(tbl_Kalender[[#This Row],[Datum]])</f>
        <v>2</v>
      </c>
      <c r="G1519" t="str">
        <f>TEXT(tbl_Kalender[[#This Row],[Datum]],"MMMM")</f>
        <v>Februar</v>
      </c>
      <c r="H1519">
        <f>ROUNDUP(tbl_Kalender[[#This Row],[Monat]]/3,0)</f>
        <v>1</v>
      </c>
      <c r="I1519" t="str">
        <f>"Q "&amp;tbl_Kalender[[#This Row],[Quartal]]</f>
        <v>Q 1</v>
      </c>
      <c r="J1519" t="str">
        <f>tbl_Kalender[[#This Row],[Quartal]]&amp;". Quartal"</f>
        <v>1. Quartal</v>
      </c>
      <c r="K1519">
        <f>_xlfn.ISOWEEKNUM(tbl_Kalender[[#This Row],[Datum]])</f>
        <v>8</v>
      </c>
    </row>
    <row r="1520" spans="1:11" x14ac:dyDescent="0.25">
      <c r="A1520" s="1">
        <v>46810</v>
      </c>
      <c r="B1520">
        <f>YEAR(tbl_Kalender[[#This Row],[Datum]])</f>
        <v>2028</v>
      </c>
      <c r="C1520">
        <f>DAY(tbl_Kalender[[#This Row],[Datum]])</f>
        <v>27</v>
      </c>
      <c r="D1520" t="str">
        <f>TEXT(tbl_Kalender[[#This Row],[Datum]],"TTTT")</f>
        <v>Sonntag</v>
      </c>
      <c r="E1520">
        <f>WEEKDAY(tbl_Kalender[[#This Row],[Datum]],2)</f>
        <v>7</v>
      </c>
      <c r="F1520">
        <f>MONTH(tbl_Kalender[[#This Row],[Datum]])</f>
        <v>2</v>
      </c>
      <c r="G1520" t="str">
        <f>TEXT(tbl_Kalender[[#This Row],[Datum]],"MMMM")</f>
        <v>Februar</v>
      </c>
      <c r="H1520">
        <f>ROUNDUP(tbl_Kalender[[#This Row],[Monat]]/3,0)</f>
        <v>1</v>
      </c>
      <c r="I1520" t="str">
        <f>"Q "&amp;tbl_Kalender[[#This Row],[Quartal]]</f>
        <v>Q 1</v>
      </c>
      <c r="J1520" t="str">
        <f>tbl_Kalender[[#This Row],[Quartal]]&amp;". Quartal"</f>
        <v>1. Quartal</v>
      </c>
      <c r="K1520">
        <f>_xlfn.ISOWEEKNUM(tbl_Kalender[[#This Row],[Datum]])</f>
        <v>8</v>
      </c>
    </row>
    <row r="1521" spans="1:11" x14ac:dyDescent="0.25">
      <c r="A1521" s="1">
        <v>46811</v>
      </c>
      <c r="B1521">
        <f>YEAR(tbl_Kalender[[#This Row],[Datum]])</f>
        <v>2028</v>
      </c>
      <c r="C1521">
        <f>DAY(tbl_Kalender[[#This Row],[Datum]])</f>
        <v>28</v>
      </c>
      <c r="D1521" t="str">
        <f>TEXT(tbl_Kalender[[#This Row],[Datum]],"TTTT")</f>
        <v>Montag</v>
      </c>
      <c r="E1521">
        <f>WEEKDAY(tbl_Kalender[[#This Row],[Datum]],2)</f>
        <v>1</v>
      </c>
      <c r="F1521">
        <f>MONTH(tbl_Kalender[[#This Row],[Datum]])</f>
        <v>2</v>
      </c>
      <c r="G1521" t="str">
        <f>TEXT(tbl_Kalender[[#This Row],[Datum]],"MMMM")</f>
        <v>Februar</v>
      </c>
      <c r="H1521">
        <f>ROUNDUP(tbl_Kalender[[#This Row],[Monat]]/3,0)</f>
        <v>1</v>
      </c>
      <c r="I1521" t="str">
        <f>"Q "&amp;tbl_Kalender[[#This Row],[Quartal]]</f>
        <v>Q 1</v>
      </c>
      <c r="J1521" t="str">
        <f>tbl_Kalender[[#This Row],[Quartal]]&amp;". Quartal"</f>
        <v>1. Quartal</v>
      </c>
      <c r="K1521">
        <f>_xlfn.ISOWEEKNUM(tbl_Kalender[[#This Row],[Datum]])</f>
        <v>9</v>
      </c>
    </row>
    <row r="1522" spans="1:11" x14ac:dyDescent="0.25">
      <c r="A1522" s="1">
        <v>46812</v>
      </c>
      <c r="B1522">
        <f>YEAR(tbl_Kalender[[#This Row],[Datum]])</f>
        <v>2028</v>
      </c>
      <c r="C1522">
        <f>DAY(tbl_Kalender[[#This Row],[Datum]])</f>
        <v>29</v>
      </c>
      <c r="D1522" t="str">
        <f>TEXT(tbl_Kalender[[#This Row],[Datum]],"TTTT")</f>
        <v>Dienstag</v>
      </c>
      <c r="E1522">
        <f>WEEKDAY(tbl_Kalender[[#This Row],[Datum]],2)</f>
        <v>2</v>
      </c>
      <c r="F1522">
        <f>MONTH(tbl_Kalender[[#This Row],[Datum]])</f>
        <v>2</v>
      </c>
      <c r="G1522" t="str">
        <f>TEXT(tbl_Kalender[[#This Row],[Datum]],"MMMM")</f>
        <v>Februar</v>
      </c>
      <c r="H1522">
        <f>ROUNDUP(tbl_Kalender[[#This Row],[Monat]]/3,0)</f>
        <v>1</v>
      </c>
      <c r="I1522" t="str">
        <f>"Q "&amp;tbl_Kalender[[#This Row],[Quartal]]</f>
        <v>Q 1</v>
      </c>
      <c r="J1522" t="str">
        <f>tbl_Kalender[[#This Row],[Quartal]]&amp;". Quartal"</f>
        <v>1. Quartal</v>
      </c>
      <c r="K1522">
        <f>_xlfn.ISOWEEKNUM(tbl_Kalender[[#This Row],[Datum]])</f>
        <v>9</v>
      </c>
    </row>
    <row r="1523" spans="1:11" x14ac:dyDescent="0.25">
      <c r="A1523" s="1">
        <v>46813</v>
      </c>
      <c r="B1523">
        <f>YEAR(tbl_Kalender[[#This Row],[Datum]])</f>
        <v>2028</v>
      </c>
      <c r="C1523">
        <f>DAY(tbl_Kalender[[#This Row],[Datum]])</f>
        <v>1</v>
      </c>
      <c r="D1523" t="str">
        <f>TEXT(tbl_Kalender[[#This Row],[Datum]],"TTTT")</f>
        <v>Mittwoch</v>
      </c>
      <c r="E1523">
        <f>WEEKDAY(tbl_Kalender[[#This Row],[Datum]],2)</f>
        <v>3</v>
      </c>
      <c r="F1523">
        <f>MONTH(tbl_Kalender[[#This Row],[Datum]])</f>
        <v>3</v>
      </c>
      <c r="G1523" t="str">
        <f>TEXT(tbl_Kalender[[#This Row],[Datum]],"MMMM")</f>
        <v>März</v>
      </c>
      <c r="H1523">
        <f>ROUNDUP(tbl_Kalender[[#This Row],[Monat]]/3,0)</f>
        <v>1</v>
      </c>
      <c r="I1523" t="str">
        <f>"Q "&amp;tbl_Kalender[[#This Row],[Quartal]]</f>
        <v>Q 1</v>
      </c>
      <c r="J1523" t="str">
        <f>tbl_Kalender[[#This Row],[Quartal]]&amp;". Quartal"</f>
        <v>1. Quartal</v>
      </c>
      <c r="K1523">
        <f>_xlfn.ISOWEEKNUM(tbl_Kalender[[#This Row],[Datum]])</f>
        <v>9</v>
      </c>
    </row>
    <row r="1524" spans="1:11" x14ac:dyDescent="0.25">
      <c r="A1524" s="1">
        <v>46814</v>
      </c>
      <c r="B1524">
        <f>YEAR(tbl_Kalender[[#This Row],[Datum]])</f>
        <v>2028</v>
      </c>
      <c r="C1524">
        <f>DAY(tbl_Kalender[[#This Row],[Datum]])</f>
        <v>2</v>
      </c>
      <c r="D1524" t="str">
        <f>TEXT(tbl_Kalender[[#This Row],[Datum]],"TTTT")</f>
        <v>Donnerstag</v>
      </c>
      <c r="E1524">
        <f>WEEKDAY(tbl_Kalender[[#This Row],[Datum]],2)</f>
        <v>4</v>
      </c>
      <c r="F1524">
        <f>MONTH(tbl_Kalender[[#This Row],[Datum]])</f>
        <v>3</v>
      </c>
      <c r="G1524" t="str">
        <f>TEXT(tbl_Kalender[[#This Row],[Datum]],"MMMM")</f>
        <v>März</v>
      </c>
      <c r="H1524">
        <f>ROUNDUP(tbl_Kalender[[#This Row],[Monat]]/3,0)</f>
        <v>1</v>
      </c>
      <c r="I1524" t="str">
        <f>"Q "&amp;tbl_Kalender[[#This Row],[Quartal]]</f>
        <v>Q 1</v>
      </c>
      <c r="J1524" t="str">
        <f>tbl_Kalender[[#This Row],[Quartal]]&amp;". Quartal"</f>
        <v>1. Quartal</v>
      </c>
      <c r="K1524">
        <f>_xlfn.ISOWEEKNUM(tbl_Kalender[[#This Row],[Datum]])</f>
        <v>9</v>
      </c>
    </row>
    <row r="1525" spans="1:11" x14ac:dyDescent="0.25">
      <c r="A1525" s="1">
        <v>46815</v>
      </c>
      <c r="B1525">
        <f>YEAR(tbl_Kalender[[#This Row],[Datum]])</f>
        <v>2028</v>
      </c>
      <c r="C1525">
        <f>DAY(tbl_Kalender[[#This Row],[Datum]])</f>
        <v>3</v>
      </c>
      <c r="D1525" t="str">
        <f>TEXT(tbl_Kalender[[#This Row],[Datum]],"TTTT")</f>
        <v>Freitag</v>
      </c>
      <c r="E1525">
        <f>WEEKDAY(tbl_Kalender[[#This Row],[Datum]],2)</f>
        <v>5</v>
      </c>
      <c r="F1525">
        <f>MONTH(tbl_Kalender[[#This Row],[Datum]])</f>
        <v>3</v>
      </c>
      <c r="G1525" t="str">
        <f>TEXT(tbl_Kalender[[#This Row],[Datum]],"MMMM")</f>
        <v>März</v>
      </c>
      <c r="H1525">
        <f>ROUNDUP(tbl_Kalender[[#This Row],[Monat]]/3,0)</f>
        <v>1</v>
      </c>
      <c r="I1525" t="str">
        <f>"Q "&amp;tbl_Kalender[[#This Row],[Quartal]]</f>
        <v>Q 1</v>
      </c>
      <c r="J1525" t="str">
        <f>tbl_Kalender[[#This Row],[Quartal]]&amp;". Quartal"</f>
        <v>1. Quartal</v>
      </c>
      <c r="K1525">
        <f>_xlfn.ISOWEEKNUM(tbl_Kalender[[#This Row],[Datum]])</f>
        <v>9</v>
      </c>
    </row>
    <row r="1526" spans="1:11" x14ac:dyDescent="0.25">
      <c r="A1526" s="1">
        <v>46816</v>
      </c>
      <c r="B1526">
        <f>YEAR(tbl_Kalender[[#This Row],[Datum]])</f>
        <v>2028</v>
      </c>
      <c r="C1526">
        <f>DAY(tbl_Kalender[[#This Row],[Datum]])</f>
        <v>4</v>
      </c>
      <c r="D1526" t="str">
        <f>TEXT(tbl_Kalender[[#This Row],[Datum]],"TTTT")</f>
        <v>Samstag</v>
      </c>
      <c r="E1526">
        <f>WEEKDAY(tbl_Kalender[[#This Row],[Datum]],2)</f>
        <v>6</v>
      </c>
      <c r="F1526">
        <f>MONTH(tbl_Kalender[[#This Row],[Datum]])</f>
        <v>3</v>
      </c>
      <c r="G1526" t="str">
        <f>TEXT(tbl_Kalender[[#This Row],[Datum]],"MMMM")</f>
        <v>März</v>
      </c>
      <c r="H1526">
        <f>ROUNDUP(tbl_Kalender[[#This Row],[Monat]]/3,0)</f>
        <v>1</v>
      </c>
      <c r="I1526" t="str">
        <f>"Q "&amp;tbl_Kalender[[#This Row],[Quartal]]</f>
        <v>Q 1</v>
      </c>
      <c r="J1526" t="str">
        <f>tbl_Kalender[[#This Row],[Quartal]]&amp;". Quartal"</f>
        <v>1. Quartal</v>
      </c>
      <c r="K1526">
        <f>_xlfn.ISOWEEKNUM(tbl_Kalender[[#This Row],[Datum]])</f>
        <v>9</v>
      </c>
    </row>
    <row r="1527" spans="1:11" x14ac:dyDescent="0.25">
      <c r="A1527" s="1">
        <v>46817</v>
      </c>
      <c r="B1527">
        <f>YEAR(tbl_Kalender[[#This Row],[Datum]])</f>
        <v>2028</v>
      </c>
      <c r="C1527">
        <f>DAY(tbl_Kalender[[#This Row],[Datum]])</f>
        <v>5</v>
      </c>
      <c r="D1527" t="str">
        <f>TEXT(tbl_Kalender[[#This Row],[Datum]],"TTTT")</f>
        <v>Sonntag</v>
      </c>
      <c r="E1527">
        <f>WEEKDAY(tbl_Kalender[[#This Row],[Datum]],2)</f>
        <v>7</v>
      </c>
      <c r="F1527">
        <f>MONTH(tbl_Kalender[[#This Row],[Datum]])</f>
        <v>3</v>
      </c>
      <c r="G1527" t="str">
        <f>TEXT(tbl_Kalender[[#This Row],[Datum]],"MMMM")</f>
        <v>März</v>
      </c>
      <c r="H1527">
        <f>ROUNDUP(tbl_Kalender[[#This Row],[Monat]]/3,0)</f>
        <v>1</v>
      </c>
      <c r="I1527" t="str">
        <f>"Q "&amp;tbl_Kalender[[#This Row],[Quartal]]</f>
        <v>Q 1</v>
      </c>
      <c r="J1527" t="str">
        <f>tbl_Kalender[[#This Row],[Quartal]]&amp;". Quartal"</f>
        <v>1. Quartal</v>
      </c>
      <c r="K1527">
        <f>_xlfn.ISOWEEKNUM(tbl_Kalender[[#This Row],[Datum]])</f>
        <v>9</v>
      </c>
    </row>
    <row r="1528" spans="1:11" x14ac:dyDescent="0.25">
      <c r="A1528" s="1">
        <v>46818</v>
      </c>
      <c r="B1528">
        <f>YEAR(tbl_Kalender[[#This Row],[Datum]])</f>
        <v>2028</v>
      </c>
      <c r="C1528">
        <f>DAY(tbl_Kalender[[#This Row],[Datum]])</f>
        <v>6</v>
      </c>
      <c r="D1528" t="str">
        <f>TEXT(tbl_Kalender[[#This Row],[Datum]],"TTTT")</f>
        <v>Montag</v>
      </c>
      <c r="E1528">
        <f>WEEKDAY(tbl_Kalender[[#This Row],[Datum]],2)</f>
        <v>1</v>
      </c>
      <c r="F1528">
        <f>MONTH(tbl_Kalender[[#This Row],[Datum]])</f>
        <v>3</v>
      </c>
      <c r="G1528" t="str">
        <f>TEXT(tbl_Kalender[[#This Row],[Datum]],"MMMM")</f>
        <v>März</v>
      </c>
      <c r="H1528">
        <f>ROUNDUP(tbl_Kalender[[#This Row],[Monat]]/3,0)</f>
        <v>1</v>
      </c>
      <c r="I1528" t="str">
        <f>"Q "&amp;tbl_Kalender[[#This Row],[Quartal]]</f>
        <v>Q 1</v>
      </c>
      <c r="J1528" t="str">
        <f>tbl_Kalender[[#This Row],[Quartal]]&amp;". Quartal"</f>
        <v>1. Quartal</v>
      </c>
      <c r="K1528">
        <f>_xlfn.ISOWEEKNUM(tbl_Kalender[[#This Row],[Datum]])</f>
        <v>10</v>
      </c>
    </row>
    <row r="1529" spans="1:11" x14ac:dyDescent="0.25">
      <c r="A1529" s="1">
        <v>46819</v>
      </c>
      <c r="B1529">
        <f>YEAR(tbl_Kalender[[#This Row],[Datum]])</f>
        <v>2028</v>
      </c>
      <c r="C1529">
        <f>DAY(tbl_Kalender[[#This Row],[Datum]])</f>
        <v>7</v>
      </c>
      <c r="D1529" t="str">
        <f>TEXT(tbl_Kalender[[#This Row],[Datum]],"TTTT")</f>
        <v>Dienstag</v>
      </c>
      <c r="E1529">
        <f>WEEKDAY(tbl_Kalender[[#This Row],[Datum]],2)</f>
        <v>2</v>
      </c>
      <c r="F1529">
        <f>MONTH(tbl_Kalender[[#This Row],[Datum]])</f>
        <v>3</v>
      </c>
      <c r="G1529" t="str">
        <f>TEXT(tbl_Kalender[[#This Row],[Datum]],"MMMM")</f>
        <v>März</v>
      </c>
      <c r="H1529">
        <f>ROUNDUP(tbl_Kalender[[#This Row],[Monat]]/3,0)</f>
        <v>1</v>
      </c>
      <c r="I1529" t="str">
        <f>"Q "&amp;tbl_Kalender[[#This Row],[Quartal]]</f>
        <v>Q 1</v>
      </c>
      <c r="J1529" t="str">
        <f>tbl_Kalender[[#This Row],[Quartal]]&amp;". Quartal"</f>
        <v>1. Quartal</v>
      </c>
      <c r="K1529">
        <f>_xlfn.ISOWEEKNUM(tbl_Kalender[[#This Row],[Datum]])</f>
        <v>10</v>
      </c>
    </row>
    <row r="1530" spans="1:11" x14ac:dyDescent="0.25">
      <c r="A1530" s="1">
        <v>46820</v>
      </c>
      <c r="B1530">
        <f>YEAR(tbl_Kalender[[#This Row],[Datum]])</f>
        <v>2028</v>
      </c>
      <c r="C1530">
        <f>DAY(tbl_Kalender[[#This Row],[Datum]])</f>
        <v>8</v>
      </c>
      <c r="D1530" t="str">
        <f>TEXT(tbl_Kalender[[#This Row],[Datum]],"TTTT")</f>
        <v>Mittwoch</v>
      </c>
      <c r="E1530">
        <f>WEEKDAY(tbl_Kalender[[#This Row],[Datum]],2)</f>
        <v>3</v>
      </c>
      <c r="F1530">
        <f>MONTH(tbl_Kalender[[#This Row],[Datum]])</f>
        <v>3</v>
      </c>
      <c r="G1530" t="str">
        <f>TEXT(tbl_Kalender[[#This Row],[Datum]],"MMMM")</f>
        <v>März</v>
      </c>
      <c r="H1530">
        <f>ROUNDUP(tbl_Kalender[[#This Row],[Monat]]/3,0)</f>
        <v>1</v>
      </c>
      <c r="I1530" t="str">
        <f>"Q "&amp;tbl_Kalender[[#This Row],[Quartal]]</f>
        <v>Q 1</v>
      </c>
      <c r="J1530" t="str">
        <f>tbl_Kalender[[#This Row],[Quartal]]&amp;". Quartal"</f>
        <v>1. Quartal</v>
      </c>
      <c r="K1530">
        <f>_xlfn.ISOWEEKNUM(tbl_Kalender[[#This Row],[Datum]])</f>
        <v>10</v>
      </c>
    </row>
    <row r="1531" spans="1:11" x14ac:dyDescent="0.25">
      <c r="A1531" s="1">
        <v>46821</v>
      </c>
      <c r="B1531">
        <f>YEAR(tbl_Kalender[[#This Row],[Datum]])</f>
        <v>2028</v>
      </c>
      <c r="C1531">
        <f>DAY(tbl_Kalender[[#This Row],[Datum]])</f>
        <v>9</v>
      </c>
      <c r="D1531" t="str">
        <f>TEXT(tbl_Kalender[[#This Row],[Datum]],"TTTT")</f>
        <v>Donnerstag</v>
      </c>
      <c r="E1531">
        <f>WEEKDAY(tbl_Kalender[[#This Row],[Datum]],2)</f>
        <v>4</v>
      </c>
      <c r="F1531">
        <f>MONTH(tbl_Kalender[[#This Row],[Datum]])</f>
        <v>3</v>
      </c>
      <c r="G1531" t="str">
        <f>TEXT(tbl_Kalender[[#This Row],[Datum]],"MMMM")</f>
        <v>März</v>
      </c>
      <c r="H1531">
        <f>ROUNDUP(tbl_Kalender[[#This Row],[Monat]]/3,0)</f>
        <v>1</v>
      </c>
      <c r="I1531" t="str">
        <f>"Q "&amp;tbl_Kalender[[#This Row],[Quartal]]</f>
        <v>Q 1</v>
      </c>
      <c r="J1531" t="str">
        <f>tbl_Kalender[[#This Row],[Quartal]]&amp;". Quartal"</f>
        <v>1. Quartal</v>
      </c>
      <c r="K1531">
        <f>_xlfn.ISOWEEKNUM(tbl_Kalender[[#This Row],[Datum]])</f>
        <v>10</v>
      </c>
    </row>
    <row r="1532" spans="1:11" x14ac:dyDescent="0.25">
      <c r="A1532" s="1">
        <v>46822</v>
      </c>
      <c r="B1532">
        <f>YEAR(tbl_Kalender[[#This Row],[Datum]])</f>
        <v>2028</v>
      </c>
      <c r="C1532">
        <f>DAY(tbl_Kalender[[#This Row],[Datum]])</f>
        <v>10</v>
      </c>
      <c r="D1532" t="str">
        <f>TEXT(tbl_Kalender[[#This Row],[Datum]],"TTTT")</f>
        <v>Freitag</v>
      </c>
      <c r="E1532">
        <f>WEEKDAY(tbl_Kalender[[#This Row],[Datum]],2)</f>
        <v>5</v>
      </c>
      <c r="F1532">
        <f>MONTH(tbl_Kalender[[#This Row],[Datum]])</f>
        <v>3</v>
      </c>
      <c r="G1532" t="str">
        <f>TEXT(tbl_Kalender[[#This Row],[Datum]],"MMMM")</f>
        <v>März</v>
      </c>
      <c r="H1532">
        <f>ROUNDUP(tbl_Kalender[[#This Row],[Monat]]/3,0)</f>
        <v>1</v>
      </c>
      <c r="I1532" t="str">
        <f>"Q "&amp;tbl_Kalender[[#This Row],[Quartal]]</f>
        <v>Q 1</v>
      </c>
      <c r="J1532" t="str">
        <f>tbl_Kalender[[#This Row],[Quartal]]&amp;". Quartal"</f>
        <v>1. Quartal</v>
      </c>
      <c r="K1532">
        <f>_xlfn.ISOWEEKNUM(tbl_Kalender[[#This Row],[Datum]])</f>
        <v>10</v>
      </c>
    </row>
    <row r="1533" spans="1:11" x14ac:dyDescent="0.25">
      <c r="A1533" s="1">
        <v>46823</v>
      </c>
      <c r="B1533">
        <f>YEAR(tbl_Kalender[[#This Row],[Datum]])</f>
        <v>2028</v>
      </c>
      <c r="C1533">
        <f>DAY(tbl_Kalender[[#This Row],[Datum]])</f>
        <v>11</v>
      </c>
      <c r="D1533" t="str">
        <f>TEXT(tbl_Kalender[[#This Row],[Datum]],"TTTT")</f>
        <v>Samstag</v>
      </c>
      <c r="E1533">
        <f>WEEKDAY(tbl_Kalender[[#This Row],[Datum]],2)</f>
        <v>6</v>
      </c>
      <c r="F1533">
        <f>MONTH(tbl_Kalender[[#This Row],[Datum]])</f>
        <v>3</v>
      </c>
      <c r="G1533" t="str">
        <f>TEXT(tbl_Kalender[[#This Row],[Datum]],"MMMM")</f>
        <v>März</v>
      </c>
      <c r="H1533">
        <f>ROUNDUP(tbl_Kalender[[#This Row],[Monat]]/3,0)</f>
        <v>1</v>
      </c>
      <c r="I1533" t="str">
        <f>"Q "&amp;tbl_Kalender[[#This Row],[Quartal]]</f>
        <v>Q 1</v>
      </c>
      <c r="J1533" t="str">
        <f>tbl_Kalender[[#This Row],[Quartal]]&amp;". Quartal"</f>
        <v>1. Quartal</v>
      </c>
      <c r="K1533">
        <f>_xlfn.ISOWEEKNUM(tbl_Kalender[[#This Row],[Datum]])</f>
        <v>10</v>
      </c>
    </row>
    <row r="1534" spans="1:11" x14ac:dyDescent="0.25">
      <c r="A1534" s="1">
        <v>46824</v>
      </c>
      <c r="B1534">
        <f>YEAR(tbl_Kalender[[#This Row],[Datum]])</f>
        <v>2028</v>
      </c>
      <c r="C1534">
        <f>DAY(tbl_Kalender[[#This Row],[Datum]])</f>
        <v>12</v>
      </c>
      <c r="D1534" t="str">
        <f>TEXT(tbl_Kalender[[#This Row],[Datum]],"TTTT")</f>
        <v>Sonntag</v>
      </c>
      <c r="E1534">
        <f>WEEKDAY(tbl_Kalender[[#This Row],[Datum]],2)</f>
        <v>7</v>
      </c>
      <c r="F1534">
        <f>MONTH(tbl_Kalender[[#This Row],[Datum]])</f>
        <v>3</v>
      </c>
      <c r="G1534" t="str">
        <f>TEXT(tbl_Kalender[[#This Row],[Datum]],"MMMM")</f>
        <v>März</v>
      </c>
      <c r="H1534">
        <f>ROUNDUP(tbl_Kalender[[#This Row],[Monat]]/3,0)</f>
        <v>1</v>
      </c>
      <c r="I1534" t="str">
        <f>"Q "&amp;tbl_Kalender[[#This Row],[Quartal]]</f>
        <v>Q 1</v>
      </c>
      <c r="J1534" t="str">
        <f>tbl_Kalender[[#This Row],[Quartal]]&amp;". Quartal"</f>
        <v>1. Quartal</v>
      </c>
      <c r="K1534">
        <f>_xlfn.ISOWEEKNUM(tbl_Kalender[[#This Row],[Datum]])</f>
        <v>10</v>
      </c>
    </row>
    <row r="1535" spans="1:11" x14ac:dyDescent="0.25">
      <c r="A1535" s="1">
        <v>46825</v>
      </c>
      <c r="B1535">
        <f>YEAR(tbl_Kalender[[#This Row],[Datum]])</f>
        <v>2028</v>
      </c>
      <c r="C1535">
        <f>DAY(tbl_Kalender[[#This Row],[Datum]])</f>
        <v>13</v>
      </c>
      <c r="D1535" t="str">
        <f>TEXT(tbl_Kalender[[#This Row],[Datum]],"TTTT")</f>
        <v>Montag</v>
      </c>
      <c r="E1535">
        <f>WEEKDAY(tbl_Kalender[[#This Row],[Datum]],2)</f>
        <v>1</v>
      </c>
      <c r="F1535">
        <f>MONTH(tbl_Kalender[[#This Row],[Datum]])</f>
        <v>3</v>
      </c>
      <c r="G1535" t="str">
        <f>TEXT(tbl_Kalender[[#This Row],[Datum]],"MMMM")</f>
        <v>März</v>
      </c>
      <c r="H1535">
        <f>ROUNDUP(tbl_Kalender[[#This Row],[Monat]]/3,0)</f>
        <v>1</v>
      </c>
      <c r="I1535" t="str">
        <f>"Q "&amp;tbl_Kalender[[#This Row],[Quartal]]</f>
        <v>Q 1</v>
      </c>
      <c r="J1535" t="str">
        <f>tbl_Kalender[[#This Row],[Quartal]]&amp;". Quartal"</f>
        <v>1. Quartal</v>
      </c>
      <c r="K1535">
        <f>_xlfn.ISOWEEKNUM(tbl_Kalender[[#This Row],[Datum]])</f>
        <v>11</v>
      </c>
    </row>
    <row r="1536" spans="1:11" x14ac:dyDescent="0.25">
      <c r="A1536" s="1">
        <v>46826</v>
      </c>
      <c r="B1536">
        <f>YEAR(tbl_Kalender[[#This Row],[Datum]])</f>
        <v>2028</v>
      </c>
      <c r="C1536">
        <f>DAY(tbl_Kalender[[#This Row],[Datum]])</f>
        <v>14</v>
      </c>
      <c r="D1536" t="str">
        <f>TEXT(tbl_Kalender[[#This Row],[Datum]],"TTTT")</f>
        <v>Dienstag</v>
      </c>
      <c r="E1536">
        <f>WEEKDAY(tbl_Kalender[[#This Row],[Datum]],2)</f>
        <v>2</v>
      </c>
      <c r="F1536">
        <f>MONTH(tbl_Kalender[[#This Row],[Datum]])</f>
        <v>3</v>
      </c>
      <c r="G1536" t="str">
        <f>TEXT(tbl_Kalender[[#This Row],[Datum]],"MMMM")</f>
        <v>März</v>
      </c>
      <c r="H1536">
        <f>ROUNDUP(tbl_Kalender[[#This Row],[Monat]]/3,0)</f>
        <v>1</v>
      </c>
      <c r="I1536" t="str">
        <f>"Q "&amp;tbl_Kalender[[#This Row],[Quartal]]</f>
        <v>Q 1</v>
      </c>
      <c r="J1536" t="str">
        <f>tbl_Kalender[[#This Row],[Quartal]]&amp;". Quartal"</f>
        <v>1. Quartal</v>
      </c>
      <c r="K1536">
        <f>_xlfn.ISOWEEKNUM(tbl_Kalender[[#This Row],[Datum]])</f>
        <v>11</v>
      </c>
    </row>
    <row r="1537" spans="1:11" x14ac:dyDescent="0.25">
      <c r="A1537" s="1">
        <v>46827</v>
      </c>
      <c r="B1537">
        <f>YEAR(tbl_Kalender[[#This Row],[Datum]])</f>
        <v>2028</v>
      </c>
      <c r="C1537">
        <f>DAY(tbl_Kalender[[#This Row],[Datum]])</f>
        <v>15</v>
      </c>
      <c r="D1537" t="str">
        <f>TEXT(tbl_Kalender[[#This Row],[Datum]],"TTTT")</f>
        <v>Mittwoch</v>
      </c>
      <c r="E1537">
        <f>WEEKDAY(tbl_Kalender[[#This Row],[Datum]],2)</f>
        <v>3</v>
      </c>
      <c r="F1537">
        <f>MONTH(tbl_Kalender[[#This Row],[Datum]])</f>
        <v>3</v>
      </c>
      <c r="G1537" t="str">
        <f>TEXT(tbl_Kalender[[#This Row],[Datum]],"MMMM")</f>
        <v>März</v>
      </c>
      <c r="H1537">
        <f>ROUNDUP(tbl_Kalender[[#This Row],[Monat]]/3,0)</f>
        <v>1</v>
      </c>
      <c r="I1537" t="str">
        <f>"Q "&amp;tbl_Kalender[[#This Row],[Quartal]]</f>
        <v>Q 1</v>
      </c>
      <c r="J1537" t="str">
        <f>tbl_Kalender[[#This Row],[Quartal]]&amp;". Quartal"</f>
        <v>1. Quartal</v>
      </c>
      <c r="K1537">
        <f>_xlfn.ISOWEEKNUM(tbl_Kalender[[#This Row],[Datum]])</f>
        <v>11</v>
      </c>
    </row>
    <row r="1538" spans="1:11" x14ac:dyDescent="0.25">
      <c r="A1538" s="1">
        <v>46828</v>
      </c>
      <c r="B1538">
        <f>YEAR(tbl_Kalender[[#This Row],[Datum]])</f>
        <v>2028</v>
      </c>
      <c r="C1538">
        <f>DAY(tbl_Kalender[[#This Row],[Datum]])</f>
        <v>16</v>
      </c>
      <c r="D1538" t="str">
        <f>TEXT(tbl_Kalender[[#This Row],[Datum]],"TTTT")</f>
        <v>Donnerstag</v>
      </c>
      <c r="E1538">
        <f>WEEKDAY(tbl_Kalender[[#This Row],[Datum]],2)</f>
        <v>4</v>
      </c>
      <c r="F1538">
        <f>MONTH(tbl_Kalender[[#This Row],[Datum]])</f>
        <v>3</v>
      </c>
      <c r="G1538" t="str">
        <f>TEXT(tbl_Kalender[[#This Row],[Datum]],"MMMM")</f>
        <v>März</v>
      </c>
      <c r="H1538">
        <f>ROUNDUP(tbl_Kalender[[#This Row],[Monat]]/3,0)</f>
        <v>1</v>
      </c>
      <c r="I1538" t="str">
        <f>"Q "&amp;tbl_Kalender[[#This Row],[Quartal]]</f>
        <v>Q 1</v>
      </c>
      <c r="J1538" t="str">
        <f>tbl_Kalender[[#This Row],[Quartal]]&amp;". Quartal"</f>
        <v>1. Quartal</v>
      </c>
      <c r="K1538">
        <f>_xlfn.ISOWEEKNUM(tbl_Kalender[[#This Row],[Datum]])</f>
        <v>11</v>
      </c>
    </row>
    <row r="1539" spans="1:11" x14ac:dyDescent="0.25">
      <c r="A1539" s="1">
        <v>46829</v>
      </c>
      <c r="B1539">
        <f>YEAR(tbl_Kalender[[#This Row],[Datum]])</f>
        <v>2028</v>
      </c>
      <c r="C1539">
        <f>DAY(tbl_Kalender[[#This Row],[Datum]])</f>
        <v>17</v>
      </c>
      <c r="D1539" t="str">
        <f>TEXT(tbl_Kalender[[#This Row],[Datum]],"TTTT")</f>
        <v>Freitag</v>
      </c>
      <c r="E1539">
        <f>WEEKDAY(tbl_Kalender[[#This Row],[Datum]],2)</f>
        <v>5</v>
      </c>
      <c r="F1539">
        <f>MONTH(tbl_Kalender[[#This Row],[Datum]])</f>
        <v>3</v>
      </c>
      <c r="G1539" t="str">
        <f>TEXT(tbl_Kalender[[#This Row],[Datum]],"MMMM")</f>
        <v>März</v>
      </c>
      <c r="H1539">
        <f>ROUNDUP(tbl_Kalender[[#This Row],[Monat]]/3,0)</f>
        <v>1</v>
      </c>
      <c r="I1539" t="str">
        <f>"Q "&amp;tbl_Kalender[[#This Row],[Quartal]]</f>
        <v>Q 1</v>
      </c>
      <c r="J1539" t="str">
        <f>tbl_Kalender[[#This Row],[Quartal]]&amp;". Quartal"</f>
        <v>1. Quartal</v>
      </c>
      <c r="K1539">
        <f>_xlfn.ISOWEEKNUM(tbl_Kalender[[#This Row],[Datum]])</f>
        <v>11</v>
      </c>
    </row>
    <row r="1540" spans="1:11" x14ac:dyDescent="0.25">
      <c r="A1540" s="1">
        <v>46830</v>
      </c>
      <c r="B1540">
        <f>YEAR(tbl_Kalender[[#This Row],[Datum]])</f>
        <v>2028</v>
      </c>
      <c r="C1540">
        <f>DAY(tbl_Kalender[[#This Row],[Datum]])</f>
        <v>18</v>
      </c>
      <c r="D1540" t="str">
        <f>TEXT(tbl_Kalender[[#This Row],[Datum]],"TTTT")</f>
        <v>Samstag</v>
      </c>
      <c r="E1540">
        <f>WEEKDAY(tbl_Kalender[[#This Row],[Datum]],2)</f>
        <v>6</v>
      </c>
      <c r="F1540">
        <f>MONTH(tbl_Kalender[[#This Row],[Datum]])</f>
        <v>3</v>
      </c>
      <c r="G1540" t="str">
        <f>TEXT(tbl_Kalender[[#This Row],[Datum]],"MMMM")</f>
        <v>März</v>
      </c>
      <c r="H1540">
        <f>ROUNDUP(tbl_Kalender[[#This Row],[Monat]]/3,0)</f>
        <v>1</v>
      </c>
      <c r="I1540" t="str">
        <f>"Q "&amp;tbl_Kalender[[#This Row],[Quartal]]</f>
        <v>Q 1</v>
      </c>
      <c r="J1540" t="str">
        <f>tbl_Kalender[[#This Row],[Quartal]]&amp;". Quartal"</f>
        <v>1. Quartal</v>
      </c>
      <c r="K1540">
        <f>_xlfn.ISOWEEKNUM(tbl_Kalender[[#This Row],[Datum]])</f>
        <v>11</v>
      </c>
    </row>
    <row r="1541" spans="1:11" x14ac:dyDescent="0.25">
      <c r="A1541" s="1">
        <v>46831</v>
      </c>
      <c r="B1541">
        <f>YEAR(tbl_Kalender[[#This Row],[Datum]])</f>
        <v>2028</v>
      </c>
      <c r="C1541">
        <f>DAY(tbl_Kalender[[#This Row],[Datum]])</f>
        <v>19</v>
      </c>
      <c r="D1541" t="str">
        <f>TEXT(tbl_Kalender[[#This Row],[Datum]],"TTTT")</f>
        <v>Sonntag</v>
      </c>
      <c r="E1541">
        <f>WEEKDAY(tbl_Kalender[[#This Row],[Datum]],2)</f>
        <v>7</v>
      </c>
      <c r="F1541">
        <f>MONTH(tbl_Kalender[[#This Row],[Datum]])</f>
        <v>3</v>
      </c>
      <c r="G1541" t="str">
        <f>TEXT(tbl_Kalender[[#This Row],[Datum]],"MMMM")</f>
        <v>März</v>
      </c>
      <c r="H1541">
        <f>ROUNDUP(tbl_Kalender[[#This Row],[Monat]]/3,0)</f>
        <v>1</v>
      </c>
      <c r="I1541" t="str">
        <f>"Q "&amp;tbl_Kalender[[#This Row],[Quartal]]</f>
        <v>Q 1</v>
      </c>
      <c r="J1541" t="str">
        <f>tbl_Kalender[[#This Row],[Quartal]]&amp;". Quartal"</f>
        <v>1. Quartal</v>
      </c>
      <c r="K1541">
        <f>_xlfn.ISOWEEKNUM(tbl_Kalender[[#This Row],[Datum]])</f>
        <v>11</v>
      </c>
    </row>
    <row r="1542" spans="1:11" x14ac:dyDescent="0.25">
      <c r="A1542" s="1">
        <v>46832</v>
      </c>
      <c r="B1542">
        <f>YEAR(tbl_Kalender[[#This Row],[Datum]])</f>
        <v>2028</v>
      </c>
      <c r="C1542">
        <f>DAY(tbl_Kalender[[#This Row],[Datum]])</f>
        <v>20</v>
      </c>
      <c r="D1542" t="str">
        <f>TEXT(tbl_Kalender[[#This Row],[Datum]],"TTTT")</f>
        <v>Montag</v>
      </c>
      <c r="E1542">
        <f>WEEKDAY(tbl_Kalender[[#This Row],[Datum]],2)</f>
        <v>1</v>
      </c>
      <c r="F1542">
        <f>MONTH(tbl_Kalender[[#This Row],[Datum]])</f>
        <v>3</v>
      </c>
      <c r="G1542" t="str">
        <f>TEXT(tbl_Kalender[[#This Row],[Datum]],"MMMM")</f>
        <v>März</v>
      </c>
      <c r="H1542">
        <f>ROUNDUP(tbl_Kalender[[#This Row],[Monat]]/3,0)</f>
        <v>1</v>
      </c>
      <c r="I1542" t="str">
        <f>"Q "&amp;tbl_Kalender[[#This Row],[Quartal]]</f>
        <v>Q 1</v>
      </c>
      <c r="J1542" t="str">
        <f>tbl_Kalender[[#This Row],[Quartal]]&amp;". Quartal"</f>
        <v>1. Quartal</v>
      </c>
      <c r="K1542">
        <f>_xlfn.ISOWEEKNUM(tbl_Kalender[[#This Row],[Datum]])</f>
        <v>12</v>
      </c>
    </row>
    <row r="1543" spans="1:11" x14ac:dyDescent="0.25">
      <c r="A1543" s="1">
        <v>46833</v>
      </c>
      <c r="B1543">
        <f>YEAR(tbl_Kalender[[#This Row],[Datum]])</f>
        <v>2028</v>
      </c>
      <c r="C1543">
        <f>DAY(tbl_Kalender[[#This Row],[Datum]])</f>
        <v>21</v>
      </c>
      <c r="D1543" t="str">
        <f>TEXT(tbl_Kalender[[#This Row],[Datum]],"TTTT")</f>
        <v>Dienstag</v>
      </c>
      <c r="E1543">
        <f>WEEKDAY(tbl_Kalender[[#This Row],[Datum]],2)</f>
        <v>2</v>
      </c>
      <c r="F1543">
        <f>MONTH(tbl_Kalender[[#This Row],[Datum]])</f>
        <v>3</v>
      </c>
      <c r="G1543" t="str">
        <f>TEXT(tbl_Kalender[[#This Row],[Datum]],"MMMM")</f>
        <v>März</v>
      </c>
      <c r="H1543">
        <f>ROUNDUP(tbl_Kalender[[#This Row],[Monat]]/3,0)</f>
        <v>1</v>
      </c>
      <c r="I1543" t="str">
        <f>"Q "&amp;tbl_Kalender[[#This Row],[Quartal]]</f>
        <v>Q 1</v>
      </c>
      <c r="J1543" t="str">
        <f>tbl_Kalender[[#This Row],[Quartal]]&amp;". Quartal"</f>
        <v>1. Quartal</v>
      </c>
      <c r="K1543">
        <f>_xlfn.ISOWEEKNUM(tbl_Kalender[[#This Row],[Datum]])</f>
        <v>12</v>
      </c>
    </row>
    <row r="1544" spans="1:11" x14ac:dyDescent="0.25">
      <c r="A1544" s="1">
        <v>46834</v>
      </c>
      <c r="B1544">
        <f>YEAR(tbl_Kalender[[#This Row],[Datum]])</f>
        <v>2028</v>
      </c>
      <c r="C1544">
        <f>DAY(tbl_Kalender[[#This Row],[Datum]])</f>
        <v>22</v>
      </c>
      <c r="D1544" t="str">
        <f>TEXT(tbl_Kalender[[#This Row],[Datum]],"TTTT")</f>
        <v>Mittwoch</v>
      </c>
      <c r="E1544">
        <f>WEEKDAY(tbl_Kalender[[#This Row],[Datum]],2)</f>
        <v>3</v>
      </c>
      <c r="F1544">
        <f>MONTH(tbl_Kalender[[#This Row],[Datum]])</f>
        <v>3</v>
      </c>
      <c r="G1544" t="str">
        <f>TEXT(tbl_Kalender[[#This Row],[Datum]],"MMMM")</f>
        <v>März</v>
      </c>
      <c r="H1544">
        <f>ROUNDUP(tbl_Kalender[[#This Row],[Monat]]/3,0)</f>
        <v>1</v>
      </c>
      <c r="I1544" t="str">
        <f>"Q "&amp;tbl_Kalender[[#This Row],[Quartal]]</f>
        <v>Q 1</v>
      </c>
      <c r="J1544" t="str">
        <f>tbl_Kalender[[#This Row],[Quartal]]&amp;". Quartal"</f>
        <v>1. Quartal</v>
      </c>
      <c r="K1544">
        <f>_xlfn.ISOWEEKNUM(tbl_Kalender[[#This Row],[Datum]])</f>
        <v>12</v>
      </c>
    </row>
    <row r="1545" spans="1:11" x14ac:dyDescent="0.25">
      <c r="A1545" s="1">
        <v>46835</v>
      </c>
      <c r="B1545">
        <f>YEAR(tbl_Kalender[[#This Row],[Datum]])</f>
        <v>2028</v>
      </c>
      <c r="C1545">
        <f>DAY(tbl_Kalender[[#This Row],[Datum]])</f>
        <v>23</v>
      </c>
      <c r="D1545" t="str">
        <f>TEXT(tbl_Kalender[[#This Row],[Datum]],"TTTT")</f>
        <v>Donnerstag</v>
      </c>
      <c r="E1545">
        <f>WEEKDAY(tbl_Kalender[[#This Row],[Datum]],2)</f>
        <v>4</v>
      </c>
      <c r="F1545">
        <f>MONTH(tbl_Kalender[[#This Row],[Datum]])</f>
        <v>3</v>
      </c>
      <c r="G1545" t="str">
        <f>TEXT(tbl_Kalender[[#This Row],[Datum]],"MMMM")</f>
        <v>März</v>
      </c>
      <c r="H1545">
        <f>ROUNDUP(tbl_Kalender[[#This Row],[Monat]]/3,0)</f>
        <v>1</v>
      </c>
      <c r="I1545" t="str">
        <f>"Q "&amp;tbl_Kalender[[#This Row],[Quartal]]</f>
        <v>Q 1</v>
      </c>
      <c r="J1545" t="str">
        <f>tbl_Kalender[[#This Row],[Quartal]]&amp;". Quartal"</f>
        <v>1. Quartal</v>
      </c>
      <c r="K1545">
        <f>_xlfn.ISOWEEKNUM(tbl_Kalender[[#This Row],[Datum]])</f>
        <v>12</v>
      </c>
    </row>
    <row r="1546" spans="1:11" x14ac:dyDescent="0.25">
      <c r="A1546" s="1">
        <v>46836</v>
      </c>
      <c r="B1546">
        <f>YEAR(tbl_Kalender[[#This Row],[Datum]])</f>
        <v>2028</v>
      </c>
      <c r="C1546">
        <f>DAY(tbl_Kalender[[#This Row],[Datum]])</f>
        <v>24</v>
      </c>
      <c r="D1546" t="str">
        <f>TEXT(tbl_Kalender[[#This Row],[Datum]],"TTTT")</f>
        <v>Freitag</v>
      </c>
      <c r="E1546">
        <f>WEEKDAY(tbl_Kalender[[#This Row],[Datum]],2)</f>
        <v>5</v>
      </c>
      <c r="F1546">
        <f>MONTH(tbl_Kalender[[#This Row],[Datum]])</f>
        <v>3</v>
      </c>
      <c r="G1546" t="str">
        <f>TEXT(tbl_Kalender[[#This Row],[Datum]],"MMMM")</f>
        <v>März</v>
      </c>
      <c r="H1546">
        <f>ROUNDUP(tbl_Kalender[[#This Row],[Monat]]/3,0)</f>
        <v>1</v>
      </c>
      <c r="I1546" t="str">
        <f>"Q "&amp;tbl_Kalender[[#This Row],[Quartal]]</f>
        <v>Q 1</v>
      </c>
      <c r="J1546" t="str">
        <f>tbl_Kalender[[#This Row],[Quartal]]&amp;". Quartal"</f>
        <v>1. Quartal</v>
      </c>
      <c r="K1546">
        <f>_xlfn.ISOWEEKNUM(tbl_Kalender[[#This Row],[Datum]])</f>
        <v>12</v>
      </c>
    </row>
    <row r="1547" spans="1:11" x14ac:dyDescent="0.25">
      <c r="A1547" s="1">
        <v>46837</v>
      </c>
      <c r="B1547">
        <f>YEAR(tbl_Kalender[[#This Row],[Datum]])</f>
        <v>2028</v>
      </c>
      <c r="C1547">
        <f>DAY(tbl_Kalender[[#This Row],[Datum]])</f>
        <v>25</v>
      </c>
      <c r="D1547" t="str">
        <f>TEXT(tbl_Kalender[[#This Row],[Datum]],"TTTT")</f>
        <v>Samstag</v>
      </c>
      <c r="E1547">
        <f>WEEKDAY(tbl_Kalender[[#This Row],[Datum]],2)</f>
        <v>6</v>
      </c>
      <c r="F1547">
        <f>MONTH(tbl_Kalender[[#This Row],[Datum]])</f>
        <v>3</v>
      </c>
      <c r="G1547" t="str">
        <f>TEXT(tbl_Kalender[[#This Row],[Datum]],"MMMM")</f>
        <v>März</v>
      </c>
      <c r="H1547">
        <f>ROUNDUP(tbl_Kalender[[#This Row],[Monat]]/3,0)</f>
        <v>1</v>
      </c>
      <c r="I1547" t="str">
        <f>"Q "&amp;tbl_Kalender[[#This Row],[Quartal]]</f>
        <v>Q 1</v>
      </c>
      <c r="J1547" t="str">
        <f>tbl_Kalender[[#This Row],[Quartal]]&amp;". Quartal"</f>
        <v>1. Quartal</v>
      </c>
      <c r="K1547">
        <f>_xlfn.ISOWEEKNUM(tbl_Kalender[[#This Row],[Datum]])</f>
        <v>12</v>
      </c>
    </row>
    <row r="1548" spans="1:11" x14ac:dyDescent="0.25">
      <c r="A1548" s="1">
        <v>46838</v>
      </c>
      <c r="B1548">
        <f>YEAR(tbl_Kalender[[#This Row],[Datum]])</f>
        <v>2028</v>
      </c>
      <c r="C1548">
        <f>DAY(tbl_Kalender[[#This Row],[Datum]])</f>
        <v>26</v>
      </c>
      <c r="D1548" t="str">
        <f>TEXT(tbl_Kalender[[#This Row],[Datum]],"TTTT")</f>
        <v>Sonntag</v>
      </c>
      <c r="E1548">
        <f>WEEKDAY(tbl_Kalender[[#This Row],[Datum]],2)</f>
        <v>7</v>
      </c>
      <c r="F1548">
        <f>MONTH(tbl_Kalender[[#This Row],[Datum]])</f>
        <v>3</v>
      </c>
      <c r="G1548" t="str">
        <f>TEXT(tbl_Kalender[[#This Row],[Datum]],"MMMM")</f>
        <v>März</v>
      </c>
      <c r="H1548">
        <f>ROUNDUP(tbl_Kalender[[#This Row],[Monat]]/3,0)</f>
        <v>1</v>
      </c>
      <c r="I1548" t="str">
        <f>"Q "&amp;tbl_Kalender[[#This Row],[Quartal]]</f>
        <v>Q 1</v>
      </c>
      <c r="J1548" t="str">
        <f>tbl_Kalender[[#This Row],[Quartal]]&amp;". Quartal"</f>
        <v>1. Quartal</v>
      </c>
      <c r="K1548">
        <f>_xlfn.ISOWEEKNUM(tbl_Kalender[[#This Row],[Datum]])</f>
        <v>12</v>
      </c>
    </row>
    <row r="1549" spans="1:11" x14ac:dyDescent="0.25">
      <c r="A1549" s="1">
        <v>46839</v>
      </c>
      <c r="B1549">
        <f>YEAR(tbl_Kalender[[#This Row],[Datum]])</f>
        <v>2028</v>
      </c>
      <c r="C1549">
        <f>DAY(tbl_Kalender[[#This Row],[Datum]])</f>
        <v>27</v>
      </c>
      <c r="D1549" t="str">
        <f>TEXT(tbl_Kalender[[#This Row],[Datum]],"TTTT")</f>
        <v>Montag</v>
      </c>
      <c r="E1549">
        <f>WEEKDAY(tbl_Kalender[[#This Row],[Datum]],2)</f>
        <v>1</v>
      </c>
      <c r="F1549">
        <f>MONTH(tbl_Kalender[[#This Row],[Datum]])</f>
        <v>3</v>
      </c>
      <c r="G1549" t="str">
        <f>TEXT(tbl_Kalender[[#This Row],[Datum]],"MMMM")</f>
        <v>März</v>
      </c>
      <c r="H1549">
        <f>ROUNDUP(tbl_Kalender[[#This Row],[Monat]]/3,0)</f>
        <v>1</v>
      </c>
      <c r="I1549" t="str">
        <f>"Q "&amp;tbl_Kalender[[#This Row],[Quartal]]</f>
        <v>Q 1</v>
      </c>
      <c r="J1549" t="str">
        <f>tbl_Kalender[[#This Row],[Quartal]]&amp;". Quartal"</f>
        <v>1. Quartal</v>
      </c>
      <c r="K1549">
        <f>_xlfn.ISOWEEKNUM(tbl_Kalender[[#This Row],[Datum]])</f>
        <v>13</v>
      </c>
    </row>
    <row r="1550" spans="1:11" x14ac:dyDescent="0.25">
      <c r="A1550" s="1">
        <v>46840</v>
      </c>
      <c r="B1550">
        <f>YEAR(tbl_Kalender[[#This Row],[Datum]])</f>
        <v>2028</v>
      </c>
      <c r="C1550">
        <f>DAY(tbl_Kalender[[#This Row],[Datum]])</f>
        <v>28</v>
      </c>
      <c r="D1550" t="str">
        <f>TEXT(tbl_Kalender[[#This Row],[Datum]],"TTTT")</f>
        <v>Dienstag</v>
      </c>
      <c r="E1550">
        <f>WEEKDAY(tbl_Kalender[[#This Row],[Datum]],2)</f>
        <v>2</v>
      </c>
      <c r="F1550">
        <f>MONTH(tbl_Kalender[[#This Row],[Datum]])</f>
        <v>3</v>
      </c>
      <c r="G1550" t="str">
        <f>TEXT(tbl_Kalender[[#This Row],[Datum]],"MMMM")</f>
        <v>März</v>
      </c>
      <c r="H1550">
        <f>ROUNDUP(tbl_Kalender[[#This Row],[Monat]]/3,0)</f>
        <v>1</v>
      </c>
      <c r="I1550" t="str">
        <f>"Q "&amp;tbl_Kalender[[#This Row],[Quartal]]</f>
        <v>Q 1</v>
      </c>
      <c r="J1550" t="str">
        <f>tbl_Kalender[[#This Row],[Quartal]]&amp;". Quartal"</f>
        <v>1. Quartal</v>
      </c>
      <c r="K1550">
        <f>_xlfn.ISOWEEKNUM(tbl_Kalender[[#This Row],[Datum]])</f>
        <v>13</v>
      </c>
    </row>
    <row r="1551" spans="1:11" x14ac:dyDescent="0.25">
      <c r="A1551" s="1">
        <v>46841</v>
      </c>
      <c r="B1551">
        <f>YEAR(tbl_Kalender[[#This Row],[Datum]])</f>
        <v>2028</v>
      </c>
      <c r="C1551">
        <f>DAY(tbl_Kalender[[#This Row],[Datum]])</f>
        <v>29</v>
      </c>
      <c r="D1551" t="str">
        <f>TEXT(tbl_Kalender[[#This Row],[Datum]],"TTTT")</f>
        <v>Mittwoch</v>
      </c>
      <c r="E1551">
        <f>WEEKDAY(tbl_Kalender[[#This Row],[Datum]],2)</f>
        <v>3</v>
      </c>
      <c r="F1551">
        <f>MONTH(tbl_Kalender[[#This Row],[Datum]])</f>
        <v>3</v>
      </c>
      <c r="G1551" t="str">
        <f>TEXT(tbl_Kalender[[#This Row],[Datum]],"MMMM")</f>
        <v>März</v>
      </c>
      <c r="H1551">
        <f>ROUNDUP(tbl_Kalender[[#This Row],[Monat]]/3,0)</f>
        <v>1</v>
      </c>
      <c r="I1551" t="str">
        <f>"Q "&amp;tbl_Kalender[[#This Row],[Quartal]]</f>
        <v>Q 1</v>
      </c>
      <c r="J1551" t="str">
        <f>tbl_Kalender[[#This Row],[Quartal]]&amp;". Quartal"</f>
        <v>1. Quartal</v>
      </c>
      <c r="K1551">
        <f>_xlfn.ISOWEEKNUM(tbl_Kalender[[#This Row],[Datum]])</f>
        <v>13</v>
      </c>
    </row>
    <row r="1552" spans="1:11" x14ac:dyDescent="0.25">
      <c r="A1552" s="1">
        <v>46842</v>
      </c>
      <c r="B1552">
        <f>YEAR(tbl_Kalender[[#This Row],[Datum]])</f>
        <v>2028</v>
      </c>
      <c r="C1552">
        <f>DAY(tbl_Kalender[[#This Row],[Datum]])</f>
        <v>30</v>
      </c>
      <c r="D1552" t="str">
        <f>TEXT(tbl_Kalender[[#This Row],[Datum]],"TTTT")</f>
        <v>Donnerstag</v>
      </c>
      <c r="E1552">
        <f>WEEKDAY(tbl_Kalender[[#This Row],[Datum]],2)</f>
        <v>4</v>
      </c>
      <c r="F1552">
        <f>MONTH(tbl_Kalender[[#This Row],[Datum]])</f>
        <v>3</v>
      </c>
      <c r="G1552" t="str">
        <f>TEXT(tbl_Kalender[[#This Row],[Datum]],"MMMM")</f>
        <v>März</v>
      </c>
      <c r="H1552">
        <f>ROUNDUP(tbl_Kalender[[#This Row],[Monat]]/3,0)</f>
        <v>1</v>
      </c>
      <c r="I1552" t="str">
        <f>"Q "&amp;tbl_Kalender[[#This Row],[Quartal]]</f>
        <v>Q 1</v>
      </c>
      <c r="J1552" t="str">
        <f>tbl_Kalender[[#This Row],[Quartal]]&amp;". Quartal"</f>
        <v>1. Quartal</v>
      </c>
      <c r="K1552">
        <f>_xlfn.ISOWEEKNUM(tbl_Kalender[[#This Row],[Datum]])</f>
        <v>13</v>
      </c>
    </row>
    <row r="1553" spans="1:11" x14ac:dyDescent="0.25">
      <c r="A1553" s="1">
        <v>46843</v>
      </c>
      <c r="B1553">
        <f>YEAR(tbl_Kalender[[#This Row],[Datum]])</f>
        <v>2028</v>
      </c>
      <c r="C1553">
        <f>DAY(tbl_Kalender[[#This Row],[Datum]])</f>
        <v>31</v>
      </c>
      <c r="D1553" t="str">
        <f>TEXT(tbl_Kalender[[#This Row],[Datum]],"TTTT")</f>
        <v>Freitag</v>
      </c>
      <c r="E1553">
        <f>WEEKDAY(tbl_Kalender[[#This Row],[Datum]],2)</f>
        <v>5</v>
      </c>
      <c r="F1553">
        <f>MONTH(tbl_Kalender[[#This Row],[Datum]])</f>
        <v>3</v>
      </c>
      <c r="G1553" t="str">
        <f>TEXT(tbl_Kalender[[#This Row],[Datum]],"MMMM")</f>
        <v>März</v>
      </c>
      <c r="H1553">
        <f>ROUNDUP(tbl_Kalender[[#This Row],[Monat]]/3,0)</f>
        <v>1</v>
      </c>
      <c r="I1553" t="str">
        <f>"Q "&amp;tbl_Kalender[[#This Row],[Quartal]]</f>
        <v>Q 1</v>
      </c>
      <c r="J1553" t="str">
        <f>tbl_Kalender[[#This Row],[Quartal]]&amp;". Quartal"</f>
        <v>1. Quartal</v>
      </c>
      <c r="K1553">
        <f>_xlfn.ISOWEEKNUM(tbl_Kalender[[#This Row],[Datum]])</f>
        <v>13</v>
      </c>
    </row>
    <row r="1554" spans="1:11" x14ac:dyDescent="0.25">
      <c r="A1554" s="1">
        <v>46844</v>
      </c>
      <c r="B1554">
        <f>YEAR(tbl_Kalender[[#This Row],[Datum]])</f>
        <v>2028</v>
      </c>
      <c r="C1554">
        <f>DAY(tbl_Kalender[[#This Row],[Datum]])</f>
        <v>1</v>
      </c>
      <c r="D1554" t="str">
        <f>TEXT(tbl_Kalender[[#This Row],[Datum]],"TTTT")</f>
        <v>Samstag</v>
      </c>
      <c r="E1554">
        <f>WEEKDAY(tbl_Kalender[[#This Row],[Datum]],2)</f>
        <v>6</v>
      </c>
      <c r="F1554">
        <f>MONTH(tbl_Kalender[[#This Row],[Datum]])</f>
        <v>4</v>
      </c>
      <c r="G1554" t="str">
        <f>TEXT(tbl_Kalender[[#This Row],[Datum]],"MMMM")</f>
        <v>April</v>
      </c>
      <c r="H1554">
        <f>ROUNDUP(tbl_Kalender[[#This Row],[Monat]]/3,0)</f>
        <v>2</v>
      </c>
      <c r="I1554" t="str">
        <f>"Q "&amp;tbl_Kalender[[#This Row],[Quartal]]</f>
        <v>Q 2</v>
      </c>
      <c r="J1554" t="str">
        <f>tbl_Kalender[[#This Row],[Quartal]]&amp;". Quartal"</f>
        <v>2. Quartal</v>
      </c>
      <c r="K1554">
        <f>_xlfn.ISOWEEKNUM(tbl_Kalender[[#This Row],[Datum]])</f>
        <v>13</v>
      </c>
    </row>
    <row r="1555" spans="1:11" x14ac:dyDescent="0.25">
      <c r="A1555" s="1">
        <v>46845</v>
      </c>
      <c r="B1555">
        <f>YEAR(tbl_Kalender[[#This Row],[Datum]])</f>
        <v>2028</v>
      </c>
      <c r="C1555">
        <f>DAY(tbl_Kalender[[#This Row],[Datum]])</f>
        <v>2</v>
      </c>
      <c r="D1555" t="str">
        <f>TEXT(tbl_Kalender[[#This Row],[Datum]],"TTTT")</f>
        <v>Sonntag</v>
      </c>
      <c r="E1555">
        <f>WEEKDAY(tbl_Kalender[[#This Row],[Datum]],2)</f>
        <v>7</v>
      </c>
      <c r="F1555">
        <f>MONTH(tbl_Kalender[[#This Row],[Datum]])</f>
        <v>4</v>
      </c>
      <c r="G1555" t="str">
        <f>TEXT(tbl_Kalender[[#This Row],[Datum]],"MMMM")</f>
        <v>April</v>
      </c>
      <c r="H1555">
        <f>ROUNDUP(tbl_Kalender[[#This Row],[Monat]]/3,0)</f>
        <v>2</v>
      </c>
      <c r="I1555" t="str">
        <f>"Q "&amp;tbl_Kalender[[#This Row],[Quartal]]</f>
        <v>Q 2</v>
      </c>
      <c r="J1555" t="str">
        <f>tbl_Kalender[[#This Row],[Quartal]]&amp;". Quartal"</f>
        <v>2. Quartal</v>
      </c>
      <c r="K1555">
        <f>_xlfn.ISOWEEKNUM(tbl_Kalender[[#This Row],[Datum]])</f>
        <v>13</v>
      </c>
    </row>
    <row r="1556" spans="1:11" x14ac:dyDescent="0.25">
      <c r="A1556" s="1">
        <v>46846</v>
      </c>
      <c r="B1556">
        <f>YEAR(tbl_Kalender[[#This Row],[Datum]])</f>
        <v>2028</v>
      </c>
      <c r="C1556">
        <f>DAY(tbl_Kalender[[#This Row],[Datum]])</f>
        <v>3</v>
      </c>
      <c r="D1556" t="str">
        <f>TEXT(tbl_Kalender[[#This Row],[Datum]],"TTTT")</f>
        <v>Montag</v>
      </c>
      <c r="E1556">
        <f>WEEKDAY(tbl_Kalender[[#This Row],[Datum]],2)</f>
        <v>1</v>
      </c>
      <c r="F1556">
        <f>MONTH(tbl_Kalender[[#This Row],[Datum]])</f>
        <v>4</v>
      </c>
      <c r="G1556" t="str">
        <f>TEXT(tbl_Kalender[[#This Row],[Datum]],"MMMM")</f>
        <v>April</v>
      </c>
      <c r="H1556">
        <f>ROUNDUP(tbl_Kalender[[#This Row],[Monat]]/3,0)</f>
        <v>2</v>
      </c>
      <c r="I1556" t="str">
        <f>"Q "&amp;tbl_Kalender[[#This Row],[Quartal]]</f>
        <v>Q 2</v>
      </c>
      <c r="J1556" t="str">
        <f>tbl_Kalender[[#This Row],[Quartal]]&amp;". Quartal"</f>
        <v>2. Quartal</v>
      </c>
      <c r="K1556">
        <f>_xlfn.ISOWEEKNUM(tbl_Kalender[[#This Row],[Datum]])</f>
        <v>14</v>
      </c>
    </row>
    <row r="1557" spans="1:11" x14ac:dyDescent="0.25">
      <c r="A1557" s="1">
        <v>46847</v>
      </c>
      <c r="B1557">
        <f>YEAR(tbl_Kalender[[#This Row],[Datum]])</f>
        <v>2028</v>
      </c>
      <c r="C1557">
        <f>DAY(tbl_Kalender[[#This Row],[Datum]])</f>
        <v>4</v>
      </c>
      <c r="D1557" t="str">
        <f>TEXT(tbl_Kalender[[#This Row],[Datum]],"TTTT")</f>
        <v>Dienstag</v>
      </c>
      <c r="E1557">
        <f>WEEKDAY(tbl_Kalender[[#This Row],[Datum]],2)</f>
        <v>2</v>
      </c>
      <c r="F1557">
        <f>MONTH(tbl_Kalender[[#This Row],[Datum]])</f>
        <v>4</v>
      </c>
      <c r="G1557" t="str">
        <f>TEXT(tbl_Kalender[[#This Row],[Datum]],"MMMM")</f>
        <v>April</v>
      </c>
      <c r="H1557">
        <f>ROUNDUP(tbl_Kalender[[#This Row],[Monat]]/3,0)</f>
        <v>2</v>
      </c>
      <c r="I1557" t="str">
        <f>"Q "&amp;tbl_Kalender[[#This Row],[Quartal]]</f>
        <v>Q 2</v>
      </c>
      <c r="J1557" t="str">
        <f>tbl_Kalender[[#This Row],[Quartal]]&amp;". Quartal"</f>
        <v>2. Quartal</v>
      </c>
      <c r="K1557">
        <f>_xlfn.ISOWEEKNUM(tbl_Kalender[[#This Row],[Datum]])</f>
        <v>14</v>
      </c>
    </row>
    <row r="1558" spans="1:11" x14ac:dyDescent="0.25">
      <c r="A1558" s="1">
        <v>46848</v>
      </c>
      <c r="B1558">
        <f>YEAR(tbl_Kalender[[#This Row],[Datum]])</f>
        <v>2028</v>
      </c>
      <c r="C1558">
        <f>DAY(tbl_Kalender[[#This Row],[Datum]])</f>
        <v>5</v>
      </c>
      <c r="D1558" t="str">
        <f>TEXT(tbl_Kalender[[#This Row],[Datum]],"TTTT")</f>
        <v>Mittwoch</v>
      </c>
      <c r="E1558">
        <f>WEEKDAY(tbl_Kalender[[#This Row],[Datum]],2)</f>
        <v>3</v>
      </c>
      <c r="F1558">
        <f>MONTH(tbl_Kalender[[#This Row],[Datum]])</f>
        <v>4</v>
      </c>
      <c r="G1558" t="str">
        <f>TEXT(tbl_Kalender[[#This Row],[Datum]],"MMMM")</f>
        <v>April</v>
      </c>
      <c r="H1558">
        <f>ROUNDUP(tbl_Kalender[[#This Row],[Monat]]/3,0)</f>
        <v>2</v>
      </c>
      <c r="I1558" t="str">
        <f>"Q "&amp;tbl_Kalender[[#This Row],[Quartal]]</f>
        <v>Q 2</v>
      </c>
      <c r="J1558" t="str">
        <f>tbl_Kalender[[#This Row],[Quartal]]&amp;". Quartal"</f>
        <v>2. Quartal</v>
      </c>
      <c r="K1558">
        <f>_xlfn.ISOWEEKNUM(tbl_Kalender[[#This Row],[Datum]])</f>
        <v>14</v>
      </c>
    </row>
    <row r="1559" spans="1:11" x14ac:dyDescent="0.25">
      <c r="A1559" s="1">
        <v>46849</v>
      </c>
      <c r="B1559">
        <f>YEAR(tbl_Kalender[[#This Row],[Datum]])</f>
        <v>2028</v>
      </c>
      <c r="C1559">
        <f>DAY(tbl_Kalender[[#This Row],[Datum]])</f>
        <v>6</v>
      </c>
      <c r="D1559" t="str">
        <f>TEXT(tbl_Kalender[[#This Row],[Datum]],"TTTT")</f>
        <v>Donnerstag</v>
      </c>
      <c r="E1559">
        <f>WEEKDAY(tbl_Kalender[[#This Row],[Datum]],2)</f>
        <v>4</v>
      </c>
      <c r="F1559">
        <f>MONTH(tbl_Kalender[[#This Row],[Datum]])</f>
        <v>4</v>
      </c>
      <c r="G1559" t="str">
        <f>TEXT(tbl_Kalender[[#This Row],[Datum]],"MMMM")</f>
        <v>April</v>
      </c>
      <c r="H1559">
        <f>ROUNDUP(tbl_Kalender[[#This Row],[Monat]]/3,0)</f>
        <v>2</v>
      </c>
      <c r="I1559" t="str">
        <f>"Q "&amp;tbl_Kalender[[#This Row],[Quartal]]</f>
        <v>Q 2</v>
      </c>
      <c r="J1559" t="str">
        <f>tbl_Kalender[[#This Row],[Quartal]]&amp;". Quartal"</f>
        <v>2. Quartal</v>
      </c>
      <c r="K1559">
        <f>_xlfn.ISOWEEKNUM(tbl_Kalender[[#This Row],[Datum]])</f>
        <v>14</v>
      </c>
    </row>
    <row r="1560" spans="1:11" x14ac:dyDescent="0.25">
      <c r="A1560" s="1">
        <v>46850</v>
      </c>
      <c r="B1560">
        <f>YEAR(tbl_Kalender[[#This Row],[Datum]])</f>
        <v>2028</v>
      </c>
      <c r="C1560">
        <f>DAY(tbl_Kalender[[#This Row],[Datum]])</f>
        <v>7</v>
      </c>
      <c r="D1560" t="str">
        <f>TEXT(tbl_Kalender[[#This Row],[Datum]],"TTTT")</f>
        <v>Freitag</v>
      </c>
      <c r="E1560">
        <f>WEEKDAY(tbl_Kalender[[#This Row],[Datum]],2)</f>
        <v>5</v>
      </c>
      <c r="F1560">
        <f>MONTH(tbl_Kalender[[#This Row],[Datum]])</f>
        <v>4</v>
      </c>
      <c r="G1560" t="str">
        <f>TEXT(tbl_Kalender[[#This Row],[Datum]],"MMMM")</f>
        <v>April</v>
      </c>
      <c r="H1560">
        <f>ROUNDUP(tbl_Kalender[[#This Row],[Monat]]/3,0)</f>
        <v>2</v>
      </c>
      <c r="I1560" t="str">
        <f>"Q "&amp;tbl_Kalender[[#This Row],[Quartal]]</f>
        <v>Q 2</v>
      </c>
      <c r="J1560" t="str">
        <f>tbl_Kalender[[#This Row],[Quartal]]&amp;". Quartal"</f>
        <v>2. Quartal</v>
      </c>
      <c r="K1560">
        <f>_xlfn.ISOWEEKNUM(tbl_Kalender[[#This Row],[Datum]])</f>
        <v>14</v>
      </c>
    </row>
    <row r="1561" spans="1:11" x14ac:dyDescent="0.25">
      <c r="A1561" s="1">
        <v>46851</v>
      </c>
      <c r="B1561">
        <f>YEAR(tbl_Kalender[[#This Row],[Datum]])</f>
        <v>2028</v>
      </c>
      <c r="C1561">
        <f>DAY(tbl_Kalender[[#This Row],[Datum]])</f>
        <v>8</v>
      </c>
      <c r="D1561" t="str">
        <f>TEXT(tbl_Kalender[[#This Row],[Datum]],"TTTT")</f>
        <v>Samstag</v>
      </c>
      <c r="E1561">
        <f>WEEKDAY(tbl_Kalender[[#This Row],[Datum]],2)</f>
        <v>6</v>
      </c>
      <c r="F1561">
        <f>MONTH(tbl_Kalender[[#This Row],[Datum]])</f>
        <v>4</v>
      </c>
      <c r="G1561" t="str">
        <f>TEXT(tbl_Kalender[[#This Row],[Datum]],"MMMM")</f>
        <v>April</v>
      </c>
      <c r="H1561">
        <f>ROUNDUP(tbl_Kalender[[#This Row],[Monat]]/3,0)</f>
        <v>2</v>
      </c>
      <c r="I1561" t="str">
        <f>"Q "&amp;tbl_Kalender[[#This Row],[Quartal]]</f>
        <v>Q 2</v>
      </c>
      <c r="J1561" t="str">
        <f>tbl_Kalender[[#This Row],[Quartal]]&amp;". Quartal"</f>
        <v>2. Quartal</v>
      </c>
      <c r="K1561">
        <f>_xlfn.ISOWEEKNUM(tbl_Kalender[[#This Row],[Datum]])</f>
        <v>14</v>
      </c>
    </row>
    <row r="1562" spans="1:11" x14ac:dyDescent="0.25">
      <c r="A1562" s="1">
        <v>46852</v>
      </c>
      <c r="B1562">
        <f>YEAR(tbl_Kalender[[#This Row],[Datum]])</f>
        <v>2028</v>
      </c>
      <c r="C1562">
        <f>DAY(tbl_Kalender[[#This Row],[Datum]])</f>
        <v>9</v>
      </c>
      <c r="D1562" t="str">
        <f>TEXT(tbl_Kalender[[#This Row],[Datum]],"TTTT")</f>
        <v>Sonntag</v>
      </c>
      <c r="E1562">
        <f>WEEKDAY(tbl_Kalender[[#This Row],[Datum]],2)</f>
        <v>7</v>
      </c>
      <c r="F1562">
        <f>MONTH(tbl_Kalender[[#This Row],[Datum]])</f>
        <v>4</v>
      </c>
      <c r="G1562" t="str">
        <f>TEXT(tbl_Kalender[[#This Row],[Datum]],"MMMM")</f>
        <v>April</v>
      </c>
      <c r="H1562">
        <f>ROUNDUP(tbl_Kalender[[#This Row],[Monat]]/3,0)</f>
        <v>2</v>
      </c>
      <c r="I1562" t="str">
        <f>"Q "&amp;tbl_Kalender[[#This Row],[Quartal]]</f>
        <v>Q 2</v>
      </c>
      <c r="J1562" t="str">
        <f>tbl_Kalender[[#This Row],[Quartal]]&amp;". Quartal"</f>
        <v>2. Quartal</v>
      </c>
      <c r="K1562">
        <f>_xlfn.ISOWEEKNUM(tbl_Kalender[[#This Row],[Datum]])</f>
        <v>14</v>
      </c>
    </row>
    <row r="1563" spans="1:11" x14ac:dyDescent="0.25">
      <c r="A1563" s="1">
        <v>46853</v>
      </c>
      <c r="B1563">
        <f>YEAR(tbl_Kalender[[#This Row],[Datum]])</f>
        <v>2028</v>
      </c>
      <c r="C1563">
        <f>DAY(tbl_Kalender[[#This Row],[Datum]])</f>
        <v>10</v>
      </c>
      <c r="D1563" t="str">
        <f>TEXT(tbl_Kalender[[#This Row],[Datum]],"TTTT")</f>
        <v>Montag</v>
      </c>
      <c r="E1563">
        <f>WEEKDAY(tbl_Kalender[[#This Row],[Datum]],2)</f>
        <v>1</v>
      </c>
      <c r="F1563">
        <f>MONTH(tbl_Kalender[[#This Row],[Datum]])</f>
        <v>4</v>
      </c>
      <c r="G1563" t="str">
        <f>TEXT(tbl_Kalender[[#This Row],[Datum]],"MMMM")</f>
        <v>April</v>
      </c>
      <c r="H1563">
        <f>ROUNDUP(tbl_Kalender[[#This Row],[Monat]]/3,0)</f>
        <v>2</v>
      </c>
      <c r="I1563" t="str">
        <f>"Q "&amp;tbl_Kalender[[#This Row],[Quartal]]</f>
        <v>Q 2</v>
      </c>
      <c r="J1563" t="str">
        <f>tbl_Kalender[[#This Row],[Quartal]]&amp;". Quartal"</f>
        <v>2. Quartal</v>
      </c>
      <c r="K1563">
        <f>_xlfn.ISOWEEKNUM(tbl_Kalender[[#This Row],[Datum]])</f>
        <v>15</v>
      </c>
    </row>
    <row r="1564" spans="1:11" x14ac:dyDescent="0.25">
      <c r="A1564" s="1">
        <v>46854</v>
      </c>
      <c r="B1564">
        <f>YEAR(tbl_Kalender[[#This Row],[Datum]])</f>
        <v>2028</v>
      </c>
      <c r="C1564">
        <f>DAY(tbl_Kalender[[#This Row],[Datum]])</f>
        <v>11</v>
      </c>
      <c r="D1564" t="str">
        <f>TEXT(tbl_Kalender[[#This Row],[Datum]],"TTTT")</f>
        <v>Dienstag</v>
      </c>
      <c r="E1564">
        <f>WEEKDAY(tbl_Kalender[[#This Row],[Datum]],2)</f>
        <v>2</v>
      </c>
      <c r="F1564">
        <f>MONTH(tbl_Kalender[[#This Row],[Datum]])</f>
        <v>4</v>
      </c>
      <c r="G1564" t="str">
        <f>TEXT(tbl_Kalender[[#This Row],[Datum]],"MMMM")</f>
        <v>April</v>
      </c>
      <c r="H1564">
        <f>ROUNDUP(tbl_Kalender[[#This Row],[Monat]]/3,0)</f>
        <v>2</v>
      </c>
      <c r="I1564" t="str">
        <f>"Q "&amp;tbl_Kalender[[#This Row],[Quartal]]</f>
        <v>Q 2</v>
      </c>
      <c r="J1564" t="str">
        <f>tbl_Kalender[[#This Row],[Quartal]]&amp;". Quartal"</f>
        <v>2. Quartal</v>
      </c>
      <c r="K1564">
        <f>_xlfn.ISOWEEKNUM(tbl_Kalender[[#This Row],[Datum]])</f>
        <v>15</v>
      </c>
    </row>
    <row r="1565" spans="1:11" x14ac:dyDescent="0.25">
      <c r="A1565" s="1">
        <v>46855</v>
      </c>
      <c r="B1565">
        <f>YEAR(tbl_Kalender[[#This Row],[Datum]])</f>
        <v>2028</v>
      </c>
      <c r="C1565">
        <f>DAY(tbl_Kalender[[#This Row],[Datum]])</f>
        <v>12</v>
      </c>
      <c r="D1565" t="str">
        <f>TEXT(tbl_Kalender[[#This Row],[Datum]],"TTTT")</f>
        <v>Mittwoch</v>
      </c>
      <c r="E1565">
        <f>WEEKDAY(tbl_Kalender[[#This Row],[Datum]],2)</f>
        <v>3</v>
      </c>
      <c r="F1565">
        <f>MONTH(tbl_Kalender[[#This Row],[Datum]])</f>
        <v>4</v>
      </c>
      <c r="G1565" t="str">
        <f>TEXT(tbl_Kalender[[#This Row],[Datum]],"MMMM")</f>
        <v>April</v>
      </c>
      <c r="H1565">
        <f>ROUNDUP(tbl_Kalender[[#This Row],[Monat]]/3,0)</f>
        <v>2</v>
      </c>
      <c r="I1565" t="str">
        <f>"Q "&amp;tbl_Kalender[[#This Row],[Quartal]]</f>
        <v>Q 2</v>
      </c>
      <c r="J1565" t="str">
        <f>tbl_Kalender[[#This Row],[Quartal]]&amp;". Quartal"</f>
        <v>2. Quartal</v>
      </c>
      <c r="K1565">
        <f>_xlfn.ISOWEEKNUM(tbl_Kalender[[#This Row],[Datum]])</f>
        <v>15</v>
      </c>
    </row>
    <row r="1566" spans="1:11" x14ac:dyDescent="0.25">
      <c r="A1566" s="1">
        <v>46856</v>
      </c>
      <c r="B1566">
        <f>YEAR(tbl_Kalender[[#This Row],[Datum]])</f>
        <v>2028</v>
      </c>
      <c r="C1566">
        <f>DAY(tbl_Kalender[[#This Row],[Datum]])</f>
        <v>13</v>
      </c>
      <c r="D1566" t="str">
        <f>TEXT(tbl_Kalender[[#This Row],[Datum]],"TTTT")</f>
        <v>Donnerstag</v>
      </c>
      <c r="E1566">
        <f>WEEKDAY(tbl_Kalender[[#This Row],[Datum]],2)</f>
        <v>4</v>
      </c>
      <c r="F1566">
        <f>MONTH(tbl_Kalender[[#This Row],[Datum]])</f>
        <v>4</v>
      </c>
      <c r="G1566" t="str">
        <f>TEXT(tbl_Kalender[[#This Row],[Datum]],"MMMM")</f>
        <v>April</v>
      </c>
      <c r="H1566">
        <f>ROUNDUP(tbl_Kalender[[#This Row],[Monat]]/3,0)</f>
        <v>2</v>
      </c>
      <c r="I1566" t="str">
        <f>"Q "&amp;tbl_Kalender[[#This Row],[Quartal]]</f>
        <v>Q 2</v>
      </c>
      <c r="J1566" t="str">
        <f>tbl_Kalender[[#This Row],[Quartal]]&amp;". Quartal"</f>
        <v>2. Quartal</v>
      </c>
      <c r="K1566">
        <f>_xlfn.ISOWEEKNUM(tbl_Kalender[[#This Row],[Datum]])</f>
        <v>15</v>
      </c>
    </row>
    <row r="1567" spans="1:11" x14ac:dyDescent="0.25">
      <c r="A1567" s="1">
        <v>46857</v>
      </c>
      <c r="B1567">
        <f>YEAR(tbl_Kalender[[#This Row],[Datum]])</f>
        <v>2028</v>
      </c>
      <c r="C1567">
        <f>DAY(tbl_Kalender[[#This Row],[Datum]])</f>
        <v>14</v>
      </c>
      <c r="D1567" t="str">
        <f>TEXT(tbl_Kalender[[#This Row],[Datum]],"TTTT")</f>
        <v>Freitag</v>
      </c>
      <c r="E1567">
        <f>WEEKDAY(tbl_Kalender[[#This Row],[Datum]],2)</f>
        <v>5</v>
      </c>
      <c r="F1567">
        <f>MONTH(tbl_Kalender[[#This Row],[Datum]])</f>
        <v>4</v>
      </c>
      <c r="G1567" t="str">
        <f>TEXT(tbl_Kalender[[#This Row],[Datum]],"MMMM")</f>
        <v>April</v>
      </c>
      <c r="H1567">
        <f>ROUNDUP(tbl_Kalender[[#This Row],[Monat]]/3,0)</f>
        <v>2</v>
      </c>
      <c r="I1567" t="str">
        <f>"Q "&amp;tbl_Kalender[[#This Row],[Quartal]]</f>
        <v>Q 2</v>
      </c>
      <c r="J1567" t="str">
        <f>tbl_Kalender[[#This Row],[Quartal]]&amp;". Quartal"</f>
        <v>2. Quartal</v>
      </c>
      <c r="K1567">
        <f>_xlfn.ISOWEEKNUM(tbl_Kalender[[#This Row],[Datum]])</f>
        <v>15</v>
      </c>
    </row>
    <row r="1568" spans="1:11" x14ac:dyDescent="0.25">
      <c r="A1568" s="1">
        <v>46858</v>
      </c>
      <c r="B1568">
        <f>YEAR(tbl_Kalender[[#This Row],[Datum]])</f>
        <v>2028</v>
      </c>
      <c r="C1568">
        <f>DAY(tbl_Kalender[[#This Row],[Datum]])</f>
        <v>15</v>
      </c>
      <c r="D1568" t="str">
        <f>TEXT(tbl_Kalender[[#This Row],[Datum]],"TTTT")</f>
        <v>Samstag</v>
      </c>
      <c r="E1568">
        <f>WEEKDAY(tbl_Kalender[[#This Row],[Datum]],2)</f>
        <v>6</v>
      </c>
      <c r="F1568">
        <f>MONTH(tbl_Kalender[[#This Row],[Datum]])</f>
        <v>4</v>
      </c>
      <c r="G1568" t="str">
        <f>TEXT(tbl_Kalender[[#This Row],[Datum]],"MMMM")</f>
        <v>April</v>
      </c>
      <c r="H1568">
        <f>ROUNDUP(tbl_Kalender[[#This Row],[Monat]]/3,0)</f>
        <v>2</v>
      </c>
      <c r="I1568" t="str">
        <f>"Q "&amp;tbl_Kalender[[#This Row],[Quartal]]</f>
        <v>Q 2</v>
      </c>
      <c r="J1568" t="str">
        <f>tbl_Kalender[[#This Row],[Quartal]]&amp;". Quartal"</f>
        <v>2. Quartal</v>
      </c>
      <c r="K1568">
        <f>_xlfn.ISOWEEKNUM(tbl_Kalender[[#This Row],[Datum]])</f>
        <v>15</v>
      </c>
    </row>
    <row r="1569" spans="1:11" x14ac:dyDescent="0.25">
      <c r="A1569" s="1">
        <v>46859</v>
      </c>
      <c r="B1569">
        <f>YEAR(tbl_Kalender[[#This Row],[Datum]])</f>
        <v>2028</v>
      </c>
      <c r="C1569">
        <f>DAY(tbl_Kalender[[#This Row],[Datum]])</f>
        <v>16</v>
      </c>
      <c r="D1569" t="str">
        <f>TEXT(tbl_Kalender[[#This Row],[Datum]],"TTTT")</f>
        <v>Sonntag</v>
      </c>
      <c r="E1569">
        <f>WEEKDAY(tbl_Kalender[[#This Row],[Datum]],2)</f>
        <v>7</v>
      </c>
      <c r="F1569">
        <f>MONTH(tbl_Kalender[[#This Row],[Datum]])</f>
        <v>4</v>
      </c>
      <c r="G1569" t="str">
        <f>TEXT(tbl_Kalender[[#This Row],[Datum]],"MMMM")</f>
        <v>April</v>
      </c>
      <c r="H1569">
        <f>ROUNDUP(tbl_Kalender[[#This Row],[Monat]]/3,0)</f>
        <v>2</v>
      </c>
      <c r="I1569" t="str">
        <f>"Q "&amp;tbl_Kalender[[#This Row],[Quartal]]</f>
        <v>Q 2</v>
      </c>
      <c r="J1569" t="str">
        <f>tbl_Kalender[[#This Row],[Quartal]]&amp;". Quartal"</f>
        <v>2. Quartal</v>
      </c>
      <c r="K1569">
        <f>_xlfn.ISOWEEKNUM(tbl_Kalender[[#This Row],[Datum]])</f>
        <v>15</v>
      </c>
    </row>
    <row r="1570" spans="1:11" x14ac:dyDescent="0.25">
      <c r="A1570" s="1">
        <v>46860</v>
      </c>
      <c r="B1570">
        <f>YEAR(tbl_Kalender[[#This Row],[Datum]])</f>
        <v>2028</v>
      </c>
      <c r="C1570">
        <f>DAY(tbl_Kalender[[#This Row],[Datum]])</f>
        <v>17</v>
      </c>
      <c r="D1570" t="str">
        <f>TEXT(tbl_Kalender[[#This Row],[Datum]],"TTTT")</f>
        <v>Montag</v>
      </c>
      <c r="E1570">
        <f>WEEKDAY(tbl_Kalender[[#This Row],[Datum]],2)</f>
        <v>1</v>
      </c>
      <c r="F1570">
        <f>MONTH(tbl_Kalender[[#This Row],[Datum]])</f>
        <v>4</v>
      </c>
      <c r="G1570" t="str">
        <f>TEXT(tbl_Kalender[[#This Row],[Datum]],"MMMM")</f>
        <v>April</v>
      </c>
      <c r="H1570">
        <f>ROUNDUP(tbl_Kalender[[#This Row],[Monat]]/3,0)</f>
        <v>2</v>
      </c>
      <c r="I1570" t="str">
        <f>"Q "&amp;tbl_Kalender[[#This Row],[Quartal]]</f>
        <v>Q 2</v>
      </c>
      <c r="J1570" t="str">
        <f>tbl_Kalender[[#This Row],[Quartal]]&amp;". Quartal"</f>
        <v>2. Quartal</v>
      </c>
      <c r="K1570">
        <f>_xlfn.ISOWEEKNUM(tbl_Kalender[[#This Row],[Datum]])</f>
        <v>16</v>
      </c>
    </row>
    <row r="1571" spans="1:11" x14ac:dyDescent="0.25">
      <c r="A1571" s="1">
        <v>46861</v>
      </c>
      <c r="B1571">
        <f>YEAR(tbl_Kalender[[#This Row],[Datum]])</f>
        <v>2028</v>
      </c>
      <c r="C1571">
        <f>DAY(tbl_Kalender[[#This Row],[Datum]])</f>
        <v>18</v>
      </c>
      <c r="D1571" t="str">
        <f>TEXT(tbl_Kalender[[#This Row],[Datum]],"TTTT")</f>
        <v>Dienstag</v>
      </c>
      <c r="E1571">
        <f>WEEKDAY(tbl_Kalender[[#This Row],[Datum]],2)</f>
        <v>2</v>
      </c>
      <c r="F1571">
        <f>MONTH(tbl_Kalender[[#This Row],[Datum]])</f>
        <v>4</v>
      </c>
      <c r="G1571" t="str">
        <f>TEXT(tbl_Kalender[[#This Row],[Datum]],"MMMM")</f>
        <v>April</v>
      </c>
      <c r="H1571">
        <f>ROUNDUP(tbl_Kalender[[#This Row],[Monat]]/3,0)</f>
        <v>2</v>
      </c>
      <c r="I1571" t="str">
        <f>"Q "&amp;tbl_Kalender[[#This Row],[Quartal]]</f>
        <v>Q 2</v>
      </c>
      <c r="J1571" t="str">
        <f>tbl_Kalender[[#This Row],[Quartal]]&amp;". Quartal"</f>
        <v>2. Quartal</v>
      </c>
      <c r="K1571">
        <f>_xlfn.ISOWEEKNUM(tbl_Kalender[[#This Row],[Datum]])</f>
        <v>16</v>
      </c>
    </row>
    <row r="1572" spans="1:11" x14ac:dyDescent="0.25">
      <c r="A1572" s="1">
        <v>46862</v>
      </c>
      <c r="B1572">
        <f>YEAR(tbl_Kalender[[#This Row],[Datum]])</f>
        <v>2028</v>
      </c>
      <c r="C1572">
        <f>DAY(tbl_Kalender[[#This Row],[Datum]])</f>
        <v>19</v>
      </c>
      <c r="D1572" t="str">
        <f>TEXT(tbl_Kalender[[#This Row],[Datum]],"TTTT")</f>
        <v>Mittwoch</v>
      </c>
      <c r="E1572">
        <f>WEEKDAY(tbl_Kalender[[#This Row],[Datum]],2)</f>
        <v>3</v>
      </c>
      <c r="F1572">
        <f>MONTH(tbl_Kalender[[#This Row],[Datum]])</f>
        <v>4</v>
      </c>
      <c r="G1572" t="str">
        <f>TEXT(tbl_Kalender[[#This Row],[Datum]],"MMMM")</f>
        <v>April</v>
      </c>
      <c r="H1572">
        <f>ROUNDUP(tbl_Kalender[[#This Row],[Monat]]/3,0)</f>
        <v>2</v>
      </c>
      <c r="I1572" t="str">
        <f>"Q "&amp;tbl_Kalender[[#This Row],[Quartal]]</f>
        <v>Q 2</v>
      </c>
      <c r="J1572" t="str">
        <f>tbl_Kalender[[#This Row],[Quartal]]&amp;". Quartal"</f>
        <v>2. Quartal</v>
      </c>
      <c r="K1572">
        <f>_xlfn.ISOWEEKNUM(tbl_Kalender[[#This Row],[Datum]])</f>
        <v>16</v>
      </c>
    </row>
    <row r="1573" spans="1:11" x14ac:dyDescent="0.25">
      <c r="A1573" s="1">
        <v>46863</v>
      </c>
      <c r="B1573">
        <f>YEAR(tbl_Kalender[[#This Row],[Datum]])</f>
        <v>2028</v>
      </c>
      <c r="C1573">
        <f>DAY(tbl_Kalender[[#This Row],[Datum]])</f>
        <v>20</v>
      </c>
      <c r="D1573" t="str">
        <f>TEXT(tbl_Kalender[[#This Row],[Datum]],"TTTT")</f>
        <v>Donnerstag</v>
      </c>
      <c r="E1573">
        <f>WEEKDAY(tbl_Kalender[[#This Row],[Datum]],2)</f>
        <v>4</v>
      </c>
      <c r="F1573">
        <f>MONTH(tbl_Kalender[[#This Row],[Datum]])</f>
        <v>4</v>
      </c>
      <c r="G1573" t="str">
        <f>TEXT(tbl_Kalender[[#This Row],[Datum]],"MMMM")</f>
        <v>April</v>
      </c>
      <c r="H1573">
        <f>ROUNDUP(tbl_Kalender[[#This Row],[Monat]]/3,0)</f>
        <v>2</v>
      </c>
      <c r="I1573" t="str">
        <f>"Q "&amp;tbl_Kalender[[#This Row],[Quartal]]</f>
        <v>Q 2</v>
      </c>
      <c r="J1573" t="str">
        <f>tbl_Kalender[[#This Row],[Quartal]]&amp;". Quartal"</f>
        <v>2. Quartal</v>
      </c>
      <c r="K1573">
        <f>_xlfn.ISOWEEKNUM(tbl_Kalender[[#This Row],[Datum]])</f>
        <v>16</v>
      </c>
    </row>
    <row r="1574" spans="1:11" x14ac:dyDescent="0.25">
      <c r="A1574" s="1">
        <v>46864</v>
      </c>
      <c r="B1574">
        <f>YEAR(tbl_Kalender[[#This Row],[Datum]])</f>
        <v>2028</v>
      </c>
      <c r="C1574">
        <f>DAY(tbl_Kalender[[#This Row],[Datum]])</f>
        <v>21</v>
      </c>
      <c r="D1574" t="str">
        <f>TEXT(tbl_Kalender[[#This Row],[Datum]],"TTTT")</f>
        <v>Freitag</v>
      </c>
      <c r="E1574">
        <f>WEEKDAY(tbl_Kalender[[#This Row],[Datum]],2)</f>
        <v>5</v>
      </c>
      <c r="F1574">
        <f>MONTH(tbl_Kalender[[#This Row],[Datum]])</f>
        <v>4</v>
      </c>
      <c r="G1574" t="str">
        <f>TEXT(tbl_Kalender[[#This Row],[Datum]],"MMMM")</f>
        <v>April</v>
      </c>
      <c r="H1574">
        <f>ROUNDUP(tbl_Kalender[[#This Row],[Monat]]/3,0)</f>
        <v>2</v>
      </c>
      <c r="I1574" t="str">
        <f>"Q "&amp;tbl_Kalender[[#This Row],[Quartal]]</f>
        <v>Q 2</v>
      </c>
      <c r="J1574" t="str">
        <f>tbl_Kalender[[#This Row],[Quartal]]&amp;". Quartal"</f>
        <v>2. Quartal</v>
      </c>
      <c r="K1574">
        <f>_xlfn.ISOWEEKNUM(tbl_Kalender[[#This Row],[Datum]])</f>
        <v>16</v>
      </c>
    </row>
    <row r="1575" spans="1:11" x14ac:dyDescent="0.25">
      <c r="A1575" s="1">
        <v>46865</v>
      </c>
      <c r="B1575">
        <f>YEAR(tbl_Kalender[[#This Row],[Datum]])</f>
        <v>2028</v>
      </c>
      <c r="C1575">
        <f>DAY(tbl_Kalender[[#This Row],[Datum]])</f>
        <v>22</v>
      </c>
      <c r="D1575" t="str">
        <f>TEXT(tbl_Kalender[[#This Row],[Datum]],"TTTT")</f>
        <v>Samstag</v>
      </c>
      <c r="E1575">
        <f>WEEKDAY(tbl_Kalender[[#This Row],[Datum]],2)</f>
        <v>6</v>
      </c>
      <c r="F1575">
        <f>MONTH(tbl_Kalender[[#This Row],[Datum]])</f>
        <v>4</v>
      </c>
      <c r="G1575" t="str">
        <f>TEXT(tbl_Kalender[[#This Row],[Datum]],"MMMM")</f>
        <v>April</v>
      </c>
      <c r="H1575">
        <f>ROUNDUP(tbl_Kalender[[#This Row],[Monat]]/3,0)</f>
        <v>2</v>
      </c>
      <c r="I1575" t="str">
        <f>"Q "&amp;tbl_Kalender[[#This Row],[Quartal]]</f>
        <v>Q 2</v>
      </c>
      <c r="J1575" t="str">
        <f>tbl_Kalender[[#This Row],[Quartal]]&amp;". Quartal"</f>
        <v>2. Quartal</v>
      </c>
      <c r="K1575">
        <f>_xlfn.ISOWEEKNUM(tbl_Kalender[[#This Row],[Datum]])</f>
        <v>16</v>
      </c>
    </row>
    <row r="1576" spans="1:11" x14ac:dyDescent="0.25">
      <c r="A1576" s="1">
        <v>46866</v>
      </c>
      <c r="B1576">
        <f>YEAR(tbl_Kalender[[#This Row],[Datum]])</f>
        <v>2028</v>
      </c>
      <c r="C1576">
        <f>DAY(tbl_Kalender[[#This Row],[Datum]])</f>
        <v>23</v>
      </c>
      <c r="D1576" t="str">
        <f>TEXT(tbl_Kalender[[#This Row],[Datum]],"TTTT")</f>
        <v>Sonntag</v>
      </c>
      <c r="E1576">
        <f>WEEKDAY(tbl_Kalender[[#This Row],[Datum]],2)</f>
        <v>7</v>
      </c>
      <c r="F1576">
        <f>MONTH(tbl_Kalender[[#This Row],[Datum]])</f>
        <v>4</v>
      </c>
      <c r="G1576" t="str">
        <f>TEXT(tbl_Kalender[[#This Row],[Datum]],"MMMM")</f>
        <v>April</v>
      </c>
      <c r="H1576">
        <f>ROUNDUP(tbl_Kalender[[#This Row],[Monat]]/3,0)</f>
        <v>2</v>
      </c>
      <c r="I1576" t="str">
        <f>"Q "&amp;tbl_Kalender[[#This Row],[Quartal]]</f>
        <v>Q 2</v>
      </c>
      <c r="J1576" t="str">
        <f>tbl_Kalender[[#This Row],[Quartal]]&amp;". Quartal"</f>
        <v>2. Quartal</v>
      </c>
      <c r="K1576">
        <f>_xlfn.ISOWEEKNUM(tbl_Kalender[[#This Row],[Datum]])</f>
        <v>16</v>
      </c>
    </row>
    <row r="1577" spans="1:11" x14ac:dyDescent="0.25">
      <c r="A1577" s="1">
        <v>46867</v>
      </c>
      <c r="B1577">
        <f>YEAR(tbl_Kalender[[#This Row],[Datum]])</f>
        <v>2028</v>
      </c>
      <c r="C1577">
        <f>DAY(tbl_Kalender[[#This Row],[Datum]])</f>
        <v>24</v>
      </c>
      <c r="D1577" t="str">
        <f>TEXT(tbl_Kalender[[#This Row],[Datum]],"TTTT")</f>
        <v>Montag</v>
      </c>
      <c r="E1577">
        <f>WEEKDAY(tbl_Kalender[[#This Row],[Datum]],2)</f>
        <v>1</v>
      </c>
      <c r="F1577">
        <f>MONTH(tbl_Kalender[[#This Row],[Datum]])</f>
        <v>4</v>
      </c>
      <c r="G1577" t="str">
        <f>TEXT(tbl_Kalender[[#This Row],[Datum]],"MMMM")</f>
        <v>April</v>
      </c>
      <c r="H1577">
        <f>ROUNDUP(tbl_Kalender[[#This Row],[Monat]]/3,0)</f>
        <v>2</v>
      </c>
      <c r="I1577" t="str">
        <f>"Q "&amp;tbl_Kalender[[#This Row],[Quartal]]</f>
        <v>Q 2</v>
      </c>
      <c r="J1577" t="str">
        <f>tbl_Kalender[[#This Row],[Quartal]]&amp;". Quartal"</f>
        <v>2. Quartal</v>
      </c>
      <c r="K1577">
        <f>_xlfn.ISOWEEKNUM(tbl_Kalender[[#This Row],[Datum]])</f>
        <v>17</v>
      </c>
    </row>
    <row r="1578" spans="1:11" x14ac:dyDescent="0.25">
      <c r="A1578" s="1">
        <v>46868</v>
      </c>
      <c r="B1578">
        <f>YEAR(tbl_Kalender[[#This Row],[Datum]])</f>
        <v>2028</v>
      </c>
      <c r="C1578">
        <f>DAY(tbl_Kalender[[#This Row],[Datum]])</f>
        <v>25</v>
      </c>
      <c r="D1578" t="str">
        <f>TEXT(tbl_Kalender[[#This Row],[Datum]],"TTTT")</f>
        <v>Dienstag</v>
      </c>
      <c r="E1578">
        <f>WEEKDAY(tbl_Kalender[[#This Row],[Datum]],2)</f>
        <v>2</v>
      </c>
      <c r="F1578">
        <f>MONTH(tbl_Kalender[[#This Row],[Datum]])</f>
        <v>4</v>
      </c>
      <c r="G1578" t="str">
        <f>TEXT(tbl_Kalender[[#This Row],[Datum]],"MMMM")</f>
        <v>April</v>
      </c>
      <c r="H1578">
        <f>ROUNDUP(tbl_Kalender[[#This Row],[Monat]]/3,0)</f>
        <v>2</v>
      </c>
      <c r="I1578" t="str">
        <f>"Q "&amp;tbl_Kalender[[#This Row],[Quartal]]</f>
        <v>Q 2</v>
      </c>
      <c r="J1578" t="str">
        <f>tbl_Kalender[[#This Row],[Quartal]]&amp;". Quartal"</f>
        <v>2. Quartal</v>
      </c>
      <c r="K1578">
        <f>_xlfn.ISOWEEKNUM(tbl_Kalender[[#This Row],[Datum]])</f>
        <v>17</v>
      </c>
    </row>
    <row r="1579" spans="1:11" x14ac:dyDescent="0.25">
      <c r="A1579" s="1">
        <v>46869</v>
      </c>
      <c r="B1579">
        <f>YEAR(tbl_Kalender[[#This Row],[Datum]])</f>
        <v>2028</v>
      </c>
      <c r="C1579">
        <f>DAY(tbl_Kalender[[#This Row],[Datum]])</f>
        <v>26</v>
      </c>
      <c r="D1579" t="str">
        <f>TEXT(tbl_Kalender[[#This Row],[Datum]],"TTTT")</f>
        <v>Mittwoch</v>
      </c>
      <c r="E1579">
        <f>WEEKDAY(tbl_Kalender[[#This Row],[Datum]],2)</f>
        <v>3</v>
      </c>
      <c r="F1579">
        <f>MONTH(tbl_Kalender[[#This Row],[Datum]])</f>
        <v>4</v>
      </c>
      <c r="G1579" t="str">
        <f>TEXT(tbl_Kalender[[#This Row],[Datum]],"MMMM")</f>
        <v>April</v>
      </c>
      <c r="H1579">
        <f>ROUNDUP(tbl_Kalender[[#This Row],[Monat]]/3,0)</f>
        <v>2</v>
      </c>
      <c r="I1579" t="str">
        <f>"Q "&amp;tbl_Kalender[[#This Row],[Quartal]]</f>
        <v>Q 2</v>
      </c>
      <c r="J1579" t="str">
        <f>tbl_Kalender[[#This Row],[Quartal]]&amp;". Quartal"</f>
        <v>2. Quartal</v>
      </c>
      <c r="K1579">
        <f>_xlfn.ISOWEEKNUM(tbl_Kalender[[#This Row],[Datum]])</f>
        <v>17</v>
      </c>
    </row>
    <row r="1580" spans="1:11" x14ac:dyDescent="0.25">
      <c r="A1580" s="1">
        <v>46870</v>
      </c>
      <c r="B1580">
        <f>YEAR(tbl_Kalender[[#This Row],[Datum]])</f>
        <v>2028</v>
      </c>
      <c r="C1580">
        <f>DAY(tbl_Kalender[[#This Row],[Datum]])</f>
        <v>27</v>
      </c>
      <c r="D1580" t="str">
        <f>TEXT(tbl_Kalender[[#This Row],[Datum]],"TTTT")</f>
        <v>Donnerstag</v>
      </c>
      <c r="E1580">
        <f>WEEKDAY(tbl_Kalender[[#This Row],[Datum]],2)</f>
        <v>4</v>
      </c>
      <c r="F1580">
        <f>MONTH(tbl_Kalender[[#This Row],[Datum]])</f>
        <v>4</v>
      </c>
      <c r="G1580" t="str">
        <f>TEXT(tbl_Kalender[[#This Row],[Datum]],"MMMM")</f>
        <v>April</v>
      </c>
      <c r="H1580">
        <f>ROUNDUP(tbl_Kalender[[#This Row],[Monat]]/3,0)</f>
        <v>2</v>
      </c>
      <c r="I1580" t="str">
        <f>"Q "&amp;tbl_Kalender[[#This Row],[Quartal]]</f>
        <v>Q 2</v>
      </c>
      <c r="J1580" t="str">
        <f>tbl_Kalender[[#This Row],[Quartal]]&amp;". Quartal"</f>
        <v>2. Quartal</v>
      </c>
      <c r="K1580">
        <f>_xlfn.ISOWEEKNUM(tbl_Kalender[[#This Row],[Datum]])</f>
        <v>17</v>
      </c>
    </row>
    <row r="1581" spans="1:11" x14ac:dyDescent="0.25">
      <c r="A1581" s="1">
        <v>46871</v>
      </c>
      <c r="B1581">
        <f>YEAR(tbl_Kalender[[#This Row],[Datum]])</f>
        <v>2028</v>
      </c>
      <c r="C1581">
        <f>DAY(tbl_Kalender[[#This Row],[Datum]])</f>
        <v>28</v>
      </c>
      <c r="D1581" t="str">
        <f>TEXT(tbl_Kalender[[#This Row],[Datum]],"TTTT")</f>
        <v>Freitag</v>
      </c>
      <c r="E1581">
        <f>WEEKDAY(tbl_Kalender[[#This Row],[Datum]],2)</f>
        <v>5</v>
      </c>
      <c r="F1581">
        <f>MONTH(tbl_Kalender[[#This Row],[Datum]])</f>
        <v>4</v>
      </c>
      <c r="G1581" t="str">
        <f>TEXT(tbl_Kalender[[#This Row],[Datum]],"MMMM")</f>
        <v>April</v>
      </c>
      <c r="H1581">
        <f>ROUNDUP(tbl_Kalender[[#This Row],[Monat]]/3,0)</f>
        <v>2</v>
      </c>
      <c r="I1581" t="str">
        <f>"Q "&amp;tbl_Kalender[[#This Row],[Quartal]]</f>
        <v>Q 2</v>
      </c>
      <c r="J1581" t="str">
        <f>tbl_Kalender[[#This Row],[Quartal]]&amp;". Quartal"</f>
        <v>2. Quartal</v>
      </c>
      <c r="K1581">
        <f>_xlfn.ISOWEEKNUM(tbl_Kalender[[#This Row],[Datum]])</f>
        <v>17</v>
      </c>
    </row>
    <row r="1582" spans="1:11" x14ac:dyDescent="0.25">
      <c r="A1582" s="1">
        <v>46872</v>
      </c>
      <c r="B1582">
        <f>YEAR(tbl_Kalender[[#This Row],[Datum]])</f>
        <v>2028</v>
      </c>
      <c r="C1582">
        <f>DAY(tbl_Kalender[[#This Row],[Datum]])</f>
        <v>29</v>
      </c>
      <c r="D1582" t="str">
        <f>TEXT(tbl_Kalender[[#This Row],[Datum]],"TTTT")</f>
        <v>Samstag</v>
      </c>
      <c r="E1582">
        <f>WEEKDAY(tbl_Kalender[[#This Row],[Datum]],2)</f>
        <v>6</v>
      </c>
      <c r="F1582">
        <f>MONTH(tbl_Kalender[[#This Row],[Datum]])</f>
        <v>4</v>
      </c>
      <c r="G1582" t="str">
        <f>TEXT(tbl_Kalender[[#This Row],[Datum]],"MMMM")</f>
        <v>April</v>
      </c>
      <c r="H1582">
        <f>ROUNDUP(tbl_Kalender[[#This Row],[Monat]]/3,0)</f>
        <v>2</v>
      </c>
      <c r="I1582" t="str">
        <f>"Q "&amp;tbl_Kalender[[#This Row],[Quartal]]</f>
        <v>Q 2</v>
      </c>
      <c r="J1582" t="str">
        <f>tbl_Kalender[[#This Row],[Quartal]]&amp;". Quartal"</f>
        <v>2. Quartal</v>
      </c>
      <c r="K1582">
        <f>_xlfn.ISOWEEKNUM(tbl_Kalender[[#This Row],[Datum]])</f>
        <v>17</v>
      </c>
    </row>
    <row r="1583" spans="1:11" x14ac:dyDescent="0.25">
      <c r="A1583" s="1">
        <v>46873</v>
      </c>
      <c r="B1583">
        <f>YEAR(tbl_Kalender[[#This Row],[Datum]])</f>
        <v>2028</v>
      </c>
      <c r="C1583">
        <f>DAY(tbl_Kalender[[#This Row],[Datum]])</f>
        <v>30</v>
      </c>
      <c r="D1583" t="str">
        <f>TEXT(tbl_Kalender[[#This Row],[Datum]],"TTTT")</f>
        <v>Sonntag</v>
      </c>
      <c r="E1583">
        <f>WEEKDAY(tbl_Kalender[[#This Row],[Datum]],2)</f>
        <v>7</v>
      </c>
      <c r="F1583">
        <f>MONTH(tbl_Kalender[[#This Row],[Datum]])</f>
        <v>4</v>
      </c>
      <c r="G1583" t="str">
        <f>TEXT(tbl_Kalender[[#This Row],[Datum]],"MMMM")</f>
        <v>April</v>
      </c>
      <c r="H1583">
        <f>ROUNDUP(tbl_Kalender[[#This Row],[Monat]]/3,0)</f>
        <v>2</v>
      </c>
      <c r="I1583" t="str">
        <f>"Q "&amp;tbl_Kalender[[#This Row],[Quartal]]</f>
        <v>Q 2</v>
      </c>
      <c r="J1583" t="str">
        <f>tbl_Kalender[[#This Row],[Quartal]]&amp;". Quartal"</f>
        <v>2. Quartal</v>
      </c>
      <c r="K1583">
        <f>_xlfn.ISOWEEKNUM(tbl_Kalender[[#This Row],[Datum]])</f>
        <v>17</v>
      </c>
    </row>
    <row r="1584" spans="1:11" x14ac:dyDescent="0.25">
      <c r="A1584" s="1">
        <v>46874</v>
      </c>
      <c r="B1584">
        <f>YEAR(tbl_Kalender[[#This Row],[Datum]])</f>
        <v>2028</v>
      </c>
      <c r="C1584">
        <f>DAY(tbl_Kalender[[#This Row],[Datum]])</f>
        <v>1</v>
      </c>
      <c r="D1584" t="str">
        <f>TEXT(tbl_Kalender[[#This Row],[Datum]],"TTTT")</f>
        <v>Montag</v>
      </c>
      <c r="E1584">
        <f>WEEKDAY(tbl_Kalender[[#This Row],[Datum]],2)</f>
        <v>1</v>
      </c>
      <c r="F1584">
        <f>MONTH(tbl_Kalender[[#This Row],[Datum]])</f>
        <v>5</v>
      </c>
      <c r="G1584" t="str">
        <f>TEXT(tbl_Kalender[[#This Row],[Datum]],"MMMM")</f>
        <v>Mai</v>
      </c>
      <c r="H1584">
        <f>ROUNDUP(tbl_Kalender[[#This Row],[Monat]]/3,0)</f>
        <v>2</v>
      </c>
      <c r="I1584" t="str">
        <f>"Q "&amp;tbl_Kalender[[#This Row],[Quartal]]</f>
        <v>Q 2</v>
      </c>
      <c r="J1584" t="str">
        <f>tbl_Kalender[[#This Row],[Quartal]]&amp;". Quartal"</f>
        <v>2. Quartal</v>
      </c>
      <c r="K1584">
        <f>_xlfn.ISOWEEKNUM(tbl_Kalender[[#This Row],[Datum]])</f>
        <v>18</v>
      </c>
    </row>
    <row r="1585" spans="1:11" x14ac:dyDescent="0.25">
      <c r="A1585" s="1">
        <v>46875</v>
      </c>
      <c r="B1585">
        <f>YEAR(tbl_Kalender[[#This Row],[Datum]])</f>
        <v>2028</v>
      </c>
      <c r="C1585">
        <f>DAY(tbl_Kalender[[#This Row],[Datum]])</f>
        <v>2</v>
      </c>
      <c r="D1585" t="str">
        <f>TEXT(tbl_Kalender[[#This Row],[Datum]],"TTTT")</f>
        <v>Dienstag</v>
      </c>
      <c r="E1585">
        <f>WEEKDAY(tbl_Kalender[[#This Row],[Datum]],2)</f>
        <v>2</v>
      </c>
      <c r="F1585">
        <f>MONTH(tbl_Kalender[[#This Row],[Datum]])</f>
        <v>5</v>
      </c>
      <c r="G1585" t="str">
        <f>TEXT(tbl_Kalender[[#This Row],[Datum]],"MMMM")</f>
        <v>Mai</v>
      </c>
      <c r="H1585">
        <f>ROUNDUP(tbl_Kalender[[#This Row],[Monat]]/3,0)</f>
        <v>2</v>
      </c>
      <c r="I1585" t="str">
        <f>"Q "&amp;tbl_Kalender[[#This Row],[Quartal]]</f>
        <v>Q 2</v>
      </c>
      <c r="J1585" t="str">
        <f>tbl_Kalender[[#This Row],[Quartal]]&amp;". Quartal"</f>
        <v>2. Quartal</v>
      </c>
      <c r="K1585">
        <f>_xlfn.ISOWEEKNUM(tbl_Kalender[[#This Row],[Datum]])</f>
        <v>18</v>
      </c>
    </row>
    <row r="1586" spans="1:11" x14ac:dyDescent="0.25">
      <c r="A1586" s="1">
        <v>46876</v>
      </c>
      <c r="B1586">
        <f>YEAR(tbl_Kalender[[#This Row],[Datum]])</f>
        <v>2028</v>
      </c>
      <c r="C1586">
        <f>DAY(tbl_Kalender[[#This Row],[Datum]])</f>
        <v>3</v>
      </c>
      <c r="D1586" t="str">
        <f>TEXT(tbl_Kalender[[#This Row],[Datum]],"TTTT")</f>
        <v>Mittwoch</v>
      </c>
      <c r="E1586">
        <f>WEEKDAY(tbl_Kalender[[#This Row],[Datum]],2)</f>
        <v>3</v>
      </c>
      <c r="F1586">
        <f>MONTH(tbl_Kalender[[#This Row],[Datum]])</f>
        <v>5</v>
      </c>
      <c r="G1586" t="str">
        <f>TEXT(tbl_Kalender[[#This Row],[Datum]],"MMMM")</f>
        <v>Mai</v>
      </c>
      <c r="H1586">
        <f>ROUNDUP(tbl_Kalender[[#This Row],[Monat]]/3,0)</f>
        <v>2</v>
      </c>
      <c r="I1586" t="str">
        <f>"Q "&amp;tbl_Kalender[[#This Row],[Quartal]]</f>
        <v>Q 2</v>
      </c>
      <c r="J1586" t="str">
        <f>tbl_Kalender[[#This Row],[Quartal]]&amp;". Quartal"</f>
        <v>2. Quartal</v>
      </c>
      <c r="K1586">
        <f>_xlfn.ISOWEEKNUM(tbl_Kalender[[#This Row],[Datum]])</f>
        <v>18</v>
      </c>
    </row>
    <row r="1587" spans="1:11" x14ac:dyDescent="0.25">
      <c r="A1587" s="1">
        <v>46877</v>
      </c>
      <c r="B1587">
        <f>YEAR(tbl_Kalender[[#This Row],[Datum]])</f>
        <v>2028</v>
      </c>
      <c r="C1587">
        <f>DAY(tbl_Kalender[[#This Row],[Datum]])</f>
        <v>4</v>
      </c>
      <c r="D1587" t="str">
        <f>TEXT(tbl_Kalender[[#This Row],[Datum]],"TTTT")</f>
        <v>Donnerstag</v>
      </c>
      <c r="E1587">
        <f>WEEKDAY(tbl_Kalender[[#This Row],[Datum]],2)</f>
        <v>4</v>
      </c>
      <c r="F1587">
        <f>MONTH(tbl_Kalender[[#This Row],[Datum]])</f>
        <v>5</v>
      </c>
      <c r="G1587" t="str">
        <f>TEXT(tbl_Kalender[[#This Row],[Datum]],"MMMM")</f>
        <v>Mai</v>
      </c>
      <c r="H1587">
        <f>ROUNDUP(tbl_Kalender[[#This Row],[Monat]]/3,0)</f>
        <v>2</v>
      </c>
      <c r="I1587" t="str">
        <f>"Q "&amp;tbl_Kalender[[#This Row],[Quartal]]</f>
        <v>Q 2</v>
      </c>
      <c r="J1587" t="str">
        <f>tbl_Kalender[[#This Row],[Quartal]]&amp;". Quartal"</f>
        <v>2. Quartal</v>
      </c>
      <c r="K1587">
        <f>_xlfn.ISOWEEKNUM(tbl_Kalender[[#This Row],[Datum]])</f>
        <v>18</v>
      </c>
    </row>
    <row r="1588" spans="1:11" x14ac:dyDescent="0.25">
      <c r="A1588" s="1">
        <v>46878</v>
      </c>
      <c r="B1588">
        <f>YEAR(tbl_Kalender[[#This Row],[Datum]])</f>
        <v>2028</v>
      </c>
      <c r="C1588">
        <f>DAY(tbl_Kalender[[#This Row],[Datum]])</f>
        <v>5</v>
      </c>
      <c r="D1588" t="str">
        <f>TEXT(tbl_Kalender[[#This Row],[Datum]],"TTTT")</f>
        <v>Freitag</v>
      </c>
      <c r="E1588">
        <f>WEEKDAY(tbl_Kalender[[#This Row],[Datum]],2)</f>
        <v>5</v>
      </c>
      <c r="F1588">
        <f>MONTH(tbl_Kalender[[#This Row],[Datum]])</f>
        <v>5</v>
      </c>
      <c r="G1588" t="str">
        <f>TEXT(tbl_Kalender[[#This Row],[Datum]],"MMMM")</f>
        <v>Mai</v>
      </c>
      <c r="H1588">
        <f>ROUNDUP(tbl_Kalender[[#This Row],[Monat]]/3,0)</f>
        <v>2</v>
      </c>
      <c r="I1588" t="str">
        <f>"Q "&amp;tbl_Kalender[[#This Row],[Quartal]]</f>
        <v>Q 2</v>
      </c>
      <c r="J1588" t="str">
        <f>tbl_Kalender[[#This Row],[Quartal]]&amp;". Quartal"</f>
        <v>2. Quartal</v>
      </c>
      <c r="K1588">
        <f>_xlfn.ISOWEEKNUM(tbl_Kalender[[#This Row],[Datum]])</f>
        <v>18</v>
      </c>
    </row>
    <row r="1589" spans="1:11" x14ac:dyDescent="0.25">
      <c r="A1589" s="1">
        <v>46879</v>
      </c>
      <c r="B1589">
        <f>YEAR(tbl_Kalender[[#This Row],[Datum]])</f>
        <v>2028</v>
      </c>
      <c r="C1589">
        <f>DAY(tbl_Kalender[[#This Row],[Datum]])</f>
        <v>6</v>
      </c>
      <c r="D1589" t="str">
        <f>TEXT(tbl_Kalender[[#This Row],[Datum]],"TTTT")</f>
        <v>Samstag</v>
      </c>
      <c r="E1589">
        <f>WEEKDAY(tbl_Kalender[[#This Row],[Datum]],2)</f>
        <v>6</v>
      </c>
      <c r="F1589">
        <f>MONTH(tbl_Kalender[[#This Row],[Datum]])</f>
        <v>5</v>
      </c>
      <c r="G1589" t="str">
        <f>TEXT(tbl_Kalender[[#This Row],[Datum]],"MMMM")</f>
        <v>Mai</v>
      </c>
      <c r="H1589">
        <f>ROUNDUP(tbl_Kalender[[#This Row],[Monat]]/3,0)</f>
        <v>2</v>
      </c>
      <c r="I1589" t="str">
        <f>"Q "&amp;tbl_Kalender[[#This Row],[Quartal]]</f>
        <v>Q 2</v>
      </c>
      <c r="J1589" t="str">
        <f>tbl_Kalender[[#This Row],[Quartal]]&amp;". Quartal"</f>
        <v>2. Quartal</v>
      </c>
      <c r="K1589">
        <f>_xlfn.ISOWEEKNUM(tbl_Kalender[[#This Row],[Datum]])</f>
        <v>18</v>
      </c>
    </row>
    <row r="1590" spans="1:11" x14ac:dyDescent="0.25">
      <c r="A1590" s="1">
        <v>46880</v>
      </c>
      <c r="B1590">
        <f>YEAR(tbl_Kalender[[#This Row],[Datum]])</f>
        <v>2028</v>
      </c>
      <c r="C1590">
        <f>DAY(tbl_Kalender[[#This Row],[Datum]])</f>
        <v>7</v>
      </c>
      <c r="D1590" t="str">
        <f>TEXT(tbl_Kalender[[#This Row],[Datum]],"TTTT")</f>
        <v>Sonntag</v>
      </c>
      <c r="E1590">
        <f>WEEKDAY(tbl_Kalender[[#This Row],[Datum]],2)</f>
        <v>7</v>
      </c>
      <c r="F1590">
        <f>MONTH(tbl_Kalender[[#This Row],[Datum]])</f>
        <v>5</v>
      </c>
      <c r="G1590" t="str">
        <f>TEXT(tbl_Kalender[[#This Row],[Datum]],"MMMM")</f>
        <v>Mai</v>
      </c>
      <c r="H1590">
        <f>ROUNDUP(tbl_Kalender[[#This Row],[Monat]]/3,0)</f>
        <v>2</v>
      </c>
      <c r="I1590" t="str">
        <f>"Q "&amp;tbl_Kalender[[#This Row],[Quartal]]</f>
        <v>Q 2</v>
      </c>
      <c r="J1590" t="str">
        <f>tbl_Kalender[[#This Row],[Quartal]]&amp;". Quartal"</f>
        <v>2. Quartal</v>
      </c>
      <c r="K1590">
        <f>_xlfn.ISOWEEKNUM(tbl_Kalender[[#This Row],[Datum]])</f>
        <v>18</v>
      </c>
    </row>
    <row r="1591" spans="1:11" x14ac:dyDescent="0.25">
      <c r="A1591" s="1">
        <v>46881</v>
      </c>
      <c r="B1591">
        <f>YEAR(tbl_Kalender[[#This Row],[Datum]])</f>
        <v>2028</v>
      </c>
      <c r="C1591">
        <f>DAY(tbl_Kalender[[#This Row],[Datum]])</f>
        <v>8</v>
      </c>
      <c r="D1591" t="str">
        <f>TEXT(tbl_Kalender[[#This Row],[Datum]],"TTTT")</f>
        <v>Montag</v>
      </c>
      <c r="E1591">
        <f>WEEKDAY(tbl_Kalender[[#This Row],[Datum]],2)</f>
        <v>1</v>
      </c>
      <c r="F1591">
        <f>MONTH(tbl_Kalender[[#This Row],[Datum]])</f>
        <v>5</v>
      </c>
      <c r="G1591" t="str">
        <f>TEXT(tbl_Kalender[[#This Row],[Datum]],"MMMM")</f>
        <v>Mai</v>
      </c>
      <c r="H1591">
        <f>ROUNDUP(tbl_Kalender[[#This Row],[Monat]]/3,0)</f>
        <v>2</v>
      </c>
      <c r="I1591" t="str">
        <f>"Q "&amp;tbl_Kalender[[#This Row],[Quartal]]</f>
        <v>Q 2</v>
      </c>
      <c r="J1591" t="str">
        <f>tbl_Kalender[[#This Row],[Quartal]]&amp;". Quartal"</f>
        <v>2. Quartal</v>
      </c>
      <c r="K1591">
        <f>_xlfn.ISOWEEKNUM(tbl_Kalender[[#This Row],[Datum]])</f>
        <v>19</v>
      </c>
    </row>
    <row r="1592" spans="1:11" x14ac:dyDescent="0.25">
      <c r="A1592" s="1">
        <v>46882</v>
      </c>
      <c r="B1592">
        <f>YEAR(tbl_Kalender[[#This Row],[Datum]])</f>
        <v>2028</v>
      </c>
      <c r="C1592">
        <f>DAY(tbl_Kalender[[#This Row],[Datum]])</f>
        <v>9</v>
      </c>
      <c r="D1592" t="str">
        <f>TEXT(tbl_Kalender[[#This Row],[Datum]],"TTTT")</f>
        <v>Dienstag</v>
      </c>
      <c r="E1592">
        <f>WEEKDAY(tbl_Kalender[[#This Row],[Datum]],2)</f>
        <v>2</v>
      </c>
      <c r="F1592">
        <f>MONTH(tbl_Kalender[[#This Row],[Datum]])</f>
        <v>5</v>
      </c>
      <c r="G1592" t="str">
        <f>TEXT(tbl_Kalender[[#This Row],[Datum]],"MMMM")</f>
        <v>Mai</v>
      </c>
      <c r="H1592">
        <f>ROUNDUP(tbl_Kalender[[#This Row],[Monat]]/3,0)</f>
        <v>2</v>
      </c>
      <c r="I1592" t="str">
        <f>"Q "&amp;tbl_Kalender[[#This Row],[Quartal]]</f>
        <v>Q 2</v>
      </c>
      <c r="J1592" t="str">
        <f>tbl_Kalender[[#This Row],[Quartal]]&amp;". Quartal"</f>
        <v>2. Quartal</v>
      </c>
      <c r="K1592">
        <f>_xlfn.ISOWEEKNUM(tbl_Kalender[[#This Row],[Datum]])</f>
        <v>19</v>
      </c>
    </row>
    <row r="1593" spans="1:11" x14ac:dyDescent="0.25">
      <c r="A1593" s="1">
        <v>46883</v>
      </c>
      <c r="B1593">
        <f>YEAR(tbl_Kalender[[#This Row],[Datum]])</f>
        <v>2028</v>
      </c>
      <c r="C1593">
        <f>DAY(tbl_Kalender[[#This Row],[Datum]])</f>
        <v>10</v>
      </c>
      <c r="D1593" t="str">
        <f>TEXT(tbl_Kalender[[#This Row],[Datum]],"TTTT")</f>
        <v>Mittwoch</v>
      </c>
      <c r="E1593">
        <f>WEEKDAY(tbl_Kalender[[#This Row],[Datum]],2)</f>
        <v>3</v>
      </c>
      <c r="F1593">
        <f>MONTH(tbl_Kalender[[#This Row],[Datum]])</f>
        <v>5</v>
      </c>
      <c r="G1593" t="str">
        <f>TEXT(tbl_Kalender[[#This Row],[Datum]],"MMMM")</f>
        <v>Mai</v>
      </c>
      <c r="H1593">
        <f>ROUNDUP(tbl_Kalender[[#This Row],[Monat]]/3,0)</f>
        <v>2</v>
      </c>
      <c r="I1593" t="str">
        <f>"Q "&amp;tbl_Kalender[[#This Row],[Quartal]]</f>
        <v>Q 2</v>
      </c>
      <c r="J1593" t="str">
        <f>tbl_Kalender[[#This Row],[Quartal]]&amp;". Quartal"</f>
        <v>2. Quartal</v>
      </c>
      <c r="K1593">
        <f>_xlfn.ISOWEEKNUM(tbl_Kalender[[#This Row],[Datum]])</f>
        <v>19</v>
      </c>
    </row>
    <row r="1594" spans="1:11" x14ac:dyDescent="0.25">
      <c r="A1594" s="1">
        <v>46884</v>
      </c>
      <c r="B1594">
        <f>YEAR(tbl_Kalender[[#This Row],[Datum]])</f>
        <v>2028</v>
      </c>
      <c r="C1594">
        <f>DAY(tbl_Kalender[[#This Row],[Datum]])</f>
        <v>11</v>
      </c>
      <c r="D1594" t="str">
        <f>TEXT(tbl_Kalender[[#This Row],[Datum]],"TTTT")</f>
        <v>Donnerstag</v>
      </c>
      <c r="E1594">
        <f>WEEKDAY(tbl_Kalender[[#This Row],[Datum]],2)</f>
        <v>4</v>
      </c>
      <c r="F1594">
        <f>MONTH(tbl_Kalender[[#This Row],[Datum]])</f>
        <v>5</v>
      </c>
      <c r="G1594" t="str">
        <f>TEXT(tbl_Kalender[[#This Row],[Datum]],"MMMM")</f>
        <v>Mai</v>
      </c>
      <c r="H1594">
        <f>ROUNDUP(tbl_Kalender[[#This Row],[Monat]]/3,0)</f>
        <v>2</v>
      </c>
      <c r="I1594" t="str">
        <f>"Q "&amp;tbl_Kalender[[#This Row],[Quartal]]</f>
        <v>Q 2</v>
      </c>
      <c r="J1594" t="str">
        <f>tbl_Kalender[[#This Row],[Quartal]]&amp;". Quartal"</f>
        <v>2. Quartal</v>
      </c>
      <c r="K1594">
        <f>_xlfn.ISOWEEKNUM(tbl_Kalender[[#This Row],[Datum]])</f>
        <v>19</v>
      </c>
    </row>
    <row r="1595" spans="1:11" x14ac:dyDescent="0.25">
      <c r="A1595" s="1">
        <v>46885</v>
      </c>
      <c r="B1595">
        <f>YEAR(tbl_Kalender[[#This Row],[Datum]])</f>
        <v>2028</v>
      </c>
      <c r="C1595">
        <f>DAY(tbl_Kalender[[#This Row],[Datum]])</f>
        <v>12</v>
      </c>
      <c r="D1595" t="str">
        <f>TEXT(tbl_Kalender[[#This Row],[Datum]],"TTTT")</f>
        <v>Freitag</v>
      </c>
      <c r="E1595">
        <f>WEEKDAY(tbl_Kalender[[#This Row],[Datum]],2)</f>
        <v>5</v>
      </c>
      <c r="F1595">
        <f>MONTH(tbl_Kalender[[#This Row],[Datum]])</f>
        <v>5</v>
      </c>
      <c r="G1595" t="str">
        <f>TEXT(tbl_Kalender[[#This Row],[Datum]],"MMMM")</f>
        <v>Mai</v>
      </c>
      <c r="H1595">
        <f>ROUNDUP(tbl_Kalender[[#This Row],[Monat]]/3,0)</f>
        <v>2</v>
      </c>
      <c r="I1595" t="str">
        <f>"Q "&amp;tbl_Kalender[[#This Row],[Quartal]]</f>
        <v>Q 2</v>
      </c>
      <c r="J1595" t="str">
        <f>tbl_Kalender[[#This Row],[Quartal]]&amp;". Quartal"</f>
        <v>2. Quartal</v>
      </c>
      <c r="K1595">
        <f>_xlfn.ISOWEEKNUM(tbl_Kalender[[#This Row],[Datum]])</f>
        <v>19</v>
      </c>
    </row>
    <row r="1596" spans="1:11" x14ac:dyDescent="0.25">
      <c r="A1596" s="1">
        <v>46886</v>
      </c>
      <c r="B1596">
        <f>YEAR(tbl_Kalender[[#This Row],[Datum]])</f>
        <v>2028</v>
      </c>
      <c r="C1596">
        <f>DAY(tbl_Kalender[[#This Row],[Datum]])</f>
        <v>13</v>
      </c>
      <c r="D1596" t="str">
        <f>TEXT(tbl_Kalender[[#This Row],[Datum]],"TTTT")</f>
        <v>Samstag</v>
      </c>
      <c r="E1596">
        <f>WEEKDAY(tbl_Kalender[[#This Row],[Datum]],2)</f>
        <v>6</v>
      </c>
      <c r="F1596">
        <f>MONTH(tbl_Kalender[[#This Row],[Datum]])</f>
        <v>5</v>
      </c>
      <c r="G1596" t="str">
        <f>TEXT(tbl_Kalender[[#This Row],[Datum]],"MMMM")</f>
        <v>Mai</v>
      </c>
      <c r="H1596">
        <f>ROUNDUP(tbl_Kalender[[#This Row],[Monat]]/3,0)</f>
        <v>2</v>
      </c>
      <c r="I1596" t="str">
        <f>"Q "&amp;tbl_Kalender[[#This Row],[Quartal]]</f>
        <v>Q 2</v>
      </c>
      <c r="J1596" t="str">
        <f>tbl_Kalender[[#This Row],[Quartal]]&amp;". Quartal"</f>
        <v>2. Quartal</v>
      </c>
      <c r="K1596">
        <f>_xlfn.ISOWEEKNUM(tbl_Kalender[[#This Row],[Datum]])</f>
        <v>19</v>
      </c>
    </row>
    <row r="1597" spans="1:11" x14ac:dyDescent="0.25">
      <c r="A1597" s="1">
        <v>46887</v>
      </c>
      <c r="B1597">
        <f>YEAR(tbl_Kalender[[#This Row],[Datum]])</f>
        <v>2028</v>
      </c>
      <c r="C1597">
        <f>DAY(tbl_Kalender[[#This Row],[Datum]])</f>
        <v>14</v>
      </c>
      <c r="D1597" t="str">
        <f>TEXT(tbl_Kalender[[#This Row],[Datum]],"TTTT")</f>
        <v>Sonntag</v>
      </c>
      <c r="E1597">
        <f>WEEKDAY(tbl_Kalender[[#This Row],[Datum]],2)</f>
        <v>7</v>
      </c>
      <c r="F1597">
        <f>MONTH(tbl_Kalender[[#This Row],[Datum]])</f>
        <v>5</v>
      </c>
      <c r="G1597" t="str">
        <f>TEXT(tbl_Kalender[[#This Row],[Datum]],"MMMM")</f>
        <v>Mai</v>
      </c>
      <c r="H1597">
        <f>ROUNDUP(tbl_Kalender[[#This Row],[Monat]]/3,0)</f>
        <v>2</v>
      </c>
      <c r="I1597" t="str">
        <f>"Q "&amp;tbl_Kalender[[#This Row],[Quartal]]</f>
        <v>Q 2</v>
      </c>
      <c r="J1597" t="str">
        <f>tbl_Kalender[[#This Row],[Quartal]]&amp;". Quartal"</f>
        <v>2. Quartal</v>
      </c>
      <c r="K1597">
        <f>_xlfn.ISOWEEKNUM(tbl_Kalender[[#This Row],[Datum]])</f>
        <v>19</v>
      </c>
    </row>
    <row r="1598" spans="1:11" x14ac:dyDescent="0.25">
      <c r="A1598" s="1">
        <v>46888</v>
      </c>
      <c r="B1598">
        <f>YEAR(tbl_Kalender[[#This Row],[Datum]])</f>
        <v>2028</v>
      </c>
      <c r="C1598">
        <f>DAY(tbl_Kalender[[#This Row],[Datum]])</f>
        <v>15</v>
      </c>
      <c r="D1598" t="str">
        <f>TEXT(tbl_Kalender[[#This Row],[Datum]],"TTTT")</f>
        <v>Montag</v>
      </c>
      <c r="E1598">
        <f>WEEKDAY(tbl_Kalender[[#This Row],[Datum]],2)</f>
        <v>1</v>
      </c>
      <c r="F1598">
        <f>MONTH(tbl_Kalender[[#This Row],[Datum]])</f>
        <v>5</v>
      </c>
      <c r="G1598" t="str">
        <f>TEXT(tbl_Kalender[[#This Row],[Datum]],"MMMM")</f>
        <v>Mai</v>
      </c>
      <c r="H1598">
        <f>ROUNDUP(tbl_Kalender[[#This Row],[Monat]]/3,0)</f>
        <v>2</v>
      </c>
      <c r="I1598" t="str">
        <f>"Q "&amp;tbl_Kalender[[#This Row],[Quartal]]</f>
        <v>Q 2</v>
      </c>
      <c r="J1598" t="str">
        <f>tbl_Kalender[[#This Row],[Quartal]]&amp;". Quartal"</f>
        <v>2. Quartal</v>
      </c>
      <c r="K1598">
        <f>_xlfn.ISOWEEKNUM(tbl_Kalender[[#This Row],[Datum]])</f>
        <v>20</v>
      </c>
    </row>
    <row r="1599" spans="1:11" x14ac:dyDescent="0.25">
      <c r="A1599" s="1">
        <v>46889</v>
      </c>
      <c r="B1599">
        <f>YEAR(tbl_Kalender[[#This Row],[Datum]])</f>
        <v>2028</v>
      </c>
      <c r="C1599">
        <f>DAY(tbl_Kalender[[#This Row],[Datum]])</f>
        <v>16</v>
      </c>
      <c r="D1599" t="str">
        <f>TEXT(tbl_Kalender[[#This Row],[Datum]],"TTTT")</f>
        <v>Dienstag</v>
      </c>
      <c r="E1599">
        <f>WEEKDAY(tbl_Kalender[[#This Row],[Datum]],2)</f>
        <v>2</v>
      </c>
      <c r="F1599">
        <f>MONTH(tbl_Kalender[[#This Row],[Datum]])</f>
        <v>5</v>
      </c>
      <c r="G1599" t="str">
        <f>TEXT(tbl_Kalender[[#This Row],[Datum]],"MMMM")</f>
        <v>Mai</v>
      </c>
      <c r="H1599">
        <f>ROUNDUP(tbl_Kalender[[#This Row],[Monat]]/3,0)</f>
        <v>2</v>
      </c>
      <c r="I1599" t="str">
        <f>"Q "&amp;tbl_Kalender[[#This Row],[Quartal]]</f>
        <v>Q 2</v>
      </c>
      <c r="J1599" t="str">
        <f>tbl_Kalender[[#This Row],[Quartal]]&amp;". Quartal"</f>
        <v>2. Quartal</v>
      </c>
      <c r="K1599">
        <f>_xlfn.ISOWEEKNUM(tbl_Kalender[[#This Row],[Datum]])</f>
        <v>20</v>
      </c>
    </row>
    <row r="1600" spans="1:11" x14ac:dyDescent="0.25">
      <c r="A1600" s="1">
        <v>46890</v>
      </c>
      <c r="B1600">
        <f>YEAR(tbl_Kalender[[#This Row],[Datum]])</f>
        <v>2028</v>
      </c>
      <c r="C1600">
        <f>DAY(tbl_Kalender[[#This Row],[Datum]])</f>
        <v>17</v>
      </c>
      <c r="D1600" t="str">
        <f>TEXT(tbl_Kalender[[#This Row],[Datum]],"TTTT")</f>
        <v>Mittwoch</v>
      </c>
      <c r="E1600">
        <f>WEEKDAY(tbl_Kalender[[#This Row],[Datum]],2)</f>
        <v>3</v>
      </c>
      <c r="F1600">
        <f>MONTH(tbl_Kalender[[#This Row],[Datum]])</f>
        <v>5</v>
      </c>
      <c r="G1600" t="str">
        <f>TEXT(tbl_Kalender[[#This Row],[Datum]],"MMMM")</f>
        <v>Mai</v>
      </c>
      <c r="H1600">
        <f>ROUNDUP(tbl_Kalender[[#This Row],[Monat]]/3,0)</f>
        <v>2</v>
      </c>
      <c r="I1600" t="str">
        <f>"Q "&amp;tbl_Kalender[[#This Row],[Quartal]]</f>
        <v>Q 2</v>
      </c>
      <c r="J1600" t="str">
        <f>tbl_Kalender[[#This Row],[Quartal]]&amp;". Quartal"</f>
        <v>2. Quartal</v>
      </c>
      <c r="K1600">
        <f>_xlfn.ISOWEEKNUM(tbl_Kalender[[#This Row],[Datum]])</f>
        <v>20</v>
      </c>
    </row>
    <row r="1601" spans="1:11" x14ac:dyDescent="0.25">
      <c r="A1601" s="1">
        <v>46891</v>
      </c>
      <c r="B1601">
        <f>YEAR(tbl_Kalender[[#This Row],[Datum]])</f>
        <v>2028</v>
      </c>
      <c r="C1601">
        <f>DAY(tbl_Kalender[[#This Row],[Datum]])</f>
        <v>18</v>
      </c>
      <c r="D1601" t="str">
        <f>TEXT(tbl_Kalender[[#This Row],[Datum]],"TTTT")</f>
        <v>Donnerstag</v>
      </c>
      <c r="E1601">
        <f>WEEKDAY(tbl_Kalender[[#This Row],[Datum]],2)</f>
        <v>4</v>
      </c>
      <c r="F1601">
        <f>MONTH(tbl_Kalender[[#This Row],[Datum]])</f>
        <v>5</v>
      </c>
      <c r="G1601" t="str">
        <f>TEXT(tbl_Kalender[[#This Row],[Datum]],"MMMM")</f>
        <v>Mai</v>
      </c>
      <c r="H1601">
        <f>ROUNDUP(tbl_Kalender[[#This Row],[Monat]]/3,0)</f>
        <v>2</v>
      </c>
      <c r="I1601" t="str">
        <f>"Q "&amp;tbl_Kalender[[#This Row],[Quartal]]</f>
        <v>Q 2</v>
      </c>
      <c r="J1601" t="str">
        <f>tbl_Kalender[[#This Row],[Quartal]]&amp;". Quartal"</f>
        <v>2. Quartal</v>
      </c>
      <c r="K1601">
        <f>_xlfn.ISOWEEKNUM(tbl_Kalender[[#This Row],[Datum]])</f>
        <v>20</v>
      </c>
    </row>
    <row r="1602" spans="1:11" x14ac:dyDescent="0.25">
      <c r="A1602" s="1">
        <v>46892</v>
      </c>
      <c r="B1602">
        <f>YEAR(tbl_Kalender[[#This Row],[Datum]])</f>
        <v>2028</v>
      </c>
      <c r="C1602">
        <f>DAY(tbl_Kalender[[#This Row],[Datum]])</f>
        <v>19</v>
      </c>
      <c r="D1602" t="str">
        <f>TEXT(tbl_Kalender[[#This Row],[Datum]],"TTTT")</f>
        <v>Freitag</v>
      </c>
      <c r="E1602">
        <f>WEEKDAY(tbl_Kalender[[#This Row],[Datum]],2)</f>
        <v>5</v>
      </c>
      <c r="F1602">
        <f>MONTH(tbl_Kalender[[#This Row],[Datum]])</f>
        <v>5</v>
      </c>
      <c r="G1602" t="str">
        <f>TEXT(tbl_Kalender[[#This Row],[Datum]],"MMMM")</f>
        <v>Mai</v>
      </c>
      <c r="H1602">
        <f>ROUNDUP(tbl_Kalender[[#This Row],[Monat]]/3,0)</f>
        <v>2</v>
      </c>
      <c r="I1602" t="str">
        <f>"Q "&amp;tbl_Kalender[[#This Row],[Quartal]]</f>
        <v>Q 2</v>
      </c>
      <c r="J1602" t="str">
        <f>tbl_Kalender[[#This Row],[Quartal]]&amp;". Quartal"</f>
        <v>2. Quartal</v>
      </c>
      <c r="K1602">
        <f>_xlfn.ISOWEEKNUM(tbl_Kalender[[#This Row],[Datum]])</f>
        <v>20</v>
      </c>
    </row>
    <row r="1603" spans="1:11" x14ac:dyDescent="0.25">
      <c r="A1603" s="1">
        <v>46893</v>
      </c>
      <c r="B1603">
        <f>YEAR(tbl_Kalender[[#This Row],[Datum]])</f>
        <v>2028</v>
      </c>
      <c r="C1603">
        <f>DAY(tbl_Kalender[[#This Row],[Datum]])</f>
        <v>20</v>
      </c>
      <c r="D1603" t="str">
        <f>TEXT(tbl_Kalender[[#This Row],[Datum]],"TTTT")</f>
        <v>Samstag</v>
      </c>
      <c r="E1603">
        <f>WEEKDAY(tbl_Kalender[[#This Row],[Datum]],2)</f>
        <v>6</v>
      </c>
      <c r="F1603">
        <f>MONTH(tbl_Kalender[[#This Row],[Datum]])</f>
        <v>5</v>
      </c>
      <c r="G1603" t="str">
        <f>TEXT(tbl_Kalender[[#This Row],[Datum]],"MMMM")</f>
        <v>Mai</v>
      </c>
      <c r="H1603">
        <f>ROUNDUP(tbl_Kalender[[#This Row],[Monat]]/3,0)</f>
        <v>2</v>
      </c>
      <c r="I1603" t="str">
        <f>"Q "&amp;tbl_Kalender[[#This Row],[Quartal]]</f>
        <v>Q 2</v>
      </c>
      <c r="J1603" t="str">
        <f>tbl_Kalender[[#This Row],[Quartal]]&amp;". Quartal"</f>
        <v>2. Quartal</v>
      </c>
      <c r="K1603">
        <f>_xlfn.ISOWEEKNUM(tbl_Kalender[[#This Row],[Datum]])</f>
        <v>20</v>
      </c>
    </row>
    <row r="1604" spans="1:11" x14ac:dyDescent="0.25">
      <c r="A1604" s="1">
        <v>46894</v>
      </c>
      <c r="B1604">
        <f>YEAR(tbl_Kalender[[#This Row],[Datum]])</f>
        <v>2028</v>
      </c>
      <c r="C1604">
        <f>DAY(tbl_Kalender[[#This Row],[Datum]])</f>
        <v>21</v>
      </c>
      <c r="D1604" t="str">
        <f>TEXT(tbl_Kalender[[#This Row],[Datum]],"TTTT")</f>
        <v>Sonntag</v>
      </c>
      <c r="E1604">
        <f>WEEKDAY(tbl_Kalender[[#This Row],[Datum]],2)</f>
        <v>7</v>
      </c>
      <c r="F1604">
        <f>MONTH(tbl_Kalender[[#This Row],[Datum]])</f>
        <v>5</v>
      </c>
      <c r="G1604" t="str">
        <f>TEXT(tbl_Kalender[[#This Row],[Datum]],"MMMM")</f>
        <v>Mai</v>
      </c>
      <c r="H1604">
        <f>ROUNDUP(tbl_Kalender[[#This Row],[Monat]]/3,0)</f>
        <v>2</v>
      </c>
      <c r="I1604" t="str">
        <f>"Q "&amp;tbl_Kalender[[#This Row],[Quartal]]</f>
        <v>Q 2</v>
      </c>
      <c r="J1604" t="str">
        <f>tbl_Kalender[[#This Row],[Quartal]]&amp;". Quartal"</f>
        <v>2. Quartal</v>
      </c>
      <c r="K1604">
        <f>_xlfn.ISOWEEKNUM(tbl_Kalender[[#This Row],[Datum]])</f>
        <v>20</v>
      </c>
    </row>
    <row r="1605" spans="1:11" x14ac:dyDescent="0.25">
      <c r="A1605" s="1">
        <v>46895</v>
      </c>
      <c r="B1605">
        <f>YEAR(tbl_Kalender[[#This Row],[Datum]])</f>
        <v>2028</v>
      </c>
      <c r="C1605">
        <f>DAY(tbl_Kalender[[#This Row],[Datum]])</f>
        <v>22</v>
      </c>
      <c r="D1605" t="str">
        <f>TEXT(tbl_Kalender[[#This Row],[Datum]],"TTTT")</f>
        <v>Montag</v>
      </c>
      <c r="E1605">
        <f>WEEKDAY(tbl_Kalender[[#This Row],[Datum]],2)</f>
        <v>1</v>
      </c>
      <c r="F1605">
        <f>MONTH(tbl_Kalender[[#This Row],[Datum]])</f>
        <v>5</v>
      </c>
      <c r="G1605" t="str">
        <f>TEXT(tbl_Kalender[[#This Row],[Datum]],"MMMM")</f>
        <v>Mai</v>
      </c>
      <c r="H1605">
        <f>ROUNDUP(tbl_Kalender[[#This Row],[Monat]]/3,0)</f>
        <v>2</v>
      </c>
      <c r="I1605" t="str">
        <f>"Q "&amp;tbl_Kalender[[#This Row],[Quartal]]</f>
        <v>Q 2</v>
      </c>
      <c r="J1605" t="str">
        <f>tbl_Kalender[[#This Row],[Quartal]]&amp;". Quartal"</f>
        <v>2. Quartal</v>
      </c>
      <c r="K1605">
        <f>_xlfn.ISOWEEKNUM(tbl_Kalender[[#This Row],[Datum]])</f>
        <v>21</v>
      </c>
    </row>
    <row r="1606" spans="1:11" x14ac:dyDescent="0.25">
      <c r="A1606" s="1">
        <v>46896</v>
      </c>
      <c r="B1606">
        <f>YEAR(tbl_Kalender[[#This Row],[Datum]])</f>
        <v>2028</v>
      </c>
      <c r="C1606">
        <f>DAY(tbl_Kalender[[#This Row],[Datum]])</f>
        <v>23</v>
      </c>
      <c r="D1606" t="str">
        <f>TEXT(tbl_Kalender[[#This Row],[Datum]],"TTTT")</f>
        <v>Dienstag</v>
      </c>
      <c r="E1606">
        <f>WEEKDAY(tbl_Kalender[[#This Row],[Datum]],2)</f>
        <v>2</v>
      </c>
      <c r="F1606">
        <f>MONTH(tbl_Kalender[[#This Row],[Datum]])</f>
        <v>5</v>
      </c>
      <c r="G1606" t="str">
        <f>TEXT(tbl_Kalender[[#This Row],[Datum]],"MMMM")</f>
        <v>Mai</v>
      </c>
      <c r="H1606">
        <f>ROUNDUP(tbl_Kalender[[#This Row],[Monat]]/3,0)</f>
        <v>2</v>
      </c>
      <c r="I1606" t="str">
        <f>"Q "&amp;tbl_Kalender[[#This Row],[Quartal]]</f>
        <v>Q 2</v>
      </c>
      <c r="J1606" t="str">
        <f>tbl_Kalender[[#This Row],[Quartal]]&amp;". Quartal"</f>
        <v>2. Quartal</v>
      </c>
      <c r="K1606">
        <f>_xlfn.ISOWEEKNUM(tbl_Kalender[[#This Row],[Datum]])</f>
        <v>21</v>
      </c>
    </row>
    <row r="1607" spans="1:11" x14ac:dyDescent="0.25">
      <c r="A1607" s="1">
        <v>46897</v>
      </c>
      <c r="B1607">
        <f>YEAR(tbl_Kalender[[#This Row],[Datum]])</f>
        <v>2028</v>
      </c>
      <c r="C1607">
        <f>DAY(tbl_Kalender[[#This Row],[Datum]])</f>
        <v>24</v>
      </c>
      <c r="D1607" t="str">
        <f>TEXT(tbl_Kalender[[#This Row],[Datum]],"TTTT")</f>
        <v>Mittwoch</v>
      </c>
      <c r="E1607">
        <f>WEEKDAY(tbl_Kalender[[#This Row],[Datum]],2)</f>
        <v>3</v>
      </c>
      <c r="F1607">
        <f>MONTH(tbl_Kalender[[#This Row],[Datum]])</f>
        <v>5</v>
      </c>
      <c r="G1607" t="str">
        <f>TEXT(tbl_Kalender[[#This Row],[Datum]],"MMMM")</f>
        <v>Mai</v>
      </c>
      <c r="H1607">
        <f>ROUNDUP(tbl_Kalender[[#This Row],[Monat]]/3,0)</f>
        <v>2</v>
      </c>
      <c r="I1607" t="str">
        <f>"Q "&amp;tbl_Kalender[[#This Row],[Quartal]]</f>
        <v>Q 2</v>
      </c>
      <c r="J1607" t="str">
        <f>tbl_Kalender[[#This Row],[Quartal]]&amp;". Quartal"</f>
        <v>2. Quartal</v>
      </c>
      <c r="K1607">
        <f>_xlfn.ISOWEEKNUM(tbl_Kalender[[#This Row],[Datum]])</f>
        <v>21</v>
      </c>
    </row>
    <row r="1608" spans="1:11" x14ac:dyDescent="0.25">
      <c r="A1608" s="1">
        <v>46898</v>
      </c>
      <c r="B1608">
        <f>YEAR(tbl_Kalender[[#This Row],[Datum]])</f>
        <v>2028</v>
      </c>
      <c r="C1608">
        <f>DAY(tbl_Kalender[[#This Row],[Datum]])</f>
        <v>25</v>
      </c>
      <c r="D1608" t="str">
        <f>TEXT(tbl_Kalender[[#This Row],[Datum]],"TTTT")</f>
        <v>Donnerstag</v>
      </c>
      <c r="E1608">
        <f>WEEKDAY(tbl_Kalender[[#This Row],[Datum]],2)</f>
        <v>4</v>
      </c>
      <c r="F1608">
        <f>MONTH(tbl_Kalender[[#This Row],[Datum]])</f>
        <v>5</v>
      </c>
      <c r="G1608" t="str">
        <f>TEXT(tbl_Kalender[[#This Row],[Datum]],"MMMM")</f>
        <v>Mai</v>
      </c>
      <c r="H1608">
        <f>ROUNDUP(tbl_Kalender[[#This Row],[Monat]]/3,0)</f>
        <v>2</v>
      </c>
      <c r="I1608" t="str">
        <f>"Q "&amp;tbl_Kalender[[#This Row],[Quartal]]</f>
        <v>Q 2</v>
      </c>
      <c r="J1608" t="str">
        <f>tbl_Kalender[[#This Row],[Quartal]]&amp;". Quartal"</f>
        <v>2. Quartal</v>
      </c>
      <c r="K1608">
        <f>_xlfn.ISOWEEKNUM(tbl_Kalender[[#This Row],[Datum]])</f>
        <v>21</v>
      </c>
    </row>
    <row r="1609" spans="1:11" x14ac:dyDescent="0.25">
      <c r="A1609" s="1">
        <v>46899</v>
      </c>
      <c r="B1609">
        <f>YEAR(tbl_Kalender[[#This Row],[Datum]])</f>
        <v>2028</v>
      </c>
      <c r="C1609">
        <f>DAY(tbl_Kalender[[#This Row],[Datum]])</f>
        <v>26</v>
      </c>
      <c r="D1609" t="str">
        <f>TEXT(tbl_Kalender[[#This Row],[Datum]],"TTTT")</f>
        <v>Freitag</v>
      </c>
      <c r="E1609">
        <f>WEEKDAY(tbl_Kalender[[#This Row],[Datum]],2)</f>
        <v>5</v>
      </c>
      <c r="F1609">
        <f>MONTH(tbl_Kalender[[#This Row],[Datum]])</f>
        <v>5</v>
      </c>
      <c r="G1609" t="str">
        <f>TEXT(tbl_Kalender[[#This Row],[Datum]],"MMMM")</f>
        <v>Mai</v>
      </c>
      <c r="H1609">
        <f>ROUNDUP(tbl_Kalender[[#This Row],[Monat]]/3,0)</f>
        <v>2</v>
      </c>
      <c r="I1609" t="str">
        <f>"Q "&amp;tbl_Kalender[[#This Row],[Quartal]]</f>
        <v>Q 2</v>
      </c>
      <c r="J1609" t="str">
        <f>tbl_Kalender[[#This Row],[Quartal]]&amp;". Quartal"</f>
        <v>2. Quartal</v>
      </c>
      <c r="K1609">
        <f>_xlfn.ISOWEEKNUM(tbl_Kalender[[#This Row],[Datum]])</f>
        <v>21</v>
      </c>
    </row>
    <row r="1610" spans="1:11" x14ac:dyDescent="0.25">
      <c r="A1610" s="1">
        <v>46900</v>
      </c>
      <c r="B1610">
        <f>YEAR(tbl_Kalender[[#This Row],[Datum]])</f>
        <v>2028</v>
      </c>
      <c r="C1610">
        <f>DAY(tbl_Kalender[[#This Row],[Datum]])</f>
        <v>27</v>
      </c>
      <c r="D1610" t="str">
        <f>TEXT(tbl_Kalender[[#This Row],[Datum]],"TTTT")</f>
        <v>Samstag</v>
      </c>
      <c r="E1610">
        <f>WEEKDAY(tbl_Kalender[[#This Row],[Datum]],2)</f>
        <v>6</v>
      </c>
      <c r="F1610">
        <f>MONTH(tbl_Kalender[[#This Row],[Datum]])</f>
        <v>5</v>
      </c>
      <c r="G1610" t="str">
        <f>TEXT(tbl_Kalender[[#This Row],[Datum]],"MMMM")</f>
        <v>Mai</v>
      </c>
      <c r="H1610">
        <f>ROUNDUP(tbl_Kalender[[#This Row],[Monat]]/3,0)</f>
        <v>2</v>
      </c>
      <c r="I1610" t="str">
        <f>"Q "&amp;tbl_Kalender[[#This Row],[Quartal]]</f>
        <v>Q 2</v>
      </c>
      <c r="J1610" t="str">
        <f>tbl_Kalender[[#This Row],[Quartal]]&amp;". Quartal"</f>
        <v>2. Quartal</v>
      </c>
      <c r="K1610">
        <f>_xlfn.ISOWEEKNUM(tbl_Kalender[[#This Row],[Datum]])</f>
        <v>21</v>
      </c>
    </row>
    <row r="1611" spans="1:11" x14ac:dyDescent="0.25">
      <c r="A1611" s="1">
        <v>46901</v>
      </c>
      <c r="B1611">
        <f>YEAR(tbl_Kalender[[#This Row],[Datum]])</f>
        <v>2028</v>
      </c>
      <c r="C1611">
        <f>DAY(tbl_Kalender[[#This Row],[Datum]])</f>
        <v>28</v>
      </c>
      <c r="D1611" t="str">
        <f>TEXT(tbl_Kalender[[#This Row],[Datum]],"TTTT")</f>
        <v>Sonntag</v>
      </c>
      <c r="E1611">
        <f>WEEKDAY(tbl_Kalender[[#This Row],[Datum]],2)</f>
        <v>7</v>
      </c>
      <c r="F1611">
        <f>MONTH(tbl_Kalender[[#This Row],[Datum]])</f>
        <v>5</v>
      </c>
      <c r="G1611" t="str">
        <f>TEXT(tbl_Kalender[[#This Row],[Datum]],"MMMM")</f>
        <v>Mai</v>
      </c>
      <c r="H1611">
        <f>ROUNDUP(tbl_Kalender[[#This Row],[Monat]]/3,0)</f>
        <v>2</v>
      </c>
      <c r="I1611" t="str">
        <f>"Q "&amp;tbl_Kalender[[#This Row],[Quartal]]</f>
        <v>Q 2</v>
      </c>
      <c r="J1611" t="str">
        <f>tbl_Kalender[[#This Row],[Quartal]]&amp;". Quartal"</f>
        <v>2. Quartal</v>
      </c>
      <c r="K1611">
        <f>_xlfn.ISOWEEKNUM(tbl_Kalender[[#This Row],[Datum]])</f>
        <v>21</v>
      </c>
    </row>
    <row r="1612" spans="1:11" x14ac:dyDescent="0.25">
      <c r="A1612" s="1">
        <v>46902</v>
      </c>
      <c r="B1612">
        <f>YEAR(tbl_Kalender[[#This Row],[Datum]])</f>
        <v>2028</v>
      </c>
      <c r="C1612">
        <f>DAY(tbl_Kalender[[#This Row],[Datum]])</f>
        <v>29</v>
      </c>
      <c r="D1612" t="str">
        <f>TEXT(tbl_Kalender[[#This Row],[Datum]],"TTTT")</f>
        <v>Montag</v>
      </c>
      <c r="E1612">
        <f>WEEKDAY(tbl_Kalender[[#This Row],[Datum]],2)</f>
        <v>1</v>
      </c>
      <c r="F1612">
        <f>MONTH(tbl_Kalender[[#This Row],[Datum]])</f>
        <v>5</v>
      </c>
      <c r="G1612" t="str">
        <f>TEXT(tbl_Kalender[[#This Row],[Datum]],"MMMM")</f>
        <v>Mai</v>
      </c>
      <c r="H1612">
        <f>ROUNDUP(tbl_Kalender[[#This Row],[Monat]]/3,0)</f>
        <v>2</v>
      </c>
      <c r="I1612" t="str">
        <f>"Q "&amp;tbl_Kalender[[#This Row],[Quartal]]</f>
        <v>Q 2</v>
      </c>
      <c r="J1612" t="str">
        <f>tbl_Kalender[[#This Row],[Quartal]]&amp;". Quartal"</f>
        <v>2. Quartal</v>
      </c>
      <c r="K1612">
        <f>_xlfn.ISOWEEKNUM(tbl_Kalender[[#This Row],[Datum]])</f>
        <v>22</v>
      </c>
    </row>
    <row r="1613" spans="1:11" x14ac:dyDescent="0.25">
      <c r="A1613" s="1">
        <v>46903</v>
      </c>
      <c r="B1613">
        <f>YEAR(tbl_Kalender[[#This Row],[Datum]])</f>
        <v>2028</v>
      </c>
      <c r="C1613">
        <f>DAY(tbl_Kalender[[#This Row],[Datum]])</f>
        <v>30</v>
      </c>
      <c r="D1613" t="str">
        <f>TEXT(tbl_Kalender[[#This Row],[Datum]],"TTTT")</f>
        <v>Dienstag</v>
      </c>
      <c r="E1613">
        <f>WEEKDAY(tbl_Kalender[[#This Row],[Datum]],2)</f>
        <v>2</v>
      </c>
      <c r="F1613">
        <f>MONTH(tbl_Kalender[[#This Row],[Datum]])</f>
        <v>5</v>
      </c>
      <c r="G1613" t="str">
        <f>TEXT(tbl_Kalender[[#This Row],[Datum]],"MMMM")</f>
        <v>Mai</v>
      </c>
      <c r="H1613">
        <f>ROUNDUP(tbl_Kalender[[#This Row],[Monat]]/3,0)</f>
        <v>2</v>
      </c>
      <c r="I1613" t="str">
        <f>"Q "&amp;tbl_Kalender[[#This Row],[Quartal]]</f>
        <v>Q 2</v>
      </c>
      <c r="J1613" t="str">
        <f>tbl_Kalender[[#This Row],[Quartal]]&amp;". Quartal"</f>
        <v>2. Quartal</v>
      </c>
      <c r="K1613">
        <f>_xlfn.ISOWEEKNUM(tbl_Kalender[[#This Row],[Datum]])</f>
        <v>22</v>
      </c>
    </row>
    <row r="1614" spans="1:11" x14ac:dyDescent="0.25">
      <c r="A1614" s="1">
        <v>46904</v>
      </c>
      <c r="B1614">
        <f>YEAR(tbl_Kalender[[#This Row],[Datum]])</f>
        <v>2028</v>
      </c>
      <c r="C1614">
        <f>DAY(tbl_Kalender[[#This Row],[Datum]])</f>
        <v>31</v>
      </c>
      <c r="D1614" t="str">
        <f>TEXT(tbl_Kalender[[#This Row],[Datum]],"TTTT")</f>
        <v>Mittwoch</v>
      </c>
      <c r="E1614">
        <f>WEEKDAY(tbl_Kalender[[#This Row],[Datum]],2)</f>
        <v>3</v>
      </c>
      <c r="F1614">
        <f>MONTH(tbl_Kalender[[#This Row],[Datum]])</f>
        <v>5</v>
      </c>
      <c r="G1614" t="str">
        <f>TEXT(tbl_Kalender[[#This Row],[Datum]],"MMMM")</f>
        <v>Mai</v>
      </c>
      <c r="H1614">
        <f>ROUNDUP(tbl_Kalender[[#This Row],[Monat]]/3,0)</f>
        <v>2</v>
      </c>
      <c r="I1614" t="str">
        <f>"Q "&amp;tbl_Kalender[[#This Row],[Quartal]]</f>
        <v>Q 2</v>
      </c>
      <c r="J1614" t="str">
        <f>tbl_Kalender[[#This Row],[Quartal]]&amp;". Quartal"</f>
        <v>2. Quartal</v>
      </c>
      <c r="K1614">
        <f>_xlfn.ISOWEEKNUM(tbl_Kalender[[#This Row],[Datum]])</f>
        <v>22</v>
      </c>
    </row>
    <row r="1615" spans="1:11" x14ac:dyDescent="0.25">
      <c r="A1615" s="1">
        <v>46905</v>
      </c>
      <c r="B1615">
        <f>YEAR(tbl_Kalender[[#This Row],[Datum]])</f>
        <v>2028</v>
      </c>
      <c r="C1615">
        <f>DAY(tbl_Kalender[[#This Row],[Datum]])</f>
        <v>1</v>
      </c>
      <c r="D1615" t="str">
        <f>TEXT(tbl_Kalender[[#This Row],[Datum]],"TTTT")</f>
        <v>Donnerstag</v>
      </c>
      <c r="E1615">
        <f>WEEKDAY(tbl_Kalender[[#This Row],[Datum]],2)</f>
        <v>4</v>
      </c>
      <c r="F1615">
        <f>MONTH(tbl_Kalender[[#This Row],[Datum]])</f>
        <v>6</v>
      </c>
      <c r="G1615" t="str">
        <f>TEXT(tbl_Kalender[[#This Row],[Datum]],"MMMM")</f>
        <v>Juni</v>
      </c>
      <c r="H1615">
        <f>ROUNDUP(tbl_Kalender[[#This Row],[Monat]]/3,0)</f>
        <v>2</v>
      </c>
      <c r="I1615" t="str">
        <f>"Q "&amp;tbl_Kalender[[#This Row],[Quartal]]</f>
        <v>Q 2</v>
      </c>
      <c r="J1615" t="str">
        <f>tbl_Kalender[[#This Row],[Quartal]]&amp;". Quartal"</f>
        <v>2. Quartal</v>
      </c>
      <c r="K1615">
        <f>_xlfn.ISOWEEKNUM(tbl_Kalender[[#This Row],[Datum]])</f>
        <v>22</v>
      </c>
    </row>
    <row r="1616" spans="1:11" x14ac:dyDescent="0.25">
      <c r="A1616" s="1">
        <v>46906</v>
      </c>
      <c r="B1616">
        <f>YEAR(tbl_Kalender[[#This Row],[Datum]])</f>
        <v>2028</v>
      </c>
      <c r="C1616">
        <f>DAY(tbl_Kalender[[#This Row],[Datum]])</f>
        <v>2</v>
      </c>
      <c r="D1616" t="str">
        <f>TEXT(tbl_Kalender[[#This Row],[Datum]],"TTTT")</f>
        <v>Freitag</v>
      </c>
      <c r="E1616">
        <f>WEEKDAY(tbl_Kalender[[#This Row],[Datum]],2)</f>
        <v>5</v>
      </c>
      <c r="F1616">
        <f>MONTH(tbl_Kalender[[#This Row],[Datum]])</f>
        <v>6</v>
      </c>
      <c r="G1616" t="str">
        <f>TEXT(tbl_Kalender[[#This Row],[Datum]],"MMMM")</f>
        <v>Juni</v>
      </c>
      <c r="H1616">
        <f>ROUNDUP(tbl_Kalender[[#This Row],[Monat]]/3,0)</f>
        <v>2</v>
      </c>
      <c r="I1616" t="str">
        <f>"Q "&amp;tbl_Kalender[[#This Row],[Quartal]]</f>
        <v>Q 2</v>
      </c>
      <c r="J1616" t="str">
        <f>tbl_Kalender[[#This Row],[Quartal]]&amp;". Quartal"</f>
        <v>2. Quartal</v>
      </c>
      <c r="K1616">
        <f>_xlfn.ISOWEEKNUM(tbl_Kalender[[#This Row],[Datum]])</f>
        <v>22</v>
      </c>
    </row>
    <row r="1617" spans="1:11" x14ac:dyDescent="0.25">
      <c r="A1617" s="1">
        <v>46907</v>
      </c>
      <c r="B1617">
        <f>YEAR(tbl_Kalender[[#This Row],[Datum]])</f>
        <v>2028</v>
      </c>
      <c r="C1617">
        <f>DAY(tbl_Kalender[[#This Row],[Datum]])</f>
        <v>3</v>
      </c>
      <c r="D1617" t="str">
        <f>TEXT(tbl_Kalender[[#This Row],[Datum]],"TTTT")</f>
        <v>Samstag</v>
      </c>
      <c r="E1617">
        <f>WEEKDAY(tbl_Kalender[[#This Row],[Datum]],2)</f>
        <v>6</v>
      </c>
      <c r="F1617">
        <f>MONTH(tbl_Kalender[[#This Row],[Datum]])</f>
        <v>6</v>
      </c>
      <c r="G1617" t="str">
        <f>TEXT(tbl_Kalender[[#This Row],[Datum]],"MMMM")</f>
        <v>Juni</v>
      </c>
      <c r="H1617">
        <f>ROUNDUP(tbl_Kalender[[#This Row],[Monat]]/3,0)</f>
        <v>2</v>
      </c>
      <c r="I1617" t="str">
        <f>"Q "&amp;tbl_Kalender[[#This Row],[Quartal]]</f>
        <v>Q 2</v>
      </c>
      <c r="J1617" t="str">
        <f>tbl_Kalender[[#This Row],[Quartal]]&amp;". Quartal"</f>
        <v>2. Quartal</v>
      </c>
      <c r="K1617">
        <f>_xlfn.ISOWEEKNUM(tbl_Kalender[[#This Row],[Datum]])</f>
        <v>22</v>
      </c>
    </row>
    <row r="1618" spans="1:11" x14ac:dyDescent="0.25">
      <c r="A1618" s="1">
        <v>46908</v>
      </c>
      <c r="B1618">
        <f>YEAR(tbl_Kalender[[#This Row],[Datum]])</f>
        <v>2028</v>
      </c>
      <c r="C1618">
        <f>DAY(tbl_Kalender[[#This Row],[Datum]])</f>
        <v>4</v>
      </c>
      <c r="D1618" t="str">
        <f>TEXT(tbl_Kalender[[#This Row],[Datum]],"TTTT")</f>
        <v>Sonntag</v>
      </c>
      <c r="E1618">
        <f>WEEKDAY(tbl_Kalender[[#This Row],[Datum]],2)</f>
        <v>7</v>
      </c>
      <c r="F1618">
        <f>MONTH(tbl_Kalender[[#This Row],[Datum]])</f>
        <v>6</v>
      </c>
      <c r="G1618" t="str">
        <f>TEXT(tbl_Kalender[[#This Row],[Datum]],"MMMM")</f>
        <v>Juni</v>
      </c>
      <c r="H1618">
        <f>ROUNDUP(tbl_Kalender[[#This Row],[Monat]]/3,0)</f>
        <v>2</v>
      </c>
      <c r="I1618" t="str">
        <f>"Q "&amp;tbl_Kalender[[#This Row],[Quartal]]</f>
        <v>Q 2</v>
      </c>
      <c r="J1618" t="str">
        <f>tbl_Kalender[[#This Row],[Quartal]]&amp;". Quartal"</f>
        <v>2. Quartal</v>
      </c>
      <c r="K1618">
        <f>_xlfn.ISOWEEKNUM(tbl_Kalender[[#This Row],[Datum]])</f>
        <v>22</v>
      </c>
    </row>
    <row r="1619" spans="1:11" x14ac:dyDescent="0.25">
      <c r="A1619" s="1">
        <v>46909</v>
      </c>
      <c r="B1619">
        <f>YEAR(tbl_Kalender[[#This Row],[Datum]])</f>
        <v>2028</v>
      </c>
      <c r="C1619">
        <f>DAY(tbl_Kalender[[#This Row],[Datum]])</f>
        <v>5</v>
      </c>
      <c r="D1619" t="str">
        <f>TEXT(tbl_Kalender[[#This Row],[Datum]],"TTTT")</f>
        <v>Montag</v>
      </c>
      <c r="E1619">
        <f>WEEKDAY(tbl_Kalender[[#This Row],[Datum]],2)</f>
        <v>1</v>
      </c>
      <c r="F1619">
        <f>MONTH(tbl_Kalender[[#This Row],[Datum]])</f>
        <v>6</v>
      </c>
      <c r="G1619" t="str">
        <f>TEXT(tbl_Kalender[[#This Row],[Datum]],"MMMM")</f>
        <v>Juni</v>
      </c>
      <c r="H1619">
        <f>ROUNDUP(tbl_Kalender[[#This Row],[Monat]]/3,0)</f>
        <v>2</v>
      </c>
      <c r="I1619" t="str">
        <f>"Q "&amp;tbl_Kalender[[#This Row],[Quartal]]</f>
        <v>Q 2</v>
      </c>
      <c r="J1619" t="str">
        <f>tbl_Kalender[[#This Row],[Quartal]]&amp;". Quartal"</f>
        <v>2. Quartal</v>
      </c>
      <c r="K1619">
        <f>_xlfn.ISOWEEKNUM(tbl_Kalender[[#This Row],[Datum]])</f>
        <v>23</v>
      </c>
    </row>
    <row r="1620" spans="1:11" x14ac:dyDescent="0.25">
      <c r="A1620" s="1">
        <v>46910</v>
      </c>
      <c r="B1620">
        <f>YEAR(tbl_Kalender[[#This Row],[Datum]])</f>
        <v>2028</v>
      </c>
      <c r="C1620">
        <f>DAY(tbl_Kalender[[#This Row],[Datum]])</f>
        <v>6</v>
      </c>
      <c r="D1620" t="str">
        <f>TEXT(tbl_Kalender[[#This Row],[Datum]],"TTTT")</f>
        <v>Dienstag</v>
      </c>
      <c r="E1620">
        <f>WEEKDAY(tbl_Kalender[[#This Row],[Datum]],2)</f>
        <v>2</v>
      </c>
      <c r="F1620">
        <f>MONTH(tbl_Kalender[[#This Row],[Datum]])</f>
        <v>6</v>
      </c>
      <c r="G1620" t="str">
        <f>TEXT(tbl_Kalender[[#This Row],[Datum]],"MMMM")</f>
        <v>Juni</v>
      </c>
      <c r="H1620">
        <f>ROUNDUP(tbl_Kalender[[#This Row],[Monat]]/3,0)</f>
        <v>2</v>
      </c>
      <c r="I1620" t="str">
        <f>"Q "&amp;tbl_Kalender[[#This Row],[Quartal]]</f>
        <v>Q 2</v>
      </c>
      <c r="J1620" t="str">
        <f>tbl_Kalender[[#This Row],[Quartal]]&amp;". Quartal"</f>
        <v>2. Quartal</v>
      </c>
      <c r="K1620">
        <f>_xlfn.ISOWEEKNUM(tbl_Kalender[[#This Row],[Datum]])</f>
        <v>23</v>
      </c>
    </row>
    <row r="1621" spans="1:11" x14ac:dyDescent="0.25">
      <c r="A1621" s="1">
        <v>46911</v>
      </c>
      <c r="B1621">
        <f>YEAR(tbl_Kalender[[#This Row],[Datum]])</f>
        <v>2028</v>
      </c>
      <c r="C1621">
        <f>DAY(tbl_Kalender[[#This Row],[Datum]])</f>
        <v>7</v>
      </c>
      <c r="D1621" t="str">
        <f>TEXT(tbl_Kalender[[#This Row],[Datum]],"TTTT")</f>
        <v>Mittwoch</v>
      </c>
      <c r="E1621">
        <f>WEEKDAY(tbl_Kalender[[#This Row],[Datum]],2)</f>
        <v>3</v>
      </c>
      <c r="F1621">
        <f>MONTH(tbl_Kalender[[#This Row],[Datum]])</f>
        <v>6</v>
      </c>
      <c r="G1621" t="str">
        <f>TEXT(tbl_Kalender[[#This Row],[Datum]],"MMMM")</f>
        <v>Juni</v>
      </c>
      <c r="H1621">
        <f>ROUNDUP(tbl_Kalender[[#This Row],[Monat]]/3,0)</f>
        <v>2</v>
      </c>
      <c r="I1621" t="str">
        <f>"Q "&amp;tbl_Kalender[[#This Row],[Quartal]]</f>
        <v>Q 2</v>
      </c>
      <c r="J1621" t="str">
        <f>tbl_Kalender[[#This Row],[Quartal]]&amp;". Quartal"</f>
        <v>2. Quartal</v>
      </c>
      <c r="K1621">
        <f>_xlfn.ISOWEEKNUM(tbl_Kalender[[#This Row],[Datum]])</f>
        <v>23</v>
      </c>
    </row>
    <row r="1622" spans="1:11" x14ac:dyDescent="0.25">
      <c r="A1622" s="1">
        <v>46912</v>
      </c>
      <c r="B1622">
        <f>YEAR(tbl_Kalender[[#This Row],[Datum]])</f>
        <v>2028</v>
      </c>
      <c r="C1622">
        <f>DAY(tbl_Kalender[[#This Row],[Datum]])</f>
        <v>8</v>
      </c>
      <c r="D1622" t="str">
        <f>TEXT(tbl_Kalender[[#This Row],[Datum]],"TTTT")</f>
        <v>Donnerstag</v>
      </c>
      <c r="E1622">
        <f>WEEKDAY(tbl_Kalender[[#This Row],[Datum]],2)</f>
        <v>4</v>
      </c>
      <c r="F1622">
        <f>MONTH(tbl_Kalender[[#This Row],[Datum]])</f>
        <v>6</v>
      </c>
      <c r="G1622" t="str">
        <f>TEXT(tbl_Kalender[[#This Row],[Datum]],"MMMM")</f>
        <v>Juni</v>
      </c>
      <c r="H1622">
        <f>ROUNDUP(tbl_Kalender[[#This Row],[Monat]]/3,0)</f>
        <v>2</v>
      </c>
      <c r="I1622" t="str">
        <f>"Q "&amp;tbl_Kalender[[#This Row],[Quartal]]</f>
        <v>Q 2</v>
      </c>
      <c r="J1622" t="str">
        <f>tbl_Kalender[[#This Row],[Quartal]]&amp;". Quartal"</f>
        <v>2. Quartal</v>
      </c>
      <c r="K1622">
        <f>_xlfn.ISOWEEKNUM(tbl_Kalender[[#This Row],[Datum]])</f>
        <v>23</v>
      </c>
    </row>
    <row r="1623" spans="1:11" x14ac:dyDescent="0.25">
      <c r="A1623" s="1">
        <v>46913</v>
      </c>
      <c r="B1623">
        <f>YEAR(tbl_Kalender[[#This Row],[Datum]])</f>
        <v>2028</v>
      </c>
      <c r="C1623">
        <f>DAY(tbl_Kalender[[#This Row],[Datum]])</f>
        <v>9</v>
      </c>
      <c r="D1623" t="str">
        <f>TEXT(tbl_Kalender[[#This Row],[Datum]],"TTTT")</f>
        <v>Freitag</v>
      </c>
      <c r="E1623">
        <f>WEEKDAY(tbl_Kalender[[#This Row],[Datum]],2)</f>
        <v>5</v>
      </c>
      <c r="F1623">
        <f>MONTH(tbl_Kalender[[#This Row],[Datum]])</f>
        <v>6</v>
      </c>
      <c r="G1623" t="str">
        <f>TEXT(tbl_Kalender[[#This Row],[Datum]],"MMMM")</f>
        <v>Juni</v>
      </c>
      <c r="H1623">
        <f>ROUNDUP(tbl_Kalender[[#This Row],[Monat]]/3,0)</f>
        <v>2</v>
      </c>
      <c r="I1623" t="str">
        <f>"Q "&amp;tbl_Kalender[[#This Row],[Quartal]]</f>
        <v>Q 2</v>
      </c>
      <c r="J1623" t="str">
        <f>tbl_Kalender[[#This Row],[Quartal]]&amp;". Quartal"</f>
        <v>2. Quartal</v>
      </c>
      <c r="K1623">
        <f>_xlfn.ISOWEEKNUM(tbl_Kalender[[#This Row],[Datum]])</f>
        <v>23</v>
      </c>
    </row>
    <row r="1624" spans="1:11" x14ac:dyDescent="0.25">
      <c r="A1624" s="1">
        <v>46914</v>
      </c>
      <c r="B1624">
        <f>YEAR(tbl_Kalender[[#This Row],[Datum]])</f>
        <v>2028</v>
      </c>
      <c r="C1624">
        <f>DAY(tbl_Kalender[[#This Row],[Datum]])</f>
        <v>10</v>
      </c>
      <c r="D1624" t="str">
        <f>TEXT(tbl_Kalender[[#This Row],[Datum]],"TTTT")</f>
        <v>Samstag</v>
      </c>
      <c r="E1624">
        <f>WEEKDAY(tbl_Kalender[[#This Row],[Datum]],2)</f>
        <v>6</v>
      </c>
      <c r="F1624">
        <f>MONTH(tbl_Kalender[[#This Row],[Datum]])</f>
        <v>6</v>
      </c>
      <c r="G1624" t="str">
        <f>TEXT(tbl_Kalender[[#This Row],[Datum]],"MMMM")</f>
        <v>Juni</v>
      </c>
      <c r="H1624">
        <f>ROUNDUP(tbl_Kalender[[#This Row],[Monat]]/3,0)</f>
        <v>2</v>
      </c>
      <c r="I1624" t="str">
        <f>"Q "&amp;tbl_Kalender[[#This Row],[Quartal]]</f>
        <v>Q 2</v>
      </c>
      <c r="J1624" t="str">
        <f>tbl_Kalender[[#This Row],[Quartal]]&amp;". Quartal"</f>
        <v>2. Quartal</v>
      </c>
      <c r="K1624">
        <f>_xlfn.ISOWEEKNUM(tbl_Kalender[[#This Row],[Datum]])</f>
        <v>23</v>
      </c>
    </row>
    <row r="1625" spans="1:11" x14ac:dyDescent="0.25">
      <c r="A1625" s="1">
        <v>46915</v>
      </c>
      <c r="B1625">
        <f>YEAR(tbl_Kalender[[#This Row],[Datum]])</f>
        <v>2028</v>
      </c>
      <c r="C1625">
        <f>DAY(tbl_Kalender[[#This Row],[Datum]])</f>
        <v>11</v>
      </c>
      <c r="D1625" t="str">
        <f>TEXT(tbl_Kalender[[#This Row],[Datum]],"TTTT")</f>
        <v>Sonntag</v>
      </c>
      <c r="E1625">
        <f>WEEKDAY(tbl_Kalender[[#This Row],[Datum]],2)</f>
        <v>7</v>
      </c>
      <c r="F1625">
        <f>MONTH(tbl_Kalender[[#This Row],[Datum]])</f>
        <v>6</v>
      </c>
      <c r="G1625" t="str">
        <f>TEXT(tbl_Kalender[[#This Row],[Datum]],"MMMM")</f>
        <v>Juni</v>
      </c>
      <c r="H1625">
        <f>ROUNDUP(tbl_Kalender[[#This Row],[Monat]]/3,0)</f>
        <v>2</v>
      </c>
      <c r="I1625" t="str">
        <f>"Q "&amp;tbl_Kalender[[#This Row],[Quartal]]</f>
        <v>Q 2</v>
      </c>
      <c r="J1625" t="str">
        <f>tbl_Kalender[[#This Row],[Quartal]]&amp;". Quartal"</f>
        <v>2. Quartal</v>
      </c>
      <c r="K1625">
        <f>_xlfn.ISOWEEKNUM(tbl_Kalender[[#This Row],[Datum]])</f>
        <v>23</v>
      </c>
    </row>
    <row r="1626" spans="1:11" x14ac:dyDescent="0.25">
      <c r="A1626" s="1">
        <v>46916</v>
      </c>
      <c r="B1626">
        <f>YEAR(tbl_Kalender[[#This Row],[Datum]])</f>
        <v>2028</v>
      </c>
      <c r="C1626">
        <f>DAY(tbl_Kalender[[#This Row],[Datum]])</f>
        <v>12</v>
      </c>
      <c r="D1626" t="str">
        <f>TEXT(tbl_Kalender[[#This Row],[Datum]],"TTTT")</f>
        <v>Montag</v>
      </c>
      <c r="E1626">
        <f>WEEKDAY(tbl_Kalender[[#This Row],[Datum]],2)</f>
        <v>1</v>
      </c>
      <c r="F1626">
        <f>MONTH(tbl_Kalender[[#This Row],[Datum]])</f>
        <v>6</v>
      </c>
      <c r="G1626" t="str">
        <f>TEXT(tbl_Kalender[[#This Row],[Datum]],"MMMM")</f>
        <v>Juni</v>
      </c>
      <c r="H1626">
        <f>ROUNDUP(tbl_Kalender[[#This Row],[Monat]]/3,0)</f>
        <v>2</v>
      </c>
      <c r="I1626" t="str">
        <f>"Q "&amp;tbl_Kalender[[#This Row],[Quartal]]</f>
        <v>Q 2</v>
      </c>
      <c r="J1626" t="str">
        <f>tbl_Kalender[[#This Row],[Quartal]]&amp;". Quartal"</f>
        <v>2. Quartal</v>
      </c>
      <c r="K1626">
        <f>_xlfn.ISOWEEKNUM(tbl_Kalender[[#This Row],[Datum]])</f>
        <v>24</v>
      </c>
    </row>
    <row r="1627" spans="1:11" x14ac:dyDescent="0.25">
      <c r="A1627" s="1">
        <v>46917</v>
      </c>
      <c r="B1627">
        <f>YEAR(tbl_Kalender[[#This Row],[Datum]])</f>
        <v>2028</v>
      </c>
      <c r="C1627">
        <f>DAY(tbl_Kalender[[#This Row],[Datum]])</f>
        <v>13</v>
      </c>
      <c r="D1627" t="str">
        <f>TEXT(tbl_Kalender[[#This Row],[Datum]],"TTTT")</f>
        <v>Dienstag</v>
      </c>
      <c r="E1627">
        <f>WEEKDAY(tbl_Kalender[[#This Row],[Datum]],2)</f>
        <v>2</v>
      </c>
      <c r="F1627">
        <f>MONTH(tbl_Kalender[[#This Row],[Datum]])</f>
        <v>6</v>
      </c>
      <c r="G1627" t="str">
        <f>TEXT(tbl_Kalender[[#This Row],[Datum]],"MMMM")</f>
        <v>Juni</v>
      </c>
      <c r="H1627">
        <f>ROUNDUP(tbl_Kalender[[#This Row],[Monat]]/3,0)</f>
        <v>2</v>
      </c>
      <c r="I1627" t="str">
        <f>"Q "&amp;tbl_Kalender[[#This Row],[Quartal]]</f>
        <v>Q 2</v>
      </c>
      <c r="J1627" t="str">
        <f>tbl_Kalender[[#This Row],[Quartal]]&amp;". Quartal"</f>
        <v>2. Quartal</v>
      </c>
      <c r="K1627">
        <f>_xlfn.ISOWEEKNUM(tbl_Kalender[[#This Row],[Datum]])</f>
        <v>24</v>
      </c>
    </row>
    <row r="1628" spans="1:11" x14ac:dyDescent="0.25">
      <c r="A1628" s="1">
        <v>46918</v>
      </c>
      <c r="B1628">
        <f>YEAR(tbl_Kalender[[#This Row],[Datum]])</f>
        <v>2028</v>
      </c>
      <c r="C1628">
        <f>DAY(tbl_Kalender[[#This Row],[Datum]])</f>
        <v>14</v>
      </c>
      <c r="D1628" t="str">
        <f>TEXT(tbl_Kalender[[#This Row],[Datum]],"TTTT")</f>
        <v>Mittwoch</v>
      </c>
      <c r="E1628">
        <f>WEEKDAY(tbl_Kalender[[#This Row],[Datum]],2)</f>
        <v>3</v>
      </c>
      <c r="F1628">
        <f>MONTH(tbl_Kalender[[#This Row],[Datum]])</f>
        <v>6</v>
      </c>
      <c r="G1628" t="str">
        <f>TEXT(tbl_Kalender[[#This Row],[Datum]],"MMMM")</f>
        <v>Juni</v>
      </c>
      <c r="H1628">
        <f>ROUNDUP(tbl_Kalender[[#This Row],[Monat]]/3,0)</f>
        <v>2</v>
      </c>
      <c r="I1628" t="str">
        <f>"Q "&amp;tbl_Kalender[[#This Row],[Quartal]]</f>
        <v>Q 2</v>
      </c>
      <c r="J1628" t="str">
        <f>tbl_Kalender[[#This Row],[Quartal]]&amp;". Quartal"</f>
        <v>2. Quartal</v>
      </c>
      <c r="K1628">
        <f>_xlfn.ISOWEEKNUM(tbl_Kalender[[#This Row],[Datum]])</f>
        <v>24</v>
      </c>
    </row>
    <row r="1629" spans="1:11" x14ac:dyDescent="0.25">
      <c r="A1629" s="1">
        <v>46919</v>
      </c>
      <c r="B1629">
        <f>YEAR(tbl_Kalender[[#This Row],[Datum]])</f>
        <v>2028</v>
      </c>
      <c r="C1629">
        <f>DAY(tbl_Kalender[[#This Row],[Datum]])</f>
        <v>15</v>
      </c>
      <c r="D1629" t="str">
        <f>TEXT(tbl_Kalender[[#This Row],[Datum]],"TTTT")</f>
        <v>Donnerstag</v>
      </c>
      <c r="E1629">
        <f>WEEKDAY(tbl_Kalender[[#This Row],[Datum]],2)</f>
        <v>4</v>
      </c>
      <c r="F1629">
        <f>MONTH(tbl_Kalender[[#This Row],[Datum]])</f>
        <v>6</v>
      </c>
      <c r="G1629" t="str">
        <f>TEXT(tbl_Kalender[[#This Row],[Datum]],"MMMM")</f>
        <v>Juni</v>
      </c>
      <c r="H1629">
        <f>ROUNDUP(tbl_Kalender[[#This Row],[Monat]]/3,0)</f>
        <v>2</v>
      </c>
      <c r="I1629" t="str">
        <f>"Q "&amp;tbl_Kalender[[#This Row],[Quartal]]</f>
        <v>Q 2</v>
      </c>
      <c r="J1629" t="str">
        <f>tbl_Kalender[[#This Row],[Quartal]]&amp;". Quartal"</f>
        <v>2. Quartal</v>
      </c>
      <c r="K1629">
        <f>_xlfn.ISOWEEKNUM(tbl_Kalender[[#This Row],[Datum]])</f>
        <v>24</v>
      </c>
    </row>
    <row r="1630" spans="1:11" x14ac:dyDescent="0.25">
      <c r="A1630" s="1">
        <v>46920</v>
      </c>
      <c r="B1630">
        <f>YEAR(tbl_Kalender[[#This Row],[Datum]])</f>
        <v>2028</v>
      </c>
      <c r="C1630">
        <f>DAY(tbl_Kalender[[#This Row],[Datum]])</f>
        <v>16</v>
      </c>
      <c r="D1630" t="str">
        <f>TEXT(tbl_Kalender[[#This Row],[Datum]],"TTTT")</f>
        <v>Freitag</v>
      </c>
      <c r="E1630">
        <f>WEEKDAY(tbl_Kalender[[#This Row],[Datum]],2)</f>
        <v>5</v>
      </c>
      <c r="F1630">
        <f>MONTH(tbl_Kalender[[#This Row],[Datum]])</f>
        <v>6</v>
      </c>
      <c r="G1630" t="str">
        <f>TEXT(tbl_Kalender[[#This Row],[Datum]],"MMMM")</f>
        <v>Juni</v>
      </c>
      <c r="H1630">
        <f>ROUNDUP(tbl_Kalender[[#This Row],[Monat]]/3,0)</f>
        <v>2</v>
      </c>
      <c r="I1630" t="str">
        <f>"Q "&amp;tbl_Kalender[[#This Row],[Quartal]]</f>
        <v>Q 2</v>
      </c>
      <c r="J1630" t="str">
        <f>tbl_Kalender[[#This Row],[Quartal]]&amp;". Quartal"</f>
        <v>2. Quartal</v>
      </c>
      <c r="K1630">
        <f>_xlfn.ISOWEEKNUM(tbl_Kalender[[#This Row],[Datum]])</f>
        <v>24</v>
      </c>
    </row>
    <row r="1631" spans="1:11" x14ac:dyDescent="0.25">
      <c r="A1631" s="1">
        <v>46921</v>
      </c>
      <c r="B1631">
        <f>YEAR(tbl_Kalender[[#This Row],[Datum]])</f>
        <v>2028</v>
      </c>
      <c r="C1631">
        <f>DAY(tbl_Kalender[[#This Row],[Datum]])</f>
        <v>17</v>
      </c>
      <c r="D1631" t="str">
        <f>TEXT(tbl_Kalender[[#This Row],[Datum]],"TTTT")</f>
        <v>Samstag</v>
      </c>
      <c r="E1631">
        <f>WEEKDAY(tbl_Kalender[[#This Row],[Datum]],2)</f>
        <v>6</v>
      </c>
      <c r="F1631">
        <f>MONTH(tbl_Kalender[[#This Row],[Datum]])</f>
        <v>6</v>
      </c>
      <c r="G1631" t="str">
        <f>TEXT(tbl_Kalender[[#This Row],[Datum]],"MMMM")</f>
        <v>Juni</v>
      </c>
      <c r="H1631">
        <f>ROUNDUP(tbl_Kalender[[#This Row],[Monat]]/3,0)</f>
        <v>2</v>
      </c>
      <c r="I1631" t="str">
        <f>"Q "&amp;tbl_Kalender[[#This Row],[Quartal]]</f>
        <v>Q 2</v>
      </c>
      <c r="J1631" t="str">
        <f>tbl_Kalender[[#This Row],[Quartal]]&amp;". Quartal"</f>
        <v>2. Quartal</v>
      </c>
      <c r="K1631">
        <f>_xlfn.ISOWEEKNUM(tbl_Kalender[[#This Row],[Datum]])</f>
        <v>24</v>
      </c>
    </row>
    <row r="1632" spans="1:11" x14ac:dyDescent="0.25">
      <c r="A1632" s="1">
        <v>46922</v>
      </c>
      <c r="B1632">
        <f>YEAR(tbl_Kalender[[#This Row],[Datum]])</f>
        <v>2028</v>
      </c>
      <c r="C1632">
        <f>DAY(tbl_Kalender[[#This Row],[Datum]])</f>
        <v>18</v>
      </c>
      <c r="D1632" t="str">
        <f>TEXT(tbl_Kalender[[#This Row],[Datum]],"TTTT")</f>
        <v>Sonntag</v>
      </c>
      <c r="E1632">
        <f>WEEKDAY(tbl_Kalender[[#This Row],[Datum]],2)</f>
        <v>7</v>
      </c>
      <c r="F1632">
        <f>MONTH(tbl_Kalender[[#This Row],[Datum]])</f>
        <v>6</v>
      </c>
      <c r="G1632" t="str">
        <f>TEXT(tbl_Kalender[[#This Row],[Datum]],"MMMM")</f>
        <v>Juni</v>
      </c>
      <c r="H1632">
        <f>ROUNDUP(tbl_Kalender[[#This Row],[Monat]]/3,0)</f>
        <v>2</v>
      </c>
      <c r="I1632" t="str">
        <f>"Q "&amp;tbl_Kalender[[#This Row],[Quartal]]</f>
        <v>Q 2</v>
      </c>
      <c r="J1632" t="str">
        <f>tbl_Kalender[[#This Row],[Quartal]]&amp;". Quartal"</f>
        <v>2. Quartal</v>
      </c>
      <c r="K1632">
        <f>_xlfn.ISOWEEKNUM(tbl_Kalender[[#This Row],[Datum]])</f>
        <v>24</v>
      </c>
    </row>
    <row r="1633" spans="1:11" x14ac:dyDescent="0.25">
      <c r="A1633" s="1">
        <v>46923</v>
      </c>
      <c r="B1633">
        <f>YEAR(tbl_Kalender[[#This Row],[Datum]])</f>
        <v>2028</v>
      </c>
      <c r="C1633">
        <f>DAY(tbl_Kalender[[#This Row],[Datum]])</f>
        <v>19</v>
      </c>
      <c r="D1633" t="str">
        <f>TEXT(tbl_Kalender[[#This Row],[Datum]],"TTTT")</f>
        <v>Montag</v>
      </c>
      <c r="E1633">
        <f>WEEKDAY(tbl_Kalender[[#This Row],[Datum]],2)</f>
        <v>1</v>
      </c>
      <c r="F1633">
        <f>MONTH(tbl_Kalender[[#This Row],[Datum]])</f>
        <v>6</v>
      </c>
      <c r="G1633" t="str">
        <f>TEXT(tbl_Kalender[[#This Row],[Datum]],"MMMM")</f>
        <v>Juni</v>
      </c>
      <c r="H1633">
        <f>ROUNDUP(tbl_Kalender[[#This Row],[Monat]]/3,0)</f>
        <v>2</v>
      </c>
      <c r="I1633" t="str">
        <f>"Q "&amp;tbl_Kalender[[#This Row],[Quartal]]</f>
        <v>Q 2</v>
      </c>
      <c r="J1633" t="str">
        <f>tbl_Kalender[[#This Row],[Quartal]]&amp;". Quartal"</f>
        <v>2. Quartal</v>
      </c>
      <c r="K1633">
        <f>_xlfn.ISOWEEKNUM(tbl_Kalender[[#This Row],[Datum]])</f>
        <v>25</v>
      </c>
    </row>
    <row r="1634" spans="1:11" x14ac:dyDescent="0.25">
      <c r="A1634" s="1">
        <v>46924</v>
      </c>
      <c r="B1634">
        <f>YEAR(tbl_Kalender[[#This Row],[Datum]])</f>
        <v>2028</v>
      </c>
      <c r="C1634">
        <f>DAY(tbl_Kalender[[#This Row],[Datum]])</f>
        <v>20</v>
      </c>
      <c r="D1634" t="str">
        <f>TEXT(tbl_Kalender[[#This Row],[Datum]],"TTTT")</f>
        <v>Dienstag</v>
      </c>
      <c r="E1634">
        <f>WEEKDAY(tbl_Kalender[[#This Row],[Datum]],2)</f>
        <v>2</v>
      </c>
      <c r="F1634">
        <f>MONTH(tbl_Kalender[[#This Row],[Datum]])</f>
        <v>6</v>
      </c>
      <c r="G1634" t="str">
        <f>TEXT(tbl_Kalender[[#This Row],[Datum]],"MMMM")</f>
        <v>Juni</v>
      </c>
      <c r="H1634">
        <f>ROUNDUP(tbl_Kalender[[#This Row],[Monat]]/3,0)</f>
        <v>2</v>
      </c>
      <c r="I1634" t="str">
        <f>"Q "&amp;tbl_Kalender[[#This Row],[Quartal]]</f>
        <v>Q 2</v>
      </c>
      <c r="J1634" t="str">
        <f>tbl_Kalender[[#This Row],[Quartal]]&amp;". Quartal"</f>
        <v>2. Quartal</v>
      </c>
      <c r="K1634">
        <f>_xlfn.ISOWEEKNUM(tbl_Kalender[[#This Row],[Datum]])</f>
        <v>25</v>
      </c>
    </row>
    <row r="1635" spans="1:11" x14ac:dyDescent="0.25">
      <c r="A1635" s="1">
        <v>46925</v>
      </c>
      <c r="B1635">
        <f>YEAR(tbl_Kalender[[#This Row],[Datum]])</f>
        <v>2028</v>
      </c>
      <c r="C1635">
        <f>DAY(tbl_Kalender[[#This Row],[Datum]])</f>
        <v>21</v>
      </c>
      <c r="D1635" t="str">
        <f>TEXT(tbl_Kalender[[#This Row],[Datum]],"TTTT")</f>
        <v>Mittwoch</v>
      </c>
      <c r="E1635">
        <f>WEEKDAY(tbl_Kalender[[#This Row],[Datum]],2)</f>
        <v>3</v>
      </c>
      <c r="F1635">
        <f>MONTH(tbl_Kalender[[#This Row],[Datum]])</f>
        <v>6</v>
      </c>
      <c r="G1635" t="str">
        <f>TEXT(tbl_Kalender[[#This Row],[Datum]],"MMMM")</f>
        <v>Juni</v>
      </c>
      <c r="H1635">
        <f>ROUNDUP(tbl_Kalender[[#This Row],[Monat]]/3,0)</f>
        <v>2</v>
      </c>
      <c r="I1635" t="str">
        <f>"Q "&amp;tbl_Kalender[[#This Row],[Quartal]]</f>
        <v>Q 2</v>
      </c>
      <c r="J1635" t="str">
        <f>tbl_Kalender[[#This Row],[Quartal]]&amp;". Quartal"</f>
        <v>2. Quartal</v>
      </c>
      <c r="K1635">
        <f>_xlfn.ISOWEEKNUM(tbl_Kalender[[#This Row],[Datum]])</f>
        <v>25</v>
      </c>
    </row>
    <row r="1636" spans="1:11" x14ac:dyDescent="0.25">
      <c r="A1636" s="1">
        <v>46926</v>
      </c>
      <c r="B1636">
        <f>YEAR(tbl_Kalender[[#This Row],[Datum]])</f>
        <v>2028</v>
      </c>
      <c r="C1636">
        <f>DAY(tbl_Kalender[[#This Row],[Datum]])</f>
        <v>22</v>
      </c>
      <c r="D1636" t="str">
        <f>TEXT(tbl_Kalender[[#This Row],[Datum]],"TTTT")</f>
        <v>Donnerstag</v>
      </c>
      <c r="E1636">
        <f>WEEKDAY(tbl_Kalender[[#This Row],[Datum]],2)</f>
        <v>4</v>
      </c>
      <c r="F1636">
        <f>MONTH(tbl_Kalender[[#This Row],[Datum]])</f>
        <v>6</v>
      </c>
      <c r="G1636" t="str">
        <f>TEXT(tbl_Kalender[[#This Row],[Datum]],"MMMM")</f>
        <v>Juni</v>
      </c>
      <c r="H1636">
        <f>ROUNDUP(tbl_Kalender[[#This Row],[Monat]]/3,0)</f>
        <v>2</v>
      </c>
      <c r="I1636" t="str">
        <f>"Q "&amp;tbl_Kalender[[#This Row],[Quartal]]</f>
        <v>Q 2</v>
      </c>
      <c r="J1636" t="str">
        <f>tbl_Kalender[[#This Row],[Quartal]]&amp;". Quartal"</f>
        <v>2. Quartal</v>
      </c>
      <c r="K1636">
        <f>_xlfn.ISOWEEKNUM(tbl_Kalender[[#This Row],[Datum]])</f>
        <v>25</v>
      </c>
    </row>
    <row r="1637" spans="1:11" x14ac:dyDescent="0.25">
      <c r="A1637" s="1">
        <v>46927</v>
      </c>
      <c r="B1637">
        <f>YEAR(tbl_Kalender[[#This Row],[Datum]])</f>
        <v>2028</v>
      </c>
      <c r="C1637">
        <f>DAY(tbl_Kalender[[#This Row],[Datum]])</f>
        <v>23</v>
      </c>
      <c r="D1637" t="str">
        <f>TEXT(tbl_Kalender[[#This Row],[Datum]],"TTTT")</f>
        <v>Freitag</v>
      </c>
      <c r="E1637">
        <f>WEEKDAY(tbl_Kalender[[#This Row],[Datum]],2)</f>
        <v>5</v>
      </c>
      <c r="F1637">
        <f>MONTH(tbl_Kalender[[#This Row],[Datum]])</f>
        <v>6</v>
      </c>
      <c r="G1637" t="str">
        <f>TEXT(tbl_Kalender[[#This Row],[Datum]],"MMMM")</f>
        <v>Juni</v>
      </c>
      <c r="H1637">
        <f>ROUNDUP(tbl_Kalender[[#This Row],[Monat]]/3,0)</f>
        <v>2</v>
      </c>
      <c r="I1637" t="str">
        <f>"Q "&amp;tbl_Kalender[[#This Row],[Quartal]]</f>
        <v>Q 2</v>
      </c>
      <c r="J1637" t="str">
        <f>tbl_Kalender[[#This Row],[Quartal]]&amp;". Quartal"</f>
        <v>2. Quartal</v>
      </c>
      <c r="K1637">
        <f>_xlfn.ISOWEEKNUM(tbl_Kalender[[#This Row],[Datum]])</f>
        <v>25</v>
      </c>
    </row>
    <row r="1638" spans="1:11" x14ac:dyDescent="0.25">
      <c r="A1638" s="1">
        <v>46928</v>
      </c>
      <c r="B1638">
        <f>YEAR(tbl_Kalender[[#This Row],[Datum]])</f>
        <v>2028</v>
      </c>
      <c r="C1638">
        <f>DAY(tbl_Kalender[[#This Row],[Datum]])</f>
        <v>24</v>
      </c>
      <c r="D1638" t="str">
        <f>TEXT(tbl_Kalender[[#This Row],[Datum]],"TTTT")</f>
        <v>Samstag</v>
      </c>
      <c r="E1638">
        <f>WEEKDAY(tbl_Kalender[[#This Row],[Datum]],2)</f>
        <v>6</v>
      </c>
      <c r="F1638">
        <f>MONTH(tbl_Kalender[[#This Row],[Datum]])</f>
        <v>6</v>
      </c>
      <c r="G1638" t="str">
        <f>TEXT(tbl_Kalender[[#This Row],[Datum]],"MMMM")</f>
        <v>Juni</v>
      </c>
      <c r="H1638">
        <f>ROUNDUP(tbl_Kalender[[#This Row],[Monat]]/3,0)</f>
        <v>2</v>
      </c>
      <c r="I1638" t="str">
        <f>"Q "&amp;tbl_Kalender[[#This Row],[Quartal]]</f>
        <v>Q 2</v>
      </c>
      <c r="J1638" t="str">
        <f>tbl_Kalender[[#This Row],[Quartal]]&amp;". Quartal"</f>
        <v>2. Quartal</v>
      </c>
      <c r="K1638">
        <f>_xlfn.ISOWEEKNUM(tbl_Kalender[[#This Row],[Datum]])</f>
        <v>25</v>
      </c>
    </row>
    <row r="1639" spans="1:11" x14ac:dyDescent="0.25">
      <c r="A1639" s="1">
        <v>46929</v>
      </c>
      <c r="B1639">
        <f>YEAR(tbl_Kalender[[#This Row],[Datum]])</f>
        <v>2028</v>
      </c>
      <c r="C1639">
        <f>DAY(tbl_Kalender[[#This Row],[Datum]])</f>
        <v>25</v>
      </c>
      <c r="D1639" t="str">
        <f>TEXT(tbl_Kalender[[#This Row],[Datum]],"TTTT")</f>
        <v>Sonntag</v>
      </c>
      <c r="E1639">
        <f>WEEKDAY(tbl_Kalender[[#This Row],[Datum]],2)</f>
        <v>7</v>
      </c>
      <c r="F1639">
        <f>MONTH(tbl_Kalender[[#This Row],[Datum]])</f>
        <v>6</v>
      </c>
      <c r="G1639" t="str">
        <f>TEXT(tbl_Kalender[[#This Row],[Datum]],"MMMM")</f>
        <v>Juni</v>
      </c>
      <c r="H1639">
        <f>ROUNDUP(tbl_Kalender[[#This Row],[Monat]]/3,0)</f>
        <v>2</v>
      </c>
      <c r="I1639" t="str">
        <f>"Q "&amp;tbl_Kalender[[#This Row],[Quartal]]</f>
        <v>Q 2</v>
      </c>
      <c r="J1639" t="str">
        <f>tbl_Kalender[[#This Row],[Quartal]]&amp;". Quartal"</f>
        <v>2. Quartal</v>
      </c>
      <c r="K1639">
        <f>_xlfn.ISOWEEKNUM(tbl_Kalender[[#This Row],[Datum]])</f>
        <v>25</v>
      </c>
    </row>
    <row r="1640" spans="1:11" x14ac:dyDescent="0.25">
      <c r="A1640" s="1">
        <v>46930</v>
      </c>
      <c r="B1640">
        <f>YEAR(tbl_Kalender[[#This Row],[Datum]])</f>
        <v>2028</v>
      </c>
      <c r="C1640">
        <f>DAY(tbl_Kalender[[#This Row],[Datum]])</f>
        <v>26</v>
      </c>
      <c r="D1640" t="str">
        <f>TEXT(tbl_Kalender[[#This Row],[Datum]],"TTTT")</f>
        <v>Montag</v>
      </c>
      <c r="E1640">
        <f>WEEKDAY(tbl_Kalender[[#This Row],[Datum]],2)</f>
        <v>1</v>
      </c>
      <c r="F1640">
        <f>MONTH(tbl_Kalender[[#This Row],[Datum]])</f>
        <v>6</v>
      </c>
      <c r="G1640" t="str">
        <f>TEXT(tbl_Kalender[[#This Row],[Datum]],"MMMM")</f>
        <v>Juni</v>
      </c>
      <c r="H1640">
        <f>ROUNDUP(tbl_Kalender[[#This Row],[Monat]]/3,0)</f>
        <v>2</v>
      </c>
      <c r="I1640" t="str">
        <f>"Q "&amp;tbl_Kalender[[#This Row],[Quartal]]</f>
        <v>Q 2</v>
      </c>
      <c r="J1640" t="str">
        <f>tbl_Kalender[[#This Row],[Quartal]]&amp;". Quartal"</f>
        <v>2. Quartal</v>
      </c>
      <c r="K1640">
        <f>_xlfn.ISOWEEKNUM(tbl_Kalender[[#This Row],[Datum]])</f>
        <v>26</v>
      </c>
    </row>
    <row r="1641" spans="1:11" x14ac:dyDescent="0.25">
      <c r="A1641" s="1">
        <v>46931</v>
      </c>
      <c r="B1641">
        <f>YEAR(tbl_Kalender[[#This Row],[Datum]])</f>
        <v>2028</v>
      </c>
      <c r="C1641">
        <f>DAY(tbl_Kalender[[#This Row],[Datum]])</f>
        <v>27</v>
      </c>
      <c r="D1641" t="str">
        <f>TEXT(tbl_Kalender[[#This Row],[Datum]],"TTTT")</f>
        <v>Dienstag</v>
      </c>
      <c r="E1641">
        <f>WEEKDAY(tbl_Kalender[[#This Row],[Datum]],2)</f>
        <v>2</v>
      </c>
      <c r="F1641">
        <f>MONTH(tbl_Kalender[[#This Row],[Datum]])</f>
        <v>6</v>
      </c>
      <c r="G1641" t="str">
        <f>TEXT(tbl_Kalender[[#This Row],[Datum]],"MMMM")</f>
        <v>Juni</v>
      </c>
      <c r="H1641">
        <f>ROUNDUP(tbl_Kalender[[#This Row],[Monat]]/3,0)</f>
        <v>2</v>
      </c>
      <c r="I1641" t="str">
        <f>"Q "&amp;tbl_Kalender[[#This Row],[Quartal]]</f>
        <v>Q 2</v>
      </c>
      <c r="J1641" t="str">
        <f>tbl_Kalender[[#This Row],[Quartal]]&amp;". Quartal"</f>
        <v>2. Quartal</v>
      </c>
      <c r="K1641">
        <f>_xlfn.ISOWEEKNUM(tbl_Kalender[[#This Row],[Datum]])</f>
        <v>26</v>
      </c>
    </row>
    <row r="1642" spans="1:11" x14ac:dyDescent="0.25">
      <c r="A1642" s="1">
        <v>46932</v>
      </c>
      <c r="B1642">
        <f>YEAR(tbl_Kalender[[#This Row],[Datum]])</f>
        <v>2028</v>
      </c>
      <c r="C1642">
        <f>DAY(tbl_Kalender[[#This Row],[Datum]])</f>
        <v>28</v>
      </c>
      <c r="D1642" t="str">
        <f>TEXT(tbl_Kalender[[#This Row],[Datum]],"TTTT")</f>
        <v>Mittwoch</v>
      </c>
      <c r="E1642">
        <f>WEEKDAY(tbl_Kalender[[#This Row],[Datum]],2)</f>
        <v>3</v>
      </c>
      <c r="F1642">
        <f>MONTH(tbl_Kalender[[#This Row],[Datum]])</f>
        <v>6</v>
      </c>
      <c r="G1642" t="str">
        <f>TEXT(tbl_Kalender[[#This Row],[Datum]],"MMMM")</f>
        <v>Juni</v>
      </c>
      <c r="H1642">
        <f>ROUNDUP(tbl_Kalender[[#This Row],[Monat]]/3,0)</f>
        <v>2</v>
      </c>
      <c r="I1642" t="str">
        <f>"Q "&amp;tbl_Kalender[[#This Row],[Quartal]]</f>
        <v>Q 2</v>
      </c>
      <c r="J1642" t="str">
        <f>tbl_Kalender[[#This Row],[Quartal]]&amp;". Quartal"</f>
        <v>2. Quartal</v>
      </c>
      <c r="K1642">
        <f>_xlfn.ISOWEEKNUM(tbl_Kalender[[#This Row],[Datum]])</f>
        <v>26</v>
      </c>
    </row>
    <row r="1643" spans="1:11" x14ac:dyDescent="0.25">
      <c r="A1643" s="1">
        <v>46933</v>
      </c>
      <c r="B1643">
        <f>YEAR(tbl_Kalender[[#This Row],[Datum]])</f>
        <v>2028</v>
      </c>
      <c r="C1643">
        <f>DAY(tbl_Kalender[[#This Row],[Datum]])</f>
        <v>29</v>
      </c>
      <c r="D1643" t="str">
        <f>TEXT(tbl_Kalender[[#This Row],[Datum]],"TTTT")</f>
        <v>Donnerstag</v>
      </c>
      <c r="E1643">
        <f>WEEKDAY(tbl_Kalender[[#This Row],[Datum]],2)</f>
        <v>4</v>
      </c>
      <c r="F1643">
        <f>MONTH(tbl_Kalender[[#This Row],[Datum]])</f>
        <v>6</v>
      </c>
      <c r="G1643" t="str">
        <f>TEXT(tbl_Kalender[[#This Row],[Datum]],"MMMM")</f>
        <v>Juni</v>
      </c>
      <c r="H1643">
        <f>ROUNDUP(tbl_Kalender[[#This Row],[Monat]]/3,0)</f>
        <v>2</v>
      </c>
      <c r="I1643" t="str">
        <f>"Q "&amp;tbl_Kalender[[#This Row],[Quartal]]</f>
        <v>Q 2</v>
      </c>
      <c r="J1643" t="str">
        <f>tbl_Kalender[[#This Row],[Quartal]]&amp;". Quartal"</f>
        <v>2. Quartal</v>
      </c>
      <c r="K1643">
        <f>_xlfn.ISOWEEKNUM(tbl_Kalender[[#This Row],[Datum]])</f>
        <v>26</v>
      </c>
    </row>
    <row r="1644" spans="1:11" x14ac:dyDescent="0.25">
      <c r="A1644" s="1">
        <v>46934</v>
      </c>
      <c r="B1644">
        <f>YEAR(tbl_Kalender[[#This Row],[Datum]])</f>
        <v>2028</v>
      </c>
      <c r="C1644">
        <f>DAY(tbl_Kalender[[#This Row],[Datum]])</f>
        <v>30</v>
      </c>
      <c r="D1644" t="str">
        <f>TEXT(tbl_Kalender[[#This Row],[Datum]],"TTTT")</f>
        <v>Freitag</v>
      </c>
      <c r="E1644">
        <f>WEEKDAY(tbl_Kalender[[#This Row],[Datum]],2)</f>
        <v>5</v>
      </c>
      <c r="F1644">
        <f>MONTH(tbl_Kalender[[#This Row],[Datum]])</f>
        <v>6</v>
      </c>
      <c r="G1644" t="str">
        <f>TEXT(tbl_Kalender[[#This Row],[Datum]],"MMMM")</f>
        <v>Juni</v>
      </c>
      <c r="H1644">
        <f>ROUNDUP(tbl_Kalender[[#This Row],[Monat]]/3,0)</f>
        <v>2</v>
      </c>
      <c r="I1644" t="str">
        <f>"Q "&amp;tbl_Kalender[[#This Row],[Quartal]]</f>
        <v>Q 2</v>
      </c>
      <c r="J1644" t="str">
        <f>tbl_Kalender[[#This Row],[Quartal]]&amp;". Quartal"</f>
        <v>2. Quartal</v>
      </c>
      <c r="K1644">
        <f>_xlfn.ISOWEEKNUM(tbl_Kalender[[#This Row],[Datum]])</f>
        <v>26</v>
      </c>
    </row>
    <row r="1645" spans="1:11" x14ac:dyDescent="0.25">
      <c r="A1645" s="1">
        <v>46935</v>
      </c>
      <c r="B1645">
        <f>YEAR(tbl_Kalender[[#This Row],[Datum]])</f>
        <v>2028</v>
      </c>
      <c r="C1645">
        <f>DAY(tbl_Kalender[[#This Row],[Datum]])</f>
        <v>1</v>
      </c>
      <c r="D1645" t="str">
        <f>TEXT(tbl_Kalender[[#This Row],[Datum]],"TTTT")</f>
        <v>Samstag</v>
      </c>
      <c r="E1645">
        <f>WEEKDAY(tbl_Kalender[[#This Row],[Datum]],2)</f>
        <v>6</v>
      </c>
      <c r="F1645">
        <f>MONTH(tbl_Kalender[[#This Row],[Datum]])</f>
        <v>7</v>
      </c>
      <c r="G1645" t="str">
        <f>TEXT(tbl_Kalender[[#This Row],[Datum]],"MMMM")</f>
        <v>Juli</v>
      </c>
      <c r="H1645">
        <f>ROUNDUP(tbl_Kalender[[#This Row],[Monat]]/3,0)</f>
        <v>3</v>
      </c>
      <c r="I1645" t="str">
        <f>"Q "&amp;tbl_Kalender[[#This Row],[Quartal]]</f>
        <v>Q 3</v>
      </c>
      <c r="J1645" t="str">
        <f>tbl_Kalender[[#This Row],[Quartal]]&amp;". Quartal"</f>
        <v>3. Quartal</v>
      </c>
      <c r="K1645">
        <f>_xlfn.ISOWEEKNUM(tbl_Kalender[[#This Row],[Datum]])</f>
        <v>26</v>
      </c>
    </row>
    <row r="1646" spans="1:11" x14ac:dyDescent="0.25">
      <c r="A1646" s="1">
        <v>46936</v>
      </c>
      <c r="B1646">
        <f>YEAR(tbl_Kalender[[#This Row],[Datum]])</f>
        <v>2028</v>
      </c>
      <c r="C1646">
        <f>DAY(tbl_Kalender[[#This Row],[Datum]])</f>
        <v>2</v>
      </c>
      <c r="D1646" t="str">
        <f>TEXT(tbl_Kalender[[#This Row],[Datum]],"TTTT")</f>
        <v>Sonntag</v>
      </c>
      <c r="E1646">
        <f>WEEKDAY(tbl_Kalender[[#This Row],[Datum]],2)</f>
        <v>7</v>
      </c>
      <c r="F1646">
        <f>MONTH(tbl_Kalender[[#This Row],[Datum]])</f>
        <v>7</v>
      </c>
      <c r="G1646" t="str">
        <f>TEXT(tbl_Kalender[[#This Row],[Datum]],"MMMM")</f>
        <v>Juli</v>
      </c>
      <c r="H1646">
        <f>ROUNDUP(tbl_Kalender[[#This Row],[Monat]]/3,0)</f>
        <v>3</v>
      </c>
      <c r="I1646" t="str">
        <f>"Q "&amp;tbl_Kalender[[#This Row],[Quartal]]</f>
        <v>Q 3</v>
      </c>
      <c r="J1646" t="str">
        <f>tbl_Kalender[[#This Row],[Quartal]]&amp;". Quartal"</f>
        <v>3. Quartal</v>
      </c>
      <c r="K1646">
        <f>_xlfn.ISOWEEKNUM(tbl_Kalender[[#This Row],[Datum]])</f>
        <v>26</v>
      </c>
    </row>
    <row r="1647" spans="1:11" x14ac:dyDescent="0.25">
      <c r="A1647" s="1">
        <v>46937</v>
      </c>
      <c r="B1647">
        <f>YEAR(tbl_Kalender[[#This Row],[Datum]])</f>
        <v>2028</v>
      </c>
      <c r="C1647">
        <f>DAY(tbl_Kalender[[#This Row],[Datum]])</f>
        <v>3</v>
      </c>
      <c r="D1647" t="str">
        <f>TEXT(tbl_Kalender[[#This Row],[Datum]],"TTTT")</f>
        <v>Montag</v>
      </c>
      <c r="E1647">
        <f>WEEKDAY(tbl_Kalender[[#This Row],[Datum]],2)</f>
        <v>1</v>
      </c>
      <c r="F1647">
        <f>MONTH(tbl_Kalender[[#This Row],[Datum]])</f>
        <v>7</v>
      </c>
      <c r="G1647" t="str">
        <f>TEXT(tbl_Kalender[[#This Row],[Datum]],"MMMM")</f>
        <v>Juli</v>
      </c>
      <c r="H1647">
        <f>ROUNDUP(tbl_Kalender[[#This Row],[Monat]]/3,0)</f>
        <v>3</v>
      </c>
      <c r="I1647" t="str">
        <f>"Q "&amp;tbl_Kalender[[#This Row],[Quartal]]</f>
        <v>Q 3</v>
      </c>
      <c r="J1647" t="str">
        <f>tbl_Kalender[[#This Row],[Quartal]]&amp;". Quartal"</f>
        <v>3. Quartal</v>
      </c>
      <c r="K1647">
        <f>_xlfn.ISOWEEKNUM(tbl_Kalender[[#This Row],[Datum]])</f>
        <v>27</v>
      </c>
    </row>
    <row r="1648" spans="1:11" x14ac:dyDescent="0.25">
      <c r="A1648" s="1">
        <v>46938</v>
      </c>
      <c r="B1648">
        <f>YEAR(tbl_Kalender[[#This Row],[Datum]])</f>
        <v>2028</v>
      </c>
      <c r="C1648">
        <f>DAY(tbl_Kalender[[#This Row],[Datum]])</f>
        <v>4</v>
      </c>
      <c r="D1648" t="str">
        <f>TEXT(tbl_Kalender[[#This Row],[Datum]],"TTTT")</f>
        <v>Dienstag</v>
      </c>
      <c r="E1648">
        <f>WEEKDAY(tbl_Kalender[[#This Row],[Datum]],2)</f>
        <v>2</v>
      </c>
      <c r="F1648">
        <f>MONTH(tbl_Kalender[[#This Row],[Datum]])</f>
        <v>7</v>
      </c>
      <c r="G1648" t="str">
        <f>TEXT(tbl_Kalender[[#This Row],[Datum]],"MMMM")</f>
        <v>Juli</v>
      </c>
      <c r="H1648">
        <f>ROUNDUP(tbl_Kalender[[#This Row],[Monat]]/3,0)</f>
        <v>3</v>
      </c>
      <c r="I1648" t="str">
        <f>"Q "&amp;tbl_Kalender[[#This Row],[Quartal]]</f>
        <v>Q 3</v>
      </c>
      <c r="J1648" t="str">
        <f>tbl_Kalender[[#This Row],[Quartal]]&amp;". Quartal"</f>
        <v>3. Quartal</v>
      </c>
      <c r="K1648">
        <f>_xlfn.ISOWEEKNUM(tbl_Kalender[[#This Row],[Datum]])</f>
        <v>27</v>
      </c>
    </row>
    <row r="1649" spans="1:11" x14ac:dyDescent="0.25">
      <c r="A1649" s="1">
        <v>46939</v>
      </c>
      <c r="B1649">
        <f>YEAR(tbl_Kalender[[#This Row],[Datum]])</f>
        <v>2028</v>
      </c>
      <c r="C1649">
        <f>DAY(tbl_Kalender[[#This Row],[Datum]])</f>
        <v>5</v>
      </c>
      <c r="D1649" t="str">
        <f>TEXT(tbl_Kalender[[#This Row],[Datum]],"TTTT")</f>
        <v>Mittwoch</v>
      </c>
      <c r="E1649">
        <f>WEEKDAY(tbl_Kalender[[#This Row],[Datum]],2)</f>
        <v>3</v>
      </c>
      <c r="F1649">
        <f>MONTH(tbl_Kalender[[#This Row],[Datum]])</f>
        <v>7</v>
      </c>
      <c r="G1649" t="str">
        <f>TEXT(tbl_Kalender[[#This Row],[Datum]],"MMMM")</f>
        <v>Juli</v>
      </c>
      <c r="H1649">
        <f>ROUNDUP(tbl_Kalender[[#This Row],[Monat]]/3,0)</f>
        <v>3</v>
      </c>
      <c r="I1649" t="str">
        <f>"Q "&amp;tbl_Kalender[[#This Row],[Quartal]]</f>
        <v>Q 3</v>
      </c>
      <c r="J1649" t="str">
        <f>tbl_Kalender[[#This Row],[Quartal]]&amp;". Quartal"</f>
        <v>3. Quartal</v>
      </c>
      <c r="K1649">
        <f>_xlfn.ISOWEEKNUM(tbl_Kalender[[#This Row],[Datum]])</f>
        <v>27</v>
      </c>
    </row>
    <row r="1650" spans="1:11" x14ac:dyDescent="0.25">
      <c r="A1650" s="1">
        <v>46940</v>
      </c>
      <c r="B1650">
        <f>YEAR(tbl_Kalender[[#This Row],[Datum]])</f>
        <v>2028</v>
      </c>
      <c r="C1650">
        <f>DAY(tbl_Kalender[[#This Row],[Datum]])</f>
        <v>6</v>
      </c>
      <c r="D1650" t="str">
        <f>TEXT(tbl_Kalender[[#This Row],[Datum]],"TTTT")</f>
        <v>Donnerstag</v>
      </c>
      <c r="E1650">
        <f>WEEKDAY(tbl_Kalender[[#This Row],[Datum]],2)</f>
        <v>4</v>
      </c>
      <c r="F1650">
        <f>MONTH(tbl_Kalender[[#This Row],[Datum]])</f>
        <v>7</v>
      </c>
      <c r="G1650" t="str">
        <f>TEXT(tbl_Kalender[[#This Row],[Datum]],"MMMM")</f>
        <v>Juli</v>
      </c>
      <c r="H1650">
        <f>ROUNDUP(tbl_Kalender[[#This Row],[Monat]]/3,0)</f>
        <v>3</v>
      </c>
      <c r="I1650" t="str">
        <f>"Q "&amp;tbl_Kalender[[#This Row],[Quartal]]</f>
        <v>Q 3</v>
      </c>
      <c r="J1650" t="str">
        <f>tbl_Kalender[[#This Row],[Quartal]]&amp;". Quartal"</f>
        <v>3. Quartal</v>
      </c>
      <c r="K1650">
        <f>_xlfn.ISOWEEKNUM(tbl_Kalender[[#This Row],[Datum]])</f>
        <v>27</v>
      </c>
    </row>
    <row r="1651" spans="1:11" x14ac:dyDescent="0.25">
      <c r="A1651" s="1">
        <v>46941</v>
      </c>
      <c r="B1651">
        <f>YEAR(tbl_Kalender[[#This Row],[Datum]])</f>
        <v>2028</v>
      </c>
      <c r="C1651">
        <f>DAY(tbl_Kalender[[#This Row],[Datum]])</f>
        <v>7</v>
      </c>
      <c r="D1651" t="str">
        <f>TEXT(tbl_Kalender[[#This Row],[Datum]],"TTTT")</f>
        <v>Freitag</v>
      </c>
      <c r="E1651">
        <f>WEEKDAY(tbl_Kalender[[#This Row],[Datum]],2)</f>
        <v>5</v>
      </c>
      <c r="F1651">
        <f>MONTH(tbl_Kalender[[#This Row],[Datum]])</f>
        <v>7</v>
      </c>
      <c r="G1651" t="str">
        <f>TEXT(tbl_Kalender[[#This Row],[Datum]],"MMMM")</f>
        <v>Juli</v>
      </c>
      <c r="H1651">
        <f>ROUNDUP(tbl_Kalender[[#This Row],[Monat]]/3,0)</f>
        <v>3</v>
      </c>
      <c r="I1651" t="str">
        <f>"Q "&amp;tbl_Kalender[[#This Row],[Quartal]]</f>
        <v>Q 3</v>
      </c>
      <c r="J1651" t="str">
        <f>tbl_Kalender[[#This Row],[Quartal]]&amp;". Quartal"</f>
        <v>3. Quartal</v>
      </c>
      <c r="K1651">
        <f>_xlfn.ISOWEEKNUM(tbl_Kalender[[#This Row],[Datum]])</f>
        <v>27</v>
      </c>
    </row>
    <row r="1652" spans="1:11" x14ac:dyDescent="0.25">
      <c r="A1652" s="1">
        <v>46942</v>
      </c>
      <c r="B1652">
        <f>YEAR(tbl_Kalender[[#This Row],[Datum]])</f>
        <v>2028</v>
      </c>
      <c r="C1652">
        <f>DAY(tbl_Kalender[[#This Row],[Datum]])</f>
        <v>8</v>
      </c>
      <c r="D1652" t="str">
        <f>TEXT(tbl_Kalender[[#This Row],[Datum]],"TTTT")</f>
        <v>Samstag</v>
      </c>
      <c r="E1652">
        <f>WEEKDAY(tbl_Kalender[[#This Row],[Datum]],2)</f>
        <v>6</v>
      </c>
      <c r="F1652">
        <f>MONTH(tbl_Kalender[[#This Row],[Datum]])</f>
        <v>7</v>
      </c>
      <c r="G1652" t="str">
        <f>TEXT(tbl_Kalender[[#This Row],[Datum]],"MMMM")</f>
        <v>Juli</v>
      </c>
      <c r="H1652">
        <f>ROUNDUP(tbl_Kalender[[#This Row],[Monat]]/3,0)</f>
        <v>3</v>
      </c>
      <c r="I1652" t="str">
        <f>"Q "&amp;tbl_Kalender[[#This Row],[Quartal]]</f>
        <v>Q 3</v>
      </c>
      <c r="J1652" t="str">
        <f>tbl_Kalender[[#This Row],[Quartal]]&amp;". Quartal"</f>
        <v>3. Quartal</v>
      </c>
      <c r="K1652">
        <f>_xlfn.ISOWEEKNUM(tbl_Kalender[[#This Row],[Datum]])</f>
        <v>27</v>
      </c>
    </row>
    <row r="1653" spans="1:11" x14ac:dyDescent="0.25">
      <c r="A1653" s="1">
        <v>46943</v>
      </c>
      <c r="B1653">
        <f>YEAR(tbl_Kalender[[#This Row],[Datum]])</f>
        <v>2028</v>
      </c>
      <c r="C1653">
        <f>DAY(tbl_Kalender[[#This Row],[Datum]])</f>
        <v>9</v>
      </c>
      <c r="D1653" t="str">
        <f>TEXT(tbl_Kalender[[#This Row],[Datum]],"TTTT")</f>
        <v>Sonntag</v>
      </c>
      <c r="E1653">
        <f>WEEKDAY(tbl_Kalender[[#This Row],[Datum]],2)</f>
        <v>7</v>
      </c>
      <c r="F1653">
        <f>MONTH(tbl_Kalender[[#This Row],[Datum]])</f>
        <v>7</v>
      </c>
      <c r="G1653" t="str">
        <f>TEXT(tbl_Kalender[[#This Row],[Datum]],"MMMM")</f>
        <v>Juli</v>
      </c>
      <c r="H1653">
        <f>ROUNDUP(tbl_Kalender[[#This Row],[Monat]]/3,0)</f>
        <v>3</v>
      </c>
      <c r="I1653" t="str">
        <f>"Q "&amp;tbl_Kalender[[#This Row],[Quartal]]</f>
        <v>Q 3</v>
      </c>
      <c r="J1653" t="str">
        <f>tbl_Kalender[[#This Row],[Quartal]]&amp;". Quartal"</f>
        <v>3. Quartal</v>
      </c>
      <c r="K1653">
        <f>_xlfn.ISOWEEKNUM(tbl_Kalender[[#This Row],[Datum]])</f>
        <v>27</v>
      </c>
    </row>
    <row r="1654" spans="1:11" x14ac:dyDescent="0.25">
      <c r="A1654" s="1">
        <v>46944</v>
      </c>
      <c r="B1654">
        <f>YEAR(tbl_Kalender[[#This Row],[Datum]])</f>
        <v>2028</v>
      </c>
      <c r="C1654">
        <f>DAY(tbl_Kalender[[#This Row],[Datum]])</f>
        <v>10</v>
      </c>
      <c r="D1654" t="str">
        <f>TEXT(tbl_Kalender[[#This Row],[Datum]],"TTTT")</f>
        <v>Montag</v>
      </c>
      <c r="E1654">
        <f>WEEKDAY(tbl_Kalender[[#This Row],[Datum]],2)</f>
        <v>1</v>
      </c>
      <c r="F1654">
        <f>MONTH(tbl_Kalender[[#This Row],[Datum]])</f>
        <v>7</v>
      </c>
      <c r="G1654" t="str">
        <f>TEXT(tbl_Kalender[[#This Row],[Datum]],"MMMM")</f>
        <v>Juli</v>
      </c>
      <c r="H1654">
        <f>ROUNDUP(tbl_Kalender[[#This Row],[Monat]]/3,0)</f>
        <v>3</v>
      </c>
      <c r="I1654" t="str">
        <f>"Q "&amp;tbl_Kalender[[#This Row],[Quartal]]</f>
        <v>Q 3</v>
      </c>
      <c r="J1654" t="str">
        <f>tbl_Kalender[[#This Row],[Quartal]]&amp;". Quartal"</f>
        <v>3. Quartal</v>
      </c>
      <c r="K1654">
        <f>_xlfn.ISOWEEKNUM(tbl_Kalender[[#This Row],[Datum]])</f>
        <v>28</v>
      </c>
    </row>
    <row r="1655" spans="1:11" x14ac:dyDescent="0.25">
      <c r="A1655" s="1">
        <v>46945</v>
      </c>
      <c r="B1655">
        <f>YEAR(tbl_Kalender[[#This Row],[Datum]])</f>
        <v>2028</v>
      </c>
      <c r="C1655">
        <f>DAY(tbl_Kalender[[#This Row],[Datum]])</f>
        <v>11</v>
      </c>
      <c r="D1655" t="str">
        <f>TEXT(tbl_Kalender[[#This Row],[Datum]],"TTTT")</f>
        <v>Dienstag</v>
      </c>
      <c r="E1655">
        <f>WEEKDAY(tbl_Kalender[[#This Row],[Datum]],2)</f>
        <v>2</v>
      </c>
      <c r="F1655">
        <f>MONTH(tbl_Kalender[[#This Row],[Datum]])</f>
        <v>7</v>
      </c>
      <c r="G1655" t="str">
        <f>TEXT(tbl_Kalender[[#This Row],[Datum]],"MMMM")</f>
        <v>Juli</v>
      </c>
      <c r="H1655">
        <f>ROUNDUP(tbl_Kalender[[#This Row],[Monat]]/3,0)</f>
        <v>3</v>
      </c>
      <c r="I1655" t="str">
        <f>"Q "&amp;tbl_Kalender[[#This Row],[Quartal]]</f>
        <v>Q 3</v>
      </c>
      <c r="J1655" t="str">
        <f>tbl_Kalender[[#This Row],[Quartal]]&amp;". Quartal"</f>
        <v>3. Quartal</v>
      </c>
      <c r="K1655">
        <f>_xlfn.ISOWEEKNUM(tbl_Kalender[[#This Row],[Datum]])</f>
        <v>28</v>
      </c>
    </row>
    <row r="1656" spans="1:11" x14ac:dyDescent="0.25">
      <c r="A1656" s="1">
        <v>46946</v>
      </c>
      <c r="B1656">
        <f>YEAR(tbl_Kalender[[#This Row],[Datum]])</f>
        <v>2028</v>
      </c>
      <c r="C1656">
        <f>DAY(tbl_Kalender[[#This Row],[Datum]])</f>
        <v>12</v>
      </c>
      <c r="D1656" t="str">
        <f>TEXT(tbl_Kalender[[#This Row],[Datum]],"TTTT")</f>
        <v>Mittwoch</v>
      </c>
      <c r="E1656">
        <f>WEEKDAY(tbl_Kalender[[#This Row],[Datum]],2)</f>
        <v>3</v>
      </c>
      <c r="F1656">
        <f>MONTH(tbl_Kalender[[#This Row],[Datum]])</f>
        <v>7</v>
      </c>
      <c r="G1656" t="str">
        <f>TEXT(tbl_Kalender[[#This Row],[Datum]],"MMMM")</f>
        <v>Juli</v>
      </c>
      <c r="H1656">
        <f>ROUNDUP(tbl_Kalender[[#This Row],[Monat]]/3,0)</f>
        <v>3</v>
      </c>
      <c r="I1656" t="str">
        <f>"Q "&amp;tbl_Kalender[[#This Row],[Quartal]]</f>
        <v>Q 3</v>
      </c>
      <c r="J1656" t="str">
        <f>tbl_Kalender[[#This Row],[Quartal]]&amp;". Quartal"</f>
        <v>3. Quartal</v>
      </c>
      <c r="K1656">
        <f>_xlfn.ISOWEEKNUM(tbl_Kalender[[#This Row],[Datum]])</f>
        <v>28</v>
      </c>
    </row>
    <row r="1657" spans="1:11" x14ac:dyDescent="0.25">
      <c r="A1657" s="1">
        <v>46947</v>
      </c>
      <c r="B1657">
        <f>YEAR(tbl_Kalender[[#This Row],[Datum]])</f>
        <v>2028</v>
      </c>
      <c r="C1657">
        <f>DAY(tbl_Kalender[[#This Row],[Datum]])</f>
        <v>13</v>
      </c>
      <c r="D1657" t="str">
        <f>TEXT(tbl_Kalender[[#This Row],[Datum]],"TTTT")</f>
        <v>Donnerstag</v>
      </c>
      <c r="E1657">
        <f>WEEKDAY(tbl_Kalender[[#This Row],[Datum]],2)</f>
        <v>4</v>
      </c>
      <c r="F1657">
        <f>MONTH(tbl_Kalender[[#This Row],[Datum]])</f>
        <v>7</v>
      </c>
      <c r="G1657" t="str">
        <f>TEXT(tbl_Kalender[[#This Row],[Datum]],"MMMM")</f>
        <v>Juli</v>
      </c>
      <c r="H1657">
        <f>ROUNDUP(tbl_Kalender[[#This Row],[Monat]]/3,0)</f>
        <v>3</v>
      </c>
      <c r="I1657" t="str">
        <f>"Q "&amp;tbl_Kalender[[#This Row],[Quartal]]</f>
        <v>Q 3</v>
      </c>
      <c r="J1657" t="str">
        <f>tbl_Kalender[[#This Row],[Quartal]]&amp;". Quartal"</f>
        <v>3. Quartal</v>
      </c>
      <c r="K1657">
        <f>_xlfn.ISOWEEKNUM(tbl_Kalender[[#This Row],[Datum]])</f>
        <v>28</v>
      </c>
    </row>
    <row r="1658" spans="1:11" x14ac:dyDescent="0.25">
      <c r="A1658" s="1">
        <v>46948</v>
      </c>
      <c r="B1658">
        <f>YEAR(tbl_Kalender[[#This Row],[Datum]])</f>
        <v>2028</v>
      </c>
      <c r="C1658">
        <f>DAY(tbl_Kalender[[#This Row],[Datum]])</f>
        <v>14</v>
      </c>
      <c r="D1658" t="str">
        <f>TEXT(tbl_Kalender[[#This Row],[Datum]],"TTTT")</f>
        <v>Freitag</v>
      </c>
      <c r="E1658">
        <f>WEEKDAY(tbl_Kalender[[#This Row],[Datum]],2)</f>
        <v>5</v>
      </c>
      <c r="F1658">
        <f>MONTH(tbl_Kalender[[#This Row],[Datum]])</f>
        <v>7</v>
      </c>
      <c r="G1658" t="str">
        <f>TEXT(tbl_Kalender[[#This Row],[Datum]],"MMMM")</f>
        <v>Juli</v>
      </c>
      <c r="H1658">
        <f>ROUNDUP(tbl_Kalender[[#This Row],[Monat]]/3,0)</f>
        <v>3</v>
      </c>
      <c r="I1658" t="str">
        <f>"Q "&amp;tbl_Kalender[[#This Row],[Quartal]]</f>
        <v>Q 3</v>
      </c>
      <c r="J1658" t="str">
        <f>tbl_Kalender[[#This Row],[Quartal]]&amp;". Quartal"</f>
        <v>3. Quartal</v>
      </c>
      <c r="K1658">
        <f>_xlfn.ISOWEEKNUM(tbl_Kalender[[#This Row],[Datum]])</f>
        <v>28</v>
      </c>
    </row>
    <row r="1659" spans="1:11" x14ac:dyDescent="0.25">
      <c r="A1659" s="1">
        <v>46949</v>
      </c>
      <c r="B1659">
        <f>YEAR(tbl_Kalender[[#This Row],[Datum]])</f>
        <v>2028</v>
      </c>
      <c r="C1659">
        <f>DAY(tbl_Kalender[[#This Row],[Datum]])</f>
        <v>15</v>
      </c>
      <c r="D1659" t="str">
        <f>TEXT(tbl_Kalender[[#This Row],[Datum]],"TTTT")</f>
        <v>Samstag</v>
      </c>
      <c r="E1659">
        <f>WEEKDAY(tbl_Kalender[[#This Row],[Datum]],2)</f>
        <v>6</v>
      </c>
      <c r="F1659">
        <f>MONTH(tbl_Kalender[[#This Row],[Datum]])</f>
        <v>7</v>
      </c>
      <c r="G1659" t="str">
        <f>TEXT(tbl_Kalender[[#This Row],[Datum]],"MMMM")</f>
        <v>Juli</v>
      </c>
      <c r="H1659">
        <f>ROUNDUP(tbl_Kalender[[#This Row],[Monat]]/3,0)</f>
        <v>3</v>
      </c>
      <c r="I1659" t="str">
        <f>"Q "&amp;tbl_Kalender[[#This Row],[Quartal]]</f>
        <v>Q 3</v>
      </c>
      <c r="J1659" t="str">
        <f>tbl_Kalender[[#This Row],[Quartal]]&amp;". Quartal"</f>
        <v>3. Quartal</v>
      </c>
      <c r="K1659">
        <f>_xlfn.ISOWEEKNUM(tbl_Kalender[[#This Row],[Datum]])</f>
        <v>28</v>
      </c>
    </row>
    <row r="1660" spans="1:11" x14ac:dyDescent="0.25">
      <c r="A1660" s="1">
        <v>46950</v>
      </c>
      <c r="B1660">
        <f>YEAR(tbl_Kalender[[#This Row],[Datum]])</f>
        <v>2028</v>
      </c>
      <c r="C1660">
        <f>DAY(tbl_Kalender[[#This Row],[Datum]])</f>
        <v>16</v>
      </c>
      <c r="D1660" t="str">
        <f>TEXT(tbl_Kalender[[#This Row],[Datum]],"TTTT")</f>
        <v>Sonntag</v>
      </c>
      <c r="E1660">
        <f>WEEKDAY(tbl_Kalender[[#This Row],[Datum]],2)</f>
        <v>7</v>
      </c>
      <c r="F1660">
        <f>MONTH(tbl_Kalender[[#This Row],[Datum]])</f>
        <v>7</v>
      </c>
      <c r="G1660" t="str">
        <f>TEXT(tbl_Kalender[[#This Row],[Datum]],"MMMM")</f>
        <v>Juli</v>
      </c>
      <c r="H1660">
        <f>ROUNDUP(tbl_Kalender[[#This Row],[Monat]]/3,0)</f>
        <v>3</v>
      </c>
      <c r="I1660" t="str">
        <f>"Q "&amp;tbl_Kalender[[#This Row],[Quartal]]</f>
        <v>Q 3</v>
      </c>
      <c r="J1660" t="str">
        <f>tbl_Kalender[[#This Row],[Quartal]]&amp;". Quartal"</f>
        <v>3. Quartal</v>
      </c>
      <c r="K1660">
        <f>_xlfn.ISOWEEKNUM(tbl_Kalender[[#This Row],[Datum]])</f>
        <v>28</v>
      </c>
    </row>
    <row r="1661" spans="1:11" x14ac:dyDescent="0.25">
      <c r="A1661" s="1">
        <v>46951</v>
      </c>
      <c r="B1661">
        <f>YEAR(tbl_Kalender[[#This Row],[Datum]])</f>
        <v>2028</v>
      </c>
      <c r="C1661">
        <f>DAY(tbl_Kalender[[#This Row],[Datum]])</f>
        <v>17</v>
      </c>
      <c r="D1661" t="str">
        <f>TEXT(tbl_Kalender[[#This Row],[Datum]],"TTTT")</f>
        <v>Montag</v>
      </c>
      <c r="E1661">
        <f>WEEKDAY(tbl_Kalender[[#This Row],[Datum]],2)</f>
        <v>1</v>
      </c>
      <c r="F1661">
        <f>MONTH(tbl_Kalender[[#This Row],[Datum]])</f>
        <v>7</v>
      </c>
      <c r="G1661" t="str">
        <f>TEXT(tbl_Kalender[[#This Row],[Datum]],"MMMM")</f>
        <v>Juli</v>
      </c>
      <c r="H1661">
        <f>ROUNDUP(tbl_Kalender[[#This Row],[Monat]]/3,0)</f>
        <v>3</v>
      </c>
      <c r="I1661" t="str">
        <f>"Q "&amp;tbl_Kalender[[#This Row],[Quartal]]</f>
        <v>Q 3</v>
      </c>
      <c r="J1661" t="str">
        <f>tbl_Kalender[[#This Row],[Quartal]]&amp;". Quartal"</f>
        <v>3. Quartal</v>
      </c>
      <c r="K1661">
        <f>_xlfn.ISOWEEKNUM(tbl_Kalender[[#This Row],[Datum]])</f>
        <v>29</v>
      </c>
    </row>
    <row r="1662" spans="1:11" x14ac:dyDescent="0.25">
      <c r="A1662" s="1">
        <v>46952</v>
      </c>
      <c r="B1662">
        <f>YEAR(tbl_Kalender[[#This Row],[Datum]])</f>
        <v>2028</v>
      </c>
      <c r="C1662">
        <f>DAY(tbl_Kalender[[#This Row],[Datum]])</f>
        <v>18</v>
      </c>
      <c r="D1662" t="str">
        <f>TEXT(tbl_Kalender[[#This Row],[Datum]],"TTTT")</f>
        <v>Dienstag</v>
      </c>
      <c r="E1662">
        <f>WEEKDAY(tbl_Kalender[[#This Row],[Datum]],2)</f>
        <v>2</v>
      </c>
      <c r="F1662">
        <f>MONTH(tbl_Kalender[[#This Row],[Datum]])</f>
        <v>7</v>
      </c>
      <c r="G1662" t="str">
        <f>TEXT(tbl_Kalender[[#This Row],[Datum]],"MMMM")</f>
        <v>Juli</v>
      </c>
      <c r="H1662">
        <f>ROUNDUP(tbl_Kalender[[#This Row],[Monat]]/3,0)</f>
        <v>3</v>
      </c>
      <c r="I1662" t="str">
        <f>"Q "&amp;tbl_Kalender[[#This Row],[Quartal]]</f>
        <v>Q 3</v>
      </c>
      <c r="J1662" t="str">
        <f>tbl_Kalender[[#This Row],[Quartal]]&amp;". Quartal"</f>
        <v>3. Quartal</v>
      </c>
      <c r="K1662">
        <f>_xlfn.ISOWEEKNUM(tbl_Kalender[[#This Row],[Datum]])</f>
        <v>29</v>
      </c>
    </row>
    <row r="1663" spans="1:11" x14ac:dyDescent="0.25">
      <c r="A1663" s="1">
        <v>46953</v>
      </c>
      <c r="B1663">
        <f>YEAR(tbl_Kalender[[#This Row],[Datum]])</f>
        <v>2028</v>
      </c>
      <c r="C1663">
        <f>DAY(tbl_Kalender[[#This Row],[Datum]])</f>
        <v>19</v>
      </c>
      <c r="D1663" t="str">
        <f>TEXT(tbl_Kalender[[#This Row],[Datum]],"TTTT")</f>
        <v>Mittwoch</v>
      </c>
      <c r="E1663">
        <f>WEEKDAY(tbl_Kalender[[#This Row],[Datum]],2)</f>
        <v>3</v>
      </c>
      <c r="F1663">
        <f>MONTH(tbl_Kalender[[#This Row],[Datum]])</f>
        <v>7</v>
      </c>
      <c r="G1663" t="str">
        <f>TEXT(tbl_Kalender[[#This Row],[Datum]],"MMMM")</f>
        <v>Juli</v>
      </c>
      <c r="H1663">
        <f>ROUNDUP(tbl_Kalender[[#This Row],[Monat]]/3,0)</f>
        <v>3</v>
      </c>
      <c r="I1663" t="str">
        <f>"Q "&amp;tbl_Kalender[[#This Row],[Quartal]]</f>
        <v>Q 3</v>
      </c>
      <c r="J1663" t="str">
        <f>tbl_Kalender[[#This Row],[Quartal]]&amp;". Quartal"</f>
        <v>3. Quartal</v>
      </c>
      <c r="K1663">
        <f>_xlfn.ISOWEEKNUM(tbl_Kalender[[#This Row],[Datum]])</f>
        <v>29</v>
      </c>
    </row>
    <row r="1664" spans="1:11" x14ac:dyDescent="0.25">
      <c r="A1664" s="1">
        <v>46954</v>
      </c>
      <c r="B1664">
        <f>YEAR(tbl_Kalender[[#This Row],[Datum]])</f>
        <v>2028</v>
      </c>
      <c r="C1664">
        <f>DAY(tbl_Kalender[[#This Row],[Datum]])</f>
        <v>20</v>
      </c>
      <c r="D1664" t="str">
        <f>TEXT(tbl_Kalender[[#This Row],[Datum]],"TTTT")</f>
        <v>Donnerstag</v>
      </c>
      <c r="E1664">
        <f>WEEKDAY(tbl_Kalender[[#This Row],[Datum]],2)</f>
        <v>4</v>
      </c>
      <c r="F1664">
        <f>MONTH(tbl_Kalender[[#This Row],[Datum]])</f>
        <v>7</v>
      </c>
      <c r="G1664" t="str">
        <f>TEXT(tbl_Kalender[[#This Row],[Datum]],"MMMM")</f>
        <v>Juli</v>
      </c>
      <c r="H1664">
        <f>ROUNDUP(tbl_Kalender[[#This Row],[Monat]]/3,0)</f>
        <v>3</v>
      </c>
      <c r="I1664" t="str">
        <f>"Q "&amp;tbl_Kalender[[#This Row],[Quartal]]</f>
        <v>Q 3</v>
      </c>
      <c r="J1664" t="str">
        <f>tbl_Kalender[[#This Row],[Quartal]]&amp;". Quartal"</f>
        <v>3. Quartal</v>
      </c>
      <c r="K1664">
        <f>_xlfn.ISOWEEKNUM(tbl_Kalender[[#This Row],[Datum]])</f>
        <v>29</v>
      </c>
    </row>
    <row r="1665" spans="1:11" x14ac:dyDescent="0.25">
      <c r="A1665" s="1">
        <v>46955</v>
      </c>
      <c r="B1665">
        <f>YEAR(tbl_Kalender[[#This Row],[Datum]])</f>
        <v>2028</v>
      </c>
      <c r="C1665">
        <f>DAY(tbl_Kalender[[#This Row],[Datum]])</f>
        <v>21</v>
      </c>
      <c r="D1665" t="str">
        <f>TEXT(tbl_Kalender[[#This Row],[Datum]],"TTTT")</f>
        <v>Freitag</v>
      </c>
      <c r="E1665">
        <f>WEEKDAY(tbl_Kalender[[#This Row],[Datum]],2)</f>
        <v>5</v>
      </c>
      <c r="F1665">
        <f>MONTH(tbl_Kalender[[#This Row],[Datum]])</f>
        <v>7</v>
      </c>
      <c r="G1665" t="str">
        <f>TEXT(tbl_Kalender[[#This Row],[Datum]],"MMMM")</f>
        <v>Juli</v>
      </c>
      <c r="H1665">
        <f>ROUNDUP(tbl_Kalender[[#This Row],[Monat]]/3,0)</f>
        <v>3</v>
      </c>
      <c r="I1665" t="str">
        <f>"Q "&amp;tbl_Kalender[[#This Row],[Quartal]]</f>
        <v>Q 3</v>
      </c>
      <c r="J1665" t="str">
        <f>tbl_Kalender[[#This Row],[Quartal]]&amp;". Quartal"</f>
        <v>3. Quartal</v>
      </c>
      <c r="K1665">
        <f>_xlfn.ISOWEEKNUM(tbl_Kalender[[#This Row],[Datum]])</f>
        <v>29</v>
      </c>
    </row>
    <row r="1666" spans="1:11" x14ac:dyDescent="0.25">
      <c r="A1666" s="1">
        <v>46956</v>
      </c>
      <c r="B1666">
        <f>YEAR(tbl_Kalender[[#This Row],[Datum]])</f>
        <v>2028</v>
      </c>
      <c r="C1666">
        <f>DAY(tbl_Kalender[[#This Row],[Datum]])</f>
        <v>22</v>
      </c>
      <c r="D1666" t="str">
        <f>TEXT(tbl_Kalender[[#This Row],[Datum]],"TTTT")</f>
        <v>Samstag</v>
      </c>
      <c r="E1666">
        <f>WEEKDAY(tbl_Kalender[[#This Row],[Datum]],2)</f>
        <v>6</v>
      </c>
      <c r="F1666">
        <f>MONTH(tbl_Kalender[[#This Row],[Datum]])</f>
        <v>7</v>
      </c>
      <c r="G1666" t="str">
        <f>TEXT(tbl_Kalender[[#This Row],[Datum]],"MMMM")</f>
        <v>Juli</v>
      </c>
      <c r="H1666">
        <f>ROUNDUP(tbl_Kalender[[#This Row],[Monat]]/3,0)</f>
        <v>3</v>
      </c>
      <c r="I1666" t="str">
        <f>"Q "&amp;tbl_Kalender[[#This Row],[Quartal]]</f>
        <v>Q 3</v>
      </c>
      <c r="J1666" t="str">
        <f>tbl_Kalender[[#This Row],[Quartal]]&amp;". Quartal"</f>
        <v>3. Quartal</v>
      </c>
      <c r="K1666">
        <f>_xlfn.ISOWEEKNUM(tbl_Kalender[[#This Row],[Datum]])</f>
        <v>29</v>
      </c>
    </row>
    <row r="1667" spans="1:11" x14ac:dyDescent="0.25">
      <c r="A1667" s="1">
        <v>46957</v>
      </c>
      <c r="B1667">
        <f>YEAR(tbl_Kalender[[#This Row],[Datum]])</f>
        <v>2028</v>
      </c>
      <c r="C1667">
        <f>DAY(tbl_Kalender[[#This Row],[Datum]])</f>
        <v>23</v>
      </c>
      <c r="D1667" t="str">
        <f>TEXT(tbl_Kalender[[#This Row],[Datum]],"TTTT")</f>
        <v>Sonntag</v>
      </c>
      <c r="E1667">
        <f>WEEKDAY(tbl_Kalender[[#This Row],[Datum]],2)</f>
        <v>7</v>
      </c>
      <c r="F1667">
        <f>MONTH(tbl_Kalender[[#This Row],[Datum]])</f>
        <v>7</v>
      </c>
      <c r="G1667" t="str">
        <f>TEXT(tbl_Kalender[[#This Row],[Datum]],"MMMM")</f>
        <v>Juli</v>
      </c>
      <c r="H1667">
        <f>ROUNDUP(tbl_Kalender[[#This Row],[Monat]]/3,0)</f>
        <v>3</v>
      </c>
      <c r="I1667" t="str">
        <f>"Q "&amp;tbl_Kalender[[#This Row],[Quartal]]</f>
        <v>Q 3</v>
      </c>
      <c r="J1667" t="str">
        <f>tbl_Kalender[[#This Row],[Quartal]]&amp;". Quartal"</f>
        <v>3. Quartal</v>
      </c>
      <c r="K1667">
        <f>_xlfn.ISOWEEKNUM(tbl_Kalender[[#This Row],[Datum]])</f>
        <v>29</v>
      </c>
    </row>
    <row r="1668" spans="1:11" x14ac:dyDescent="0.25">
      <c r="A1668" s="1">
        <v>46958</v>
      </c>
      <c r="B1668">
        <f>YEAR(tbl_Kalender[[#This Row],[Datum]])</f>
        <v>2028</v>
      </c>
      <c r="C1668">
        <f>DAY(tbl_Kalender[[#This Row],[Datum]])</f>
        <v>24</v>
      </c>
      <c r="D1668" t="str">
        <f>TEXT(tbl_Kalender[[#This Row],[Datum]],"TTTT")</f>
        <v>Montag</v>
      </c>
      <c r="E1668">
        <f>WEEKDAY(tbl_Kalender[[#This Row],[Datum]],2)</f>
        <v>1</v>
      </c>
      <c r="F1668">
        <f>MONTH(tbl_Kalender[[#This Row],[Datum]])</f>
        <v>7</v>
      </c>
      <c r="G1668" t="str">
        <f>TEXT(tbl_Kalender[[#This Row],[Datum]],"MMMM")</f>
        <v>Juli</v>
      </c>
      <c r="H1668">
        <f>ROUNDUP(tbl_Kalender[[#This Row],[Monat]]/3,0)</f>
        <v>3</v>
      </c>
      <c r="I1668" t="str">
        <f>"Q "&amp;tbl_Kalender[[#This Row],[Quartal]]</f>
        <v>Q 3</v>
      </c>
      <c r="J1668" t="str">
        <f>tbl_Kalender[[#This Row],[Quartal]]&amp;". Quartal"</f>
        <v>3. Quartal</v>
      </c>
      <c r="K1668">
        <f>_xlfn.ISOWEEKNUM(tbl_Kalender[[#This Row],[Datum]])</f>
        <v>30</v>
      </c>
    </row>
    <row r="1669" spans="1:11" x14ac:dyDescent="0.25">
      <c r="A1669" s="1">
        <v>46959</v>
      </c>
      <c r="B1669">
        <f>YEAR(tbl_Kalender[[#This Row],[Datum]])</f>
        <v>2028</v>
      </c>
      <c r="C1669">
        <f>DAY(tbl_Kalender[[#This Row],[Datum]])</f>
        <v>25</v>
      </c>
      <c r="D1669" t="str">
        <f>TEXT(tbl_Kalender[[#This Row],[Datum]],"TTTT")</f>
        <v>Dienstag</v>
      </c>
      <c r="E1669">
        <f>WEEKDAY(tbl_Kalender[[#This Row],[Datum]],2)</f>
        <v>2</v>
      </c>
      <c r="F1669">
        <f>MONTH(tbl_Kalender[[#This Row],[Datum]])</f>
        <v>7</v>
      </c>
      <c r="G1669" t="str">
        <f>TEXT(tbl_Kalender[[#This Row],[Datum]],"MMMM")</f>
        <v>Juli</v>
      </c>
      <c r="H1669">
        <f>ROUNDUP(tbl_Kalender[[#This Row],[Monat]]/3,0)</f>
        <v>3</v>
      </c>
      <c r="I1669" t="str">
        <f>"Q "&amp;tbl_Kalender[[#This Row],[Quartal]]</f>
        <v>Q 3</v>
      </c>
      <c r="J1669" t="str">
        <f>tbl_Kalender[[#This Row],[Quartal]]&amp;". Quartal"</f>
        <v>3. Quartal</v>
      </c>
      <c r="K1669">
        <f>_xlfn.ISOWEEKNUM(tbl_Kalender[[#This Row],[Datum]])</f>
        <v>30</v>
      </c>
    </row>
    <row r="1670" spans="1:11" x14ac:dyDescent="0.25">
      <c r="A1670" s="1">
        <v>46960</v>
      </c>
      <c r="B1670">
        <f>YEAR(tbl_Kalender[[#This Row],[Datum]])</f>
        <v>2028</v>
      </c>
      <c r="C1670">
        <f>DAY(tbl_Kalender[[#This Row],[Datum]])</f>
        <v>26</v>
      </c>
      <c r="D1670" t="str">
        <f>TEXT(tbl_Kalender[[#This Row],[Datum]],"TTTT")</f>
        <v>Mittwoch</v>
      </c>
      <c r="E1670">
        <f>WEEKDAY(tbl_Kalender[[#This Row],[Datum]],2)</f>
        <v>3</v>
      </c>
      <c r="F1670">
        <f>MONTH(tbl_Kalender[[#This Row],[Datum]])</f>
        <v>7</v>
      </c>
      <c r="G1670" t="str">
        <f>TEXT(tbl_Kalender[[#This Row],[Datum]],"MMMM")</f>
        <v>Juli</v>
      </c>
      <c r="H1670">
        <f>ROUNDUP(tbl_Kalender[[#This Row],[Monat]]/3,0)</f>
        <v>3</v>
      </c>
      <c r="I1670" t="str">
        <f>"Q "&amp;tbl_Kalender[[#This Row],[Quartal]]</f>
        <v>Q 3</v>
      </c>
      <c r="J1670" t="str">
        <f>tbl_Kalender[[#This Row],[Quartal]]&amp;". Quartal"</f>
        <v>3. Quartal</v>
      </c>
      <c r="K1670">
        <f>_xlfn.ISOWEEKNUM(tbl_Kalender[[#This Row],[Datum]])</f>
        <v>30</v>
      </c>
    </row>
    <row r="1671" spans="1:11" x14ac:dyDescent="0.25">
      <c r="A1671" s="1">
        <v>46961</v>
      </c>
      <c r="B1671">
        <f>YEAR(tbl_Kalender[[#This Row],[Datum]])</f>
        <v>2028</v>
      </c>
      <c r="C1671">
        <f>DAY(tbl_Kalender[[#This Row],[Datum]])</f>
        <v>27</v>
      </c>
      <c r="D1671" t="str">
        <f>TEXT(tbl_Kalender[[#This Row],[Datum]],"TTTT")</f>
        <v>Donnerstag</v>
      </c>
      <c r="E1671">
        <f>WEEKDAY(tbl_Kalender[[#This Row],[Datum]],2)</f>
        <v>4</v>
      </c>
      <c r="F1671">
        <f>MONTH(tbl_Kalender[[#This Row],[Datum]])</f>
        <v>7</v>
      </c>
      <c r="G1671" t="str">
        <f>TEXT(tbl_Kalender[[#This Row],[Datum]],"MMMM")</f>
        <v>Juli</v>
      </c>
      <c r="H1671">
        <f>ROUNDUP(tbl_Kalender[[#This Row],[Monat]]/3,0)</f>
        <v>3</v>
      </c>
      <c r="I1671" t="str">
        <f>"Q "&amp;tbl_Kalender[[#This Row],[Quartal]]</f>
        <v>Q 3</v>
      </c>
      <c r="J1671" t="str">
        <f>tbl_Kalender[[#This Row],[Quartal]]&amp;". Quartal"</f>
        <v>3. Quartal</v>
      </c>
      <c r="K1671">
        <f>_xlfn.ISOWEEKNUM(tbl_Kalender[[#This Row],[Datum]])</f>
        <v>30</v>
      </c>
    </row>
    <row r="1672" spans="1:11" x14ac:dyDescent="0.25">
      <c r="A1672" s="1">
        <v>46962</v>
      </c>
      <c r="B1672">
        <f>YEAR(tbl_Kalender[[#This Row],[Datum]])</f>
        <v>2028</v>
      </c>
      <c r="C1672">
        <f>DAY(tbl_Kalender[[#This Row],[Datum]])</f>
        <v>28</v>
      </c>
      <c r="D1672" t="str">
        <f>TEXT(tbl_Kalender[[#This Row],[Datum]],"TTTT")</f>
        <v>Freitag</v>
      </c>
      <c r="E1672">
        <f>WEEKDAY(tbl_Kalender[[#This Row],[Datum]],2)</f>
        <v>5</v>
      </c>
      <c r="F1672">
        <f>MONTH(tbl_Kalender[[#This Row],[Datum]])</f>
        <v>7</v>
      </c>
      <c r="G1672" t="str">
        <f>TEXT(tbl_Kalender[[#This Row],[Datum]],"MMMM")</f>
        <v>Juli</v>
      </c>
      <c r="H1672">
        <f>ROUNDUP(tbl_Kalender[[#This Row],[Monat]]/3,0)</f>
        <v>3</v>
      </c>
      <c r="I1672" t="str">
        <f>"Q "&amp;tbl_Kalender[[#This Row],[Quartal]]</f>
        <v>Q 3</v>
      </c>
      <c r="J1672" t="str">
        <f>tbl_Kalender[[#This Row],[Quartal]]&amp;". Quartal"</f>
        <v>3. Quartal</v>
      </c>
      <c r="K1672">
        <f>_xlfn.ISOWEEKNUM(tbl_Kalender[[#This Row],[Datum]])</f>
        <v>30</v>
      </c>
    </row>
    <row r="1673" spans="1:11" x14ac:dyDescent="0.25">
      <c r="A1673" s="1">
        <v>46963</v>
      </c>
      <c r="B1673">
        <f>YEAR(tbl_Kalender[[#This Row],[Datum]])</f>
        <v>2028</v>
      </c>
      <c r="C1673">
        <f>DAY(tbl_Kalender[[#This Row],[Datum]])</f>
        <v>29</v>
      </c>
      <c r="D1673" t="str">
        <f>TEXT(tbl_Kalender[[#This Row],[Datum]],"TTTT")</f>
        <v>Samstag</v>
      </c>
      <c r="E1673">
        <f>WEEKDAY(tbl_Kalender[[#This Row],[Datum]],2)</f>
        <v>6</v>
      </c>
      <c r="F1673">
        <f>MONTH(tbl_Kalender[[#This Row],[Datum]])</f>
        <v>7</v>
      </c>
      <c r="G1673" t="str">
        <f>TEXT(tbl_Kalender[[#This Row],[Datum]],"MMMM")</f>
        <v>Juli</v>
      </c>
      <c r="H1673">
        <f>ROUNDUP(tbl_Kalender[[#This Row],[Monat]]/3,0)</f>
        <v>3</v>
      </c>
      <c r="I1673" t="str">
        <f>"Q "&amp;tbl_Kalender[[#This Row],[Quartal]]</f>
        <v>Q 3</v>
      </c>
      <c r="J1673" t="str">
        <f>tbl_Kalender[[#This Row],[Quartal]]&amp;". Quartal"</f>
        <v>3. Quartal</v>
      </c>
      <c r="K1673">
        <f>_xlfn.ISOWEEKNUM(tbl_Kalender[[#This Row],[Datum]])</f>
        <v>30</v>
      </c>
    </row>
    <row r="1674" spans="1:11" x14ac:dyDescent="0.25">
      <c r="A1674" s="1">
        <v>46964</v>
      </c>
      <c r="B1674">
        <f>YEAR(tbl_Kalender[[#This Row],[Datum]])</f>
        <v>2028</v>
      </c>
      <c r="C1674">
        <f>DAY(tbl_Kalender[[#This Row],[Datum]])</f>
        <v>30</v>
      </c>
      <c r="D1674" t="str">
        <f>TEXT(tbl_Kalender[[#This Row],[Datum]],"TTTT")</f>
        <v>Sonntag</v>
      </c>
      <c r="E1674">
        <f>WEEKDAY(tbl_Kalender[[#This Row],[Datum]],2)</f>
        <v>7</v>
      </c>
      <c r="F1674">
        <f>MONTH(tbl_Kalender[[#This Row],[Datum]])</f>
        <v>7</v>
      </c>
      <c r="G1674" t="str">
        <f>TEXT(tbl_Kalender[[#This Row],[Datum]],"MMMM")</f>
        <v>Juli</v>
      </c>
      <c r="H1674">
        <f>ROUNDUP(tbl_Kalender[[#This Row],[Monat]]/3,0)</f>
        <v>3</v>
      </c>
      <c r="I1674" t="str">
        <f>"Q "&amp;tbl_Kalender[[#This Row],[Quartal]]</f>
        <v>Q 3</v>
      </c>
      <c r="J1674" t="str">
        <f>tbl_Kalender[[#This Row],[Quartal]]&amp;". Quartal"</f>
        <v>3. Quartal</v>
      </c>
      <c r="K1674">
        <f>_xlfn.ISOWEEKNUM(tbl_Kalender[[#This Row],[Datum]])</f>
        <v>30</v>
      </c>
    </row>
    <row r="1675" spans="1:11" x14ac:dyDescent="0.25">
      <c r="A1675" s="1">
        <v>46965</v>
      </c>
      <c r="B1675">
        <f>YEAR(tbl_Kalender[[#This Row],[Datum]])</f>
        <v>2028</v>
      </c>
      <c r="C1675">
        <f>DAY(tbl_Kalender[[#This Row],[Datum]])</f>
        <v>31</v>
      </c>
      <c r="D1675" t="str">
        <f>TEXT(tbl_Kalender[[#This Row],[Datum]],"TTTT")</f>
        <v>Montag</v>
      </c>
      <c r="E1675">
        <f>WEEKDAY(tbl_Kalender[[#This Row],[Datum]],2)</f>
        <v>1</v>
      </c>
      <c r="F1675">
        <f>MONTH(tbl_Kalender[[#This Row],[Datum]])</f>
        <v>7</v>
      </c>
      <c r="G1675" t="str">
        <f>TEXT(tbl_Kalender[[#This Row],[Datum]],"MMMM")</f>
        <v>Juli</v>
      </c>
      <c r="H1675">
        <f>ROUNDUP(tbl_Kalender[[#This Row],[Monat]]/3,0)</f>
        <v>3</v>
      </c>
      <c r="I1675" t="str">
        <f>"Q "&amp;tbl_Kalender[[#This Row],[Quartal]]</f>
        <v>Q 3</v>
      </c>
      <c r="J1675" t="str">
        <f>tbl_Kalender[[#This Row],[Quartal]]&amp;". Quartal"</f>
        <v>3. Quartal</v>
      </c>
      <c r="K1675">
        <f>_xlfn.ISOWEEKNUM(tbl_Kalender[[#This Row],[Datum]])</f>
        <v>31</v>
      </c>
    </row>
    <row r="1676" spans="1:11" x14ac:dyDescent="0.25">
      <c r="A1676" s="1">
        <v>46966</v>
      </c>
      <c r="B1676">
        <f>YEAR(tbl_Kalender[[#This Row],[Datum]])</f>
        <v>2028</v>
      </c>
      <c r="C1676">
        <f>DAY(tbl_Kalender[[#This Row],[Datum]])</f>
        <v>1</v>
      </c>
      <c r="D1676" t="str">
        <f>TEXT(tbl_Kalender[[#This Row],[Datum]],"TTTT")</f>
        <v>Dienstag</v>
      </c>
      <c r="E1676">
        <f>WEEKDAY(tbl_Kalender[[#This Row],[Datum]],2)</f>
        <v>2</v>
      </c>
      <c r="F1676">
        <f>MONTH(tbl_Kalender[[#This Row],[Datum]])</f>
        <v>8</v>
      </c>
      <c r="G1676" t="str">
        <f>TEXT(tbl_Kalender[[#This Row],[Datum]],"MMMM")</f>
        <v>August</v>
      </c>
      <c r="H1676">
        <f>ROUNDUP(tbl_Kalender[[#This Row],[Monat]]/3,0)</f>
        <v>3</v>
      </c>
      <c r="I1676" t="str">
        <f>"Q "&amp;tbl_Kalender[[#This Row],[Quartal]]</f>
        <v>Q 3</v>
      </c>
      <c r="J1676" t="str">
        <f>tbl_Kalender[[#This Row],[Quartal]]&amp;". Quartal"</f>
        <v>3. Quartal</v>
      </c>
      <c r="K1676">
        <f>_xlfn.ISOWEEKNUM(tbl_Kalender[[#This Row],[Datum]])</f>
        <v>31</v>
      </c>
    </row>
    <row r="1677" spans="1:11" x14ac:dyDescent="0.25">
      <c r="A1677" s="1">
        <v>46967</v>
      </c>
      <c r="B1677">
        <f>YEAR(tbl_Kalender[[#This Row],[Datum]])</f>
        <v>2028</v>
      </c>
      <c r="C1677">
        <f>DAY(tbl_Kalender[[#This Row],[Datum]])</f>
        <v>2</v>
      </c>
      <c r="D1677" t="str">
        <f>TEXT(tbl_Kalender[[#This Row],[Datum]],"TTTT")</f>
        <v>Mittwoch</v>
      </c>
      <c r="E1677">
        <f>WEEKDAY(tbl_Kalender[[#This Row],[Datum]],2)</f>
        <v>3</v>
      </c>
      <c r="F1677">
        <f>MONTH(tbl_Kalender[[#This Row],[Datum]])</f>
        <v>8</v>
      </c>
      <c r="G1677" t="str">
        <f>TEXT(tbl_Kalender[[#This Row],[Datum]],"MMMM")</f>
        <v>August</v>
      </c>
      <c r="H1677">
        <f>ROUNDUP(tbl_Kalender[[#This Row],[Monat]]/3,0)</f>
        <v>3</v>
      </c>
      <c r="I1677" t="str">
        <f>"Q "&amp;tbl_Kalender[[#This Row],[Quartal]]</f>
        <v>Q 3</v>
      </c>
      <c r="J1677" t="str">
        <f>tbl_Kalender[[#This Row],[Quartal]]&amp;". Quartal"</f>
        <v>3. Quartal</v>
      </c>
      <c r="K1677">
        <f>_xlfn.ISOWEEKNUM(tbl_Kalender[[#This Row],[Datum]])</f>
        <v>31</v>
      </c>
    </row>
    <row r="1678" spans="1:11" x14ac:dyDescent="0.25">
      <c r="A1678" s="1">
        <v>46968</v>
      </c>
      <c r="B1678">
        <f>YEAR(tbl_Kalender[[#This Row],[Datum]])</f>
        <v>2028</v>
      </c>
      <c r="C1678">
        <f>DAY(tbl_Kalender[[#This Row],[Datum]])</f>
        <v>3</v>
      </c>
      <c r="D1678" t="str">
        <f>TEXT(tbl_Kalender[[#This Row],[Datum]],"TTTT")</f>
        <v>Donnerstag</v>
      </c>
      <c r="E1678">
        <f>WEEKDAY(tbl_Kalender[[#This Row],[Datum]],2)</f>
        <v>4</v>
      </c>
      <c r="F1678">
        <f>MONTH(tbl_Kalender[[#This Row],[Datum]])</f>
        <v>8</v>
      </c>
      <c r="G1678" t="str">
        <f>TEXT(tbl_Kalender[[#This Row],[Datum]],"MMMM")</f>
        <v>August</v>
      </c>
      <c r="H1678">
        <f>ROUNDUP(tbl_Kalender[[#This Row],[Monat]]/3,0)</f>
        <v>3</v>
      </c>
      <c r="I1678" t="str">
        <f>"Q "&amp;tbl_Kalender[[#This Row],[Quartal]]</f>
        <v>Q 3</v>
      </c>
      <c r="J1678" t="str">
        <f>tbl_Kalender[[#This Row],[Quartal]]&amp;". Quartal"</f>
        <v>3. Quartal</v>
      </c>
      <c r="K1678">
        <f>_xlfn.ISOWEEKNUM(tbl_Kalender[[#This Row],[Datum]])</f>
        <v>31</v>
      </c>
    </row>
    <row r="1679" spans="1:11" x14ac:dyDescent="0.25">
      <c r="A1679" s="1">
        <v>46969</v>
      </c>
      <c r="B1679">
        <f>YEAR(tbl_Kalender[[#This Row],[Datum]])</f>
        <v>2028</v>
      </c>
      <c r="C1679">
        <f>DAY(tbl_Kalender[[#This Row],[Datum]])</f>
        <v>4</v>
      </c>
      <c r="D1679" t="str">
        <f>TEXT(tbl_Kalender[[#This Row],[Datum]],"TTTT")</f>
        <v>Freitag</v>
      </c>
      <c r="E1679">
        <f>WEEKDAY(tbl_Kalender[[#This Row],[Datum]],2)</f>
        <v>5</v>
      </c>
      <c r="F1679">
        <f>MONTH(tbl_Kalender[[#This Row],[Datum]])</f>
        <v>8</v>
      </c>
      <c r="G1679" t="str">
        <f>TEXT(tbl_Kalender[[#This Row],[Datum]],"MMMM")</f>
        <v>August</v>
      </c>
      <c r="H1679">
        <f>ROUNDUP(tbl_Kalender[[#This Row],[Monat]]/3,0)</f>
        <v>3</v>
      </c>
      <c r="I1679" t="str">
        <f>"Q "&amp;tbl_Kalender[[#This Row],[Quartal]]</f>
        <v>Q 3</v>
      </c>
      <c r="J1679" t="str">
        <f>tbl_Kalender[[#This Row],[Quartal]]&amp;". Quartal"</f>
        <v>3. Quartal</v>
      </c>
      <c r="K1679">
        <f>_xlfn.ISOWEEKNUM(tbl_Kalender[[#This Row],[Datum]])</f>
        <v>31</v>
      </c>
    </row>
    <row r="1680" spans="1:11" x14ac:dyDescent="0.25">
      <c r="A1680" s="1">
        <v>46970</v>
      </c>
      <c r="B1680">
        <f>YEAR(tbl_Kalender[[#This Row],[Datum]])</f>
        <v>2028</v>
      </c>
      <c r="C1680">
        <f>DAY(tbl_Kalender[[#This Row],[Datum]])</f>
        <v>5</v>
      </c>
      <c r="D1680" t="str">
        <f>TEXT(tbl_Kalender[[#This Row],[Datum]],"TTTT")</f>
        <v>Samstag</v>
      </c>
      <c r="E1680">
        <f>WEEKDAY(tbl_Kalender[[#This Row],[Datum]],2)</f>
        <v>6</v>
      </c>
      <c r="F1680">
        <f>MONTH(tbl_Kalender[[#This Row],[Datum]])</f>
        <v>8</v>
      </c>
      <c r="G1680" t="str">
        <f>TEXT(tbl_Kalender[[#This Row],[Datum]],"MMMM")</f>
        <v>August</v>
      </c>
      <c r="H1680">
        <f>ROUNDUP(tbl_Kalender[[#This Row],[Monat]]/3,0)</f>
        <v>3</v>
      </c>
      <c r="I1680" t="str">
        <f>"Q "&amp;tbl_Kalender[[#This Row],[Quartal]]</f>
        <v>Q 3</v>
      </c>
      <c r="J1680" t="str">
        <f>tbl_Kalender[[#This Row],[Quartal]]&amp;". Quartal"</f>
        <v>3. Quartal</v>
      </c>
      <c r="K1680">
        <f>_xlfn.ISOWEEKNUM(tbl_Kalender[[#This Row],[Datum]])</f>
        <v>31</v>
      </c>
    </row>
    <row r="1681" spans="1:11" x14ac:dyDescent="0.25">
      <c r="A1681" s="1">
        <v>46971</v>
      </c>
      <c r="B1681">
        <f>YEAR(tbl_Kalender[[#This Row],[Datum]])</f>
        <v>2028</v>
      </c>
      <c r="C1681">
        <f>DAY(tbl_Kalender[[#This Row],[Datum]])</f>
        <v>6</v>
      </c>
      <c r="D1681" t="str">
        <f>TEXT(tbl_Kalender[[#This Row],[Datum]],"TTTT")</f>
        <v>Sonntag</v>
      </c>
      <c r="E1681">
        <f>WEEKDAY(tbl_Kalender[[#This Row],[Datum]],2)</f>
        <v>7</v>
      </c>
      <c r="F1681">
        <f>MONTH(tbl_Kalender[[#This Row],[Datum]])</f>
        <v>8</v>
      </c>
      <c r="G1681" t="str">
        <f>TEXT(tbl_Kalender[[#This Row],[Datum]],"MMMM")</f>
        <v>August</v>
      </c>
      <c r="H1681">
        <f>ROUNDUP(tbl_Kalender[[#This Row],[Monat]]/3,0)</f>
        <v>3</v>
      </c>
      <c r="I1681" t="str">
        <f>"Q "&amp;tbl_Kalender[[#This Row],[Quartal]]</f>
        <v>Q 3</v>
      </c>
      <c r="J1681" t="str">
        <f>tbl_Kalender[[#This Row],[Quartal]]&amp;". Quartal"</f>
        <v>3. Quartal</v>
      </c>
      <c r="K1681">
        <f>_xlfn.ISOWEEKNUM(tbl_Kalender[[#This Row],[Datum]])</f>
        <v>31</v>
      </c>
    </row>
    <row r="1682" spans="1:11" x14ac:dyDescent="0.25">
      <c r="A1682" s="1">
        <v>46972</v>
      </c>
      <c r="B1682">
        <f>YEAR(tbl_Kalender[[#This Row],[Datum]])</f>
        <v>2028</v>
      </c>
      <c r="C1682">
        <f>DAY(tbl_Kalender[[#This Row],[Datum]])</f>
        <v>7</v>
      </c>
      <c r="D1682" t="str">
        <f>TEXT(tbl_Kalender[[#This Row],[Datum]],"TTTT")</f>
        <v>Montag</v>
      </c>
      <c r="E1682">
        <f>WEEKDAY(tbl_Kalender[[#This Row],[Datum]],2)</f>
        <v>1</v>
      </c>
      <c r="F1682">
        <f>MONTH(tbl_Kalender[[#This Row],[Datum]])</f>
        <v>8</v>
      </c>
      <c r="G1682" t="str">
        <f>TEXT(tbl_Kalender[[#This Row],[Datum]],"MMMM")</f>
        <v>August</v>
      </c>
      <c r="H1682">
        <f>ROUNDUP(tbl_Kalender[[#This Row],[Monat]]/3,0)</f>
        <v>3</v>
      </c>
      <c r="I1682" t="str">
        <f>"Q "&amp;tbl_Kalender[[#This Row],[Quartal]]</f>
        <v>Q 3</v>
      </c>
      <c r="J1682" t="str">
        <f>tbl_Kalender[[#This Row],[Quartal]]&amp;". Quartal"</f>
        <v>3. Quartal</v>
      </c>
      <c r="K1682">
        <f>_xlfn.ISOWEEKNUM(tbl_Kalender[[#This Row],[Datum]])</f>
        <v>32</v>
      </c>
    </row>
    <row r="1683" spans="1:11" x14ac:dyDescent="0.25">
      <c r="A1683" s="1">
        <v>46973</v>
      </c>
      <c r="B1683">
        <f>YEAR(tbl_Kalender[[#This Row],[Datum]])</f>
        <v>2028</v>
      </c>
      <c r="C1683">
        <f>DAY(tbl_Kalender[[#This Row],[Datum]])</f>
        <v>8</v>
      </c>
      <c r="D1683" t="str">
        <f>TEXT(tbl_Kalender[[#This Row],[Datum]],"TTTT")</f>
        <v>Dienstag</v>
      </c>
      <c r="E1683">
        <f>WEEKDAY(tbl_Kalender[[#This Row],[Datum]],2)</f>
        <v>2</v>
      </c>
      <c r="F1683">
        <f>MONTH(tbl_Kalender[[#This Row],[Datum]])</f>
        <v>8</v>
      </c>
      <c r="G1683" t="str">
        <f>TEXT(tbl_Kalender[[#This Row],[Datum]],"MMMM")</f>
        <v>August</v>
      </c>
      <c r="H1683">
        <f>ROUNDUP(tbl_Kalender[[#This Row],[Monat]]/3,0)</f>
        <v>3</v>
      </c>
      <c r="I1683" t="str">
        <f>"Q "&amp;tbl_Kalender[[#This Row],[Quartal]]</f>
        <v>Q 3</v>
      </c>
      <c r="J1683" t="str">
        <f>tbl_Kalender[[#This Row],[Quartal]]&amp;". Quartal"</f>
        <v>3. Quartal</v>
      </c>
      <c r="K1683">
        <f>_xlfn.ISOWEEKNUM(tbl_Kalender[[#This Row],[Datum]])</f>
        <v>32</v>
      </c>
    </row>
    <row r="1684" spans="1:11" x14ac:dyDescent="0.25">
      <c r="A1684" s="1">
        <v>46974</v>
      </c>
      <c r="B1684">
        <f>YEAR(tbl_Kalender[[#This Row],[Datum]])</f>
        <v>2028</v>
      </c>
      <c r="C1684">
        <f>DAY(tbl_Kalender[[#This Row],[Datum]])</f>
        <v>9</v>
      </c>
      <c r="D1684" t="str">
        <f>TEXT(tbl_Kalender[[#This Row],[Datum]],"TTTT")</f>
        <v>Mittwoch</v>
      </c>
      <c r="E1684">
        <f>WEEKDAY(tbl_Kalender[[#This Row],[Datum]],2)</f>
        <v>3</v>
      </c>
      <c r="F1684">
        <f>MONTH(tbl_Kalender[[#This Row],[Datum]])</f>
        <v>8</v>
      </c>
      <c r="G1684" t="str">
        <f>TEXT(tbl_Kalender[[#This Row],[Datum]],"MMMM")</f>
        <v>August</v>
      </c>
      <c r="H1684">
        <f>ROUNDUP(tbl_Kalender[[#This Row],[Monat]]/3,0)</f>
        <v>3</v>
      </c>
      <c r="I1684" t="str">
        <f>"Q "&amp;tbl_Kalender[[#This Row],[Quartal]]</f>
        <v>Q 3</v>
      </c>
      <c r="J1684" t="str">
        <f>tbl_Kalender[[#This Row],[Quartal]]&amp;". Quartal"</f>
        <v>3. Quartal</v>
      </c>
      <c r="K1684">
        <f>_xlfn.ISOWEEKNUM(tbl_Kalender[[#This Row],[Datum]])</f>
        <v>32</v>
      </c>
    </row>
    <row r="1685" spans="1:11" x14ac:dyDescent="0.25">
      <c r="A1685" s="1">
        <v>46975</v>
      </c>
      <c r="B1685">
        <f>YEAR(tbl_Kalender[[#This Row],[Datum]])</f>
        <v>2028</v>
      </c>
      <c r="C1685">
        <f>DAY(tbl_Kalender[[#This Row],[Datum]])</f>
        <v>10</v>
      </c>
      <c r="D1685" t="str">
        <f>TEXT(tbl_Kalender[[#This Row],[Datum]],"TTTT")</f>
        <v>Donnerstag</v>
      </c>
      <c r="E1685">
        <f>WEEKDAY(tbl_Kalender[[#This Row],[Datum]],2)</f>
        <v>4</v>
      </c>
      <c r="F1685">
        <f>MONTH(tbl_Kalender[[#This Row],[Datum]])</f>
        <v>8</v>
      </c>
      <c r="G1685" t="str">
        <f>TEXT(tbl_Kalender[[#This Row],[Datum]],"MMMM")</f>
        <v>August</v>
      </c>
      <c r="H1685">
        <f>ROUNDUP(tbl_Kalender[[#This Row],[Monat]]/3,0)</f>
        <v>3</v>
      </c>
      <c r="I1685" t="str">
        <f>"Q "&amp;tbl_Kalender[[#This Row],[Quartal]]</f>
        <v>Q 3</v>
      </c>
      <c r="J1685" t="str">
        <f>tbl_Kalender[[#This Row],[Quartal]]&amp;". Quartal"</f>
        <v>3. Quartal</v>
      </c>
      <c r="K1685">
        <f>_xlfn.ISOWEEKNUM(tbl_Kalender[[#This Row],[Datum]])</f>
        <v>32</v>
      </c>
    </row>
    <row r="1686" spans="1:11" x14ac:dyDescent="0.25">
      <c r="A1686" s="1">
        <v>46976</v>
      </c>
      <c r="B1686">
        <f>YEAR(tbl_Kalender[[#This Row],[Datum]])</f>
        <v>2028</v>
      </c>
      <c r="C1686">
        <f>DAY(tbl_Kalender[[#This Row],[Datum]])</f>
        <v>11</v>
      </c>
      <c r="D1686" t="str">
        <f>TEXT(tbl_Kalender[[#This Row],[Datum]],"TTTT")</f>
        <v>Freitag</v>
      </c>
      <c r="E1686">
        <f>WEEKDAY(tbl_Kalender[[#This Row],[Datum]],2)</f>
        <v>5</v>
      </c>
      <c r="F1686">
        <f>MONTH(tbl_Kalender[[#This Row],[Datum]])</f>
        <v>8</v>
      </c>
      <c r="G1686" t="str">
        <f>TEXT(tbl_Kalender[[#This Row],[Datum]],"MMMM")</f>
        <v>August</v>
      </c>
      <c r="H1686">
        <f>ROUNDUP(tbl_Kalender[[#This Row],[Monat]]/3,0)</f>
        <v>3</v>
      </c>
      <c r="I1686" t="str">
        <f>"Q "&amp;tbl_Kalender[[#This Row],[Quartal]]</f>
        <v>Q 3</v>
      </c>
      <c r="J1686" t="str">
        <f>tbl_Kalender[[#This Row],[Quartal]]&amp;". Quartal"</f>
        <v>3. Quartal</v>
      </c>
      <c r="K1686">
        <f>_xlfn.ISOWEEKNUM(tbl_Kalender[[#This Row],[Datum]])</f>
        <v>32</v>
      </c>
    </row>
    <row r="1687" spans="1:11" x14ac:dyDescent="0.25">
      <c r="A1687" s="1">
        <v>46977</v>
      </c>
      <c r="B1687">
        <f>YEAR(tbl_Kalender[[#This Row],[Datum]])</f>
        <v>2028</v>
      </c>
      <c r="C1687">
        <f>DAY(tbl_Kalender[[#This Row],[Datum]])</f>
        <v>12</v>
      </c>
      <c r="D1687" t="str">
        <f>TEXT(tbl_Kalender[[#This Row],[Datum]],"TTTT")</f>
        <v>Samstag</v>
      </c>
      <c r="E1687">
        <f>WEEKDAY(tbl_Kalender[[#This Row],[Datum]],2)</f>
        <v>6</v>
      </c>
      <c r="F1687">
        <f>MONTH(tbl_Kalender[[#This Row],[Datum]])</f>
        <v>8</v>
      </c>
      <c r="G1687" t="str">
        <f>TEXT(tbl_Kalender[[#This Row],[Datum]],"MMMM")</f>
        <v>August</v>
      </c>
      <c r="H1687">
        <f>ROUNDUP(tbl_Kalender[[#This Row],[Monat]]/3,0)</f>
        <v>3</v>
      </c>
      <c r="I1687" t="str">
        <f>"Q "&amp;tbl_Kalender[[#This Row],[Quartal]]</f>
        <v>Q 3</v>
      </c>
      <c r="J1687" t="str">
        <f>tbl_Kalender[[#This Row],[Quartal]]&amp;". Quartal"</f>
        <v>3. Quartal</v>
      </c>
      <c r="K1687">
        <f>_xlfn.ISOWEEKNUM(tbl_Kalender[[#This Row],[Datum]])</f>
        <v>32</v>
      </c>
    </row>
    <row r="1688" spans="1:11" x14ac:dyDescent="0.25">
      <c r="A1688" s="1">
        <v>46978</v>
      </c>
      <c r="B1688">
        <f>YEAR(tbl_Kalender[[#This Row],[Datum]])</f>
        <v>2028</v>
      </c>
      <c r="C1688">
        <f>DAY(tbl_Kalender[[#This Row],[Datum]])</f>
        <v>13</v>
      </c>
      <c r="D1688" t="str">
        <f>TEXT(tbl_Kalender[[#This Row],[Datum]],"TTTT")</f>
        <v>Sonntag</v>
      </c>
      <c r="E1688">
        <f>WEEKDAY(tbl_Kalender[[#This Row],[Datum]],2)</f>
        <v>7</v>
      </c>
      <c r="F1688">
        <f>MONTH(tbl_Kalender[[#This Row],[Datum]])</f>
        <v>8</v>
      </c>
      <c r="G1688" t="str">
        <f>TEXT(tbl_Kalender[[#This Row],[Datum]],"MMMM")</f>
        <v>August</v>
      </c>
      <c r="H1688">
        <f>ROUNDUP(tbl_Kalender[[#This Row],[Monat]]/3,0)</f>
        <v>3</v>
      </c>
      <c r="I1688" t="str">
        <f>"Q "&amp;tbl_Kalender[[#This Row],[Quartal]]</f>
        <v>Q 3</v>
      </c>
      <c r="J1688" t="str">
        <f>tbl_Kalender[[#This Row],[Quartal]]&amp;". Quartal"</f>
        <v>3. Quartal</v>
      </c>
      <c r="K1688">
        <f>_xlfn.ISOWEEKNUM(tbl_Kalender[[#This Row],[Datum]])</f>
        <v>32</v>
      </c>
    </row>
    <row r="1689" spans="1:11" x14ac:dyDescent="0.25">
      <c r="A1689" s="1">
        <v>46979</v>
      </c>
      <c r="B1689">
        <f>YEAR(tbl_Kalender[[#This Row],[Datum]])</f>
        <v>2028</v>
      </c>
      <c r="C1689">
        <f>DAY(tbl_Kalender[[#This Row],[Datum]])</f>
        <v>14</v>
      </c>
      <c r="D1689" t="str">
        <f>TEXT(tbl_Kalender[[#This Row],[Datum]],"TTTT")</f>
        <v>Montag</v>
      </c>
      <c r="E1689">
        <f>WEEKDAY(tbl_Kalender[[#This Row],[Datum]],2)</f>
        <v>1</v>
      </c>
      <c r="F1689">
        <f>MONTH(tbl_Kalender[[#This Row],[Datum]])</f>
        <v>8</v>
      </c>
      <c r="G1689" t="str">
        <f>TEXT(tbl_Kalender[[#This Row],[Datum]],"MMMM")</f>
        <v>August</v>
      </c>
      <c r="H1689">
        <f>ROUNDUP(tbl_Kalender[[#This Row],[Monat]]/3,0)</f>
        <v>3</v>
      </c>
      <c r="I1689" t="str">
        <f>"Q "&amp;tbl_Kalender[[#This Row],[Quartal]]</f>
        <v>Q 3</v>
      </c>
      <c r="J1689" t="str">
        <f>tbl_Kalender[[#This Row],[Quartal]]&amp;". Quartal"</f>
        <v>3. Quartal</v>
      </c>
      <c r="K1689">
        <f>_xlfn.ISOWEEKNUM(tbl_Kalender[[#This Row],[Datum]])</f>
        <v>33</v>
      </c>
    </row>
    <row r="1690" spans="1:11" x14ac:dyDescent="0.25">
      <c r="A1690" s="1">
        <v>46980</v>
      </c>
      <c r="B1690">
        <f>YEAR(tbl_Kalender[[#This Row],[Datum]])</f>
        <v>2028</v>
      </c>
      <c r="C1690">
        <f>DAY(tbl_Kalender[[#This Row],[Datum]])</f>
        <v>15</v>
      </c>
      <c r="D1690" t="str">
        <f>TEXT(tbl_Kalender[[#This Row],[Datum]],"TTTT")</f>
        <v>Dienstag</v>
      </c>
      <c r="E1690">
        <f>WEEKDAY(tbl_Kalender[[#This Row],[Datum]],2)</f>
        <v>2</v>
      </c>
      <c r="F1690">
        <f>MONTH(tbl_Kalender[[#This Row],[Datum]])</f>
        <v>8</v>
      </c>
      <c r="G1690" t="str">
        <f>TEXT(tbl_Kalender[[#This Row],[Datum]],"MMMM")</f>
        <v>August</v>
      </c>
      <c r="H1690">
        <f>ROUNDUP(tbl_Kalender[[#This Row],[Monat]]/3,0)</f>
        <v>3</v>
      </c>
      <c r="I1690" t="str">
        <f>"Q "&amp;tbl_Kalender[[#This Row],[Quartal]]</f>
        <v>Q 3</v>
      </c>
      <c r="J1690" t="str">
        <f>tbl_Kalender[[#This Row],[Quartal]]&amp;". Quartal"</f>
        <v>3. Quartal</v>
      </c>
      <c r="K1690">
        <f>_xlfn.ISOWEEKNUM(tbl_Kalender[[#This Row],[Datum]])</f>
        <v>33</v>
      </c>
    </row>
    <row r="1691" spans="1:11" x14ac:dyDescent="0.25">
      <c r="A1691" s="1">
        <v>46981</v>
      </c>
      <c r="B1691">
        <f>YEAR(tbl_Kalender[[#This Row],[Datum]])</f>
        <v>2028</v>
      </c>
      <c r="C1691">
        <f>DAY(tbl_Kalender[[#This Row],[Datum]])</f>
        <v>16</v>
      </c>
      <c r="D1691" t="str">
        <f>TEXT(tbl_Kalender[[#This Row],[Datum]],"TTTT")</f>
        <v>Mittwoch</v>
      </c>
      <c r="E1691">
        <f>WEEKDAY(tbl_Kalender[[#This Row],[Datum]],2)</f>
        <v>3</v>
      </c>
      <c r="F1691">
        <f>MONTH(tbl_Kalender[[#This Row],[Datum]])</f>
        <v>8</v>
      </c>
      <c r="G1691" t="str">
        <f>TEXT(tbl_Kalender[[#This Row],[Datum]],"MMMM")</f>
        <v>August</v>
      </c>
      <c r="H1691">
        <f>ROUNDUP(tbl_Kalender[[#This Row],[Monat]]/3,0)</f>
        <v>3</v>
      </c>
      <c r="I1691" t="str">
        <f>"Q "&amp;tbl_Kalender[[#This Row],[Quartal]]</f>
        <v>Q 3</v>
      </c>
      <c r="J1691" t="str">
        <f>tbl_Kalender[[#This Row],[Quartal]]&amp;". Quartal"</f>
        <v>3. Quartal</v>
      </c>
      <c r="K1691">
        <f>_xlfn.ISOWEEKNUM(tbl_Kalender[[#This Row],[Datum]])</f>
        <v>33</v>
      </c>
    </row>
    <row r="1692" spans="1:11" x14ac:dyDescent="0.25">
      <c r="A1692" s="1">
        <v>46982</v>
      </c>
      <c r="B1692">
        <f>YEAR(tbl_Kalender[[#This Row],[Datum]])</f>
        <v>2028</v>
      </c>
      <c r="C1692">
        <f>DAY(tbl_Kalender[[#This Row],[Datum]])</f>
        <v>17</v>
      </c>
      <c r="D1692" t="str">
        <f>TEXT(tbl_Kalender[[#This Row],[Datum]],"TTTT")</f>
        <v>Donnerstag</v>
      </c>
      <c r="E1692">
        <f>WEEKDAY(tbl_Kalender[[#This Row],[Datum]],2)</f>
        <v>4</v>
      </c>
      <c r="F1692">
        <f>MONTH(tbl_Kalender[[#This Row],[Datum]])</f>
        <v>8</v>
      </c>
      <c r="G1692" t="str">
        <f>TEXT(tbl_Kalender[[#This Row],[Datum]],"MMMM")</f>
        <v>August</v>
      </c>
      <c r="H1692">
        <f>ROUNDUP(tbl_Kalender[[#This Row],[Monat]]/3,0)</f>
        <v>3</v>
      </c>
      <c r="I1692" t="str">
        <f>"Q "&amp;tbl_Kalender[[#This Row],[Quartal]]</f>
        <v>Q 3</v>
      </c>
      <c r="J1692" t="str">
        <f>tbl_Kalender[[#This Row],[Quartal]]&amp;". Quartal"</f>
        <v>3. Quartal</v>
      </c>
      <c r="K1692">
        <f>_xlfn.ISOWEEKNUM(tbl_Kalender[[#This Row],[Datum]])</f>
        <v>33</v>
      </c>
    </row>
    <row r="1693" spans="1:11" x14ac:dyDescent="0.25">
      <c r="A1693" s="1">
        <v>46983</v>
      </c>
      <c r="B1693">
        <f>YEAR(tbl_Kalender[[#This Row],[Datum]])</f>
        <v>2028</v>
      </c>
      <c r="C1693">
        <f>DAY(tbl_Kalender[[#This Row],[Datum]])</f>
        <v>18</v>
      </c>
      <c r="D1693" t="str">
        <f>TEXT(tbl_Kalender[[#This Row],[Datum]],"TTTT")</f>
        <v>Freitag</v>
      </c>
      <c r="E1693">
        <f>WEEKDAY(tbl_Kalender[[#This Row],[Datum]],2)</f>
        <v>5</v>
      </c>
      <c r="F1693">
        <f>MONTH(tbl_Kalender[[#This Row],[Datum]])</f>
        <v>8</v>
      </c>
      <c r="G1693" t="str">
        <f>TEXT(tbl_Kalender[[#This Row],[Datum]],"MMMM")</f>
        <v>August</v>
      </c>
      <c r="H1693">
        <f>ROUNDUP(tbl_Kalender[[#This Row],[Monat]]/3,0)</f>
        <v>3</v>
      </c>
      <c r="I1693" t="str">
        <f>"Q "&amp;tbl_Kalender[[#This Row],[Quartal]]</f>
        <v>Q 3</v>
      </c>
      <c r="J1693" t="str">
        <f>tbl_Kalender[[#This Row],[Quartal]]&amp;". Quartal"</f>
        <v>3. Quartal</v>
      </c>
      <c r="K1693">
        <f>_xlfn.ISOWEEKNUM(tbl_Kalender[[#This Row],[Datum]])</f>
        <v>33</v>
      </c>
    </row>
    <row r="1694" spans="1:11" x14ac:dyDescent="0.25">
      <c r="A1694" s="1">
        <v>46984</v>
      </c>
      <c r="B1694">
        <f>YEAR(tbl_Kalender[[#This Row],[Datum]])</f>
        <v>2028</v>
      </c>
      <c r="C1694">
        <f>DAY(tbl_Kalender[[#This Row],[Datum]])</f>
        <v>19</v>
      </c>
      <c r="D1694" t="str">
        <f>TEXT(tbl_Kalender[[#This Row],[Datum]],"TTTT")</f>
        <v>Samstag</v>
      </c>
      <c r="E1694">
        <f>WEEKDAY(tbl_Kalender[[#This Row],[Datum]],2)</f>
        <v>6</v>
      </c>
      <c r="F1694">
        <f>MONTH(tbl_Kalender[[#This Row],[Datum]])</f>
        <v>8</v>
      </c>
      <c r="G1694" t="str">
        <f>TEXT(tbl_Kalender[[#This Row],[Datum]],"MMMM")</f>
        <v>August</v>
      </c>
      <c r="H1694">
        <f>ROUNDUP(tbl_Kalender[[#This Row],[Monat]]/3,0)</f>
        <v>3</v>
      </c>
      <c r="I1694" t="str">
        <f>"Q "&amp;tbl_Kalender[[#This Row],[Quartal]]</f>
        <v>Q 3</v>
      </c>
      <c r="J1694" t="str">
        <f>tbl_Kalender[[#This Row],[Quartal]]&amp;". Quartal"</f>
        <v>3. Quartal</v>
      </c>
      <c r="K1694">
        <f>_xlfn.ISOWEEKNUM(tbl_Kalender[[#This Row],[Datum]])</f>
        <v>33</v>
      </c>
    </row>
    <row r="1695" spans="1:11" x14ac:dyDescent="0.25">
      <c r="A1695" s="1">
        <v>46985</v>
      </c>
      <c r="B1695">
        <f>YEAR(tbl_Kalender[[#This Row],[Datum]])</f>
        <v>2028</v>
      </c>
      <c r="C1695">
        <f>DAY(tbl_Kalender[[#This Row],[Datum]])</f>
        <v>20</v>
      </c>
      <c r="D1695" t="str">
        <f>TEXT(tbl_Kalender[[#This Row],[Datum]],"TTTT")</f>
        <v>Sonntag</v>
      </c>
      <c r="E1695">
        <f>WEEKDAY(tbl_Kalender[[#This Row],[Datum]],2)</f>
        <v>7</v>
      </c>
      <c r="F1695">
        <f>MONTH(tbl_Kalender[[#This Row],[Datum]])</f>
        <v>8</v>
      </c>
      <c r="G1695" t="str">
        <f>TEXT(tbl_Kalender[[#This Row],[Datum]],"MMMM")</f>
        <v>August</v>
      </c>
      <c r="H1695">
        <f>ROUNDUP(tbl_Kalender[[#This Row],[Monat]]/3,0)</f>
        <v>3</v>
      </c>
      <c r="I1695" t="str">
        <f>"Q "&amp;tbl_Kalender[[#This Row],[Quartal]]</f>
        <v>Q 3</v>
      </c>
      <c r="J1695" t="str">
        <f>tbl_Kalender[[#This Row],[Quartal]]&amp;". Quartal"</f>
        <v>3. Quartal</v>
      </c>
      <c r="K1695">
        <f>_xlfn.ISOWEEKNUM(tbl_Kalender[[#This Row],[Datum]])</f>
        <v>33</v>
      </c>
    </row>
    <row r="1696" spans="1:11" x14ac:dyDescent="0.25">
      <c r="A1696" s="1">
        <v>46986</v>
      </c>
      <c r="B1696">
        <f>YEAR(tbl_Kalender[[#This Row],[Datum]])</f>
        <v>2028</v>
      </c>
      <c r="C1696">
        <f>DAY(tbl_Kalender[[#This Row],[Datum]])</f>
        <v>21</v>
      </c>
      <c r="D1696" t="str">
        <f>TEXT(tbl_Kalender[[#This Row],[Datum]],"TTTT")</f>
        <v>Montag</v>
      </c>
      <c r="E1696">
        <f>WEEKDAY(tbl_Kalender[[#This Row],[Datum]],2)</f>
        <v>1</v>
      </c>
      <c r="F1696">
        <f>MONTH(tbl_Kalender[[#This Row],[Datum]])</f>
        <v>8</v>
      </c>
      <c r="G1696" t="str">
        <f>TEXT(tbl_Kalender[[#This Row],[Datum]],"MMMM")</f>
        <v>August</v>
      </c>
      <c r="H1696">
        <f>ROUNDUP(tbl_Kalender[[#This Row],[Monat]]/3,0)</f>
        <v>3</v>
      </c>
      <c r="I1696" t="str">
        <f>"Q "&amp;tbl_Kalender[[#This Row],[Quartal]]</f>
        <v>Q 3</v>
      </c>
      <c r="J1696" t="str">
        <f>tbl_Kalender[[#This Row],[Quartal]]&amp;". Quartal"</f>
        <v>3. Quartal</v>
      </c>
      <c r="K1696">
        <f>_xlfn.ISOWEEKNUM(tbl_Kalender[[#This Row],[Datum]])</f>
        <v>34</v>
      </c>
    </row>
    <row r="1697" spans="1:11" x14ac:dyDescent="0.25">
      <c r="A1697" s="1">
        <v>46987</v>
      </c>
      <c r="B1697">
        <f>YEAR(tbl_Kalender[[#This Row],[Datum]])</f>
        <v>2028</v>
      </c>
      <c r="C1697">
        <f>DAY(tbl_Kalender[[#This Row],[Datum]])</f>
        <v>22</v>
      </c>
      <c r="D1697" t="str">
        <f>TEXT(tbl_Kalender[[#This Row],[Datum]],"TTTT")</f>
        <v>Dienstag</v>
      </c>
      <c r="E1697">
        <f>WEEKDAY(tbl_Kalender[[#This Row],[Datum]],2)</f>
        <v>2</v>
      </c>
      <c r="F1697">
        <f>MONTH(tbl_Kalender[[#This Row],[Datum]])</f>
        <v>8</v>
      </c>
      <c r="G1697" t="str">
        <f>TEXT(tbl_Kalender[[#This Row],[Datum]],"MMMM")</f>
        <v>August</v>
      </c>
      <c r="H1697">
        <f>ROUNDUP(tbl_Kalender[[#This Row],[Monat]]/3,0)</f>
        <v>3</v>
      </c>
      <c r="I1697" t="str">
        <f>"Q "&amp;tbl_Kalender[[#This Row],[Quartal]]</f>
        <v>Q 3</v>
      </c>
      <c r="J1697" t="str">
        <f>tbl_Kalender[[#This Row],[Quartal]]&amp;". Quartal"</f>
        <v>3. Quartal</v>
      </c>
      <c r="K1697">
        <f>_xlfn.ISOWEEKNUM(tbl_Kalender[[#This Row],[Datum]])</f>
        <v>34</v>
      </c>
    </row>
    <row r="1698" spans="1:11" x14ac:dyDescent="0.25">
      <c r="A1698" s="1">
        <v>46988</v>
      </c>
      <c r="B1698">
        <f>YEAR(tbl_Kalender[[#This Row],[Datum]])</f>
        <v>2028</v>
      </c>
      <c r="C1698">
        <f>DAY(tbl_Kalender[[#This Row],[Datum]])</f>
        <v>23</v>
      </c>
      <c r="D1698" t="str">
        <f>TEXT(tbl_Kalender[[#This Row],[Datum]],"TTTT")</f>
        <v>Mittwoch</v>
      </c>
      <c r="E1698">
        <f>WEEKDAY(tbl_Kalender[[#This Row],[Datum]],2)</f>
        <v>3</v>
      </c>
      <c r="F1698">
        <f>MONTH(tbl_Kalender[[#This Row],[Datum]])</f>
        <v>8</v>
      </c>
      <c r="G1698" t="str">
        <f>TEXT(tbl_Kalender[[#This Row],[Datum]],"MMMM")</f>
        <v>August</v>
      </c>
      <c r="H1698">
        <f>ROUNDUP(tbl_Kalender[[#This Row],[Monat]]/3,0)</f>
        <v>3</v>
      </c>
      <c r="I1698" t="str">
        <f>"Q "&amp;tbl_Kalender[[#This Row],[Quartal]]</f>
        <v>Q 3</v>
      </c>
      <c r="J1698" t="str">
        <f>tbl_Kalender[[#This Row],[Quartal]]&amp;". Quartal"</f>
        <v>3. Quartal</v>
      </c>
      <c r="K1698">
        <f>_xlfn.ISOWEEKNUM(tbl_Kalender[[#This Row],[Datum]])</f>
        <v>34</v>
      </c>
    </row>
    <row r="1699" spans="1:11" x14ac:dyDescent="0.25">
      <c r="A1699" s="1">
        <v>46989</v>
      </c>
      <c r="B1699">
        <f>YEAR(tbl_Kalender[[#This Row],[Datum]])</f>
        <v>2028</v>
      </c>
      <c r="C1699">
        <f>DAY(tbl_Kalender[[#This Row],[Datum]])</f>
        <v>24</v>
      </c>
      <c r="D1699" t="str">
        <f>TEXT(tbl_Kalender[[#This Row],[Datum]],"TTTT")</f>
        <v>Donnerstag</v>
      </c>
      <c r="E1699">
        <f>WEEKDAY(tbl_Kalender[[#This Row],[Datum]],2)</f>
        <v>4</v>
      </c>
      <c r="F1699">
        <f>MONTH(tbl_Kalender[[#This Row],[Datum]])</f>
        <v>8</v>
      </c>
      <c r="G1699" t="str">
        <f>TEXT(tbl_Kalender[[#This Row],[Datum]],"MMMM")</f>
        <v>August</v>
      </c>
      <c r="H1699">
        <f>ROUNDUP(tbl_Kalender[[#This Row],[Monat]]/3,0)</f>
        <v>3</v>
      </c>
      <c r="I1699" t="str">
        <f>"Q "&amp;tbl_Kalender[[#This Row],[Quartal]]</f>
        <v>Q 3</v>
      </c>
      <c r="J1699" t="str">
        <f>tbl_Kalender[[#This Row],[Quartal]]&amp;". Quartal"</f>
        <v>3. Quartal</v>
      </c>
      <c r="K1699">
        <f>_xlfn.ISOWEEKNUM(tbl_Kalender[[#This Row],[Datum]])</f>
        <v>34</v>
      </c>
    </row>
    <row r="1700" spans="1:11" x14ac:dyDescent="0.25">
      <c r="A1700" s="1">
        <v>46990</v>
      </c>
      <c r="B1700">
        <f>YEAR(tbl_Kalender[[#This Row],[Datum]])</f>
        <v>2028</v>
      </c>
      <c r="C1700">
        <f>DAY(tbl_Kalender[[#This Row],[Datum]])</f>
        <v>25</v>
      </c>
      <c r="D1700" t="str">
        <f>TEXT(tbl_Kalender[[#This Row],[Datum]],"TTTT")</f>
        <v>Freitag</v>
      </c>
      <c r="E1700">
        <f>WEEKDAY(tbl_Kalender[[#This Row],[Datum]],2)</f>
        <v>5</v>
      </c>
      <c r="F1700">
        <f>MONTH(tbl_Kalender[[#This Row],[Datum]])</f>
        <v>8</v>
      </c>
      <c r="G1700" t="str">
        <f>TEXT(tbl_Kalender[[#This Row],[Datum]],"MMMM")</f>
        <v>August</v>
      </c>
      <c r="H1700">
        <f>ROUNDUP(tbl_Kalender[[#This Row],[Monat]]/3,0)</f>
        <v>3</v>
      </c>
      <c r="I1700" t="str">
        <f>"Q "&amp;tbl_Kalender[[#This Row],[Quartal]]</f>
        <v>Q 3</v>
      </c>
      <c r="J1700" t="str">
        <f>tbl_Kalender[[#This Row],[Quartal]]&amp;". Quartal"</f>
        <v>3. Quartal</v>
      </c>
      <c r="K1700">
        <f>_xlfn.ISOWEEKNUM(tbl_Kalender[[#This Row],[Datum]])</f>
        <v>34</v>
      </c>
    </row>
    <row r="1701" spans="1:11" x14ac:dyDescent="0.25">
      <c r="A1701" s="1">
        <v>46991</v>
      </c>
      <c r="B1701">
        <f>YEAR(tbl_Kalender[[#This Row],[Datum]])</f>
        <v>2028</v>
      </c>
      <c r="C1701">
        <f>DAY(tbl_Kalender[[#This Row],[Datum]])</f>
        <v>26</v>
      </c>
      <c r="D1701" t="str">
        <f>TEXT(tbl_Kalender[[#This Row],[Datum]],"TTTT")</f>
        <v>Samstag</v>
      </c>
      <c r="E1701">
        <f>WEEKDAY(tbl_Kalender[[#This Row],[Datum]],2)</f>
        <v>6</v>
      </c>
      <c r="F1701">
        <f>MONTH(tbl_Kalender[[#This Row],[Datum]])</f>
        <v>8</v>
      </c>
      <c r="G1701" t="str">
        <f>TEXT(tbl_Kalender[[#This Row],[Datum]],"MMMM")</f>
        <v>August</v>
      </c>
      <c r="H1701">
        <f>ROUNDUP(tbl_Kalender[[#This Row],[Monat]]/3,0)</f>
        <v>3</v>
      </c>
      <c r="I1701" t="str">
        <f>"Q "&amp;tbl_Kalender[[#This Row],[Quartal]]</f>
        <v>Q 3</v>
      </c>
      <c r="J1701" t="str">
        <f>tbl_Kalender[[#This Row],[Quartal]]&amp;". Quartal"</f>
        <v>3. Quartal</v>
      </c>
      <c r="K1701">
        <f>_xlfn.ISOWEEKNUM(tbl_Kalender[[#This Row],[Datum]])</f>
        <v>34</v>
      </c>
    </row>
    <row r="1702" spans="1:11" x14ac:dyDescent="0.25">
      <c r="A1702" s="1">
        <v>46992</v>
      </c>
      <c r="B1702">
        <f>YEAR(tbl_Kalender[[#This Row],[Datum]])</f>
        <v>2028</v>
      </c>
      <c r="C1702">
        <f>DAY(tbl_Kalender[[#This Row],[Datum]])</f>
        <v>27</v>
      </c>
      <c r="D1702" t="str">
        <f>TEXT(tbl_Kalender[[#This Row],[Datum]],"TTTT")</f>
        <v>Sonntag</v>
      </c>
      <c r="E1702">
        <f>WEEKDAY(tbl_Kalender[[#This Row],[Datum]],2)</f>
        <v>7</v>
      </c>
      <c r="F1702">
        <f>MONTH(tbl_Kalender[[#This Row],[Datum]])</f>
        <v>8</v>
      </c>
      <c r="G1702" t="str">
        <f>TEXT(tbl_Kalender[[#This Row],[Datum]],"MMMM")</f>
        <v>August</v>
      </c>
      <c r="H1702">
        <f>ROUNDUP(tbl_Kalender[[#This Row],[Monat]]/3,0)</f>
        <v>3</v>
      </c>
      <c r="I1702" t="str">
        <f>"Q "&amp;tbl_Kalender[[#This Row],[Quartal]]</f>
        <v>Q 3</v>
      </c>
      <c r="J1702" t="str">
        <f>tbl_Kalender[[#This Row],[Quartal]]&amp;". Quartal"</f>
        <v>3. Quartal</v>
      </c>
      <c r="K1702">
        <f>_xlfn.ISOWEEKNUM(tbl_Kalender[[#This Row],[Datum]])</f>
        <v>34</v>
      </c>
    </row>
    <row r="1703" spans="1:11" x14ac:dyDescent="0.25">
      <c r="A1703" s="1">
        <v>46993</v>
      </c>
      <c r="B1703">
        <f>YEAR(tbl_Kalender[[#This Row],[Datum]])</f>
        <v>2028</v>
      </c>
      <c r="C1703">
        <f>DAY(tbl_Kalender[[#This Row],[Datum]])</f>
        <v>28</v>
      </c>
      <c r="D1703" t="str">
        <f>TEXT(tbl_Kalender[[#This Row],[Datum]],"TTTT")</f>
        <v>Montag</v>
      </c>
      <c r="E1703">
        <f>WEEKDAY(tbl_Kalender[[#This Row],[Datum]],2)</f>
        <v>1</v>
      </c>
      <c r="F1703">
        <f>MONTH(tbl_Kalender[[#This Row],[Datum]])</f>
        <v>8</v>
      </c>
      <c r="G1703" t="str">
        <f>TEXT(tbl_Kalender[[#This Row],[Datum]],"MMMM")</f>
        <v>August</v>
      </c>
      <c r="H1703">
        <f>ROUNDUP(tbl_Kalender[[#This Row],[Monat]]/3,0)</f>
        <v>3</v>
      </c>
      <c r="I1703" t="str">
        <f>"Q "&amp;tbl_Kalender[[#This Row],[Quartal]]</f>
        <v>Q 3</v>
      </c>
      <c r="J1703" t="str">
        <f>tbl_Kalender[[#This Row],[Quartal]]&amp;". Quartal"</f>
        <v>3. Quartal</v>
      </c>
      <c r="K1703">
        <f>_xlfn.ISOWEEKNUM(tbl_Kalender[[#This Row],[Datum]])</f>
        <v>35</v>
      </c>
    </row>
    <row r="1704" spans="1:11" x14ac:dyDescent="0.25">
      <c r="A1704" s="1">
        <v>46994</v>
      </c>
      <c r="B1704">
        <f>YEAR(tbl_Kalender[[#This Row],[Datum]])</f>
        <v>2028</v>
      </c>
      <c r="C1704">
        <f>DAY(tbl_Kalender[[#This Row],[Datum]])</f>
        <v>29</v>
      </c>
      <c r="D1704" t="str">
        <f>TEXT(tbl_Kalender[[#This Row],[Datum]],"TTTT")</f>
        <v>Dienstag</v>
      </c>
      <c r="E1704">
        <f>WEEKDAY(tbl_Kalender[[#This Row],[Datum]],2)</f>
        <v>2</v>
      </c>
      <c r="F1704">
        <f>MONTH(tbl_Kalender[[#This Row],[Datum]])</f>
        <v>8</v>
      </c>
      <c r="G1704" t="str">
        <f>TEXT(tbl_Kalender[[#This Row],[Datum]],"MMMM")</f>
        <v>August</v>
      </c>
      <c r="H1704">
        <f>ROUNDUP(tbl_Kalender[[#This Row],[Monat]]/3,0)</f>
        <v>3</v>
      </c>
      <c r="I1704" t="str">
        <f>"Q "&amp;tbl_Kalender[[#This Row],[Quartal]]</f>
        <v>Q 3</v>
      </c>
      <c r="J1704" t="str">
        <f>tbl_Kalender[[#This Row],[Quartal]]&amp;". Quartal"</f>
        <v>3. Quartal</v>
      </c>
      <c r="K1704">
        <f>_xlfn.ISOWEEKNUM(tbl_Kalender[[#This Row],[Datum]])</f>
        <v>35</v>
      </c>
    </row>
    <row r="1705" spans="1:11" x14ac:dyDescent="0.25">
      <c r="A1705" s="1">
        <v>46995</v>
      </c>
      <c r="B1705">
        <f>YEAR(tbl_Kalender[[#This Row],[Datum]])</f>
        <v>2028</v>
      </c>
      <c r="C1705">
        <f>DAY(tbl_Kalender[[#This Row],[Datum]])</f>
        <v>30</v>
      </c>
      <c r="D1705" t="str">
        <f>TEXT(tbl_Kalender[[#This Row],[Datum]],"TTTT")</f>
        <v>Mittwoch</v>
      </c>
      <c r="E1705">
        <f>WEEKDAY(tbl_Kalender[[#This Row],[Datum]],2)</f>
        <v>3</v>
      </c>
      <c r="F1705">
        <f>MONTH(tbl_Kalender[[#This Row],[Datum]])</f>
        <v>8</v>
      </c>
      <c r="G1705" t="str">
        <f>TEXT(tbl_Kalender[[#This Row],[Datum]],"MMMM")</f>
        <v>August</v>
      </c>
      <c r="H1705">
        <f>ROUNDUP(tbl_Kalender[[#This Row],[Monat]]/3,0)</f>
        <v>3</v>
      </c>
      <c r="I1705" t="str">
        <f>"Q "&amp;tbl_Kalender[[#This Row],[Quartal]]</f>
        <v>Q 3</v>
      </c>
      <c r="J1705" t="str">
        <f>tbl_Kalender[[#This Row],[Quartal]]&amp;". Quartal"</f>
        <v>3. Quartal</v>
      </c>
      <c r="K1705">
        <f>_xlfn.ISOWEEKNUM(tbl_Kalender[[#This Row],[Datum]])</f>
        <v>35</v>
      </c>
    </row>
    <row r="1706" spans="1:11" x14ac:dyDescent="0.25">
      <c r="A1706" s="1">
        <v>46996</v>
      </c>
      <c r="B1706">
        <f>YEAR(tbl_Kalender[[#This Row],[Datum]])</f>
        <v>2028</v>
      </c>
      <c r="C1706">
        <f>DAY(tbl_Kalender[[#This Row],[Datum]])</f>
        <v>31</v>
      </c>
      <c r="D1706" t="str">
        <f>TEXT(tbl_Kalender[[#This Row],[Datum]],"TTTT")</f>
        <v>Donnerstag</v>
      </c>
      <c r="E1706">
        <f>WEEKDAY(tbl_Kalender[[#This Row],[Datum]],2)</f>
        <v>4</v>
      </c>
      <c r="F1706">
        <f>MONTH(tbl_Kalender[[#This Row],[Datum]])</f>
        <v>8</v>
      </c>
      <c r="G1706" t="str">
        <f>TEXT(tbl_Kalender[[#This Row],[Datum]],"MMMM")</f>
        <v>August</v>
      </c>
      <c r="H1706">
        <f>ROUNDUP(tbl_Kalender[[#This Row],[Monat]]/3,0)</f>
        <v>3</v>
      </c>
      <c r="I1706" t="str">
        <f>"Q "&amp;tbl_Kalender[[#This Row],[Quartal]]</f>
        <v>Q 3</v>
      </c>
      <c r="J1706" t="str">
        <f>tbl_Kalender[[#This Row],[Quartal]]&amp;". Quartal"</f>
        <v>3. Quartal</v>
      </c>
      <c r="K1706">
        <f>_xlfn.ISOWEEKNUM(tbl_Kalender[[#This Row],[Datum]])</f>
        <v>35</v>
      </c>
    </row>
    <row r="1707" spans="1:11" x14ac:dyDescent="0.25">
      <c r="A1707" s="1">
        <v>46997</v>
      </c>
      <c r="B1707">
        <f>YEAR(tbl_Kalender[[#This Row],[Datum]])</f>
        <v>2028</v>
      </c>
      <c r="C1707">
        <f>DAY(tbl_Kalender[[#This Row],[Datum]])</f>
        <v>1</v>
      </c>
      <c r="D1707" t="str">
        <f>TEXT(tbl_Kalender[[#This Row],[Datum]],"TTTT")</f>
        <v>Freitag</v>
      </c>
      <c r="E1707">
        <f>WEEKDAY(tbl_Kalender[[#This Row],[Datum]],2)</f>
        <v>5</v>
      </c>
      <c r="F1707">
        <f>MONTH(tbl_Kalender[[#This Row],[Datum]])</f>
        <v>9</v>
      </c>
      <c r="G1707" t="str">
        <f>TEXT(tbl_Kalender[[#This Row],[Datum]],"MMMM")</f>
        <v>September</v>
      </c>
      <c r="H1707">
        <f>ROUNDUP(tbl_Kalender[[#This Row],[Monat]]/3,0)</f>
        <v>3</v>
      </c>
      <c r="I1707" t="str">
        <f>"Q "&amp;tbl_Kalender[[#This Row],[Quartal]]</f>
        <v>Q 3</v>
      </c>
      <c r="J1707" t="str">
        <f>tbl_Kalender[[#This Row],[Quartal]]&amp;". Quartal"</f>
        <v>3. Quartal</v>
      </c>
      <c r="K1707">
        <f>_xlfn.ISOWEEKNUM(tbl_Kalender[[#This Row],[Datum]])</f>
        <v>35</v>
      </c>
    </row>
    <row r="1708" spans="1:11" x14ac:dyDescent="0.25">
      <c r="A1708" s="1">
        <v>46998</v>
      </c>
      <c r="B1708">
        <f>YEAR(tbl_Kalender[[#This Row],[Datum]])</f>
        <v>2028</v>
      </c>
      <c r="C1708">
        <f>DAY(tbl_Kalender[[#This Row],[Datum]])</f>
        <v>2</v>
      </c>
      <c r="D1708" t="str">
        <f>TEXT(tbl_Kalender[[#This Row],[Datum]],"TTTT")</f>
        <v>Samstag</v>
      </c>
      <c r="E1708">
        <f>WEEKDAY(tbl_Kalender[[#This Row],[Datum]],2)</f>
        <v>6</v>
      </c>
      <c r="F1708">
        <f>MONTH(tbl_Kalender[[#This Row],[Datum]])</f>
        <v>9</v>
      </c>
      <c r="G1708" t="str">
        <f>TEXT(tbl_Kalender[[#This Row],[Datum]],"MMMM")</f>
        <v>September</v>
      </c>
      <c r="H1708">
        <f>ROUNDUP(tbl_Kalender[[#This Row],[Monat]]/3,0)</f>
        <v>3</v>
      </c>
      <c r="I1708" t="str">
        <f>"Q "&amp;tbl_Kalender[[#This Row],[Quartal]]</f>
        <v>Q 3</v>
      </c>
      <c r="J1708" t="str">
        <f>tbl_Kalender[[#This Row],[Quartal]]&amp;". Quartal"</f>
        <v>3. Quartal</v>
      </c>
      <c r="K1708">
        <f>_xlfn.ISOWEEKNUM(tbl_Kalender[[#This Row],[Datum]])</f>
        <v>35</v>
      </c>
    </row>
    <row r="1709" spans="1:11" x14ac:dyDescent="0.25">
      <c r="A1709" s="1">
        <v>46999</v>
      </c>
      <c r="B1709">
        <f>YEAR(tbl_Kalender[[#This Row],[Datum]])</f>
        <v>2028</v>
      </c>
      <c r="C1709">
        <f>DAY(tbl_Kalender[[#This Row],[Datum]])</f>
        <v>3</v>
      </c>
      <c r="D1709" t="str">
        <f>TEXT(tbl_Kalender[[#This Row],[Datum]],"TTTT")</f>
        <v>Sonntag</v>
      </c>
      <c r="E1709">
        <f>WEEKDAY(tbl_Kalender[[#This Row],[Datum]],2)</f>
        <v>7</v>
      </c>
      <c r="F1709">
        <f>MONTH(tbl_Kalender[[#This Row],[Datum]])</f>
        <v>9</v>
      </c>
      <c r="G1709" t="str">
        <f>TEXT(tbl_Kalender[[#This Row],[Datum]],"MMMM")</f>
        <v>September</v>
      </c>
      <c r="H1709">
        <f>ROUNDUP(tbl_Kalender[[#This Row],[Monat]]/3,0)</f>
        <v>3</v>
      </c>
      <c r="I1709" t="str">
        <f>"Q "&amp;tbl_Kalender[[#This Row],[Quartal]]</f>
        <v>Q 3</v>
      </c>
      <c r="J1709" t="str">
        <f>tbl_Kalender[[#This Row],[Quartal]]&amp;". Quartal"</f>
        <v>3. Quartal</v>
      </c>
      <c r="K1709">
        <f>_xlfn.ISOWEEKNUM(tbl_Kalender[[#This Row],[Datum]])</f>
        <v>35</v>
      </c>
    </row>
    <row r="1710" spans="1:11" x14ac:dyDescent="0.25">
      <c r="A1710" s="1">
        <v>47000</v>
      </c>
      <c r="B1710">
        <f>YEAR(tbl_Kalender[[#This Row],[Datum]])</f>
        <v>2028</v>
      </c>
      <c r="C1710">
        <f>DAY(tbl_Kalender[[#This Row],[Datum]])</f>
        <v>4</v>
      </c>
      <c r="D1710" t="str">
        <f>TEXT(tbl_Kalender[[#This Row],[Datum]],"TTTT")</f>
        <v>Montag</v>
      </c>
      <c r="E1710">
        <f>WEEKDAY(tbl_Kalender[[#This Row],[Datum]],2)</f>
        <v>1</v>
      </c>
      <c r="F1710">
        <f>MONTH(tbl_Kalender[[#This Row],[Datum]])</f>
        <v>9</v>
      </c>
      <c r="G1710" t="str">
        <f>TEXT(tbl_Kalender[[#This Row],[Datum]],"MMMM")</f>
        <v>September</v>
      </c>
      <c r="H1710">
        <f>ROUNDUP(tbl_Kalender[[#This Row],[Monat]]/3,0)</f>
        <v>3</v>
      </c>
      <c r="I1710" t="str">
        <f>"Q "&amp;tbl_Kalender[[#This Row],[Quartal]]</f>
        <v>Q 3</v>
      </c>
      <c r="J1710" t="str">
        <f>tbl_Kalender[[#This Row],[Quartal]]&amp;". Quartal"</f>
        <v>3. Quartal</v>
      </c>
      <c r="K1710">
        <f>_xlfn.ISOWEEKNUM(tbl_Kalender[[#This Row],[Datum]])</f>
        <v>36</v>
      </c>
    </row>
    <row r="1711" spans="1:11" x14ac:dyDescent="0.25">
      <c r="A1711" s="1">
        <v>47001</v>
      </c>
      <c r="B1711">
        <f>YEAR(tbl_Kalender[[#This Row],[Datum]])</f>
        <v>2028</v>
      </c>
      <c r="C1711">
        <f>DAY(tbl_Kalender[[#This Row],[Datum]])</f>
        <v>5</v>
      </c>
      <c r="D1711" t="str">
        <f>TEXT(tbl_Kalender[[#This Row],[Datum]],"TTTT")</f>
        <v>Dienstag</v>
      </c>
      <c r="E1711">
        <f>WEEKDAY(tbl_Kalender[[#This Row],[Datum]],2)</f>
        <v>2</v>
      </c>
      <c r="F1711">
        <f>MONTH(tbl_Kalender[[#This Row],[Datum]])</f>
        <v>9</v>
      </c>
      <c r="G1711" t="str">
        <f>TEXT(tbl_Kalender[[#This Row],[Datum]],"MMMM")</f>
        <v>September</v>
      </c>
      <c r="H1711">
        <f>ROUNDUP(tbl_Kalender[[#This Row],[Monat]]/3,0)</f>
        <v>3</v>
      </c>
      <c r="I1711" t="str">
        <f>"Q "&amp;tbl_Kalender[[#This Row],[Quartal]]</f>
        <v>Q 3</v>
      </c>
      <c r="J1711" t="str">
        <f>tbl_Kalender[[#This Row],[Quartal]]&amp;". Quartal"</f>
        <v>3. Quartal</v>
      </c>
      <c r="K1711">
        <f>_xlfn.ISOWEEKNUM(tbl_Kalender[[#This Row],[Datum]])</f>
        <v>36</v>
      </c>
    </row>
    <row r="1712" spans="1:11" x14ac:dyDescent="0.25">
      <c r="A1712" s="1">
        <v>47002</v>
      </c>
      <c r="B1712">
        <f>YEAR(tbl_Kalender[[#This Row],[Datum]])</f>
        <v>2028</v>
      </c>
      <c r="C1712">
        <f>DAY(tbl_Kalender[[#This Row],[Datum]])</f>
        <v>6</v>
      </c>
      <c r="D1712" t="str">
        <f>TEXT(tbl_Kalender[[#This Row],[Datum]],"TTTT")</f>
        <v>Mittwoch</v>
      </c>
      <c r="E1712">
        <f>WEEKDAY(tbl_Kalender[[#This Row],[Datum]],2)</f>
        <v>3</v>
      </c>
      <c r="F1712">
        <f>MONTH(tbl_Kalender[[#This Row],[Datum]])</f>
        <v>9</v>
      </c>
      <c r="G1712" t="str">
        <f>TEXT(tbl_Kalender[[#This Row],[Datum]],"MMMM")</f>
        <v>September</v>
      </c>
      <c r="H1712">
        <f>ROUNDUP(tbl_Kalender[[#This Row],[Monat]]/3,0)</f>
        <v>3</v>
      </c>
      <c r="I1712" t="str">
        <f>"Q "&amp;tbl_Kalender[[#This Row],[Quartal]]</f>
        <v>Q 3</v>
      </c>
      <c r="J1712" t="str">
        <f>tbl_Kalender[[#This Row],[Quartal]]&amp;". Quartal"</f>
        <v>3. Quartal</v>
      </c>
      <c r="K1712">
        <f>_xlfn.ISOWEEKNUM(tbl_Kalender[[#This Row],[Datum]])</f>
        <v>36</v>
      </c>
    </row>
    <row r="1713" spans="1:11" x14ac:dyDescent="0.25">
      <c r="A1713" s="1">
        <v>47003</v>
      </c>
      <c r="B1713">
        <f>YEAR(tbl_Kalender[[#This Row],[Datum]])</f>
        <v>2028</v>
      </c>
      <c r="C1713">
        <f>DAY(tbl_Kalender[[#This Row],[Datum]])</f>
        <v>7</v>
      </c>
      <c r="D1713" t="str">
        <f>TEXT(tbl_Kalender[[#This Row],[Datum]],"TTTT")</f>
        <v>Donnerstag</v>
      </c>
      <c r="E1713">
        <f>WEEKDAY(tbl_Kalender[[#This Row],[Datum]],2)</f>
        <v>4</v>
      </c>
      <c r="F1713">
        <f>MONTH(tbl_Kalender[[#This Row],[Datum]])</f>
        <v>9</v>
      </c>
      <c r="G1713" t="str">
        <f>TEXT(tbl_Kalender[[#This Row],[Datum]],"MMMM")</f>
        <v>September</v>
      </c>
      <c r="H1713">
        <f>ROUNDUP(tbl_Kalender[[#This Row],[Monat]]/3,0)</f>
        <v>3</v>
      </c>
      <c r="I1713" t="str">
        <f>"Q "&amp;tbl_Kalender[[#This Row],[Quartal]]</f>
        <v>Q 3</v>
      </c>
      <c r="J1713" t="str">
        <f>tbl_Kalender[[#This Row],[Quartal]]&amp;". Quartal"</f>
        <v>3. Quartal</v>
      </c>
      <c r="K1713">
        <f>_xlfn.ISOWEEKNUM(tbl_Kalender[[#This Row],[Datum]])</f>
        <v>36</v>
      </c>
    </row>
    <row r="1714" spans="1:11" x14ac:dyDescent="0.25">
      <c r="A1714" s="1">
        <v>47004</v>
      </c>
      <c r="B1714">
        <f>YEAR(tbl_Kalender[[#This Row],[Datum]])</f>
        <v>2028</v>
      </c>
      <c r="C1714">
        <f>DAY(tbl_Kalender[[#This Row],[Datum]])</f>
        <v>8</v>
      </c>
      <c r="D1714" t="str">
        <f>TEXT(tbl_Kalender[[#This Row],[Datum]],"TTTT")</f>
        <v>Freitag</v>
      </c>
      <c r="E1714">
        <f>WEEKDAY(tbl_Kalender[[#This Row],[Datum]],2)</f>
        <v>5</v>
      </c>
      <c r="F1714">
        <f>MONTH(tbl_Kalender[[#This Row],[Datum]])</f>
        <v>9</v>
      </c>
      <c r="G1714" t="str">
        <f>TEXT(tbl_Kalender[[#This Row],[Datum]],"MMMM")</f>
        <v>September</v>
      </c>
      <c r="H1714">
        <f>ROUNDUP(tbl_Kalender[[#This Row],[Monat]]/3,0)</f>
        <v>3</v>
      </c>
      <c r="I1714" t="str">
        <f>"Q "&amp;tbl_Kalender[[#This Row],[Quartal]]</f>
        <v>Q 3</v>
      </c>
      <c r="J1714" t="str">
        <f>tbl_Kalender[[#This Row],[Quartal]]&amp;". Quartal"</f>
        <v>3. Quartal</v>
      </c>
      <c r="K1714">
        <f>_xlfn.ISOWEEKNUM(tbl_Kalender[[#This Row],[Datum]])</f>
        <v>36</v>
      </c>
    </row>
    <row r="1715" spans="1:11" x14ac:dyDescent="0.25">
      <c r="A1715" s="1">
        <v>47005</v>
      </c>
      <c r="B1715">
        <f>YEAR(tbl_Kalender[[#This Row],[Datum]])</f>
        <v>2028</v>
      </c>
      <c r="C1715">
        <f>DAY(tbl_Kalender[[#This Row],[Datum]])</f>
        <v>9</v>
      </c>
      <c r="D1715" t="str">
        <f>TEXT(tbl_Kalender[[#This Row],[Datum]],"TTTT")</f>
        <v>Samstag</v>
      </c>
      <c r="E1715">
        <f>WEEKDAY(tbl_Kalender[[#This Row],[Datum]],2)</f>
        <v>6</v>
      </c>
      <c r="F1715">
        <f>MONTH(tbl_Kalender[[#This Row],[Datum]])</f>
        <v>9</v>
      </c>
      <c r="G1715" t="str">
        <f>TEXT(tbl_Kalender[[#This Row],[Datum]],"MMMM")</f>
        <v>September</v>
      </c>
      <c r="H1715">
        <f>ROUNDUP(tbl_Kalender[[#This Row],[Monat]]/3,0)</f>
        <v>3</v>
      </c>
      <c r="I1715" t="str">
        <f>"Q "&amp;tbl_Kalender[[#This Row],[Quartal]]</f>
        <v>Q 3</v>
      </c>
      <c r="J1715" t="str">
        <f>tbl_Kalender[[#This Row],[Quartal]]&amp;". Quartal"</f>
        <v>3. Quartal</v>
      </c>
      <c r="K1715">
        <f>_xlfn.ISOWEEKNUM(tbl_Kalender[[#This Row],[Datum]])</f>
        <v>36</v>
      </c>
    </row>
    <row r="1716" spans="1:11" x14ac:dyDescent="0.25">
      <c r="A1716" s="1">
        <v>47006</v>
      </c>
      <c r="B1716">
        <f>YEAR(tbl_Kalender[[#This Row],[Datum]])</f>
        <v>2028</v>
      </c>
      <c r="C1716">
        <f>DAY(tbl_Kalender[[#This Row],[Datum]])</f>
        <v>10</v>
      </c>
      <c r="D1716" t="str">
        <f>TEXT(tbl_Kalender[[#This Row],[Datum]],"TTTT")</f>
        <v>Sonntag</v>
      </c>
      <c r="E1716">
        <f>WEEKDAY(tbl_Kalender[[#This Row],[Datum]],2)</f>
        <v>7</v>
      </c>
      <c r="F1716">
        <f>MONTH(tbl_Kalender[[#This Row],[Datum]])</f>
        <v>9</v>
      </c>
      <c r="G1716" t="str">
        <f>TEXT(tbl_Kalender[[#This Row],[Datum]],"MMMM")</f>
        <v>September</v>
      </c>
      <c r="H1716">
        <f>ROUNDUP(tbl_Kalender[[#This Row],[Monat]]/3,0)</f>
        <v>3</v>
      </c>
      <c r="I1716" t="str">
        <f>"Q "&amp;tbl_Kalender[[#This Row],[Quartal]]</f>
        <v>Q 3</v>
      </c>
      <c r="J1716" t="str">
        <f>tbl_Kalender[[#This Row],[Quartal]]&amp;". Quartal"</f>
        <v>3. Quartal</v>
      </c>
      <c r="K1716">
        <f>_xlfn.ISOWEEKNUM(tbl_Kalender[[#This Row],[Datum]])</f>
        <v>36</v>
      </c>
    </row>
    <row r="1717" spans="1:11" x14ac:dyDescent="0.25">
      <c r="A1717" s="1">
        <v>47007</v>
      </c>
      <c r="B1717">
        <f>YEAR(tbl_Kalender[[#This Row],[Datum]])</f>
        <v>2028</v>
      </c>
      <c r="C1717">
        <f>DAY(tbl_Kalender[[#This Row],[Datum]])</f>
        <v>11</v>
      </c>
      <c r="D1717" t="str">
        <f>TEXT(tbl_Kalender[[#This Row],[Datum]],"TTTT")</f>
        <v>Montag</v>
      </c>
      <c r="E1717">
        <f>WEEKDAY(tbl_Kalender[[#This Row],[Datum]],2)</f>
        <v>1</v>
      </c>
      <c r="F1717">
        <f>MONTH(tbl_Kalender[[#This Row],[Datum]])</f>
        <v>9</v>
      </c>
      <c r="G1717" t="str">
        <f>TEXT(tbl_Kalender[[#This Row],[Datum]],"MMMM")</f>
        <v>September</v>
      </c>
      <c r="H1717">
        <f>ROUNDUP(tbl_Kalender[[#This Row],[Monat]]/3,0)</f>
        <v>3</v>
      </c>
      <c r="I1717" t="str">
        <f>"Q "&amp;tbl_Kalender[[#This Row],[Quartal]]</f>
        <v>Q 3</v>
      </c>
      <c r="J1717" t="str">
        <f>tbl_Kalender[[#This Row],[Quartal]]&amp;". Quartal"</f>
        <v>3. Quartal</v>
      </c>
      <c r="K1717">
        <f>_xlfn.ISOWEEKNUM(tbl_Kalender[[#This Row],[Datum]])</f>
        <v>37</v>
      </c>
    </row>
    <row r="1718" spans="1:11" x14ac:dyDescent="0.25">
      <c r="A1718" s="1">
        <v>47008</v>
      </c>
      <c r="B1718">
        <f>YEAR(tbl_Kalender[[#This Row],[Datum]])</f>
        <v>2028</v>
      </c>
      <c r="C1718">
        <f>DAY(tbl_Kalender[[#This Row],[Datum]])</f>
        <v>12</v>
      </c>
      <c r="D1718" t="str">
        <f>TEXT(tbl_Kalender[[#This Row],[Datum]],"TTTT")</f>
        <v>Dienstag</v>
      </c>
      <c r="E1718">
        <f>WEEKDAY(tbl_Kalender[[#This Row],[Datum]],2)</f>
        <v>2</v>
      </c>
      <c r="F1718">
        <f>MONTH(tbl_Kalender[[#This Row],[Datum]])</f>
        <v>9</v>
      </c>
      <c r="G1718" t="str">
        <f>TEXT(tbl_Kalender[[#This Row],[Datum]],"MMMM")</f>
        <v>September</v>
      </c>
      <c r="H1718">
        <f>ROUNDUP(tbl_Kalender[[#This Row],[Monat]]/3,0)</f>
        <v>3</v>
      </c>
      <c r="I1718" t="str">
        <f>"Q "&amp;tbl_Kalender[[#This Row],[Quartal]]</f>
        <v>Q 3</v>
      </c>
      <c r="J1718" t="str">
        <f>tbl_Kalender[[#This Row],[Quartal]]&amp;". Quartal"</f>
        <v>3. Quartal</v>
      </c>
      <c r="K1718">
        <f>_xlfn.ISOWEEKNUM(tbl_Kalender[[#This Row],[Datum]])</f>
        <v>37</v>
      </c>
    </row>
    <row r="1719" spans="1:11" x14ac:dyDescent="0.25">
      <c r="A1719" s="1">
        <v>47009</v>
      </c>
      <c r="B1719">
        <f>YEAR(tbl_Kalender[[#This Row],[Datum]])</f>
        <v>2028</v>
      </c>
      <c r="C1719">
        <f>DAY(tbl_Kalender[[#This Row],[Datum]])</f>
        <v>13</v>
      </c>
      <c r="D1719" t="str">
        <f>TEXT(tbl_Kalender[[#This Row],[Datum]],"TTTT")</f>
        <v>Mittwoch</v>
      </c>
      <c r="E1719">
        <f>WEEKDAY(tbl_Kalender[[#This Row],[Datum]],2)</f>
        <v>3</v>
      </c>
      <c r="F1719">
        <f>MONTH(tbl_Kalender[[#This Row],[Datum]])</f>
        <v>9</v>
      </c>
      <c r="G1719" t="str">
        <f>TEXT(tbl_Kalender[[#This Row],[Datum]],"MMMM")</f>
        <v>September</v>
      </c>
      <c r="H1719">
        <f>ROUNDUP(tbl_Kalender[[#This Row],[Monat]]/3,0)</f>
        <v>3</v>
      </c>
      <c r="I1719" t="str">
        <f>"Q "&amp;tbl_Kalender[[#This Row],[Quartal]]</f>
        <v>Q 3</v>
      </c>
      <c r="J1719" t="str">
        <f>tbl_Kalender[[#This Row],[Quartal]]&amp;". Quartal"</f>
        <v>3. Quartal</v>
      </c>
      <c r="K1719">
        <f>_xlfn.ISOWEEKNUM(tbl_Kalender[[#This Row],[Datum]])</f>
        <v>37</v>
      </c>
    </row>
    <row r="1720" spans="1:11" x14ac:dyDescent="0.25">
      <c r="A1720" s="1">
        <v>47010</v>
      </c>
      <c r="B1720">
        <f>YEAR(tbl_Kalender[[#This Row],[Datum]])</f>
        <v>2028</v>
      </c>
      <c r="C1720">
        <f>DAY(tbl_Kalender[[#This Row],[Datum]])</f>
        <v>14</v>
      </c>
      <c r="D1720" t="str">
        <f>TEXT(tbl_Kalender[[#This Row],[Datum]],"TTTT")</f>
        <v>Donnerstag</v>
      </c>
      <c r="E1720">
        <f>WEEKDAY(tbl_Kalender[[#This Row],[Datum]],2)</f>
        <v>4</v>
      </c>
      <c r="F1720">
        <f>MONTH(tbl_Kalender[[#This Row],[Datum]])</f>
        <v>9</v>
      </c>
      <c r="G1720" t="str">
        <f>TEXT(tbl_Kalender[[#This Row],[Datum]],"MMMM")</f>
        <v>September</v>
      </c>
      <c r="H1720">
        <f>ROUNDUP(tbl_Kalender[[#This Row],[Monat]]/3,0)</f>
        <v>3</v>
      </c>
      <c r="I1720" t="str">
        <f>"Q "&amp;tbl_Kalender[[#This Row],[Quartal]]</f>
        <v>Q 3</v>
      </c>
      <c r="J1720" t="str">
        <f>tbl_Kalender[[#This Row],[Quartal]]&amp;". Quartal"</f>
        <v>3. Quartal</v>
      </c>
      <c r="K1720">
        <f>_xlfn.ISOWEEKNUM(tbl_Kalender[[#This Row],[Datum]])</f>
        <v>37</v>
      </c>
    </row>
    <row r="1721" spans="1:11" x14ac:dyDescent="0.25">
      <c r="A1721" s="1">
        <v>47011</v>
      </c>
      <c r="B1721">
        <f>YEAR(tbl_Kalender[[#This Row],[Datum]])</f>
        <v>2028</v>
      </c>
      <c r="C1721">
        <f>DAY(tbl_Kalender[[#This Row],[Datum]])</f>
        <v>15</v>
      </c>
      <c r="D1721" t="str">
        <f>TEXT(tbl_Kalender[[#This Row],[Datum]],"TTTT")</f>
        <v>Freitag</v>
      </c>
      <c r="E1721">
        <f>WEEKDAY(tbl_Kalender[[#This Row],[Datum]],2)</f>
        <v>5</v>
      </c>
      <c r="F1721">
        <f>MONTH(tbl_Kalender[[#This Row],[Datum]])</f>
        <v>9</v>
      </c>
      <c r="G1721" t="str">
        <f>TEXT(tbl_Kalender[[#This Row],[Datum]],"MMMM")</f>
        <v>September</v>
      </c>
      <c r="H1721">
        <f>ROUNDUP(tbl_Kalender[[#This Row],[Monat]]/3,0)</f>
        <v>3</v>
      </c>
      <c r="I1721" t="str">
        <f>"Q "&amp;tbl_Kalender[[#This Row],[Quartal]]</f>
        <v>Q 3</v>
      </c>
      <c r="J1721" t="str">
        <f>tbl_Kalender[[#This Row],[Quartal]]&amp;". Quartal"</f>
        <v>3. Quartal</v>
      </c>
      <c r="K1721">
        <f>_xlfn.ISOWEEKNUM(tbl_Kalender[[#This Row],[Datum]])</f>
        <v>37</v>
      </c>
    </row>
    <row r="1722" spans="1:11" x14ac:dyDescent="0.25">
      <c r="A1722" s="1">
        <v>47012</v>
      </c>
      <c r="B1722">
        <f>YEAR(tbl_Kalender[[#This Row],[Datum]])</f>
        <v>2028</v>
      </c>
      <c r="C1722">
        <f>DAY(tbl_Kalender[[#This Row],[Datum]])</f>
        <v>16</v>
      </c>
      <c r="D1722" t="str">
        <f>TEXT(tbl_Kalender[[#This Row],[Datum]],"TTTT")</f>
        <v>Samstag</v>
      </c>
      <c r="E1722">
        <f>WEEKDAY(tbl_Kalender[[#This Row],[Datum]],2)</f>
        <v>6</v>
      </c>
      <c r="F1722">
        <f>MONTH(tbl_Kalender[[#This Row],[Datum]])</f>
        <v>9</v>
      </c>
      <c r="G1722" t="str">
        <f>TEXT(tbl_Kalender[[#This Row],[Datum]],"MMMM")</f>
        <v>September</v>
      </c>
      <c r="H1722">
        <f>ROUNDUP(tbl_Kalender[[#This Row],[Monat]]/3,0)</f>
        <v>3</v>
      </c>
      <c r="I1722" t="str">
        <f>"Q "&amp;tbl_Kalender[[#This Row],[Quartal]]</f>
        <v>Q 3</v>
      </c>
      <c r="J1722" t="str">
        <f>tbl_Kalender[[#This Row],[Quartal]]&amp;". Quartal"</f>
        <v>3. Quartal</v>
      </c>
      <c r="K1722">
        <f>_xlfn.ISOWEEKNUM(tbl_Kalender[[#This Row],[Datum]])</f>
        <v>37</v>
      </c>
    </row>
    <row r="1723" spans="1:11" x14ac:dyDescent="0.25">
      <c r="A1723" s="1">
        <v>47013</v>
      </c>
      <c r="B1723">
        <f>YEAR(tbl_Kalender[[#This Row],[Datum]])</f>
        <v>2028</v>
      </c>
      <c r="C1723">
        <f>DAY(tbl_Kalender[[#This Row],[Datum]])</f>
        <v>17</v>
      </c>
      <c r="D1723" t="str">
        <f>TEXT(tbl_Kalender[[#This Row],[Datum]],"TTTT")</f>
        <v>Sonntag</v>
      </c>
      <c r="E1723">
        <f>WEEKDAY(tbl_Kalender[[#This Row],[Datum]],2)</f>
        <v>7</v>
      </c>
      <c r="F1723">
        <f>MONTH(tbl_Kalender[[#This Row],[Datum]])</f>
        <v>9</v>
      </c>
      <c r="G1723" t="str">
        <f>TEXT(tbl_Kalender[[#This Row],[Datum]],"MMMM")</f>
        <v>September</v>
      </c>
      <c r="H1723">
        <f>ROUNDUP(tbl_Kalender[[#This Row],[Monat]]/3,0)</f>
        <v>3</v>
      </c>
      <c r="I1723" t="str">
        <f>"Q "&amp;tbl_Kalender[[#This Row],[Quartal]]</f>
        <v>Q 3</v>
      </c>
      <c r="J1723" t="str">
        <f>tbl_Kalender[[#This Row],[Quartal]]&amp;". Quartal"</f>
        <v>3. Quartal</v>
      </c>
      <c r="K1723">
        <f>_xlfn.ISOWEEKNUM(tbl_Kalender[[#This Row],[Datum]])</f>
        <v>37</v>
      </c>
    </row>
    <row r="1724" spans="1:11" x14ac:dyDescent="0.25">
      <c r="A1724" s="1">
        <v>47014</v>
      </c>
      <c r="B1724">
        <f>YEAR(tbl_Kalender[[#This Row],[Datum]])</f>
        <v>2028</v>
      </c>
      <c r="C1724">
        <f>DAY(tbl_Kalender[[#This Row],[Datum]])</f>
        <v>18</v>
      </c>
      <c r="D1724" t="str">
        <f>TEXT(tbl_Kalender[[#This Row],[Datum]],"TTTT")</f>
        <v>Montag</v>
      </c>
      <c r="E1724">
        <f>WEEKDAY(tbl_Kalender[[#This Row],[Datum]],2)</f>
        <v>1</v>
      </c>
      <c r="F1724">
        <f>MONTH(tbl_Kalender[[#This Row],[Datum]])</f>
        <v>9</v>
      </c>
      <c r="G1724" t="str">
        <f>TEXT(tbl_Kalender[[#This Row],[Datum]],"MMMM")</f>
        <v>September</v>
      </c>
      <c r="H1724">
        <f>ROUNDUP(tbl_Kalender[[#This Row],[Monat]]/3,0)</f>
        <v>3</v>
      </c>
      <c r="I1724" t="str">
        <f>"Q "&amp;tbl_Kalender[[#This Row],[Quartal]]</f>
        <v>Q 3</v>
      </c>
      <c r="J1724" t="str">
        <f>tbl_Kalender[[#This Row],[Quartal]]&amp;". Quartal"</f>
        <v>3. Quartal</v>
      </c>
      <c r="K1724">
        <f>_xlfn.ISOWEEKNUM(tbl_Kalender[[#This Row],[Datum]])</f>
        <v>38</v>
      </c>
    </row>
    <row r="1725" spans="1:11" x14ac:dyDescent="0.25">
      <c r="A1725" s="1">
        <v>47015</v>
      </c>
      <c r="B1725">
        <f>YEAR(tbl_Kalender[[#This Row],[Datum]])</f>
        <v>2028</v>
      </c>
      <c r="C1725">
        <f>DAY(tbl_Kalender[[#This Row],[Datum]])</f>
        <v>19</v>
      </c>
      <c r="D1725" t="str">
        <f>TEXT(tbl_Kalender[[#This Row],[Datum]],"TTTT")</f>
        <v>Dienstag</v>
      </c>
      <c r="E1725">
        <f>WEEKDAY(tbl_Kalender[[#This Row],[Datum]],2)</f>
        <v>2</v>
      </c>
      <c r="F1725">
        <f>MONTH(tbl_Kalender[[#This Row],[Datum]])</f>
        <v>9</v>
      </c>
      <c r="G1725" t="str">
        <f>TEXT(tbl_Kalender[[#This Row],[Datum]],"MMMM")</f>
        <v>September</v>
      </c>
      <c r="H1725">
        <f>ROUNDUP(tbl_Kalender[[#This Row],[Monat]]/3,0)</f>
        <v>3</v>
      </c>
      <c r="I1725" t="str">
        <f>"Q "&amp;tbl_Kalender[[#This Row],[Quartal]]</f>
        <v>Q 3</v>
      </c>
      <c r="J1725" t="str">
        <f>tbl_Kalender[[#This Row],[Quartal]]&amp;". Quartal"</f>
        <v>3. Quartal</v>
      </c>
      <c r="K1725">
        <f>_xlfn.ISOWEEKNUM(tbl_Kalender[[#This Row],[Datum]])</f>
        <v>38</v>
      </c>
    </row>
    <row r="1726" spans="1:11" x14ac:dyDescent="0.25">
      <c r="A1726" s="1">
        <v>47016</v>
      </c>
      <c r="B1726">
        <f>YEAR(tbl_Kalender[[#This Row],[Datum]])</f>
        <v>2028</v>
      </c>
      <c r="C1726">
        <f>DAY(tbl_Kalender[[#This Row],[Datum]])</f>
        <v>20</v>
      </c>
      <c r="D1726" t="str">
        <f>TEXT(tbl_Kalender[[#This Row],[Datum]],"TTTT")</f>
        <v>Mittwoch</v>
      </c>
      <c r="E1726">
        <f>WEEKDAY(tbl_Kalender[[#This Row],[Datum]],2)</f>
        <v>3</v>
      </c>
      <c r="F1726">
        <f>MONTH(tbl_Kalender[[#This Row],[Datum]])</f>
        <v>9</v>
      </c>
      <c r="G1726" t="str">
        <f>TEXT(tbl_Kalender[[#This Row],[Datum]],"MMMM")</f>
        <v>September</v>
      </c>
      <c r="H1726">
        <f>ROUNDUP(tbl_Kalender[[#This Row],[Monat]]/3,0)</f>
        <v>3</v>
      </c>
      <c r="I1726" t="str">
        <f>"Q "&amp;tbl_Kalender[[#This Row],[Quartal]]</f>
        <v>Q 3</v>
      </c>
      <c r="J1726" t="str">
        <f>tbl_Kalender[[#This Row],[Quartal]]&amp;". Quartal"</f>
        <v>3. Quartal</v>
      </c>
      <c r="K1726">
        <f>_xlfn.ISOWEEKNUM(tbl_Kalender[[#This Row],[Datum]])</f>
        <v>38</v>
      </c>
    </row>
    <row r="1727" spans="1:11" x14ac:dyDescent="0.25">
      <c r="A1727" s="1">
        <v>47017</v>
      </c>
      <c r="B1727">
        <f>YEAR(tbl_Kalender[[#This Row],[Datum]])</f>
        <v>2028</v>
      </c>
      <c r="C1727">
        <f>DAY(tbl_Kalender[[#This Row],[Datum]])</f>
        <v>21</v>
      </c>
      <c r="D1727" t="str">
        <f>TEXT(tbl_Kalender[[#This Row],[Datum]],"TTTT")</f>
        <v>Donnerstag</v>
      </c>
      <c r="E1727">
        <f>WEEKDAY(tbl_Kalender[[#This Row],[Datum]],2)</f>
        <v>4</v>
      </c>
      <c r="F1727">
        <f>MONTH(tbl_Kalender[[#This Row],[Datum]])</f>
        <v>9</v>
      </c>
      <c r="G1727" t="str">
        <f>TEXT(tbl_Kalender[[#This Row],[Datum]],"MMMM")</f>
        <v>September</v>
      </c>
      <c r="H1727">
        <f>ROUNDUP(tbl_Kalender[[#This Row],[Monat]]/3,0)</f>
        <v>3</v>
      </c>
      <c r="I1727" t="str">
        <f>"Q "&amp;tbl_Kalender[[#This Row],[Quartal]]</f>
        <v>Q 3</v>
      </c>
      <c r="J1727" t="str">
        <f>tbl_Kalender[[#This Row],[Quartal]]&amp;". Quartal"</f>
        <v>3. Quartal</v>
      </c>
      <c r="K1727">
        <f>_xlfn.ISOWEEKNUM(tbl_Kalender[[#This Row],[Datum]])</f>
        <v>38</v>
      </c>
    </row>
    <row r="1728" spans="1:11" x14ac:dyDescent="0.25">
      <c r="A1728" s="1">
        <v>47018</v>
      </c>
      <c r="B1728">
        <f>YEAR(tbl_Kalender[[#This Row],[Datum]])</f>
        <v>2028</v>
      </c>
      <c r="C1728">
        <f>DAY(tbl_Kalender[[#This Row],[Datum]])</f>
        <v>22</v>
      </c>
      <c r="D1728" t="str">
        <f>TEXT(tbl_Kalender[[#This Row],[Datum]],"TTTT")</f>
        <v>Freitag</v>
      </c>
      <c r="E1728">
        <f>WEEKDAY(tbl_Kalender[[#This Row],[Datum]],2)</f>
        <v>5</v>
      </c>
      <c r="F1728">
        <f>MONTH(tbl_Kalender[[#This Row],[Datum]])</f>
        <v>9</v>
      </c>
      <c r="G1728" t="str">
        <f>TEXT(tbl_Kalender[[#This Row],[Datum]],"MMMM")</f>
        <v>September</v>
      </c>
      <c r="H1728">
        <f>ROUNDUP(tbl_Kalender[[#This Row],[Monat]]/3,0)</f>
        <v>3</v>
      </c>
      <c r="I1728" t="str">
        <f>"Q "&amp;tbl_Kalender[[#This Row],[Quartal]]</f>
        <v>Q 3</v>
      </c>
      <c r="J1728" t="str">
        <f>tbl_Kalender[[#This Row],[Quartal]]&amp;". Quartal"</f>
        <v>3. Quartal</v>
      </c>
      <c r="K1728">
        <f>_xlfn.ISOWEEKNUM(tbl_Kalender[[#This Row],[Datum]])</f>
        <v>38</v>
      </c>
    </row>
    <row r="1729" spans="1:11" x14ac:dyDescent="0.25">
      <c r="A1729" s="1">
        <v>47019</v>
      </c>
      <c r="B1729">
        <f>YEAR(tbl_Kalender[[#This Row],[Datum]])</f>
        <v>2028</v>
      </c>
      <c r="C1729">
        <f>DAY(tbl_Kalender[[#This Row],[Datum]])</f>
        <v>23</v>
      </c>
      <c r="D1729" t="str">
        <f>TEXT(tbl_Kalender[[#This Row],[Datum]],"TTTT")</f>
        <v>Samstag</v>
      </c>
      <c r="E1729">
        <f>WEEKDAY(tbl_Kalender[[#This Row],[Datum]],2)</f>
        <v>6</v>
      </c>
      <c r="F1729">
        <f>MONTH(tbl_Kalender[[#This Row],[Datum]])</f>
        <v>9</v>
      </c>
      <c r="G1729" t="str">
        <f>TEXT(tbl_Kalender[[#This Row],[Datum]],"MMMM")</f>
        <v>September</v>
      </c>
      <c r="H1729">
        <f>ROUNDUP(tbl_Kalender[[#This Row],[Monat]]/3,0)</f>
        <v>3</v>
      </c>
      <c r="I1729" t="str">
        <f>"Q "&amp;tbl_Kalender[[#This Row],[Quartal]]</f>
        <v>Q 3</v>
      </c>
      <c r="J1729" t="str">
        <f>tbl_Kalender[[#This Row],[Quartal]]&amp;". Quartal"</f>
        <v>3. Quartal</v>
      </c>
      <c r="K1729">
        <f>_xlfn.ISOWEEKNUM(tbl_Kalender[[#This Row],[Datum]])</f>
        <v>38</v>
      </c>
    </row>
    <row r="1730" spans="1:11" x14ac:dyDescent="0.25">
      <c r="A1730" s="1">
        <v>47020</v>
      </c>
      <c r="B1730">
        <f>YEAR(tbl_Kalender[[#This Row],[Datum]])</f>
        <v>2028</v>
      </c>
      <c r="C1730">
        <f>DAY(tbl_Kalender[[#This Row],[Datum]])</f>
        <v>24</v>
      </c>
      <c r="D1730" t="str">
        <f>TEXT(tbl_Kalender[[#This Row],[Datum]],"TTTT")</f>
        <v>Sonntag</v>
      </c>
      <c r="E1730">
        <f>WEEKDAY(tbl_Kalender[[#This Row],[Datum]],2)</f>
        <v>7</v>
      </c>
      <c r="F1730">
        <f>MONTH(tbl_Kalender[[#This Row],[Datum]])</f>
        <v>9</v>
      </c>
      <c r="G1730" t="str">
        <f>TEXT(tbl_Kalender[[#This Row],[Datum]],"MMMM")</f>
        <v>September</v>
      </c>
      <c r="H1730">
        <f>ROUNDUP(tbl_Kalender[[#This Row],[Monat]]/3,0)</f>
        <v>3</v>
      </c>
      <c r="I1730" t="str">
        <f>"Q "&amp;tbl_Kalender[[#This Row],[Quartal]]</f>
        <v>Q 3</v>
      </c>
      <c r="J1730" t="str">
        <f>tbl_Kalender[[#This Row],[Quartal]]&amp;". Quartal"</f>
        <v>3. Quartal</v>
      </c>
      <c r="K1730">
        <f>_xlfn.ISOWEEKNUM(tbl_Kalender[[#This Row],[Datum]])</f>
        <v>38</v>
      </c>
    </row>
    <row r="1731" spans="1:11" x14ac:dyDescent="0.25">
      <c r="A1731" s="1">
        <v>47021</v>
      </c>
      <c r="B1731">
        <f>YEAR(tbl_Kalender[[#This Row],[Datum]])</f>
        <v>2028</v>
      </c>
      <c r="C1731">
        <f>DAY(tbl_Kalender[[#This Row],[Datum]])</f>
        <v>25</v>
      </c>
      <c r="D1731" t="str">
        <f>TEXT(tbl_Kalender[[#This Row],[Datum]],"TTTT")</f>
        <v>Montag</v>
      </c>
      <c r="E1731">
        <f>WEEKDAY(tbl_Kalender[[#This Row],[Datum]],2)</f>
        <v>1</v>
      </c>
      <c r="F1731">
        <f>MONTH(tbl_Kalender[[#This Row],[Datum]])</f>
        <v>9</v>
      </c>
      <c r="G1731" t="str">
        <f>TEXT(tbl_Kalender[[#This Row],[Datum]],"MMMM")</f>
        <v>September</v>
      </c>
      <c r="H1731">
        <f>ROUNDUP(tbl_Kalender[[#This Row],[Monat]]/3,0)</f>
        <v>3</v>
      </c>
      <c r="I1731" t="str">
        <f>"Q "&amp;tbl_Kalender[[#This Row],[Quartal]]</f>
        <v>Q 3</v>
      </c>
      <c r="J1731" t="str">
        <f>tbl_Kalender[[#This Row],[Quartal]]&amp;". Quartal"</f>
        <v>3. Quartal</v>
      </c>
      <c r="K1731">
        <f>_xlfn.ISOWEEKNUM(tbl_Kalender[[#This Row],[Datum]])</f>
        <v>39</v>
      </c>
    </row>
    <row r="1732" spans="1:11" x14ac:dyDescent="0.25">
      <c r="A1732" s="1">
        <v>47022</v>
      </c>
      <c r="B1732">
        <f>YEAR(tbl_Kalender[[#This Row],[Datum]])</f>
        <v>2028</v>
      </c>
      <c r="C1732">
        <f>DAY(tbl_Kalender[[#This Row],[Datum]])</f>
        <v>26</v>
      </c>
      <c r="D1732" t="str">
        <f>TEXT(tbl_Kalender[[#This Row],[Datum]],"TTTT")</f>
        <v>Dienstag</v>
      </c>
      <c r="E1732">
        <f>WEEKDAY(tbl_Kalender[[#This Row],[Datum]],2)</f>
        <v>2</v>
      </c>
      <c r="F1732">
        <f>MONTH(tbl_Kalender[[#This Row],[Datum]])</f>
        <v>9</v>
      </c>
      <c r="G1732" t="str">
        <f>TEXT(tbl_Kalender[[#This Row],[Datum]],"MMMM")</f>
        <v>September</v>
      </c>
      <c r="H1732">
        <f>ROUNDUP(tbl_Kalender[[#This Row],[Monat]]/3,0)</f>
        <v>3</v>
      </c>
      <c r="I1732" t="str">
        <f>"Q "&amp;tbl_Kalender[[#This Row],[Quartal]]</f>
        <v>Q 3</v>
      </c>
      <c r="J1732" t="str">
        <f>tbl_Kalender[[#This Row],[Quartal]]&amp;". Quartal"</f>
        <v>3. Quartal</v>
      </c>
      <c r="K1732">
        <f>_xlfn.ISOWEEKNUM(tbl_Kalender[[#This Row],[Datum]])</f>
        <v>39</v>
      </c>
    </row>
    <row r="1733" spans="1:11" x14ac:dyDescent="0.25">
      <c r="A1733" s="1">
        <v>47023</v>
      </c>
      <c r="B1733">
        <f>YEAR(tbl_Kalender[[#This Row],[Datum]])</f>
        <v>2028</v>
      </c>
      <c r="C1733">
        <f>DAY(tbl_Kalender[[#This Row],[Datum]])</f>
        <v>27</v>
      </c>
      <c r="D1733" t="str">
        <f>TEXT(tbl_Kalender[[#This Row],[Datum]],"TTTT")</f>
        <v>Mittwoch</v>
      </c>
      <c r="E1733">
        <f>WEEKDAY(tbl_Kalender[[#This Row],[Datum]],2)</f>
        <v>3</v>
      </c>
      <c r="F1733">
        <f>MONTH(tbl_Kalender[[#This Row],[Datum]])</f>
        <v>9</v>
      </c>
      <c r="G1733" t="str">
        <f>TEXT(tbl_Kalender[[#This Row],[Datum]],"MMMM")</f>
        <v>September</v>
      </c>
      <c r="H1733">
        <f>ROUNDUP(tbl_Kalender[[#This Row],[Monat]]/3,0)</f>
        <v>3</v>
      </c>
      <c r="I1733" t="str">
        <f>"Q "&amp;tbl_Kalender[[#This Row],[Quartal]]</f>
        <v>Q 3</v>
      </c>
      <c r="J1733" t="str">
        <f>tbl_Kalender[[#This Row],[Quartal]]&amp;". Quartal"</f>
        <v>3. Quartal</v>
      </c>
      <c r="K1733">
        <f>_xlfn.ISOWEEKNUM(tbl_Kalender[[#This Row],[Datum]])</f>
        <v>39</v>
      </c>
    </row>
    <row r="1734" spans="1:11" x14ac:dyDescent="0.25">
      <c r="A1734" s="1">
        <v>47024</v>
      </c>
      <c r="B1734">
        <f>YEAR(tbl_Kalender[[#This Row],[Datum]])</f>
        <v>2028</v>
      </c>
      <c r="C1734">
        <f>DAY(tbl_Kalender[[#This Row],[Datum]])</f>
        <v>28</v>
      </c>
      <c r="D1734" t="str">
        <f>TEXT(tbl_Kalender[[#This Row],[Datum]],"TTTT")</f>
        <v>Donnerstag</v>
      </c>
      <c r="E1734">
        <f>WEEKDAY(tbl_Kalender[[#This Row],[Datum]],2)</f>
        <v>4</v>
      </c>
      <c r="F1734">
        <f>MONTH(tbl_Kalender[[#This Row],[Datum]])</f>
        <v>9</v>
      </c>
      <c r="G1734" t="str">
        <f>TEXT(tbl_Kalender[[#This Row],[Datum]],"MMMM")</f>
        <v>September</v>
      </c>
      <c r="H1734">
        <f>ROUNDUP(tbl_Kalender[[#This Row],[Monat]]/3,0)</f>
        <v>3</v>
      </c>
      <c r="I1734" t="str">
        <f>"Q "&amp;tbl_Kalender[[#This Row],[Quartal]]</f>
        <v>Q 3</v>
      </c>
      <c r="J1734" t="str">
        <f>tbl_Kalender[[#This Row],[Quartal]]&amp;". Quartal"</f>
        <v>3. Quartal</v>
      </c>
      <c r="K1734">
        <f>_xlfn.ISOWEEKNUM(tbl_Kalender[[#This Row],[Datum]])</f>
        <v>39</v>
      </c>
    </row>
    <row r="1735" spans="1:11" x14ac:dyDescent="0.25">
      <c r="A1735" s="1">
        <v>47025</v>
      </c>
      <c r="B1735">
        <f>YEAR(tbl_Kalender[[#This Row],[Datum]])</f>
        <v>2028</v>
      </c>
      <c r="C1735">
        <f>DAY(tbl_Kalender[[#This Row],[Datum]])</f>
        <v>29</v>
      </c>
      <c r="D1735" t="str">
        <f>TEXT(tbl_Kalender[[#This Row],[Datum]],"TTTT")</f>
        <v>Freitag</v>
      </c>
      <c r="E1735">
        <f>WEEKDAY(tbl_Kalender[[#This Row],[Datum]],2)</f>
        <v>5</v>
      </c>
      <c r="F1735">
        <f>MONTH(tbl_Kalender[[#This Row],[Datum]])</f>
        <v>9</v>
      </c>
      <c r="G1735" t="str">
        <f>TEXT(tbl_Kalender[[#This Row],[Datum]],"MMMM")</f>
        <v>September</v>
      </c>
      <c r="H1735">
        <f>ROUNDUP(tbl_Kalender[[#This Row],[Monat]]/3,0)</f>
        <v>3</v>
      </c>
      <c r="I1735" t="str">
        <f>"Q "&amp;tbl_Kalender[[#This Row],[Quartal]]</f>
        <v>Q 3</v>
      </c>
      <c r="J1735" t="str">
        <f>tbl_Kalender[[#This Row],[Quartal]]&amp;". Quartal"</f>
        <v>3. Quartal</v>
      </c>
      <c r="K1735">
        <f>_xlfn.ISOWEEKNUM(tbl_Kalender[[#This Row],[Datum]])</f>
        <v>39</v>
      </c>
    </row>
    <row r="1736" spans="1:11" x14ac:dyDescent="0.25">
      <c r="A1736" s="1">
        <v>47026</v>
      </c>
      <c r="B1736">
        <f>YEAR(tbl_Kalender[[#This Row],[Datum]])</f>
        <v>2028</v>
      </c>
      <c r="C1736">
        <f>DAY(tbl_Kalender[[#This Row],[Datum]])</f>
        <v>30</v>
      </c>
      <c r="D1736" t="str">
        <f>TEXT(tbl_Kalender[[#This Row],[Datum]],"TTTT")</f>
        <v>Samstag</v>
      </c>
      <c r="E1736">
        <f>WEEKDAY(tbl_Kalender[[#This Row],[Datum]],2)</f>
        <v>6</v>
      </c>
      <c r="F1736">
        <f>MONTH(tbl_Kalender[[#This Row],[Datum]])</f>
        <v>9</v>
      </c>
      <c r="G1736" t="str">
        <f>TEXT(tbl_Kalender[[#This Row],[Datum]],"MMMM")</f>
        <v>September</v>
      </c>
      <c r="H1736">
        <f>ROUNDUP(tbl_Kalender[[#This Row],[Monat]]/3,0)</f>
        <v>3</v>
      </c>
      <c r="I1736" t="str">
        <f>"Q "&amp;tbl_Kalender[[#This Row],[Quartal]]</f>
        <v>Q 3</v>
      </c>
      <c r="J1736" t="str">
        <f>tbl_Kalender[[#This Row],[Quartal]]&amp;". Quartal"</f>
        <v>3. Quartal</v>
      </c>
      <c r="K1736">
        <f>_xlfn.ISOWEEKNUM(tbl_Kalender[[#This Row],[Datum]])</f>
        <v>39</v>
      </c>
    </row>
    <row r="1737" spans="1:11" x14ac:dyDescent="0.25">
      <c r="A1737" s="1">
        <v>47027</v>
      </c>
      <c r="B1737">
        <f>YEAR(tbl_Kalender[[#This Row],[Datum]])</f>
        <v>2028</v>
      </c>
      <c r="C1737">
        <f>DAY(tbl_Kalender[[#This Row],[Datum]])</f>
        <v>1</v>
      </c>
      <c r="D1737" t="str">
        <f>TEXT(tbl_Kalender[[#This Row],[Datum]],"TTTT")</f>
        <v>Sonntag</v>
      </c>
      <c r="E1737">
        <f>WEEKDAY(tbl_Kalender[[#This Row],[Datum]],2)</f>
        <v>7</v>
      </c>
      <c r="F1737">
        <f>MONTH(tbl_Kalender[[#This Row],[Datum]])</f>
        <v>10</v>
      </c>
      <c r="G1737" t="str">
        <f>TEXT(tbl_Kalender[[#This Row],[Datum]],"MMMM")</f>
        <v>Oktober</v>
      </c>
      <c r="H1737">
        <f>ROUNDUP(tbl_Kalender[[#This Row],[Monat]]/3,0)</f>
        <v>4</v>
      </c>
      <c r="I1737" t="str">
        <f>"Q "&amp;tbl_Kalender[[#This Row],[Quartal]]</f>
        <v>Q 4</v>
      </c>
      <c r="J1737" t="str">
        <f>tbl_Kalender[[#This Row],[Quartal]]&amp;". Quartal"</f>
        <v>4. Quartal</v>
      </c>
      <c r="K1737">
        <f>_xlfn.ISOWEEKNUM(tbl_Kalender[[#This Row],[Datum]])</f>
        <v>39</v>
      </c>
    </row>
    <row r="1738" spans="1:11" x14ac:dyDescent="0.25">
      <c r="A1738" s="1">
        <v>47028</v>
      </c>
      <c r="B1738">
        <f>YEAR(tbl_Kalender[[#This Row],[Datum]])</f>
        <v>2028</v>
      </c>
      <c r="C1738">
        <f>DAY(tbl_Kalender[[#This Row],[Datum]])</f>
        <v>2</v>
      </c>
      <c r="D1738" t="str">
        <f>TEXT(tbl_Kalender[[#This Row],[Datum]],"TTTT")</f>
        <v>Montag</v>
      </c>
      <c r="E1738">
        <f>WEEKDAY(tbl_Kalender[[#This Row],[Datum]],2)</f>
        <v>1</v>
      </c>
      <c r="F1738">
        <f>MONTH(tbl_Kalender[[#This Row],[Datum]])</f>
        <v>10</v>
      </c>
      <c r="G1738" t="str">
        <f>TEXT(tbl_Kalender[[#This Row],[Datum]],"MMMM")</f>
        <v>Oktober</v>
      </c>
      <c r="H1738">
        <f>ROUNDUP(tbl_Kalender[[#This Row],[Monat]]/3,0)</f>
        <v>4</v>
      </c>
      <c r="I1738" t="str">
        <f>"Q "&amp;tbl_Kalender[[#This Row],[Quartal]]</f>
        <v>Q 4</v>
      </c>
      <c r="J1738" t="str">
        <f>tbl_Kalender[[#This Row],[Quartal]]&amp;". Quartal"</f>
        <v>4. Quartal</v>
      </c>
      <c r="K1738">
        <f>_xlfn.ISOWEEKNUM(tbl_Kalender[[#This Row],[Datum]])</f>
        <v>40</v>
      </c>
    </row>
    <row r="1739" spans="1:11" x14ac:dyDescent="0.25">
      <c r="A1739" s="1">
        <v>47029</v>
      </c>
      <c r="B1739">
        <f>YEAR(tbl_Kalender[[#This Row],[Datum]])</f>
        <v>2028</v>
      </c>
      <c r="C1739">
        <f>DAY(tbl_Kalender[[#This Row],[Datum]])</f>
        <v>3</v>
      </c>
      <c r="D1739" t="str">
        <f>TEXT(tbl_Kalender[[#This Row],[Datum]],"TTTT")</f>
        <v>Dienstag</v>
      </c>
      <c r="E1739">
        <f>WEEKDAY(tbl_Kalender[[#This Row],[Datum]],2)</f>
        <v>2</v>
      </c>
      <c r="F1739">
        <f>MONTH(tbl_Kalender[[#This Row],[Datum]])</f>
        <v>10</v>
      </c>
      <c r="G1739" t="str">
        <f>TEXT(tbl_Kalender[[#This Row],[Datum]],"MMMM")</f>
        <v>Oktober</v>
      </c>
      <c r="H1739">
        <f>ROUNDUP(tbl_Kalender[[#This Row],[Monat]]/3,0)</f>
        <v>4</v>
      </c>
      <c r="I1739" t="str">
        <f>"Q "&amp;tbl_Kalender[[#This Row],[Quartal]]</f>
        <v>Q 4</v>
      </c>
      <c r="J1739" t="str">
        <f>tbl_Kalender[[#This Row],[Quartal]]&amp;". Quartal"</f>
        <v>4. Quartal</v>
      </c>
      <c r="K1739">
        <f>_xlfn.ISOWEEKNUM(tbl_Kalender[[#This Row],[Datum]])</f>
        <v>40</v>
      </c>
    </row>
    <row r="1740" spans="1:11" x14ac:dyDescent="0.25">
      <c r="A1740" s="1">
        <v>47030</v>
      </c>
      <c r="B1740">
        <f>YEAR(tbl_Kalender[[#This Row],[Datum]])</f>
        <v>2028</v>
      </c>
      <c r="C1740">
        <f>DAY(tbl_Kalender[[#This Row],[Datum]])</f>
        <v>4</v>
      </c>
      <c r="D1740" t="str">
        <f>TEXT(tbl_Kalender[[#This Row],[Datum]],"TTTT")</f>
        <v>Mittwoch</v>
      </c>
      <c r="E1740">
        <f>WEEKDAY(tbl_Kalender[[#This Row],[Datum]],2)</f>
        <v>3</v>
      </c>
      <c r="F1740">
        <f>MONTH(tbl_Kalender[[#This Row],[Datum]])</f>
        <v>10</v>
      </c>
      <c r="G1740" t="str">
        <f>TEXT(tbl_Kalender[[#This Row],[Datum]],"MMMM")</f>
        <v>Oktober</v>
      </c>
      <c r="H1740">
        <f>ROUNDUP(tbl_Kalender[[#This Row],[Monat]]/3,0)</f>
        <v>4</v>
      </c>
      <c r="I1740" t="str">
        <f>"Q "&amp;tbl_Kalender[[#This Row],[Quartal]]</f>
        <v>Q 4</v>
      </c>
      <c r="J1740" t="str">
        <f>tbl_Kalender[[#This Row],[Quartal]]&amp;". Quartal"</f>
        <v>4. Quartal</v>
      </c>
      <c r="K1740">
        <f>_xlfn.ISOWEEKNUM(tbl_Kalender[[#This Row],[Datum]])</f>
        <v>40</v>
      </c>
    </row>
    <row r="1741" spans="1:11" x14ac:dyDescent="0.25">
      <c r="A1741" s="1">
        <v>47031</v>
      </c>
      <c r="B1741">
        <f>YEAR(tbl_Kalender[[#This Row],[Datum]])</f>
        <v>2028</v>
      </c>
      <c r="C1741">
        <f>DAY(tbl_Kalender[[#This Row],[Datum]])</f>
        <v>5</v>
      </c>
      <c r="D1741" t="str">
        <f>TEXT(tbl_Kalender[[#This Row],[Datum]],"TTTT")</f>
        <v>Donnerstag</v>
      </c>
      <c r="E1741">
        <f>WEEKDAY(tbl_Kalender[[#This Row],[Datum]],2)</f>
        <v>4</v>
      </c>
      <c r="F1741">
        <f>MONTH(tbl_Kalender[[#This Row],[Datum]])</f>
        <v>10</v>
      </c>
      <c r="G1741" t="str">
        <f>TEXT(tbl_Kalender[[#This Row],[Datum]],"MMMM")</f>
        <v>Oktober</v>
      </c>
      <c r="H1741">
        <f>ROUNDUP(tbl_Kalender[[#This Row],[Monat]]/3,0)</f>
        <v>4</v>
      </c>
      <c r="I1741" t="str">
        <f>"Q "&amp;tbl_Kalender[[#This Row],[Quartal]]</f>
        <v>Q 4</v>
      </c>
      <c r="J1741" t="str">
        <f>tbl_Kalender[[#This Row],[Quartal]]&amp;". Quartal"</f>
        <v>4. Quartal</v>
      </c>
      <c r="K1741">
        <f>_xlfn.ISOWEEKNUM(tbl_Kalender[[#This Row],[Datum]])</f>
        <v>40</v>
      </c>
    </row>
    <row r="1742" spans="1:11" x14ac:dyDescent="0.25">
      <c r="A1742" s="1">
        <v>47032</v>
      </c>
      <c r="B1742">
        <f>YEAR(tbl_Kalender[[#This Row],[Datum]])</f>
        <v>2028</v>
      </c>
      <c r="C1742">
        <f>DAY(tbl_Kalender[[#This Row],[Datum]])</f>
        <v>6</v>
      </c>
      <c r="D1742" t="str">
        <f>TEXT(tbl_Kalender[[#This Row],[Datum]],"TTTT")</f>
        <v>Freitag</v>
      </c>
      <c r="E1742">
        <f>WEEKDAY(tbl_Kalender[[#This Row],[Datum]],2)</f>
        <v>5</v>
      </c>
      <c r="F1742">
        <f>MONTH(tbl_Kalender[[#This Row],[Datum]])</f>
        <v>10</v>
      </c>
      <c r="G1742" t="str">
        <f>TEXT(tbl_Kalender[[#This Row],[Datum]],"MMMM")</f>
        <v>Oktober</v>
      </c>
      <c r="H1742">
        <f>ROUNDUP(tbl_Kalender[[#This Row],[Monat]]/3,0)</f>
        <v>4</v>
      </c>
      <c r="I1742" t="str">
        <f>"Q "&amp;tbl_Kalender[[#This Row],[Quartal]]</f>
        <v>Q 4</v>
      </c>
      <c r="J1742" t="str">
        <f>tbl_Kalender[[#This Row],[Quartal]]&amp;". Quartal"</f>
        <v>4. Quartal</v>
      </c>
      <c r="K1742">
        <f>_xlfn.ISOWEEKNUM(tbl_Kalender[[#This Row],[Datum]])</f>
        <v>40</v>
      </c>
    </row>
    <row r="1743" spans="1:11" x14ac:dyDescent="0.25">
      <c r="A1743" s="1">
        <v>47033</v>
      </c>
      <c r="B1743">
        <f>YEAR(tbl_Kalender[[#This Row],[Datum]])</f>
        <v>2028</v>
      </c>
      <c r="C1743">
        <f>DAY(tbl_Kalender[[#This Row],[Datum]])</f>
        <v>7</v>
      </c>
      <c r="D1743" t="str">
        <f>TEXT(tbl_Kalender[[#This Row],[Datum]],"TTTT")</f>
        <v>Samstag</v>
      </c>
      <c r="E1743">
        <f>WEEKDAY(tbl_Kalender[[#This Row],[Datum]],2)</f>
        <v>6</v>
      </c>
      <c r="F1743">
        <f>MONTH(tbl_Kalender[[#This Row],[Datum]])</f>
        <v>10</v>
      </c>
      <c r="G1743" t="str">
        <f>TEXT(tbl_Kalender[[#This Row],[Datum]],"MMMM")</f>
        <v>Oktober</v>
      </c>
      <c r="H1743">
        <f>ROUNDUP(tbl_Kalender[[#This Row],[Monat]]/3,0)</f>
        <v>4</v>
      </c>
      <c r="I1743" t="str">
        <f>"Q "&amp;tbl_Kalender[[#This Row],[Quartal]]</f>
        <v>Q 4</v>
      </c>
      <c r="J1743" t="str">
        <f>tbl_Kalender[[#This Row],[Quartal]]&amp;". Quartal"</f>
        <v>4. Quartal</v>
      </c>
      <c r="K1743">
        <f>_xlfn.ISOWEEKNUM(tbl_Kalender[[#This Row],[Datum]])</f>
        <v>40</v>
      </c>
    </row>
    <row r="1744" spans="1:11" x14ac:dyDescent="0.25">
      <c r="A1744" s="1">
        <v>47034</v>
      </c>
      <c r="B1744">
        <f>YEAR(tbl_Kalender[[#This Row],[Datum]])</f>
        <v>2028</v>
      </c>
      <c r="C1744">
        <f>DAY(tbl_Kalender[[#This Row],[Datum]])</f>
        <v>8</v>
      </c>
      <c r="D1744" t="str">
        <f>TEXT(tbl_Kalender[[#This Row],[Datum]],"TTTT")</f>
        <v>Sonntag</v>
      </c>
      <c r="E1744">
        <f>WEEKDAY(tbl_Kalender[[#This Row],[Datum]],2)</f>
        <v>7</v>
      </c>
      <c r="F1744">
        <f>MONTH(tbl_Kalender[[#This Row],[Datum]])</f>
        <v>10</v>
      </c>
      <c r="G1744" t="str">
        <f>TEXT(tbl_Kalender[[#This Row],[Datum]],"MMMM")</f>
        <v>Oktober</v>
      </c>
      <c r="H1744">
        <f>ROUNDUP(tbl_Kalender[[#This Row],[Monat]]/3,0)</f>
        <v>4</v>
      </c>
      <c r="I1744" t="str">
        <f>"Q "&amp;tbl_Kalender[[#This Row],[Quartal]]</f>
        <v>Q 4</v>
      </c>
      <c r="J1744" t="str">
        <f>tbl_Kalender[[#This Row],[Quartal]]&amp;". Quartal"</f>
        <v>4. Quartal</v>
      </c>
      <c r="K1744">
        <f>_xlfn.ISOWEEKNUM(tbl_Kalender[[#This Row],[Datum]])</f>
        <v>40</v>
      </c>
    </row>
    <row r="1745" spans="1:11" x14ac:dyDescent="0.25">
      <c r="A1745" s="1">
        <v>47035</v>
      </c>
      <c r="B1745">
        <f>YEAR(tbl_Kalender[[#This Row],[Datum]])</f>
        <v>2028</v>
      </c>
      <c r="C1745">
        <f>DAY(tbl_Kalender[[#This Row],[Datum]])</f>
        <v>9</v>
      </c>
      <c r="D1745" t="str">
        <f>TEXT(tbl_Kalender[[#This Row],[Datum]],"TTTT")</f>
        <v>Montag</v>
      </c>
      <c r="E1745">
        <f>WEEKDAY(tbl_Kalender[[#This Row],[Datum]],2)</f>
        <v>1</v>
      </c>
      <c r="F1745">
        <f>MONTH(tbl_Kalender[[#This Row],[Datum]])</f>
        <v>10</v>
      </c>
      <c r="G1745" t="str">
        <f>TEXT(tbl_Kalender[[#This Row],[Datum]],"MMMM")</f>
        <v>Oktober</v>
      </c>
      <c r="H1745">
        <f>ROUNDUP(tbl_Kalender[[#This Row],[Monat]]/3,0)</f>
        <v>4</v>
      </c>
      <c r="I1745" t="str">
        <f>"Q "&amp;tbl_Kalender[[#This Row],[Quartal]]</f>
        <v>Q 4</v>
      </c>
      <c r="J1745" t="str">
        <f>tbl_Kalender[[#This Row],[Quartal]]&amp;". Quartal"</f>
        <v>4. Quartal</v>
      </c>
      <c r="K1745">
        <f>_xlfn.ISOWEEKNUM(tbl_Kalender[[#This Row],[Datum]])</f>
        <v>41</v>
      </c>
    </row>
    <row r="1746" spans="1:11" x14ac:dyDescent="0.25">
      <c r="A1746" s="1">
        <v>47036</v>
      </c>
      <c r="B1746">
        <f>YEAR(tbl_Kalender[[#This Row],[Datum]])</f>
        <v>2028</v>
      </c>
      <c r="C1746">
        <f>DAY(tbl_Kalender[[#This Row],[Datum]])</f>
        <v>10</v>
      </c>
      <c r="D1746" t="str">
        <f>TEXT(tbl_Kalender[[#This Row],[Datum]],"TTTT")</f>
        <v>Dienstag</v>
      </c>
      <c r="E1746">
        <f>WEEKDAY(tbl_Kalender[[#This Row],[Datum]],2)</f>
        <v>2</v>
      </c>
      <c r="F1746">
        <f>MONTH(tbl_Kalender[[#This Row],[Datum]])</f>
        <v>10</v>
      </c>
      <c r="G1746" t="str">
        <f>TEXT(tbl_Kalender[[#This Row],[Datum]],"MMMM")</f>
        <v>Oktober</v>
      </c>
      <c r="H1746">
        <f>ROUNDUP(tbl_Kalender[[#This Row],[Monat]]/3,0)</f>
        <v>4</v>
      </c>
      <c r="I1746" t="str">
        <f>"Q "&amp;tbl_Kalender[[#This Row],[Quartal]]</f>
        <v>Q 4</v>
      </c>
      <c r="J1746" t="str">
        <f>tbl_Kalender[[#This Row],[Quartal]]&amp;". Quartal"</f>
        <v>4. Quartal</v>
      </c>
      <c r="K1746">
        <f>_xlfn.ISOWEEKNUM(tbl_Kalender[[#This Row],[Datum]])</f>
        <v>41</v>
      </c>
    </row>
    <row r="1747" spans="1:11" x14ac:dyDescent="0.25">
      <c r="A1747" s="1">
        <v>47037</v>
      </c>
      <c r="B1747">
        <f>YEAR(tbl_Kalender[[#This Row],[Datum]])</f>
        <v>2028</v>
      </c>
      <c r="C1747">
        <f>DAY(tbl_Kalender[[#This Row],[Datum]])</f>
        <v>11</v>
      </c>
      <c r="D1747" t="str">
        <f>TEXT(tbl_Kalender[[#This Row],[Datum]],"TTTT")</f>
        <v>Mittwoch</v>
      </c>
      <c r="E1747">
        <f>WEEKDAY(tbl_Kalender[[#This Row],[Datum]],2)</f>
        <v>3</v>
      </c>
      <c r="F1747">
        <f>MONTH(tbl_Kalender[[#This Row],[Datum]])</f>
        <v>10</v>
      </c>
      <c r="G1747" t="str">
        <f>TEXT(tbl_Kalender[[#This Row],[Datum]],"MMMM")</f>
        <v>Oktober</v>
      </c>
      <c r="H1747">
        <f>ROUNDUP(tbl_Kalender[[#This Row],[Monat]]/3,0)</f>
        <v>4</v>
      </c>
      <c r="I1747" t="str">
        <f>"Q "&amp;tbl_Kalender[[#This Row],[Quartal]]</f>
        <v>Q 4</v>
      </c>
      <c r="J1747" t="str">
        <f>tbl_Kalender[[#This Row],[Quartal]]&amp;". Quartal"</f>
        <v>4. Quartal</v>
      </c>
      <c r="K1747">
        <f>_xlfn.ISOWEEKNUM(tbl_Kalender[[#This Row],[Datum]])</f>
        <v>41</v>
      </c>
    </row>
    <row r="1748" spans="1:11" x14ac:dyDescent="0.25">
      <c r="A1748" s="1">
        <v>47038</v>
      </c>
      <c r="B1748">
        <f>YEAR(tbl_Kalender[[#This Row],[Datum]])</f>
        <v>2028</v>
      </c>
      <c r="C1748">
        <f>DAY(tbl_Kalender[[#This Row],[Datum]])</f>
        <v>12</v>
      </c>
      <c r="D1748" t="str">
        <f>TEXT(tbl_Kalender[[#This Row],[Datum]],"TTTT")</f>
        <v>Donnerstag</v>
      </c>
      <c r="E1748">
        <f>WEEKDAY(tbl_Kalender[[#This Row],[Datum]],2)</f>
        <v>4</v>
      </c>
      <c r="F1748">
        <f>MONTH(tbl_Kalender[[#This Row],[Datum]])</f>
        <v>10</v>
      </c>
      <c r="G1748" t="str">
        <f>TEXT(tbl_Kalender[[#This Row],[Datum]],"MMMM")</f>
        <v>Oktober</v>
      </c>
      <c r="H1748">
        <f>ROUNDUP(tbl_Kalender[[#This Row],[Monat]]/3,0)</f>
        <v>4</v>
      </c>
      <c r="I1748" t="str">
        <f>"Q "&amp;tbl_Kalender[[#This Row],[Quartal]]</f>
        <v>Q 4</v>
      </c>
      <c r="J1748" t="str">
        <f>tbl_Kalender[[#This Row],[Quartal]]&amp;". Quartal"</f>
        <v>4. Quartal</v>
      </c>
      <c r="K1748">
        <f>_xlfn.ISOWEEKNUM(tbl_Kalender[[#This Row],[Datum]])</f>
        <v>41</v>
      </c>
    </row>
    <row r="1749" spans="1:11" x14ac:dyDescent="0.25">
      <c r="A1749" s="1">
        <v>47039</v>
      </c>
      <c r="B1749">
        <f>YEAR(tbl_Kalender[[#This Row],[Datum]])</f>
        <v>2028</v>
      </c>
      <c r="C1749">
        <f>DAY(tbl_Kalender[[#This Row],[Datum]])</f>
        <v>13</v>
      </c>
      <c r="D1749" t="str">
        <f>TEXT(tbl_Kalender[[#This Row],[Datum]],"TTTT")</f>
        <v>Freitag</v>
      </c>
      <c r="E1749">
        <f>WEEKDAY(tbl_Kalender[[#This Row],[Datum]],2)</f>
        <v>5</v>
      </c>
      <c r="F1749">
        <f>MONTH(tbl_Kalender[[#This Row],[Datum]])</f>
        <v>10</v>
      </c>
      <c r="G1749" t="str">
        <f>TEXT(tbl_Kalender[[#This Row],[Datum]],"MMMM")</f>
        <v>Oktober</v>
      </c>
      <c r="H1749">
        <f>ROUNDUP(tbl_Kalender[[#This Row],[Monat]]/3,0)</f>
        <v>4</v>
      </c>
      <c r="I1749" t="str">
        <f>"Q "&amp;tbl_Kalender[[#This Row],[Quartal]]</f>
        <v>Q 4</v>
      </c>
      <c r="J1749" t="str">
        <f>tbl_Kalender[[#This Row],[Quartal]]&amp;". Quartal"</f>
        <v>4. Quartal</v>
      </c>
      <c r="K1749">
        <f>_xlfn.ISOWEEKNUM(tbl_Kalender[[#This Row],[Datum]])</f>
        <v>41</v>
      </c>
    </row>
    <row r="1750" spans="1:11" x14ac:dyDescent="0.25">
      <c r="A1750" s="1">
        <v>47040</v>
      </c>
      <c r="B1750">
        <f>YEAR(tbl_Kalender[[#This Row],[Datum]])</f>
        <v>2028</v>
      </c>
      <c r="C1750">
        <f>DAY(tbl_Kalender[[#This Row],[Datum]])</f>
        <v>14</v>
      </c>
      <c r="D1750" t="str">
        <f>TEXT(tbl_Kalender[[#This Row],[Datum]],"TTTT")</f>
        <v>Samstag</v>
      </c>
      <c r="E1750">
        <f>WEEKDAY(tbl_Kalender[[#This Row],[Datum]],2)</f>
        <v>6</v>
      </c>
      <c r="F1750">
        <f>MONTH(tbl_Kalender[[#This Row],[Datum]])</f>
        <v>10</v>
      </c>
      <c r="G1750" t="str">
        <f>TEXT(tbl_Kalender[[#This Row],[Datum]],"MMMM")</f>
        <v>Oktober</v>
      </c>
      <c r="H1750">
        <f>ROUNDUP(tbl_Kalender[[#This Row],[Monat]]/3,0)</f>
        <v>4</v>
      </c>
      <c r="I1750" t="str">
        <f>"Q "&amp;tbl_Kalender[[#This Row],[Quartal]]</f>
        <v>Q 4</v>
      </c>
      <c r="J1750" t="str">
        <f>tbl_Kalender[[#This Row],[Quartal]]&amp;". Quartal"</f>
        <v>4. Quartal</v>
      </c>
      <c r="K1750">
        <f>_xlfn.ISOWEEKNUM(tbl_Kalender[[#This Row],[Datum]])</f>
        <v>41</v>
      </c>
    </row>
    <row r="1751" spans="1:11" x14ac:dyDescent="0.25">
      <c r="A1751" s="1">
        <v>47041</v>
      </c>
      <c r="B1751">
        <f>YEAR(tbl_Kalender[[#This Row],[Datum]])</f>
        <v>2028</v>
      </c>
      <c r="C1751">
        <f>DAY(tbl_Kalender[[#This Row],[Datum]])</f>
        <v>15</v>
      </c>
      <c r="D1751" t="str">
        <f>TEXT(tbl_Kalender[[#This Row],[Datum]],"TTTT")</f>
        <v>Sonntag</v>
      </c>
      <c r="E1751">
        <f>WEEKDAY(tbl_Kalender[[#This Row],[Datum]],2)</f>
        <v>7</v>
      </c>
      <c r="F1751">
        <f>MONTH(tbl_Kalender[[#This Row],[Datum]])</f>
        <v>10</v>
      </c>
      <c r="G1751" t="str">
        <f>TEXT(tbl_Kalender[[#This Row],[Datum]],"MMMM")</f>
        <v>Oktober</v>
      </c>
      <c r="H1751">
        <f>ROUNDUP(tbl_Kalender[[#This Row],[Monat]]/3,0)</f>
        <v>4</v>
      </c>
      <c r="I1751" t="str">
        <f>"Q "&amp;tbl_Kalender[[#This Row],[Quartal]]</f>
        <v>Q 4</v>
      </c>
      <c r="J1751" t="str">
        <f>tbl_Kalender[[#This Row],[Quartal]]&amp;". Quartal"</f>
        <v>4. Quartal</v>
      </c>
      <c r="K1751">
        <f>_xlfn.ISOWEEKNUM(tbl_Kalender[[#This Row],[Datum]])</f>
        <v>41</v>
      </c>
    </row>
    <row r="1752" spans="1:11" x14ac:dyDescent="0.25">
      <c r="A1752" s="1">
        <v>47042</v>
      </c>
      <c r="B1752">
        <f>YEAR(tbl_Kalender[[#This Row],[Datum]])</f>
        <v>2028</v>
      </c>
      <c r="C1752">
        <f>DAY(tbl_Kalender[[#This Row],[Datum]])</f>
        <v>16</v>
      </c>
      <c r="D1752" t="str">
        <f>TEXT(tbl_Kalender[[#This Row],[Datum]],"TTTT")</f>
        <v>Montag</v>
      </c>
      <c r="E1752">
        <f>WEEKDAY(tbl_Kalender[[#This Row],[Datum]],2)</f>
        <v>1</v>
      </c>
      <c r="F1752">
        <f>MONTH(tbl_Kalender[[#This Row],[Datum]])</f>
        <v>10</v>
      </c>
      <c r="G1752" t="str">
        <f>TEXT(tbl_Kalender[[#This Row],[Datum]],"MMMM")</f>
        <v>Oktober</v>
      </c>
      <c r="H1752">
        <f>ROUNDUP(tbl_Kalender[[#This Row],[Monat]]/3,0)</f>
        <v>4</v>
      </c>
      <c r="I1752" t="str">
        <f>"Q "&amp;tbl_Kalender[[#This Row],[Quartal]]</f>
        <v>Q 4</v>
      </c>
      <c r="J1752" t="str">
        <f>tbl_Kalender[[#This Row],[Quartal]]&amp;". Quartal"</f>
        <v>4. Quartal</v>
      </c>
      <c r="K1752">
        <f>_xlfn.ISOWEEKNUM(tbl_Kalender[[#This Row],[Datum]])</f>
        <v>42</v>
      </c>
    </row>
    <row r="1753" spans="1:11" x14ac:dyDescent="0.25">
      <c r="A1753" s="1">
        <v>47043</v>
      </c>
      <c r="B1753">
        <f>YEAR(tbl_Kalender[[#This Row],[Datum]])</f>
        <v>2028</v>
      </c>
      <c r="C1753">
        <f>DAY(tbl_Kalender[[#This Row],[Datum]])</f>
        <v>17</v>
      </c>
      <c r="D1753" t="str">
        <f>TEXT(tbl_Kalender[[#This Row],[Datum]],"TTTT")</f>
        <v>Dienstag</v>
      </c>
      <c r="E1753">
        <f>WEEKDAY(tbl_Kalender[[#This Row],[Datum]],2)</f>
        <v>2</v>
      </c>
      <c r="F1753">
        <f>MONTH(tbl_Kalender[[#This Row],[Datum]])</f>
        <v>10</v>
      </c>
      <c r="G1753" t="str">
        <f>TEXT(tbl_Kalender[[#This Row],[Datum]],"MMMM")</f>
        <v>Oktober</v>
      </c>
      <c r="H1753">
        <f>ROUNDUP(tbl_Kalender[[#This Row],[Monat]]/3,0)</f>
        <v>4</v>
      </c>
      <c r="I1753" t="str">
        <f>"Q "&amp;tbl_Kalender[[#This Row],[Quartal]]</f>
        <v>Q 4</v>
      </c>
      <c r="J1753" t="str">
        <f>tbl_Kalender[[#This Row],[Quartal]]&amp;". Quartal"</f>
        <v>4. Quartal</v>
      </c>
      <c r="K1753">
        <f>_xlfn.ISOWEEKNUM(tbl_Kalender[[#This Row],[Datum]])</f>
        <v>42</v>
      </c>
    </row>
    <row r="1754" spans="1:11" x14ac:dyDescent="0.25">
      <c r="A1754" s="1">
        <v>47044</v>
      </c>
      <c r="B1754">
        <f>YEAR(tbl_Kalender[[#This Row],[Datum]])</f>
        <v>2028</v>
      </c>
      <c r="C1754">
        <f>DAY(tbl_Kalender[[#This Row],[Datum]])</f>
        <v>18</v>
      </c>
      <c r="D1754" t="str">
        <f>TEXT(tbl_Kalender[[#This Row],[Datum]],"TTTT")</f>
        <v>Mittwoch</v>
      </c>
      <c r="E1754">
        <f>WEEKDAY(tbl_Kalender[[#This Row],[Datum]],2)</f>
        <v>3</v>
      </c>
      <c r="F1754">
        <f>MONTH(tbl_Kalender[[#This Row],[Datum]])</f>
        <v>10</v>
      </c>
      <c r="G1754" t="str">
        <f>TEXT(tbl_Kalender[[#This Row],[Datum]],"MMMM")</f>
        <v>Oktober</v>
      </c>
      <c r="H1754">
        <f>ROUNDUP(tbl_Kalender[[#This Row],[Monat]]/3,0)</f>
        <v>4</v>
      </c>
      <c r="I1754" t="str">
        <f>"Q "&amp;tbl_Kalender[[#This Row],[Quartal]]</f>
        <v>Q 4</v>
      </c>
      <c r="J1754" t="str">
        <f>tbl_Kalender[[#This Row],[Quartal]]&amp;". Quartal"</f>
        <v>4. Quartal</v>
      </c>
      <c r="K1754">
        <f>_xlfn.ISOWEEKNUM(tbl_Kalender[[#This Row],[Datum]])</f>
        <v>42</v>
      </c>
    </row>
    <row r="1755" spans="1:11" x14ac:dyDescent="0.25">
      <c r="A1755" s="1">
        <v>47045</v>
      </c>
      <c r="B1755">
        <f>YEAR(tbl_Kalender[[#This Row],[Datum]])</f>
        <v>2028</v>
      </c>
      <c r="C1755">
        <f>DAY(tbl_Kalender[[#This Row],[Datum]])</f>
        <v>19</v>
      </c>
      <c r="D1755" t="str">
        <f>TEXT(tbl_Kalender[[#This Row],[Datum]],"TTTT")</f>
        <v>Donnerstag</v>
      </c>
      <c r="E1755">
        <f>WEEKDAY(tbl_Kalender[[#This Row],[Datum]],2)</f>
        <v>4</v>
      </c>
      <c r="F1755">
        <f>MONTH(tbl_Kalender[[#This Row],[Datum]])</f>
        <v>10</v>
      </c>
      <c r="G1755" t="str">
        <f>TEXT(tbl_Kalender[[#This Row],[Datum]],"MMMM")</f>
        <v>Oktober</v>
      </c>
      <c r="H1755">
        <f>ROUNDUP(tbl_Kalender[[#This Row],[Monat]]/3,0)</f>
        <v>4</v>
      </c>
      <c r="I1755" t="str">
        <f>"Q "&amp;tbl_Kalender[[#This Row],[Quartal]]</f>
        <v>Q 4</v>
      </c>
      <c r="J1755" t="str">
        <f>tbl_Kalender[[#This Row],[Quartal]]&amp;". Quartal"</f>
        <v>4. Quartal</v>
      </c>
      <c r="K1755">
        <f>_xlfn.ISOWEEKNUM(tbl_Kalender[[#This Row],[Datum]])</f>
        <v>42</v>
      </c>
    </row>
    <row r="1756" spans="1:11" x14ac:dyDescent="0.25">
      <c r="A1756" s="1">
        <v>47046</v>
      </c>
      <c r="B1756">
        <f>YEAR(tbl_Kalender[[#This Row],[Datum]])</f>
        <v>2028</v>
      </c>
      <c r="C1756">
        <f>DAY(tbl_Kalender[[#This Row],[Datum]])</f>
        <v>20</v>
      </c>
      <c r="D1756" t="str">
        <f>TEXT(tbl_Kalender[[#This Row],[Datum]],"TTTT")</f>
        <v>Freitag</v>
      </c>
      <c r="E1756">
        <f>WEEKDAY(tbl_Kalender[[#This Row],[Datum]],2)</f>
        <v>5</v>
      </c>
      <c r="F1756">
        <f>MONTH(tbl_Kalender[[#This Row],[Datum]])</f>
        <v>10</v>
      </c>
      <c r="G1756" t="str">
        <f>TEXT(tbl_Kalender[[#This Row],[Datum]],"MMMM")</f>
        <v>Oktober</v>
      </c>
      <c r="H1756">
        <f>ROUNDUP(tbl_Kalender[[#This Row],[Monat]]/3,0)</f>
        <v>4</v>
      </c>
      <c r="I1756" t="str">
        <f>"Q "&amp;tbl_Kalender[[#This Row],[Quartal]]</f>
        <v>Q 4</v>
      </c>
      <c r="J1756" t="str">
        <f>tbl_Kalender[[#This Row],[Quartal]]&amp;". Quartal"</f>
        <v>4. Quartal</v>
      </c>
      <c r="K1756">
        <f>_xlfn.ISOWEEKNUM(tbl_Kalender[[#This Row],[Datum]])</f>
        <v>42</v>
      </c>
    </row>
    <row r="1757" spans="1:11" x14ac:dyDescent="0.25">
      <c r="A1757" s="1">
        <v>47047</v>
      </c>
      <c r="B1757">
        <f>YEAR(tbl_Kalender[[#This Row],[Datum]])</f>
        <v>2028</v>
      </c>
      <c r="C1757">
        <f>DAY(tbl_Kalender[[#This Row],[Datum]])</f>
        <v>21</v>
      </c>
      <c r="D1757" t="str">
        <f>TEXT(tbl_Kalender[[#This Row],[Datum]],"TTTT")</f>
        <v>Samstag</v>
      </c>
      <c r="E1757">
        <f>WEEKDAY(tbl_Kalender[[#This Row],[Datum]],2)</f>
        <v>6</v>
      </c>
      <c r="F1757">
        <f>MONTH(tbl_Kalender[[#This Row],[Datum]])</f>
        <v>10</v>
      </c>
      <c r="G1757" t="str">
        <f>TEXT(tbl_Kalender[[#This Row],[Datum]],"MMMM")</f>
        <v>Oktober</v>
      </c>
      <c r="H1757">
        <f>ROUNDUP(tbl_Kalender[[#This Row],[Monat]]/3,0)</f>
        <v>4</v>
      </c>
      <c r="I1757" t="str">
        <f>"Q "&amp;tbl_Kalender[[#This Row],[Quartal]]</f>
        <v>Q 4</v>
      </c>
      <c r="J1757" t="str">
        <f>tbl_Kalender[[#This Row],[Quartal]]&amp;". Quartal"</f>
        <v>4. Quartal</v>
      </c>
      <c r="K1757">
        <f>_xlfn.ISOWEEKNUM(tbl_Kalender[[#This Row],[Datum]])</f>
        <v>42</v>
      </c>
    </row>
    <row r="1758" spans="1:11" x14ac:dyDescent="0.25">
      <c r="A1758" s="1">
        <v>47048</v>
      </c>
      <c r="B1758">
        <f>YEAR(tbl_Kalender[[#This Row],[Datum]])</f>
        <v>2028</v>
      </c>
      <c r="C1758">
        <f>DAY(tbl_Kalender[[#This Row],[Datum]])</f>
        <v>22</v>
      </c>
      <c r="D1758" t="str">
        <f>TEXT(tbl_Kalender[[#This Row],[Datum]],"TTTT")</f>
        <v>Sonntag</v>
      </c>
      <c r="E1758">
        <f>WEEKDAY(tbl_Kalender[[#This Row],[Datum]],2)</f>
        <v>7</v>
      </c>
      <c r="F1758">
        <f>MONTH(tbl_Kalender[[#This Row],[Datum]])</f>
        <v>10</v>
      </c>
      <c r="G1758" t="str">
        <f>TEXT(tbl_Kalender[[#This Row],[Datum]],"MMMM")</f>
        <v>Oktober</v>
      </c>
      <c r="H1758">
        <f>ROUNDUP(tbl_Kalender[[#This Row],[Monat]]/3,0)</f>
        <v>4</v>
      </c>
      <c r="I1758" t="str">
        <f>"Q "&amp;tbl_Kalender[[#This Row],[Quartal]]</f>
        <v>Q 4</v>
      </c>
      <c r="J1758" t="str">
        <f>tbl_Kalender[[#This Row],[Quartal]]&amp;". Quartal"</f>
        <v>4. Quartal</v>
      </c>
      <c r="K1758">
        <f>_xlfn.ISOWEEKNUM(tbl_Kalender[[#This Row],[Datum]])</f>
        <v>42</v>
      </c>
    </row>
    <row r="1759" spans="1:11" x14ac:dyDescent="0.25">
      <c r="A1759" s="1">
        <v>47049</v>
      </c>
      <c r="B1759">
        <f>YEAR(tbl_Kalender[[#This Row],[Datum]])</f>
        <v>2028</v>
      </c>
      <c r="C1759">
        <f>DAY(tbl_Kalender[[#This Row],[Datum]])</f>
        <v>23</v>
      </c>
      <c r="D1759" t="str">
        <f>TEXT(tbl_Kalender[[#This Row],[Datum]],"TTTT")</f>
        <v>Montag</v>
      </c>
      <c r="E1759">
        <f>WEEKDAY(tbl_Kalender[[#This Row],[Datum]],2)</f>
        <v>1</v>
      </c>
      <c r="F1759">
        <f>MONTH(tbl_Kalender[[#This Row],[Datum]])</f>
        <v>10</v>
      </c>
      <c r="G1759" t="str">
        <f>TEXT(tbl_Kalender[[#This Row],[Datum]],"MMMM")</f>
        <v>Oktober</v>
      </c>
      <c r="H1759">
        <f>ROUNDUP(tbl_Kalender[[#This Row],[Monat]]/3,0)</f>
        <v>4</v>
      </c>
      <c r="I1759" t="str">
        <f>"Q "&amp;tbl_Kalender[[#This Row],[Quartal]]</f>
        <v>Q 4</v>
      </c>
      <c r="J1759" t="str">
        <f>tbl_Kalender[[#This Row],[Quartal]]&amp;". Quartal"</f>
        <v>4. Quartal</v>
      </c>
      <c r="K1759">
        <f>_xlfn.ISOWEEKNUM(tbl_Kalender[[#This Row],[Datum]])</f>
        <v>43</v>
      </c>
    </row>
    <row r="1760" spans="1:11" x14ac:dyDescent="0.25">
      <c r="A1760" s="1">
        <v>47050</v>
      </c>
      <c r="B1760">
        <f>YEAR(tbl_Kalender[[#This Row],[Datum]])</f>
        <v>2028</v>
      </c>
      <c r="C1760">
        <f>DAY(tbl_Kalender[[#This Row],[Datum]])</f>
        <v>24</v>
      </c>
      <c r="D1760" t="str">
        <f>TEXT(tbl_Kalender[[#This Row],[Datum]],"TTTT")</f>
        <v>Dienstag</v>
      </c>
      <c r="E1760">
        <f>WEEKDAY(tbl_Kalender[[#This Row],[Datum]],2)</f>
        <v>2</v>
      </c>
      <c r="F1760">
        <f>MONTH(tbl_Kalender[[#This Row],[Datum]])</f>
        <v>10</v>
      </c>
      <c r="G1760" t="str">
        <f>TEXT(tbl_Kalender[[#This Row],[Datum]],"MMMM")</f>
        <v>Oktober</v>
      </c>
      <c r="H1760">
        <f>ROUNDUP(tbl_Kalender[[#This Row],[Monat]]/3,0)</f>
        <v>4</v>
      </c>
      <c r="I1760" t="str">
        <f>"Q "&amp;tbl_Kalender[[#This Row],[Quartal]]</f>
        <v>Q 4</v>
      </c>
      <c r="J1760" t="str">
        <f>tbl_Kalender[[#This Row],[Quartal]]&amp;". Quartal"</f>
        <v>4. Quartal</v>
      </c>
      <c r="K1760">
        <f>_xlfn.ISOWEEKNUM(tbl_Kalender[[#This Row],[Datum]])</f>
        <v>43</v>
      </c>
    </row>
    <row r="1761" spans="1:11" x14ac:dyDescent="0.25">
      <c r="A1761" s="1">
        <v>47051</v>
      </c>
      <c r="B1761">
        <f>YEAR(tbl_Kalender[[#This Row],[Datum]])</f>
        <v>2028</v>
      </c>
      <c r="C1761">
        <f>DAY(tbl_Kalender[[#This Row],[Datum]])</f>
        <v>25</v>
      </c>
      <c r="D1761" t="str">
        <f>TEXT(tbl_Kalender[[#This Row],[Datum]],"TTTT")</f>
        <v>Mittwoch</v>
      </c>
      <c r="E1761">
        <f>WEEKDAY(tbl_Kalender[[#This Row],[Datum]],2)</f>
        <v>3</v>
      </c>
      <c r="F1761">
        <f>MONTH(tbl_Kalender[[#This Row],[Datum]])</f>
        <v>10</v>
      </c>
      <c r="G1761" t="str">
        <f>TEXT(tbl_Kalender[[#This Row],[Datum]],"MMMM")</f>
        <v>Oktober</v>
      </c>
      <c r="H1761">
        <f>ROUNDUP(tbl_Kalender[[#This Row],[Monat]]/3,0)</f>
        <v>4</v>
      </c>
      <c r="I1761" t="str">
        <f>"Q "&amp;tbl_Kalender[[#This Row],[Quartal]]</f>
        <v>Q 4</v>
      </c>
      <c r="J1761" t="str">
        <f>tbl_Kalender[[#This Row],[Quartal]]&amp;". Quartal"</f>
        <v>4. Quartal</v>
      </c>
      <c r="K1761">
        <f>_xlfn.ISOWEEKNUM(tbl_Kalender[[#This Row],[Datum]])</f>
        <v>43</v>
      </c>
    </row>
    <row r="1762" spans="1:11" x14ac:dyDescent="0.25">
      <c r="A1762" s="1">
        <v>47052</v>
      </c>
      <c r="B1762">
        <f>YEAR(tbl_Kalender[[#This Row],[Datum]])</f>
        <v>2028</v>
      </c>
      <c r="C1762">
        <f>DAY(tbl_Kalender[[#This Row],[Datum]])</f>
        <v>26</v>
      </c>
      <c r="D1762" t="str">
        <f>TEXT(tbl_Kalender[[#This Row],[Datum]],"TTTT")</f>
        <v>Donnerstag</v>
      </c>
      <c r="E1762">
        <f>WEEKDAY(tbl_Kalender[[#This Row],[Datum]],2)</f>
        <v>4</v>
      </c>
      <c r="F1762">
        <f>MONTH(tbl_Kalender[[#This Row],[Datum]])</f>
        <v>10</v>
      </c>
      <c r="G1762" t="str">
        <f>TEXT(tbl_Kalender[[#This Row],[Datum]],"MMMM")</f>
        <v>Oktober</v>
      </c>
      <c r="H1762">
        <f>ROUNDUP(tbl_Kalender[[#This Row],[Monat]]/3,0)</f>
        <v>4</v>
      </c>
      <c r="I1762" t="str">
        <f>"Q "&amp;tbl_Kalender[[#This Row],[Quartal]]</f>
        <v>Q 4</v>
      </c>
      <c r="J1762" t="str">
        <f>tbl_Kalender[[#This Row],[Quartal]]&amp;". Quartal"</f>
        <v>4. Quartal</v>
      </c>
      <c r="K1762">
        <f>_xlfn.ISOWEEKNUM(tbl_Kalender[[#This Row],[Datum]])</f>
        <v>43</v>
      </c>
    </row>
    <row r="1763" spans="1:11" x14ac:dyDescent="0.25">
      <c r="A1763" s="1">
        <v>47053</v>
      </c>
      <c r="B1763">
        <f>YEAR(tbl_Kalender[[#This Row],[Datum]])</f>
        <v>2028</v>
      </c>
      <c r="C1763">
        <f>DAY(tbl_Kalender[[#This Row],[Datum]])</f>
        <v>27</v>
      </c>
      <c r="D1763" t="str">
        <f>TEXT(tbl_Kalender[[#This Row],[Datum]],"TTTT")</f>
        <v>Freitag</v>
      </c>
      <c r="E1763">
        <f>WEEKDAY(tbl_Kalender[[#This Row],[Datum]],2)</f>
        <v>5</v>
      </c>
      <c r="F1763">
        <f>MONTH(tbl_Kalender[[#This Row],[Datum]])</f>
        <v>10</v>
      </c>
      <c r="G1763" t="str">
        <f>TEXT(tbl_Kalender[[#This Row],[Datum]],"MMMM")</f>
        <v>Oktober</v>
      </c>
      <c r="H1763">
        <f>ROUNDUP(tbl_Kalender[[#This Row],[Monat]]/3,0)</f>
        <v>4</v>
      </c>
      <c r="I1763" t="str">
        <f>"Q "&amp;tbl_Kalender[[#This Row],[Quartal]]</f>
        <v>Q 4</v>
      </c>
      <c r="J1763" t="str">
        <f>tbl_Kalender[[#This Row],[Quartal]]&amp;". Quartal"</f>
        <v>4. Quartal</v>
      </c>
      <c r="K1763">
        <f>_xlfn.ISOWEEKNUM(tbl_Kalender[[#This Row],[Datum]])</f>
        <v>43</v>
      </c>
    </row>
    <row r="1764" spans="1:11" x14ac:dyDescent="0.25">
      <c r="A1764" s="1">
        <v>47054</v>
      </c>
      <c r="B1764">
        <f>YEAR(tbl_Kalender[[#This Row],[Datum]])</f>
        <v>2028</v>
      </c>
      <c r="C1764">
        <f>DAY(tbl_Kalender[[#This Row],[Datum]])</f>
        <v>28</v>
      </c>
      <c r="D1764" t="str">
        <f>TEXT(tbl_Kalender[[#This Row],[Datum]],"TTTT")</f>
        <v>Samstag</v>
      </c>
      <c r="E1764">
        <f>WEEKDAY(tbl_Kalender[[#This Row],[Datum]],2)</f>
        <v>6</v>
      </c>
      <c r="F1764">
        <f>MONTH(tbl_Kalender[[#This Row],[Datum]])</f>
        <v>10</v>
      </c>
      <c r="G1764" t="str">
        <f>TEXT(tbl_Kalender[[#This Row],[Datum]],"MMMM")</f>
        <v>Oktober</v>
      </c>
      <c r="H1764">
        <f>ROUNDUP(tbl_Kalender[[#This Row],[Monat]]/3,0)</f>
        <v>4</v>
      </c>
      <c r="I1764" t="str">
        <f>"Q "&amp;tbl_Kalender[[#This Row],[Quartal]]</f>
        <v>Q 4</v>
      </c>
      <c r="J1764" t="str">
        <f>tbl_Kalender[[#This Row],[Quartal]]&amp;". Quartal"</f>
        <v>4. Quartal</v>
      </c>
      <c r="K1764">
        <f>_xlfn.ISOWEEKNUM(tbl_Kalender[[#This Row],[Datum]])</f>
        <v>43</v>
      </c>
    </row>
    <row r="1765" spans="1:11" x14ac:dyDescent="0.25">
      <c r="A1765" s="1">
        <v>47055</v>
      </c>
      <c r="B1765">
        <f>YEAR(tbl_Kalender[[#This Row],[Datum]])</f>
        <v>2028</v>
      </c>
      <c r="C1765">
        <f>DAY(tbl_Kalender[[#This Row],[Datum]])</f>
        <v>29</v>
      </c>
      <c r="D1765" t="str">
        <f>TEXT(tbl_Kalender[[#This Row],[Datum]],"TTTT")</f>
        <v>Sonntag</v>
      </c>
      <c r="E1765">
        <f>WEEKDAY(tbl_Kalender[[#This Row],[Datum]],2)</f>
        <v>7</v>
      </c>
      <c r="F1765">
        <f>MONTH(tbl_Kalender[[#This Row],[Datum]])</f>
        <v>10</v>
      </c>
      <c r="G1765" t="str">
        <f>TEXT(tbl_Kalender[[#This Row],[Datum]],"MMMM")</f>
        <v>Oktober</v>
      </c>
      <c r="H1765">
        <f>ROUNDUP(tbl_Kalender[[#This Row],[Monat]]/3,0)</f>
        <v>4</v>
      </c>
      <c r="I1765" t="str">
        <f>"Q "&amp;tbl_Kalender[[#This Row],[Quartal]]</f>
        <v>Q 4</v>
      </c>
      <c r="J1765" t="str">
        <f>tbl_Kalender[[#This Row],[Quartal]]&amp;". Quartal"</f>
        <v>4. Quartal</v>
      </c>
      <c r="K1765">
        <f>_xlfn.ISOWEEKNUM(tbl_Kalender[[#This Row],[Datum]])</f>
        <v>43</v>
      </c>
    </row>
    <row r="1766" spans="1:11" x14ac:dyDescent="0.25">
      <c r="A1766" s="1">
        <v>47056</v>
      </c>
      <c r="B1766">
        <f>YEAR(tbl_Kalender[[#This Row],[Datum]])</f>
        <v>2028</v>
      </c>
      <c r="C1766">
        <f>DAY(tbl_Kalender[[#This Row],[Datum]])</f>
        <v>30</v>
      </c>
      <c r="D1766" t="str">
        <f>TEXT(tbl_Kalender[[#This Row],[Datum]],"TTTT")</f>
        <v>Montag</v>
      </c>
      <c r="E1766">
        <f>WEEKDAY(tbl_Kalender[[#This Row],[Datum]],2)</f>
        <v>1</v>
      </c>
      <c r="F1766">
        <f>MONTH(tbl_Kalender[[#This Row],[Datum]])</f>
        <v>10</v>
      </c>
      <c r="G1766" t="str">
        <f>TEXT(tbl_Kalender[[#This Row],[Datum]],"MMMM")</f>
        <v>Oktober</v>
      </c>
      <c r="H1766">
        <f>ROUNDUP(tbl_Kalender[[#This Row],[Monat]]/3,0)</f>
        <v>4</v>
      </c>
      <c r="I1766" t="str">
        <f>"Q "&amp;tbl_Kalender[[#This Row],[Quartal]]</f>
        <v>Q 4</v>
      </c>
      <c r="J1766" t="str">
        <f>tbl_Kalender[[#This Row],[Quartal]]&amp;". Quartal"</f>
        <v>4. Quartal</v>
      </c>
      <c r="K1766">
        <f>_xlfn.ISOWEEKNUM(tbl_Kalender[[#This Row],[Datum]])</f>
        <v>44</v>
      </c>
    </row>
    <row r="1767" spans="1:11" x14ac:dyDescent="0.25">
      <c r="A1767" s="1">
        <v>47057</v>
      </c>
      <c r="B1767">
        <f>YEAR(tbl_Kalender[[#This Row],[Datum]])</f>
        <v>2028</v>
      </c>
      <c r="C1767">
        <f>DAY(tbl_Kalender[[#This Row],[Datum]])</f>
        <v>31</v>
      </c>
      <c r="D1767" t="str">
        <f>TEXT(tbl_Kalender[[#This Row],[Datum]],"TTTT")</f>
        <v>Dienstag</v>
      </c>
      <c r="E1767">
        <f>WEEKDAY(tbl_Kalender[[#This Row],[Datum]],2)</f>
        <v>2</v>
      </c>
      <c r="F1767">
        <f>MONTH(tbl_Kalender[[#This Row],[Datum]])</f>
        <v>10</v>
      </c>
      <c r="G1767" t="str">
        <f>TEXT(tbl_Kalender[[#This Row],[Datum]],"MMMM")</f>
        <v>Oktober</v>
      </c>
      <c r="H1767">
        <f>ROUNDUP(tbl_Kalender[[#This Row],[Monat]]/3,0)</f>
        <v>4</v>
      </c>
      <c r="I1767" t="str">
        <f>"Q "&amp;tbl_Kalender[[#This Row],[Quartal]]</f>
        <v>Q 4</v>
      </c>
      <c r="J1767" t="str">
        <f>tbl_Kalender[[#This Row],[Quartal]]&amp;". Quartal"</f>
        <v>4. Quartal</v>
      </c>
      <c r="K1767">
        <f>_xlfn.ISOWEEKNUM(tbl_Kalender[[#This Row],[Datum]])</f>
        <v>44</v>
      </c>
    </row>
    <row r="1768" spans="1:11" x14ac:dyDescent="0.25">
      <c r="A1768" s="1">
        <v>47058</v>
      </c>
      <c r="B1768">
        <f>YEAR(tbl_Kalender[[#This Row],[Datum]])</f>
        <v>2028</v>
      </c>
      <c r="C1768">
        <f>DAY(tbl_Kalender[[#This Row],[Datum]])</f>
        <v>1</v>
      </c>
      <c r="D1768" t="str">
        <f>TEXT(tbl_Kalender[[#This Row],[Datum]],"TTTT")</f>
        <v>Mittwoch</v>
      </c>
      <c r="E1768">
        <f>WEEKDAY(tbl_Kalender[[#This Row],[Datum]],2)</f>
        <v>3</v>
      </c>
      <c r="F1768">
        <f>MONTH(tbl_Kalender[[#This Row],[Datum]])</f>
        <v>11</v>
      </c>
      <c r="G1768" t="str">
        <f>TEXT(tbl_Kalender[[#This Row],[Datum]],"MMMM")</f>
        <v>November</v>
      </c>
      <c r="H1768">
        <f>ROUNDUP(tbl_Kalender[[#This Row],[Monat]]/3,0)</f>
        <v>4</v>
      </c>
      <c r="I1768" t="str">
        <f>"Q "&amp;tbl_Kalender[[#This Row],[Quartal]]</f>
        <v>Q 4</v>
      </c>
      <c r="J1768" t="str">
        <f>tbl_Kalender[[#This Row],[Quartal]]&amp;". Quartal"</f>
        <v>4. Quartal</v>
      </c>
      <c r="K1768">
        <f>_xlfn.ISOWEEKNUM(tbl_Kalender[[#This Row],[Datum]])</f>
        <v>44</v>
      </c>
    </row>
    <row r="1769" spans="1:11" x14ac:dyDescent="0.25">
      <c r="A1769" s="1">
        <v>47059</v>
      </c>
      <c r="B1769">
        <f>YEAR(tbl_Kalender[[#This Row],[Datum]])</f>
        <v>2028</v>
      </c>
      <c r="C1769">
        <f>DAY(tbl_Kalender[[#This Row],[Datum]])</f>
        <v>2</v>
      </c>
      <c r="D1769" t="str">
        <f>TEXT(tbl_Kalender[[#This Row],[Datum]],"TTTT")</f>
        <v>Donnerstag</v>
      </c>
      <c r="E1769">
        <f>WEEKDAY(tbl_Kalender[[#This Row],[Datum]],2)</f>
        <v>4</v>
      </c>
      <c r="F1769">
        <f>MONTH(tbl_Kalender[[#This Row],[Datum]])</f>
        <v>11</v>
      </c>
      <c r="G1769" t="str">
        <f>TEXT(tbl_Kalender[[#This Row],[Datum]],"MMMM")</f>
        <v>November</v>
      </c>
      <c r="H1769">
        <f>ROUNDUP(tbl_Kalender[[#This Row],[Monat]]/3,0)</f>
        <v>4</v>
      </c>
      <c r="I1769" t="str">
        <f>"Q "&amp;tbl_Kalender[[#This Row],[Quartal]]</f>
        <v>Q 4</v>
      </c>
      <c r="J1769" t="str">
        <f>tbl_Kalender[[#This Row],[Quartal]]&amp;". Quartal"</f>
        <v>4. Quartal</v>
      </c>
      <c r="K1769">
        <f>_xlfn.ISOWEEKNUM(tbl_Kalender[[#This Row],[Datum]])</f>
        <v>44</v>
      </c>
    </row>
    <row r="1770" spans="1:11" x14ac:dyDescent="0.25">
      <c r="A1770" s="1">
        <v>47060</v>
      </c>
      <c r="B1770">
        <f>YEAR(tbl_Kalender[[#This Row],[Datum]])</f>
        <v>2028</v>
      </c>
      <c r="C1770">
        <f>DAY(tbl_Kalender[[#This Row],[Datum]])</f>
        <v>3</v>
      </c>
      <c r="D1770" t="str">
        <f>TEXT(tbl_Kalender[[#This Row],[Datum]],"TTTT")</f>
        <v>Freitag</v>
      </c>
      <c r="E1770">
        <f>WEEKDAY(tbl_Kalender[[#This Row],[Datum]],2)</f>
        <v>5</v>
      </c>
      <c r="F1770">
        <f>MONTH(tbl_Kalender[[#This Row],[Datum]])</f>
        <v>11</v>
      </c>
      <c r="G1770" t="str">
        <f>TEXT(tbl_Kalender[[#This Row],[Datum]],"MMMM")</f>
        <v>November</v>
      </c>
      <c r="H1770">
        <f>ROUNDUP(tbl_Kalender[[#This Row],[Monat]]/3,0)</f>
        <v>4</v>
      </c>
      <c r="I1770" t="str">
        <f>"Q "&amp;tbl_Kalender[[#This Row],[Quartal]]</f>
        <v>Q 4</v>
      </c>
      <c r="J1770" t="str">
        <f>tbl_Kalender[[#This Row],[Quartal]]&amp;". Quartal"</f>
        <v>4. Quartal</v>
      </c>
      <c r="K1770">
        <f>_xlfn.ISOWEEKNUM(tbl_Kalender[[#This Row],[Datum]])</f>
        <v>44</v>
      </c>
    </row>
    <row r="1771" spans="1:11" x14ac:dyDescent="0.25">
      <c r="A1771" s="1">
        <v>47061</v>
      </c>
      <c r="B1771">
        <f>YEAR(tbl_Kalender[[#This Row],[Datum]])</f>
        <v>2028</v>
      </c>
      <c r="C1771">
        <f>DAY(tbl_Kalender[[#This Row],[Datum]])</f>
        <v>4</v>
      </c>
      <c r="D1771" t="str">
        <f>TEXT(tbl_Kalender[[#This Row],[Datum]],"TTTT")</f>
        <v>Samstag</v>
      </c>
      <c r="E1771">
        <f>WEEKDAY(tbl_Kalender[[#This Row],[Datum]],2)</f>
        <v>6</v>
      </c>
      <c r="F1771">
        <f>MONTH(tbl_Kalender[[#This Row],[Datum]])</f>
        <v>11</v>
      </c>
      <c r="G1771" t="str">
        <f>TEXT(tbl_Kalender[[#This Row],[Datum]],"MMMM")</f>
        <v>November</v>
      </c>
      <c r="H1771">
        <f>ROUNDUP(tbl_Kalender[[#This Row],[Monat]]/3,0)</f>
        <v>4</v>
      </c>
      <c r="I1771" t="str">
        <f>"Q "&amp;tbl_Kalender[[#This Row],[Quartal]]</f>
        <v>Q 4</v>
      </c>
      <c r="J1771" t="str">
        <f>tbl_Kalender[[#This Row],[Quartal]]&amp;". Quartal"</f>
        <v>4. Quartal</v>
      </c>
      <c r="K1771">
        <f>_xlfn.ISOWEEKNUM(tbl_Kalender[[#This Row],[Datum]])</f>
        <v>44</v>
      </c>
    </row>
    <row r="1772" spans="1:11" x14ac:dyDescent="0.25">
      <c r="A1772" s="1">
        <v>47062</v>
      </c>
      <c r="B1772">
        <f>YEAR(tbl_Kalender[[#This Row],[Datum]])</f>
        <v>2028</v>
      </c>
      <c r="C1772">
        <f>DAY(tbl_Kalender[[#This Row],[Datum]])</f>
        <v>5</v>
      </c>
      <c r="D1772" t="str">
        <f>TEXT(tbl_Kalender[[#This Row],[Datum]],"TTTT")</f>
        <v>Sonntag</v>
      </c>
      <c r="E1772">
        <f>WEEKDAY(tbl_Kalender[[#This Row],[Datum]],2)</f>
        <v>7</v>
      </c>
      <c r="F1772">
        <f>MONTH(tbl_Kalender[[#This Row],[Datum]])</f>
        <v>11</v>
      </c>
      <c r="G1772" t="str">
        <f>TEXT(tbl_Kalender[[#This Row],[Datum]],"MMMM")</f>
        <v>November</v>
      </c>
      <c r="H1772">
        <f>ROUNDUP(tbl_Kalender[[#This Row],[Monat]]/3,0)</f>
        <v>4</v>
      </c>
      <c r="I1772" t="str">
        <f>"Q "&amp;tbl_Kalender[[#This Row],[Quartal]]</f>
        <v>Q 4</v>
      </c>
      <c r="J1772" t="str">
        <f>tbl_Kalender[[#This Row],[Quartal]]&amp;". Quartal"</f>
        <v>4. Quartal</v>
      </c>
      <c r="K1772">
        <f>_xlfn.ISOWEEKNUM(tbl_Kalender[[#This Row],[Datum]])</f>
        <v>44</v>
      </c>
    </row>
    <row r="1773" spans="1:11" x14ac:dyDescent="0.25">
      <c r="A1773" s="1">
        <v>47063</v>
      </c>
      <c r="B1773">
        <f>YEAR(tbl_Kalender[[#This Row],[Datum]])</f>
        <v>2028</v>
      </c>
      <c r="C1773">
        <f>DAY(tbl_Kalender[[#This Row],[Datum]])</f>
        <v>6</v>
      </c>
      <c r="D1773" t="str">
        <f>TEXT(tbl_Kalender[[#This Row],[Datum]],"TTTT")</f>
        <v>Montag</v>
      </c>
      <c r="E1773">
        <f>WEEKDAY(tbl_Kalender[[#This Row],[Datum]],2)</f>
        <v>1</v>
      </c>
      <c r="F1773">
        <f>MONTH(tbl_Kalender[[#This Row],[Datum]])</f>
        <v>11</v>
      </c>
      <c r="G1773" t="str">
        <f>TEXT(tbl_Kalender[[#This Row],[Datum]],"MMMM")</f>
        <v>November</v>
      </c>
      <c r="H1773">
        <f>ROUNDUP(tbl_Kalender[[#This Row],[Monat]]/3,0)</f>
        <v>4</v>
      </c>
      <c r="I1773" t="str">
        <f>"Q "&amp;tbl_Kalender[[#This Row],[Quartal]]</f>
        <v>Q 4</v>
      </c>
      <c r="J1773" t="str">
        <f>tbl_Kalender[[#This Row],[Quartal]]&amp;". Quartal"</f>
        <v>4. Quartal</v>
      </c>
      <c r="K1773">
        <f>_xlfn.ISOWEEKNUM(tbl_Kalender[[#This Row],[Datum]])</f>
        <v>45</v>
      </c>
    </row>
    <row r="1774" spans="1:11" x14ac:dyDescent="0.25">
      <c r="A1774" s="1">
        <v>47064</v>
      </c>
      <c r="B1774">
        <f>YEAR(tbl_Kalender[[#This Row],[Datum]])</f>
        <v>2028</v>
      </c>
      <c r="C1774">
        <f>DAY(tbl_Kalender[[#This Row],[Datum]])</f>
        <v>7</v>
      </c>
      <c r="D1774" t="str">
        <f>TEXT(tbl_Kalender[[#This Row],[Datum]],"TTTT")</f>
        <v>Dienstag</v>
      </c>
      <c r="E1774">
        <f>WEEKDAY(tbl_Kalender[[#This Row],[Datum]],2)</f>
        <v>2</v>
      </c>
      <c r="F1774">
        <f>MONTH(tbl_Kalender[[#This Row],[Datum]])</f>
        <v>11</v>
      </c>
      <c r="G1774" t="str">
        <f>TEXT(tbl_Kalender[[#This Row],[Datum]],"MMMM")</f>
        <v>November</v>
      </c>
      <c r="H1774">
        <f>ROUNDUP(tbl_Kalender[[#This Row],[Monat]]/3,0)</f>
        <v>4</v>
      </c>
      <c r="I1774" t="str">
        <f>"Q "&amp;tbl_Kalender[[#This Row],[Quartal]]</f>
        <v>Q 4</v>
      </c>
      <c r="J1774" t="str">
        <f>tbl_Kalender[[#This Row],[Quartal]]&amp;". Quartal"</f>
        <v>4. Quartal</v>
      </c>
      <c r="K1774">
        <f>_xlfn.ISOWEEKNUM(tbl_Kalender[[#This Row],[Datum]])</f>
        <v>45</v>
      </c>
    </row>
    <row r="1775" spans="1:11" x14ac:dyDescent="0.25">
      <c r="A1775" s="1">
        <v>47065</v>
      </c>
      <c r="B1775">
        <f>YEAR(tbl_Kalender[[#This Row],[Datum]])</f>
        <v>2028</v>
      </c>
      <c r="C1775">
        <f>DAY(tbl_Kalender[[#This Row],[Datum]])</f>
        <v>8</v>
      </c>
      <c r="D1775" t="str">
        <f>TEXT(tbl_Kalender[[#This Row],[Datum]],"TTTT")</f>
        <v>Mittwoch</v>
      </c>
      <c r="E1775">
        <f>WEEKDAY(tbl_Kalender[[#This Row],[Datum]],2)</f>
        <v>3</v>
      </c>
      <c r="F1775">
        <f>MONTH(tbl_Kalender[[#This Row],[Datum]])</f>
        <v>11</v>
      </c>
      <c r="G1775" t="str">
        <f>TEXT(tbl_Kalender[[#This Row],[Datum]],"MMMM")</f>
        <v>November</v>
      </c>
      <c r="H1775">
        <f>ROUNDUP(tbl_Kalender[[#This Row],[Monat]]/3,0)</f>
        <v>4</v>
      </c>
      <c r="I1775" t="str">
        <f>"Q "&amp;tbl_Kalender[[#This Row],[Quartal]]</f>
        <v>Q 4</v>
      </c>
      <c r="J1775" t="str">
        <f>tbl_Kalender[[#This Row],[Quartal]]&amp;". Quartal"</f>
        <v>4. Quartal</v>
      </c>
      <c r="K1775">
        <f>_xlfn.ISOWEEKNUM(tbl_Kalender[[#This Row],[Datum]])</f>
        <v>45</v>
      </c>
    </row>
    <row r="1776" spans="1:11" x14ac:dyDescent="0.25">
      <c r="A1776" s="1">
        <v>47066</v>
      </c>
      <c r="B1776">
        <f>YEAR(tbl_Kalender[[#This Row],[Datum]])</f>
        <v>2028</v>
      </c>
      <c r="C1776">
        <f>DAY(tbl_Kalender[[#This Row],[Datum]])</f>
        <v>9</v>
      </c>
      <c r="D1776" t="str">
        <f>TEXT(tbl_Kalender[[#This Row],[Datum]],"TTTT")</f>
        <v>Donnerstag</v>
      </c>
      <c r="E1776">
        <f>WEEKDAY(tbl_Kalender[[#This Row],[Datum]],2)</f>
        <v>4</v>
      </c>
      <c r="F1776">
        <f>MONTH(tbl_Kalender[[#This Row],[Datum]])</f>
        <v>11</v>
      </c>
      <c r="G1776" t="str">
        <f>TEXT(tbl_Kalender[[#This Row],[Datum]],"MMMM")</f>
        <v>November</v>
      </c>
      <c r="H1776">
        <f>ROUNDUP(tbl_Kalender[[#This Row],[Monat]]/3,0)</f>
        <v>4</v>
      </c>
      <c r="I1776" t="str">
        <f>"Q "&amp;tbl_Kalender[[#This Row],[Quartal]]</f>
        <v>Q 4</v>
      </c>
      <c r="J1776" t="str">
        <f>tbl_Kalender[[#This Row],[Quartal]]&amp;". Quartal"</f>
        <v>4. Quartal</v>
      </c>
      <c r="K1776">
        <f>_xlfn.ISOWEEKNUM(tbl_Kalender[[#This Row],[Datum]])</f>
        <v>45</v>
      </c>
    </row>
    <row r="1777" spans="1:11" x14ac:dyDescent="0.25">
      <c r="A1777" s="1">
        <v>47067</v>
      </c>
      <c r="B1777">
        <f>YEAR(tbl_Kalender[[#This Row],[Datum]])</f>
        <v>2028</v>
      </c>
      <c r="C1777">
        <f>DAY(tbl_Kalender[[#This Row],[Datum]])</f>
        <v>10</v>
      </c>
      <c r="D1777" t="str">
        <f>TEXT(tbl_Kalender[[#This Row],[Datum]],"TTTT")</f>
        <v>Freitag</v>
      </c>
      <c r="E1777">
        <f>WEEKDAY(tbl_Kalender[[#This Row],[Datum]],2)</f>
        <v>5</v>
      </c>
      <c r="F1777">
        <f>MONTH(tbl_Kalender[[#This Row],[Datum]])</f>
        <v>11</v>
      </c>
      <c r="G1777" t="str">
        <f>TEXT(tbl_Kalender[[#This Row],[Datum]],"MMMM")</f>
        <v>November</v>
      </c>
      <c r="H1777">
        <f>ROUNDUP(tbl_Kalender[[#This Row],[Monat]]/3,0)</f>
        <v>4</v>
      </c>
      <c r="I1777" t="str">
        <f>"Q "&amp;tbl_Kalender[[#This Row],[Quartal]]</f>
        <v>Q 4</v>
      </c>
      <c r="J1777" t="str">
        <f>tbl_Kalender[[#This Row],[Quartal]]&amp;". Quartal"</f>
        <v>4. Quartal</v>
      </c>
      <c r="K1777">
        <f>_xlfn.ISOWEEKNUM(tbl_Kalender[[#This Row],[Datum]])</f>
        <v>45</v>
      </c>
    </row>
    <row r="1778" spans="1:11" x14ac:dyDescent="0.25">
      <c r="A1778" s="1">
        <v>47068</v>
      </c>
      <c r="B1778">
        <f>YEAR(tbl_Kalender[[#This Row],[Datum]])</f>
        <v>2028</v>
      </c>
      <c r="C1778">
        <f>DAY(tbl_Kalender[[#This Row],[Datum]])</f>
        <v>11</v>
      </c>
      <c r="D1778" t="str">
        <f>TEXT(tbl_Kalender[[#This Row],[Datum]],"TTTT")</f>
        <v>Samstag</v>
      </c>
      <c r="E1778">
        <f>WEEKDAY(tbl_Kalender[[#This Row],[Datum]],2)</f>
        <v>6</v>
      </c>
      <c r="F1778">
        <f>MONTH(tbl_Kalender[[#This Row],[Datum]])</f>
        <v>11</v>
      </c>
      <c r="G1778" t="str">
        <f>TEXT(tbl_Kalender[[#This Row],[Datum]],"MMMM")</f>
        <v>November</v>
      </c>
      <c r="H1778">
        <f>ROUNDUP(tbl_Kalender[[#This Row],[Monat]]/3,0)</f>
        <v>4</v>
      </c>
      <c r="I1778" t="str">
        <f>"Q "&amp;tbl_Kalender[[#This Row],[Quartal]]</f>
        <v>Q 4</v>
      </c>
      <c r="J1778" t="str">
        <f>tbl_Kalender[[#This Row],[Quartal]]&amp;". Quartal"</f>
        <v>4. Quartal</v>
      </c>
      <c r="K1778">
        <f>_xlfn.ISOWEEKNUM(tbl_Kalender[[#This Row],[Datum]])</f>
        <v>45</v>
      </c>
    </row>
    <row r="1779" spans="1:11" x14ac:dyDescent="0.25">
      <c r="A1779" s="1">
        <v>47069</v>
      </c>
      <c r="B1779">
        <f>YEAR(tbl_Kalender[[#This Row],[Datum]])</f>
        <v>2028</v>
      </c>
      <c r="C1779">
        <f>DAY(tbl_Kalender[[#This Row],[Datum]])</f>
        <v>12</v>
      </c>
      <c r="D1779" t="str">
        <f>TEXT(tbl_Kalender[[#This Row],[Datum]],"TTTT")</f>
        <v>Sonntag</v>
      </c>
      <c r="E1779">
        <f>WEEKDAY(tbl_Kalender[[#This Row],[Datum]],2)</f>
        <v>7</v>
      </c>
      <c r="F1779">
        <f>MONTH(tbl_Kalender[[#This Row],[Datum]])</f>
        <v>11</v>
      </c>
      <c r="G1779" t="str">
        <f>TEXT(tbl_Kalender[[#This Row],[Datum]],"MMMM")</f>
        <v>November</v>
      </c>
      <c r="H1779">
        <f>ROUNDUP(tbl_Kalender[[#This Row],[Monat]]/3,0)</f>
        <v>4</v>
      </c>
      <c r="I1779" t="str">
        <f>"Q "&amp;tbl_Kalender[[#This Row],[Quartal]]</f>
        <v>Q 4</v>
      </c>
      <c r="J1779" t="str">
        <f>tbl_Kalender[[#This Row],[Quartal]]&amp;". Quartal"</f>
        <v>4. Quartal</v>
      </c>
      <c r="K1779">
        <f>_xlfn.ISOWEEKNUM(tbl_Kalender[[#This Row],[Datum]])</f>
        <v>45</v>
      </c>
    </row>
    <row r="1780" spans="1:11" x14ac:dyDescent="0.25">
      <c r="A1780" s="1">
        <v>47070</v>
      </c>
      <c r="B1780">
        <f>YEAR(tbl_Kalender[[#This Row],[Datum]])</f>
        <v>2028</v>
      </c>
      <c r="C1780">
        <f>DAY(tbl_Kalender[[#This Row],[Datum]])</f>
        <v>13</v>
      </c>
      <c r="D1780" t="str">
        <f>TEXT(tbl_Kalender[[#This Row],[Datum]],"TTTT")</f>
        <v>Montag</v>
      </c>
      <c r="E1780">
        <f>WEEKDAY(tbl_Kalender[[#This Row],[Datum]],2)</f>
        <v>1</v>
      </c>
      <c r="F1780">
        <f>MONTH(tbl_Kalender[[#This Row],[Datum]])</f>
        <v>11</v>
      </c>
      <c r="G1780" t="str">
        <f>TEXT(tbl_Kalender[[#This Row],[Datum]],"MMMM")</f>
        <v>November</v>
      </c>
      <c r="H1780">
        <f>ROUNDUP(tbl_Kalender[[#This Row],[Monat]]/3,0)</f>
        <v>4</v>
      </c>
      <c r="I1780" t="str">
        <f>"Q "&amp;tbl_Kalender[[#This Row],[Quartal]]</f>
        <v>Q 4</v>
      </c>
      <c r="J1780" t="str">
        <f>tbl_Kalender[[#This Row],[Quartal]]&amp;". Quartal"</f>
        <v>4. Quartal</v>
      </c>
      <c r="K1780">
        <f>_xlfn.ISOWEEKNUM(tbl_Kalender[[#This Row],[Datum]])</f>
        <v>46</v>
      </c>
    </row>
    <row r="1781" spans="1:11" x14ac:dyDescent="0.25">
      <c r="A1781" s="1">
        <v>47071</v>
      </c>
      <c r="B1781">
        <f>YEAR(tbl_Kalender[[#This Row],[Datum]])</f>
        <v>2028</v>
      </c>
      <c r="C1781">
        <f>DAY(tbl_Kalender[[#This Row],[Datum]])</f>
        <v>14</v>
      </c>
      <c r="D1781" t="str">
        <f>TEXT(tbl_Kalender[[#This Row],[Datum]],"TTTT")</f>
        <v>Dienstag</v>
      </c>
      <c r="E1781">
        <f>WEEKDAY(tbl_Kalender[[#This Row],[Datum]],2)</f>
        <v>2</v>
      </c>
      <c r="F1781">
        <f>MONTH(tbl_Kalender[[#This Row],[Datum]])</f>
        <v>11</v>
      </c>
      <c r="G1781" t="str">
        <f>TEXT(tbl_Kalender[[#This Row],[Datum]],"MMMM")</f>
        <v>November</v>
      </c>
      <c r="H1781">
        <f>ROUNDUP(tbl_Kalender[[#This Row],[Monat]]/3,0)</f>
        <v>4</v>
      </c>
      <c r="I1781" t="str">
        <f>"Q "&amp;tbl_Kalender[[#This Row],[Quartal]]</f>
        <v>Q 4</v>
      </c>
      <c r="J1781" t="str">
        <f>tbl_Kalender[[#This Row],[Quartal]]&amp;". Quartal"</f>
        <v>4. Quartal</v>
      </c>
      <c r="K1781">
        <f>_xlfn.ISOWEEKNUM(tbl_Kalender[[#This Row],[Datum]])</f>
        <v>46</v>
      </c>
    </row>
    <row r="1782" spans="1:11" x14ac:dyDescent="0.25">
      <c r="A1782" s="1">
        <v>47072</v>
      </c>
      <c r="B1782">
        <f>YEAR(tbl_Kalender[[#This Row],[Datum]])</f>
        <v>2028</v>
      </c>
      <c r="C1782">
        <f>DAY(tbl_Kalender[[#This Row],[Datum]])</f>
        <v>15</v>
      </c>
      <c r="D1782" t="str">
        <f>TEXT(tbl_Kalender[[#This Row],[Datum]],"TTTT")</f>
        <v>Mittwoch</v>
      </c>
      <c r="E1782">
        <f>WEEKDAY(tbl_Kalender[[#This Row],[Datum]],2)</f>
        <v>3</v>
      </c>
      <c r="F1782">
        <f>MONTH(tbl_Kalender[[#This Row],[Datum]])</f>
        <v>11</v>
      </c>
      <c r="G1782" t="str">
        <f>TEXT(tbl_Kalender[[#This Row],[Datum]],"MMMM")</f>
        <v>November</v>
      </c>
      <c r="H1782">
        <f>ROUNDUP(tbl_Kalender[[#This Row],[Monat]]/3,0)</f>
        <v>4</v>
      </c>
      <c r="I1782" t="str">
        <f>"Q "&amp;tbl_Kalender[[#This Row],[Quartal]]</f>
        <v>Q 4</v>
      </c>
      <c r="J1782" t="str">
        <f>tbl_Kalender[[#This Row],[Quartal]]&amp;". Quartal"</f>
        <v>4. Quartal</v>
      </c>
      <c r="K1782">
        <f>_xlfn.ISOWEEKNUM(tbl_Kalender[[#This Row],[Datum]])</f>
        <v>46</v>
      </c>
    </row>
    <row r="1783" spans="1:11" x14ac:dyDescent="0.25">
      <c r="A1783" s="1">
        <v>47073</v>
      </c>
      <c r="B1783">
        <f>YEAR(tbl_Kalender[[#This Row],[Datum]])</f>
        <v>2028</v>
      </c>
      <c r="C1783">
        <f>DAY(tbl_Kalender[[#This Row],[Datum]])</f>
        <v>16</v>
      </c>
      <c r="D1783" t="str">
        <f>TEXT(tbl_Kalender[[#This Row],[Datum]],"TTTT")</f>
        <v>Donnerstag</v>
      </c>
      <c r="E1783">
        <f>WEEKDAY(tbl_Kalender[[#This Row],[Datum]],2)</f>
        <v>4</v>
      </c>
      <c r="F1783">
        <f>MONTH(tbl_Kalender[[#This Row],[Datum]])</f>
        <v>11</v>
      </c>
      <c r="G1783" t="str">
        <f>TEXT(tbl_Kalender[[#This Row],[Datum]],"MMMM")</f>
        <v>November</v>
      </c>
      <c r="H1783">
        <f>ROUNDUP(tbl_Kalender[[#This Row],[Monat]]/3,0)</f>
        <v>4</v>
      </c>
      <c r="I1783" t="str">
        <f>"Q "&amp;tbl_Kalender[[#This Row],[Quartal]]</f>
        <v>Q 4</v>
      </c>
      <c r="J1783" t="str">
        <f>tbl_Kalender[[#This Row],[Quartal]]&amp;". Quartal"</f>
        <v>4. Quartal</v>
      </c>
      <c r="K1783">
        <f>_xlfn.ISOWEEKNUM(tbl_Kalender[[#This Row],[Datum]])</f>
        <v>46</v>
      </c>
    </row>
    <row r="1784" spans="1:11" x14ac:dyDescent="0.25">
      <c r="A1784" s="1">
        <v>47074</v>
      </c>
      <c r="B1784">
        <f>YEAR(tbl_Kalender[[#This Row],[Datum]])</f>
        <v>2028</v>
      </c>
      <c r="C1784">
        <f>DAY(tbl_Kalender[[#This Row],[Datum]])</f>
        <v>17</v>
      </c>
      <c r="D1784" t="str">
        <f>TEXT(tbl_Kalender[[#This Row],[Datum]],"TTTT")</f>
        <v>Freitag</v>
      </c>
      <c r="E1784">
        <f>WEEKDAY(tbl_Kalender[[#This Row],[Datum]],2)</f>
        <v>5</v>
      </c>
      <c r="F1784">
        <f>MONTH(tbl_Kalender[[#This Row],[Datum]])</f>
        <v>11</v>
      </c>
      <c r="G1784" t="str">
        <f>TEXT(tbl_Kalender[[#This Row],[Datum]],"MMMM")</f>
        <v>November</v>
      </c>
      <c r="H1784">
        <f>ROUNDUP(tbl_Kalender[[#This Row],[Monat]]/3,0)</f>
        <v>4</v>
      </c>
      <c r="I1784" t="str">
        <f>"Q "&amp;tbl_Kalender[[#This Row],[Quartal]]</f>
        <v>Q 4</v>
      </c>
      <c r="J1784" t="str">
        <f>tbl_Kalender[[#This Row],[Quartal]]&amp;". Quartal"</f>
        <v>4. Quartal</v>
      </c>
      <c r="K1784">
        <f>_xlfn.ISOWEEKNUM(tbl_Kalender[[#This Row],[Datum]])</f>
        <v>46</v>
      </c>
    </row>
    <row r="1785" spans="1:11" x14ac:dyDescent="0.25">
      <c r="A1785" s="1">
        <v>47075</v>
      </c>
      <c r="B1785">
        <f>YEAR(tbl_Kalender[[#This Row],[Datum]])</f>
        <v>2028</v>
      </c>
      <c r="C1785">
        <f>DAY(tbl_Kalender[[#This Row],[Datum]])</f>
        <v>18</v>
      </c>
      <c r="D1785" t="str">
        <f>TEXT(tbl_Kalender[[#This Row],[Datum]],"TTTT")</f>
        <v>Samstag</v>
      </c>
      <c r="E1785">
        <f>WEEKDAY(tbl_Kalender[[#This Row],[Datum]],2)</f>
        <v>6</v>
      </c>
      <c r="F1785">
        <f>MONTH(tbl_Kalender[[#This Row],[Datum]])</f>
        <v>11</v>
      </c>
      <c r="G1785" t="str">
        <f>TEXT(tbl_Kalender[[#This Row],[Datum]],"MMMM")</f>
        <v>November</v>
      </c>
      <c r="H1785">
        <f>ROUNDUP(tbl_Kalender[[#This Row],[Monat]]/3,0)</f>
        <v>4</v>
      </c>
      <c r="I1785" t="str">
        <f>"Q "&amp;tbl_Kalender[[#This Row],[Quartal]]</f>
        <v>Q 4</v>
      </c>
      <c r="J1785" t="str">
        <f>tbl_Kalender[[#This Row],[Quartal]]&amp;". Quartal"</f>
        <v>4. Quartal</v>
      </c>
      <c r="K1785">
        <f>_xlfn.ISOWEEKNUM(tbl_Kalender[[#This Row],[Datum]])</f>
        <v>46</v>
      </c>
    </row>
    <row r="1786" spans="1:11" x14ac:dyDescent="0.25">
      <c r="A1786" s="1">
        <v>47076</v>
      </c>
      <c r="B1786">
        <f>YEAR(tbl_Kalender[[#This Row],[Datum]])</f>
        <v>2028</v>
      </c>
      <c r="C1786">
        <f>DAY(tbl_Kalender[[#This Row],[Datum]])</f>
        <v>19</v>
      </c>
      <c r="D1786" t="str">
        <f>TEXT(tbl_Kalender[[#This Row],[Datum]],"TTTT")</f>
        <v>Sonntag</v>
      </c>
      <c r="E1786">
        <f>WEEKDAY(tbl_Kalender[[#This Row],[Datum]],2)</f>
        <v>7</v>
      </c>
      <c r="F1786">
        <f>MONTH(tbl_Kalender[[#This Row],[Datum]])</f>
        <v>11</v>
      </c>
      <c r="G1786" t="str">
        <f>TEXT(tbl_Kalender[[#This Row],[Datum]],"MMMM")</f>
        <v>November</v>
      </c>
      <c r="H1786">
        <f>ROUNDUP(tbl_Kalender[[#This Row],[Monat]]/3,0)</f>
        <v>4</v>
      </c>
      <c r="I1786" t="str">
        <f>"Q "&amp;tbl_Kalender[[#This Row],[Quartal]]</f>
        <v>Q 4</v>
      </c>
      <c r="J1786" t="str">
        <f>tbl_Kalender[[#This Row],[Quartal]]&amp;". Quartal"</f>
        <v>4. Quartal</v>
      </c>
      <c r="K1786">
        <f>_xlfn.ISOWEEKNUM(tbl_Kalender[[#This Row],[Datum]])</f>
        <v>46</v>
      </c>
    </row>
    <row r="1787" spans="1:11" x14ac:dyDescent="0.25">
      <c r="A1787" s="1">
        <v>47077</v>
      </c>
      <c r="B1787">
        <f>YEAR(tbl_Kalender[[#This Row],[Datum]])</f>
        <v>2028</v>
      </c>
      <c r="C1787">
        <f>DAY(tbl_Kalender[[#This Row],[Datum]])</f>
        <v>20</v>
      </c>
      <c r="D1787" t="str">
        <f>TEXT(tbl_Kalender[[#This Row],[Datum]],"TTTT")</f>
        <v>Montag</v>
      </c>
      <c r="E1787">
        <f>WEEKDAY(tbl_Kalender[[#This Row],[Datum]],2)</f>
        <v>1</v>
      </c>
      <c r="F1787">
        <f>MONTH(tbl_Kalender[[#This Row],[Datum]])</f>
        <v>11</v>
      </c>
      <c r="G1787" t="str">
        <f>TEXT(tbl_Kalender[[#This Row],[Datum]],"MMMM")</f>
        <v>November</v>
      </c>
      <c r="H1787">
        <f>ROUNDUP(tbl_Kalender[[#This Row],[Monat]]/3,0)</f>
        <v>4</v>
      </c>
      <c r="I1787" t="str">
        <f>"Q "&amp;tbl_Kalender[[#This Row],[Quartal]]</f>
        <v>Q 4</v>
      </c>
      <c r="J1787" t="str">
        <f>tbl_Kalender[[#This Row],[Quartal]]&amp;". Quartal"</f>
        <v>4. Quartal</v>
      </c>
      <c r="K1787">
        <f>_xlfn.ISOWEEKNUM(tbl_Kalender[[#This Row],[Datum]])</f>
        <v>47</v>
      </c>
    </row>
    <row r="1788" spans="1:11" x14ac:dyDescent="0.25">
      <c r="A1788" s="1">
        <v>47078</v>
      </c>
      <c r="B1788">
        <f>YEAR(tbl_Kalender[[#This Row],[Datum]])</f>
        <v>2028</v>
      </c>
      <c r="C1788">
        <f>DAY(tbl_Kalender[[#This Row],[Datum]])</f>
        <v>21</v>
      </c>
      <c r="D1788" t="str">
        <f>TEXT(tbl_Kalender[[#This Row],[Datum]],"TTTT")</f>
        <v>Dienstag</v>
      </c>
      <c r="E1788">
        <f>WEEKDAY(tbl_Kalender[[#This Row],[Datum]],2)</f>
        <v>2</v>
      </c>
      <c r="F1788">
        <f>MONTH(tbl_Kalender[[#This Row],[Datum]])</f>
        <v>11</v>
      </c>
      <c r="G1788" t="str">
        <f>TEXT(tbl_Kalender[[#This Row],[Datum]],"MMMM")</f>
        <v>November</v>
      </c>
      <c r="H1788">
        <f>ROUNDUP(tbl_Kalender[[#This Row],[Monat]]/3,0)</f>
        <v>4</v>
      </c>
      <c r="I1788" t="str">
        <f>"Q "&amp;tbl_Kalender[[#This Row],[Quartal]]</f>
        <v>Q 4</v>
      </c>
      <c r="J1788" t="str">
        <f>tbl_Kalender[[#This Row],[Quartal]]&amp;". Quartal"</f>
        <v>4. Quartal</v>
      </c>
      <c r="K1788">
        <f>_xlfn.ISOWEEKNUM(tbl_Kalender[[#This Row],[Datum]])</f>
        <v>47</v>
      </c>
    </row>
    <row r="1789" spans="1:11" x14ac:dyDescent="0.25">
      <c r="A1789" s="1">
        <v>47079</v>
      </c>
      <c r="B1789">
        <f>YEAR(tbl_Kalender[[#This Row],[Datum]])</f>
        <v>2028</v>
      </c>
      <c r="C1789">
        <f>DAY(tbl_Kalender[[#This Row],[Datum]])</f>
        <v>22</v>
      </c>
      <c r="D1789" t="str">
        <f>TEXT(tbl_Kalender[[#This Row],[Datum]],"TTTT")</f>
        <v>Mittwoch</v>
      </c>
      <c r="E1789">
        <f>WEEKDAY(tbl_Kalender[[#This Row],[Datum]],2)</f>
        <v>3</v>
      </c>
      <c r="F1789">
        <f>MONTH(tbl_Kalender[[#This Row],[Datum]])</f>
        <v>11</v>
      </c>
      <c r="G1789" t="str">
        <f>TEXT(tbl_Kalender[[#This Row],[Datum]],"MMMM")</f>
        <v>November</v>
      </c>
      <c r="H1789">
        <f>ROUNDUP(tbl_Kalender[[#This Row],[Monat]]/3,0)</f>
        <v>4</v>
      </c>
      <c r="I1789" t="str">
        <f>"Q "&amp;tbl_Kalender[[#This Row],[Quartal]]</f>
        <v>Q 4</v>
      </c>
      <c r="J1789" t="str">
        <f>tbl_Kalender[[#This Row],[Quartal]]&amp;". Quartal"</f>
        <v>4. Quartal</v>
      </c>
      <c r="K1789">
        <f>_xlfn.ISOWEEKNUM(tbl_Kalender[[#This Row],[Datum]])</f>
        <v>47</v>
      </c>
    </row>
    <row r="1790" spans="1:11" x14ac:dyDescent="0.25">
      <c r="A1790" s="1">
        <v>47080</v>
      </c>
      <c r="B1790">
        <f>YEAR(tbl_Kalender[[#This Row],[Datum]])</f>
        <v>2028</v>
      </c>
      <c r="C1790">
        <f>DAY(tbl_Kalender[[#This Row],[Datum]])</f>
        <v>23</v>
      </c>
      <c r="D1790" t="str">
        <f>TEXT(tbl_Kalender[[#This Row],[Datum]],"TTTT")</f>
        <v>Donnerstag</v>
      </c>
      <c r="E1790">
        <f>WEEKDAY(tbl_Kalender[[#This Row],[Datum]],2)</f>
        <v>4</v>
      </c>
      <c r="F1790">
        <f>MONTH(tbl_Kalender[[#This Row],[Datum]])</f>
        <v>11</v>
      </c>
      <c r="G1790" t="str">
        <f>TEXT(tbl_Kalender[[#This Row],[Datum]],"MMMM")</f>
        <v>November</v>
      </c>
      <c r="H1790">
        <f>ROUNDUP(tbl_Kalender[[#This Row],[Monat]]/3,0)</f>
        <v>4</v>
      </c>
      <c r="I1790" t="str">
        <f>"Q "&amp;tbl_Kalender[[#This Row],[Quartal]]</f>
        <v>Q 4</v>
      </c>
      <c r="J1790" t="str">
        <f>tbl_Kalender[[#This Row],[Quartal]]&amp;". Quartal"</f>
        <v>4. Quartal</v>
      </c>
      <c r="K1790">
        <f>_xlfn.ISOWEEKNUM(tbl_Kalender[[#This Row],[Datum]])</f>
        <v>47</v>
      </c>
    </row>
    <row r="1791" spans="1:11" x14ac:dyDescent="0.25">
      <c r="A1791" s="1">
        <v>47081</v>
      </c>
      <c r="B1791">
        <f>YEAR(tbl_Kalender[[#This Row],[Datum]])</f>
        <v>2028</v>
      </c>
      <c r="C1791">
        <f>DAY(tbl_Kalender[[#This Row],[Datum]])</f>
        <v>24</v>
      </c>
      <c r="D1791" t="str">
        <f>TEXT(tbl_Kalender[[#This Row],[Datum]],"TTTT")</f>
        <v>Freitag</v>
      </c>
      <c r="E1791">
        <f>WEEKDAY(tbl_Kalender[[#This Row],[Datum]],2)</f>
        <v>5</v>
      </c>
      <c r="F1791">
        <f>MONTH(tbl_Kalender[[#This Row],[Datum]])</f>
        <v>11</v>
      </c>
      <c r="G1791" t="str">
        <f>TEXT(tbl_Kalender[[#This Row],[Datum]],"MMMM")</f>
        <v>November</v>
      </c>
      <c r="H1791">
        <f>ROUNDUP(tbl_Kalender[[#This Row],[Monat]]/3,0)</f>
        <v>4</v>
      </c>
      <c r="I1791" t="str">
        <f>"Q "&amp;tbl_Kalender[[#This Row],[Quartal]]</f>
        <v>Q 4</v>
      </c>
      <c r="J1791" t="str">
        <f>tbl_Kalender[[#This Row],[Quartal]]&amp;". Quartal"</f>
        <v>4. Quartal</v>
      </c>
      <c r="K1791">
        <f>_xlfn.ISOWEEKNUM(tbl_Kalender[[#This Row],[Datum]])</f>
        <v>47</v>
      </c>
    </row>
    <row r="1792" spans="1:11" x14ac:dyDescent="0.25">
      <c r="A1792" s="1">
        <v>47082</v>
      </c>
      <c r="B1792">
        <f>YEAR(tbl_Kalender[[#This Row],[Datum]])</f>
        <v>2028</v>
      </c>
      <c r="C1792">
        <f>DAY(tbl_Kalender[[#This Row],[Datum]])</f>
        <v>25</v>
      </c>
      <c r="D1792" t="str">
        <f>TEXT(tbl_Kalender[[#This Row],[Datum]],"TTTT")</f>
        <v>Samstag</v>
      </c>
      <c r="E1792">
        <f>WEEKDAY(tbl_Kalender[[#This Row],[Datum]],2)</f>
        <v>6</v>
      </c>
      <c r="F1792">
        <f>MONTH(tbl_Kalender[[#This Row],[Datum]])</f>
        <v>11</v>
      </c>
      <c r="G1792" t="str">
        <f>TEXT(tbl_Kalender[[#This Row],[Datum]],"MMMM")</f>
        <v>November</v>
      </c>
      <c r="H1792">
        <f>ROUNDUP(tbl_Kalender[[#This Row],[Monat]]/3,0)</f>
        <v>4</v>
      </c>
      <c r="I1792" t="str">
        <f>"Q "&amp;tbl_Kalender[[#This Row],[Quartal]]</f>
        <v>Q 4</v>
      </c>
      <c r="J1792" t="str">
        <f>tbl_Kalender[[#This Row],[Quartal]]&amp;". Quartal"</f>
        <v>4. Quartal</v>
      </c>
      <c r="K1792">
        <f>_xlfn.ISOWEEKNUM(tbl_Kalender[[#This Row],[Datum]])</f>
        <v>47</v>
      </c>
    </row>
    <row r="1793" spans="1:11" x14ac:dyDescent="0.25">
      <c r="A1793" s="1">
        <v>47083</v>
      </c>
      <c r="B1793">
        <f>YEAR(tbl_Kalender[[#This Row],[Datum]])</f>
        <v>2028</v>
      </c>
      <c r="C1793">
        <f>DAY(tbl_Kalender[[#This Row],[Datum]])</f>
        <v>26</v>
      </c>
      <c r="D1793" t="str">
        <f>TEXT(tbl_Kalender[[#This Row],[Datum]],"TTTT")</f>
        <v>Sonntag</v>
      </c>
      <c r="E1793">
        <f>WEEKDAY(tbl_Kalender[[#This Row],[Datum]],2)</f>
        <v>7</v>
      </c>
      <c r="F1793">
        <f>MONTH(tbl_Kalender[[#This Row],[Datum]])</f>
        <v>11</v>
      </c>
      <c r="G1793" t="str">
        <f>TEXT(tbl_Kalender[[#This Row],[Datum]],"MMMM")</f>
        <v>November</v>
      </c>
      <c r="H1793">
        <f>ROUNDUP(tbl_Kalender[[#This Row],[Monat]]/3,0)</f>
        <v>4</v>
      </c>
      <c r="I1793" t="str">
        <f>"Q "&amp;tbl_Kalender[[#This Row],[Quartal]]</f>
        <v>Q 4</v>
      </c>
      <c r="J1793" t="str">
        <f>tbl_Kalender[[#This Row],[Quartal]]&amp;". Quartal"</f>
        <v>4. Quartal</v>
      </c>
      <c r="K1793">
        <f>_xlfn.ISOWEEKNUM(tbl_Kalender[[#This Row],[Datum]])</f>
        <v>47</v>
      </c>
    </row>
    <row r="1794" spans="1:11" x14ac:dyDescent="0.25">
      <c r="A1794" s="1">
        <v>47084</v>
      </c>
      <c r="B1794">
        <f>YEAR(tbl_Kalender[[#This Row],[Datum]])</f>
        <v>2028</v>
      </c>
      <c r="C1794">
        <f>DAY(tbl_Kalender[[#This Row],[Datum]])</f>
        <v>27</v>
      </c>
      <c r="D1794" t="str">
        <f>TEXT(tbl_Kalender[[#This Row],[Datum]],"TTTT")</f>
        <v>Montag</v>
      </c>
      <c r="E1794">
        <f>WEEKDAY(tbl_Kalender[[#This Row],[Datum]],2)</f>
        <v>1</v>
      </c>
      <c r="F1794">
        <f>MONTH(tbl_Kalender[[#This Row],[Datum]])</f>
        <v>11</v>
      </c>
      <c r="G1794" t="str">
        <f>TEXT(tbl_Kalender[[#This Row],[Datum]],"MMMM")</f>
        <v>November</v>
      </c>
      <c r="H1794">
        <f>ROUNDUP(tbl_Kalender[[#This Row],[Monat]]/3,0)</f>
        <v>4</v>
      </c>
      <c r="I1794" t="str">
        <f>"Q "&amp;tbl_Kalender[[#This Row],[Quartal]]</f>
        <v>Q 4</v>
      </c>
      <c r="J1794" t="str">
        <f>tbl_Kalender[[#This Row],[Quartal]]&amp;". Quartal"</f>
        <v>4. Quartal</v>
      </c>
      <c r="K1794">
        <f>_xlfn.ISOWEEKNUM(tbl_Kalender[[#This Row],[Datum]])</f>
        <v>48</v>
      </c>
    </row>
    <row r="1795" spans="1:11" x14ac:dyDescent="0.25">
      <c r="A1795" s="1">
        <v>47085</v>
      </c>
      <c r="B1795">
        <f>YEAR(tbl_Kalender[[#This Row],[Datum]])</f>
        <v>2028</v>
      </c>
      <c r="C1795">
        <f>DAY(tbl_Kalender[[#This Row],[Datum]])</f>
        <v>28</v>
      </c>
      <c r="D1795" t="str">
        <f>TEXT(tbl_Kalender[[#This Row],[Datum]],"TTTT")</f>
        <v>Dienstag</v>
      </c>
      <c r="E1795">
        <f>WEEKDAY(tbl_Kalender[[#This Row],[Datum]],2)</f>
        <v>2</v>
      </c>
      <c r="F1795">
        <f>MONTH(tbl_Kalender[[#This Row],[Datum]])</f>
        <v>11</v>
      </c>
      <c r="G1795" t="str">
        <f>TEXT(tbl_Kalender[[#This Row],[Datum]],"MMMM")</f>
        <v>November</v>
      </c>
      <c r="H1795">
        <f>ROUNDUP(tbl_Kalender[[#This Row],[Monat]]/3,0)</f>
        <v>4</v>
      </c>
      <c r="I1795" t="str">
        <f>"Q "&amp;tbl_Kalender[[#This Row],[Quartal]]</f>
        <v>Q 4</v>
      </c>
      <c r="J1795" t="str">
        <f>tbl_Kalender[[#This Row],[Quartal]]&amp;". Quartal"</f>
        <v>4. Quartal</v>
      </c>
      <c r="K1795">
        <f>_xlfn.ISOWEEKNUM(tbl_Kalender[[#This Row],[Datum]])</f>
        <v>48</v>
      </c>
    </row>
    <row r="1796" spans="1:11" x14ac:dyDescent="0.25">
      <c r="A1796" s="1">
        <v>47086</v>
      </c>
      <c r="B1796">
        <f>YEAR(tbl_Kalender[[#This Row],[Datum]])</f>
        <v>2028</v>
      </c>
      <c r="C1796">
        <f>DAY(tbl_Kalender[[#This Row],[Datum]])</f>
        <v>29</v>
      </c>
      <c r="D1796" t="str">
        <f>TEXT(tbl_Kalender[[#This Row],[Datum]],"TTTT")</f>
        <v>Mittwoch</v>
      </c>
      <c r="E1796">
        <f>WEEKDAY(tbl_Kalender[[#This Row],[Datum]],2)</f>
        <v>3</v>
      </c>
      <c r="F1796">
        <f>MONTH(tbl_Kalender[[#This Row],[Datum]])</f>
        <v>11</v>
      </c>
      <c r="G1796" t="str">
        <f>TEXT(tbl_Kalender[[#This Row],[Datum]],"MMMM")</f>
        <v>November</v>
      </c>
      <c r="H1796">
        <f>ROUNDUP(tbl_Kalender[[#This Row],[Monat]]/3,0)</f>
        <v>4</v>
      </c>
      <c r="I1796" t="str">
        <f>"Q "&amp;tbl_Kalender[[#This Row],[Quartal]]</f>
        <v>Q 4</v>
      </c>
      <c r="J1796" t="str">
        <f>tbl_Kalender[[#This Row],[Quartal]]&amp;". Quartal"</f>
        <v>4. Quartal</v>
      </c>
      <c r="K1796">
        <f>_xlfn.ISOWEEKNUM(tbl_Kalender[[#This Row],[Datum]])</f>
        <v>48</v>
      </c>
    </row>
    <row r="1797" spans="1:11" x14ac:dyDescent="0.25">
      <c r="A1797" s="1">
        <v>47087</v>
      </c>
      <c r="B1797">
        <f>YEAR(tbl_Kalender[[#This Row],[Datum]])</f>
        <v>2028</v>
      </c>
      <c r="C1797">
        <f>DAY(tbl_Kalender[[#This Row],[Datum]])</f>
        <v>30</v>
      </c>
      <c r="D1797" t="str">
        <f>TEXT(tbl_Kalender[[#This Row],[Datum]],"TTTT")</f>
        <v>Donnerstag</v>
      </c>
      <c r="E1797">
        <f>WEEKDAY(tbl_Kalender[[#This Row],[Datum]],2)</f>
        <v>4</v>
      </c>
      <c r="F1797">
        <f>MONTH(tbl_Kalender[[#This Row],[Datum]])</f>
        <v>11</v>
      </c>
      <c r="G1797" t="str">
        <f>TEXT(tbl_Kalender[[#This Row],[Datum]],"MMMM")</f>
        <v>November</v>
      </c>
      <c r="H1797">
        <f>ROUNDUP(tbl_Kalender[[#This Row],[Monat]]/3,0)</f>
        <v>4</v>
      </c>
      <c r="I1797" t="str">
        <f>"Q "&amp;tbl_Kalender[[#This Row],[Quartal]]</f>
        <v>Q 4</v>
      </c>
      <c r="J1797" t="str">
        <f>tbl_Kalender[[#This Row],[Quartal]]&amp;". Quartal"</f>
        <v>4. Quartal</v>
      </c>
      <c r="K1797">
        <f>_xlfn.ISOWEEKNUM(tbl_Kalender[[#This Row],[Datum]])</f>
        <v>48</v>
      </c>
    </row>
    <row r="1798" spans="1:11" x14ac:dyDescent="0.25">
      <c r="A1798" s="1">
        <v>47088</v>
      </c>
      <c r="B1798">
        <f>YEAR(tbl_Kalender[[#This Row],[Datum]])</f>
        <v>2028</v>
      </c>
      <c r="C1798">
        <f>DAY(tbl_Kalender[[#This Row],[Datum]])</f>
        <v>1</v>
      </c>
      <c r="D1798" t="str">
        <f>TEXT(tbl_Kalender[[#This Row],[Datum]],"TTTT")</f>
        <v>Freitag</v>
      </c>
      <c r="E1798">
        <f>WEEKDAY(tbl_Kalender[[#This Row],[Datum]],2)</f>
        <v>5</v>
      </c>
      <c r="F1798">
        <f>MONTH(tbl_Kalender[[#This Row],[Datum]])</f>
        <v>12</v>
      </c>
      <c r="G1798" t="str">
        <f>TEXT(tbl_Kalender[[#This Row],[Datum]],"MMMM")</f>
        <v>Dezember</v>
      </c>
      <c r="H1798">
        <f>ROUNDUP(tbl_Kalender[[#This Row],[Monat]]/3,0)</f>
        <v>4</v>
      </c>
      <c r="I1798" t="str">
        <f>"Q "&amp;tbl_Kalender[[#This Row],[Quartal]]</f>
        <v>Q 4</v>
      </c>
      <c r="J1798" t="str">
        <f>tbl_Kalender[[#This Row],[Quartal]]&amp;". Quartal"</f>
        <v>4. Quartal</v>
      </c>
      <c r="K1798">
        <f>_xlfn.ISOWEEKNUM(tbl_Kalender[[#This Row],[Datum]])</f>
        <v>48</v>
      </c>
    </row>
    <row r="1799" spans="1:11" x14ac:dyDescent="0.25">
      <c r="A1799" s="1">
        <v>47089</v>
      </c>
      <c r="B1799">
        <f>YEAR(tbl_Kalender[[#This Row],[Datum]])</f>
        <v>2028</v>
      </c>
      <c r="C1799">
        <f>DAY(tbl_Kalender[[#This Row],[Datum]])</f>
        <v>2</v>
      </c>
      <c r="D1799" t="str">
        <f>TEXT(tbl_Kalender[[#This Row],[Datum]],"TTTT")</f>
        <v>Samstag</v>
      </c>
      <c r="E1799">
        <f>WEEKDAY(tbl_Kalender[[#This Row],[Datum]],2)</f>
        <v>6</v>
      </c>
      <c r="F1799">
        <f>MONTH(tbl_Kalender[[#This Row],[Datum]])</f>
        <v>12</v>
      </c>
      <c r="G1799" t="str">
        <f>TEXT(tbl_Kalender[[#This Row],[Datum]],"MMMM")</f>
        <v>Dezember</v>
      </c>
      <c r="H1799">
        <f>ROUNDUP(tbl_Kalender[[#This Row],[Monat]]/3,0)</f>
        <v>4</v>
      </c>
      <c r="I1799" t="str">
        <f>"Q "&amp;tbl_Kalender[[#This Row],[Quartal]]</f>
        <v>Q 4</v>
      </c>
      <c r="J1799" t="str">
        <f>tbl_Kalender[[#This Row],[Quartal]]&amp;". Quartal"</f>
        <v>4. Quartal</v>
      </c>
      <c r="K1799">
        <f>_xlfn.ISOWEEKNUM(tbl_Kalender[[#This Row],[Datum]])</f>
        <v>48</v>
      </c>
    </row>
    <row r="1800" spans="1:11" x14ac:dyDescent="0.25">
      <c r="A1800" s="1">
        <v>47090</v>
      </c>
      <c r="B1800">
        <f>YEAR(tbl_Kalender[[#This Row],[Datum]])</f>
        <v>2028</v>
      </c>
      <c r="C1800">
        <f>DAY(tbl_Kalender[[#This Row],[Datum]])</f>
        <v>3</v>
      </c>
      <c r="D1800" t="str">
        <f>TEXT(tbl_Kalender[[#This Row],[Datum]],"TTTT")</f>
        <v>Sonntag</v>
      </c>
      <c r="E1800">
        <f>WEEKDAY(tbl_Kalender[[#This Row],[Datum]],2)</f>
        <v>7</v>
      </c>
      <c r="F1800">
        <f>MONTH(tbl_Kalender[[#This Row],[Datum]])</f>
        <v>12</v>
      </c>
      <c r="G1800" t="str">
        <f>TEXT(tbl_Kalender[[#This Row],[Datum]],"MMMM")</f>
        <v>Dezember</v>
      </c>
      <c r="H1800">
        <f>ROUNDUP(tbl_Kalender[[#This Row],[Monat]]/3,0)</f>
        <v>4</v>
      </c>
      <c r="I1800" t="str">
        <f>"Q "&amp;tbl_Kalender[[#This Row],[Quartal]]</f>
        <v>Q 4</v>
      </c>
      <c r="J1800" t="str">
        <f>tbl_Kalender[[#This Row],[Quartal]]&amp;". Quartal"</f>
        <v>4. Quartal</v>
      </c>
      <c r="K1800">
        <f>_xlfn.ISOWEEKNUM(tbl_Kalender[[#This Row],[Datum]])</f>
        <v>48</v>
      </c>
    </row>
    <row r="1801" spans="1:11" x14ac:dyDescent="0.25">
      <c r="A1801" s="1">
        <v>47091</v>
      </c>
      <c r="B1801">
        <f>YEAR(tbl_Kalender[[#This Row],[Datum]])</f>
        <v>2028</v>
      </c>
      <c r="C1801">
        <f>DAY(tbl_Kalender[[#This Row],[Datum]])</f>
        <v>4</v>
      </c>
      <c r="D1801" t="str">
        <f>TEXT(tbl_Kalender[[#This Row],[Datum]],"TTTT")</f>
        <v>Montag</v>
      </c>
      <c r="E1801">
        <f>WEEKDAY(tbl_Kalender[[#This Row],[Datum]],2)</f>
        <v>1</v>
      </c>
      <c r="F1801">
        <f>MONTH(tbl_Kalender[[#This Row],[Datum]])</f>
        <v>12</v>
      </c>
      <c r="G1801" t="str">
        <f>TEXT(tbl_Kalender[[#This Row],[Datum]],"MMMM")</f>
        <v>Dezember</v>
      </c>
      <c r="H1801">
        <f>ROUNDUP(tbl_Kalender[[#This Row],[Monat]]/3,0)</f>
        <v>4</v>
      </c>
      <c r="I1801" t="str">
        <f>"Q "&amp;tbl_Kalender[[#This Row],[Quartal]]</f>
        <v>Q 4</v>
      </c>
      <c r="J1801" t="str">
        <f>tbl_Kalender[[#This Row],[Quartal]]&amp;". Quartal"</f>
        <v>4. Quartal</v>
      </c>
      <c r="K1801">
        <f>_xlfn.ISOWEEKNUM(tbl_Kalender[[#This Row],[Datum]])</f>
        <v>49</v>
      </c>
    </row>
    <row r="1802" spans="1:11" x14ac:dyDescent="0.25">
      <c r="A1802" s="1">
        <v>47092</v>
      </c>
      <c r="B1802">
        <f>YEAR(tbl_Kalender[[#This Row],[Datum]])</f>
        <v>2028</v>
      </c>
      <c r="C1802">
        <f>DAY(tbl_Kalender[[#This Row],[Datum]])</f>
        <v>5</v>
      </c>
      <c r="D1802" t="str">
        <f>TEXT(tbl_Kalender[[#This Row],[Datum]],"TTTT")</f>
        <v>Dienstag</v>
      </c>
      <c r="E1802">
        <f>WEEKDAY(tbl_Kalender[[#This Row],[Datum]],2)</f>
        <v>2</v>
      </c>
      <c r="F1802">
        <f>MONTH(tbl_Kalender[[#This Row],[Datum]])</f>
        <v>12</v>
      </c>
      <c r="G1802" t="str">
        <f>TEXT(tbl_Kalender[[#This Row],[Datum]],"MMMM")</f>
        <v>Dezember</v>
      </c>
      <c r="H1802">
        <f>ROUNDUP(tbl_Kalender[[#This Row],[Monat]]/3,0)</f>
        <v>4</v>
      </c>
      <c r="I1802" t="str">
        <f>"Q "&amp;tbl_Kalender[[#This Row],[Quartal]]</f>
        <v>Q 4</v>
      </c>
      <c r="J1802" t="str">
        <f>tbl_Kalender[[#This Row],[Quartal]]&amp;". Quartal"</f>
        <v>4. Quartal</v>
      </c>
      <c r="K1802">
        <f>_xlfn.ISOWEEKNUM(tbl_Kalender[[#This Row],[Datum]])</f>
        <v>49</v>
      </c>
    </row>
    <row r="1803" spans="1:11" x14ac:dyDescent="0.25">
      <c r="A1803" s="1">
        <v>47093</v>
      </c>
      <c r="B1803">
        <f>YEAR(tbl_Kalender[[#This Row],[Datum]])</f>
        <v>2028</v>
      </c>
      <c r="C1803">
        <f>DAY(tbl_Kalender[[#This Row],[Datum]])</f>
        <v>6</v>
      </c>
      <c r="D1803" t="str">
        <f>TEXT(tbl_Kalender[[#This Row],[Datum]],"TTTT")</f>
        <v>Mittwoch</v>
      </c>
      <c r="E1803">
        <f>WEEKDAY(tbl_Kalender[[#This Row],[Datum]],2)</f>
        <v>3</v>
      </c>
      <c r="F1803">
        <f>MONTH(tbl_Kalender[[#This Row],[Datum]])</f>
        <v>12</v>
      </c>
      <c r="G1803" t="str">
        <f>TEXT(tbl_Kalender[[#This Row],[Datum]],"MMMM")</f>
        <v>Dezember</v>
      </c>
      <c r="H1803">
        <f>ROUNDUP(tbl_Kalender[[#This Row],[Monat]]/3,0)</f>
        <v>4</v>
      </c>
      <c r="I1803" t="str">
        <f>"Q "&amp;tbl_Kalender[[#This Row],[Quartal]]</f>
        <v>Q 4</v>
      </c>
      <c r="J1803" t="str">
        <f>tbl_Kalender[[#This Row],[Quartal]]&amp;". Quartal"</f>
        <v>4. Quartal</v>
      </c>
      <c r="K1803">
        <f>_xlfn.ISOWEEKNUM(tbl_Kalender[[#This Row],[Datum]])</f>
        <v>49</v>
      </c>
    </row>
    <row r="1804" spans="1:11" x14ac:dyDescent="0.25">
      <c r="A1804" s="1">
        <v>47094</v>
      </c>
      <c r="B1804">
        <f>YEAR(tbl_Kalender[[#This Row],[Datum]])</f>
        <v>2028</v>
      </c>
      <c r="C1804">
        <f>DAY(tbl_Kalender[[#This Row],[Datum]])</f>
        <v>7</v>
      </c>
      <c r="D1804" t="str">
        <f>TEXT(tbl_Kalender[[#This Row],[Datum]],"TTTT")</f>
        <v>Donnerstag</v>
      </c>
      <c r="E1804">
        <f>WEEKDAY(tbl_Kalender[[#This Row],[Datum]],2)</f>
        <v>4</v>
      </c>
      <c r="F1804">
        <f>MONTH(tbl_Kalender[[#This Row],[Datum]])</f>
        <v>12</v>
      </c>
      <c r="G1804" t="str">
        <f>TEXT(tbl_Kalender[[#This Row],[Datum]],"MMMM")</f>
        <v>Dezember</v>
      </c>
      <c r="H1804">
        <f>ROUNDUP(tbl_Kalender[[#This Row],[Monat]]/3,0)</f>
        <v>4</v>
      </c>
      <c r="I1804" t="str">
        <f>"Q "&amp;tbl_Kalender[[#This Row],[Quartal]]</f>
        <v>Q 4</v>
      </c>
      <c r="J1804" t="str">
        <f>tbl_Kalender[[#This Row],[Quartal]]&amp;". Quartal"</f>
        <v>4. Quartal</v>
      </c>
      <c r="K1804">
        <f>_xlfn.ISOWEEKNUM(tbl_Kalender[[#This Row],[Datum]])</f>
        <v>49</v>
      </c>
    </row>
    <row r="1805" spans="1:11" x14ac:dyDescent="0.25">
      <c r="A1805" s="1">
        <v>47095</v>
      </c>
      <c r="B1805">
        <f>YEAR(tbl_Kalender[[#This Row],[Datum]])</f>
        <v>2028</v>
      </c>
      <c r="C1805">
        <f>DAY(tbl_Kalender[[#This Row],[Datum]])</f>
        <v>8</v>
      </c>
      <c r="D1805" t="str">
        <f>TEXT(tbl_Kalender[[#This Row],[Datum]],"TTTT")</f>
        <v>Freitag</v>
      </c>
      <c r="E1805">
        <f>WEEKDAY(tbl_Kalender[[#This Row],[Datum]],2)</f>
        <v>5</v>
      </c>
      <c r="F1805">
        <f>MONTH(tbl_Kalender[[#This Row],[Datum]])</f>
        <v>12</v>
      </c>
      <c r="G1805" t="str">
        <f>TEXT(tbl_Kalender[[#This Row],[Datum]],"MMMM")</f>
        <v>Dezember</v>
      </c>
      <c r="H1805">
        <f>ROUNDUP(tbl_Kalender[[#This Row],[Monat]]/3,0)</f>
        <v>4</v>
      </c>
      <c r="I1805" t="str">
        <f>"Q "&amp;tbl_Kalender[[#This Row],[Quartal]]</f>
        <v>Q 4</v>
      </c>
      <c r="J1805" t="str">
        <f>tbl_Kalender[[#This Row],[Quartal]]&amp;". Quartal"</f>
        <v>4. Quartal</v>
      </c>
      <c r="K1805">
        <f>_xlfn.ISOWEEKNUM(tbl_Kalender[[#This Row],[Datum]])</f>
        <v>49</v>
      </c>
    </row>
    <row r="1806" spans="1:11" x14ac:dyDescent="0.25">
      <c r="A1806" s="1">
        <v>47096</v>
      </c>
      <c r="B1806">
        <f>YEAR(tbl_Kalender[[#This Row],[Datum]])</f>
        <v>2028</v>
      </c>
      <c r="C1806">
        <f>DAY(tbl_Kalender[[#This Row],[Datum]])</f>
        <v>9</v>
      </c>
      <c r="D1806" t="str">
        <f>TEXT(tbl_Kalender[[#This Row],[Datum]],"TTTT")</f>
        <v>Samstag</v>
      </c>
      <c r="E1806">
        <f>WEEKDAY(tbl_Kalender[[#This Row],[Datum]],2)</f>
        <v>6</v>
      </c>
      <c r="F1806">
        <f>MONTH(tbl_Kalender[[#This Row],[Datum]])</f>
        <v>12</v>
      </c>
      <c r="G1806" t="str">
        <f>TEXT(tbl_Kalender[[#This Row],[Datum]],"MMMM")</f>
        <v>Dezember</v>
      </c>
      <c r="H1806">
        <f>ROUNDUP(tbl_Kalender[[#This Row],[Monat]]/3,0)</f>
        <v>4</v>
      </c>
      <c r="I1806" t="str">
        <f>"Q "&amp;tbl_Kalender[[#This Row],[Quartal]]</f>
        <v>Q 4</v>
      </c>
      <c r="J1806" t="str">
        <f>tbl_Kalender[[#This Row],[Quartal]]&amp;". Quartal"</f>
        <v>4. Quartal</v>
      </c>
      <c r="K1806">
        <f>_xlfn.ISOWEEKNUM(tbl_Kalender[[#This Row],[Datum]])</f>
        <v>49</v>
      </c>
    </row>
    <row r="1807" spans="1:11" x14ac:dyDescent="0.25">
      <c r="A1807" s="1">
        <v>47097</v>
      </c>
      <c r="B1807">
        <f>YEAR(tbl_Kalender[[#This Row],[Datum]])</f>
        <v>2028</v>
      </c>
      <c r="C1807">
        <f>DAY(tbl_Kalender[[#This Row],[Datum]])</f>
        <v>10</v>
      </c>
      <c r="D1807" t="str">
        <f>TEXT(tbl_Kalender[[#This Row],[Datum]],"TTTT")</f>
        <v>Sonntag</v>
      </c>
      <c r="E1807">
        <f>WEEKDAY(tbl_Kalender[[#This Row],[Datum]],2)</f>
        <v>7</v>
      </c>
      <c r="F1807">
        <f>MONTH(tbl_Kalender[[#This Row],[Datum]])</f>
        <v>12</v>
      </c>
      <c r="G1807" t="str">
        <f>TEXT(tbl_Kalender[[#This Row],[Datum]],"MMMM")</f>
        <v>Dezember</v>
      </c>
      <c r="H1807">
        <f>ROUNDUP(tbl_Kalender[[#This Row],[Monat]]/3,0)</f>
        <v>4</v>
      </c>
      <c r="I1807" t="str">
        <f>"Q "&amp;tbl_Kalender[[#This Row],[Quartal]]</f>
        <v>Q 4</v>
      </c>
      <c r="J1807" t="str">
        <f>tbl_Kalender[[#This Row],[Quartal]]&amp;". Quartal"</f>
        <v>4. Quartal</v>
      </c>
      <c r="K1807">
        <f>_xlfn.ISOWEEKNUM(tbl_Kalender[[#This Row],[Datum]])</f>
        <v>49</v>
      </c>
    </row>
    <row r="1808" spans="1:11" x14ac:dyDescent="0.25">
      <c r="A1808" s="1">
        <v>47098</v>
      </c>
      <c r="B1808">
        <f>YEAR(tbl_Kalender[[#This Row],[Datum]])</f>
        <v>2028</v>
      </c>
      <c r="C1808">
        <f>DAY(tbl_Kalender[[#This Row],[Datum]])</f>
        <v>11</v>
      </c>
      <c r="D1808" t="str">
        <f>TEXT(tbl_Kalender[[#This Row],[Datum]],"TTTT")</f>
        <v>Montag</v>
      </c>
      <c r="E1808">
        <f>WEEKDAY(tbl_Kalender[[#This Row],[Datum]],2)</f>
        <v>1</v>
      </c>
      <c r="F1808">
        <f>MONTH(tbl_Kalender[[#This Row],[Datum]])</f>
        <v>12</v>
      </c>
      <c r="G1808" t="str">
        <f>TEXT(tbl_Kalender[[#This Row],[Datum]],"MMMM")</f>
        <v>Dezember</v>
      </c>
      <c r="H1808">
        <f>ROUNDUP(tbl_Kalender[[#This Row],[Monat]]/3,0)</f>
        <v>4</v>
      </c>
      <c r="I1808" t="str">
        <f>"Q "&amp;tbl_Kalender[[#This Row],[Quartal]]</f>
        <v>Q 4</v>
      </c>
      <c r="J1808" t="str">
        <f>tbl_Kalender[[#This Row],[Quartal]]&amp;". Quartal"</f>
        <v>4. Quartal</v>
      </c>
      <c r="K1808">
        <f>_xlfn.ISOWEEKNUM(tbl_Kalender[[#This Row],[Datum]])</f>
        <v>50</v>
      </c>
    </row>
    <row r="1809" spans="1:11" x14ac:dyDescent="0.25">
      <c r="A1809" s="1">
        <v>47099</v>
      </c>
      <c r="B1809">
        <f>YEAR(tbl_Kalender[[#This Row],[Datum]])</f>
        <v>2028</v>
      </c>
      <c r="C1809">
        <f>DAY(tbl_Kalender[[#This Row],[Datum]])</f>
        <v>12</v>
      </c>
      <c r="D1809" t="str">
        <f>TEXT(tbl_Kalender[[#This Row],[Datum]],"TTTT")</f>
        <v>Dienstag</v>
      </c>
      <c r="E1809">
        <f>WEEKDAY(tbl_Kalender[[#This Row],[Datum]],2)</f>
        <v>2</v>
      </c>
      <c r="F1809">
        <f>MONTH(tbl_Kalender[[#This Row],[Datum]])</f>
        <v>12</v>
      </c>
      <c r="G1809" t="str">
        <f>TEXT(tbl_Kalender[[#This Row],[Datum]],"MMMM")</f>
        <v>Dezember</v>
      </c>
      <c r="H1809">
        <f>ROUNDUP(tbl_Kalender[[#This Row],[Monat]]/3,0)</f>
        <v>4</v>
      </c>
      <c r="I1809" t="str">
        <f>"Q "&amp;tbl_Kalender[[#This Row],[Quartal]]</f>
        <v>Q 4</v>
      </c>
      <c r="J1809" t="str">
        <f>tbl_Kalender[[#This Row],[Quartal]]&amp;". Quartal"</f>
        <v>4. Quartal</v>
      </c>
      <c r="K1809">
        <f>_xlfn.ISOWEEKNUM(tbl_Kalender[[#This Row],[Datum]])</f>
        <v>50</v>
      </c>
    </row>
    <row r="1810" spans="1:11" x14ac:dyDescent="0.25">
      <c r="A1810" s="1">
        <v>47100</v>
      </c>
      <c r="B1810">
        <f>YEAR(tbl_Kalender[[#This Row],[Datum]])</f>
        <v>2028</v>
      </c>
      <c r="C1810">
        <f>DAY(tbl_Kalender[[#This Row],[Datum]])</f>
        <v>13</v>
      </c>
      <c r="D1810" t="str">
        <f>TEXT(tbl_Kalender[[#This Row],[Datum]],"TTTT")</f>
        <v>Mittwoch</v>
      </c>
      <c r="E1810">
        <f>WEEKDAY(tbl_Kalender[[#This Row],[Datum]],2)</f>
        <v>3</v>
      </c>
      <c r="F1810">
        <f>MONTH(tbl_Kalender[[#This Row],[Datum]])</f>
        <v>12</v>
      </c>
      <c r="G1810" t="str">
        <f>TEXT(tbl_Kalender[[#This Row],[Datum]],"MMMM")</f>
        <v>Dezember</v>
      </c>
      <c r="H1810">
        <f>ROUNDUP(tbl_Kalender[[#This Row],[Monat]]/3,0)</f>
        <v>4</v>
      </c>
      <c r="I1810" t="str">
        <f>"Q "&amp;tbl_Kalender[[#This Row],[Quartal]]</f>
        <v>Q 4</v>
      </c>
      <c r="J1810" t="str">
        <f>tbl_Kalender[[#This Row],[Quartal]]&amp;". Quartal"</f>
        <v>4. Quartal</v>
      </c>
      <c r="K1810">
        <f>_xlfn.ISOWEEKNUM(tbl_Kalender[[#This Row],[Datum]])</f>
        <v>50</v>
      </c>
    </row>
    <row r="1811" spans="1:11" x14ac:dyDescent="0.25">
      <c r="A1811" s="1">
        <v>47101</v>
      </c>
      <c r="B1811">
        <f>YEAR(tbl_Kalender[[#This Row],[Datum]])</f>
        <v>2028</v>
      </c>
      <c r="C1811">
        <f>DAY(tbl_Kalender[[#This Row],[Datum]])</f>
        <v>14</v>
      </c>
      <c r="D1811" t="str">
        <f>TEXT(tbl_Kalender[[#This Row],[Datum]],"TTTT")</f>
        <v>Donnerstag</v>
      </c>
      <c r="E1811">
        <f>WEEKDAY(tbl_Kalender[[#This Row],[Datum]],2)</f>
        <v>4</v>
      </c>
      <c r="F1811">
        <f>MONTH(tbl_Kalender[[#This Row],[Datum]])</f>
        <v>12</v>
      </c>
      <c r="G1811" t="str">
        <f>TEXT(tbl_Kalender[[#This Row],[Datum]],"MMMM")</f>
        <v>Dezember</v>
      </c>
      <c r="H1811">
        <f>ROUNDUP(tbl_Kalender[[#This Row],[Monat]]/3,0)</f>
        <v>4</v>
      </c>
      <c r="I1811" t="str">
        <f>"Q "&amp;tbl_Kalender[[#This Row],[Quartal]]</f>
        <v>Q 4</v>
      </c>
      <c r="J1811" t="str">
        <f>tbl_Kalender[[#This Row],[Quartal]]&amp;". Quartal"</f>
        <v>4. Quartal</v>
      </c>
      <c r="K1811">
        <f>_xlfn.ISOWEEKNUM(tbl_Kalender[[#This Row],[Datum]])</f>
        <v>50</v>
      </c>
    </row>
    <row r="1812" spans="1:11" x14ac:dyDescent="0.25">
      <c r="A1812" s="1">
        <v>47102</v>
      </c>
      <c r="B1812">
        <f>YEAR(tbl_Kalender[[#This Row],[Datum]])</f>
        <v>2028</v>
      </c>
      <c r="C1812">
        <f>DAY(tbl_Kalender[[#This Row],[Datum]])</f>
        <v>15</v>
      </c>
      <c r="D1812" t="str">
        <f>TEXT(tbl_Kalender[[#This Row],[Datum]],"TTTT")</f>
        <v>Freitag</v>
      </c>
      <c r="E1812">
        <f>WEEKDAY(tbl_Kalender[[#This Row],[Datum]],2)</f>
        <v>5</v>
      </c>
      <c r="F1812">
        <f>MONTH(tbl_Kalender[[#This Row],[Datum]])</f>
        <v>12</v>
      </c>
      <c r="G1812" t="str">
        <f>TEXT(tbl_Kalender[[#This Row],[Datum]],"MMMM")</f>
        <v>Dezember</v>
      </c>
      <c r="H1812">
        <f>ROUNDUP(tbl_Kalender[[#This Row],[Monat]]/3,0)</f>
        <v>4</v>
      </c>
      <c r="I1812" t="str">
        <f>"Q "&amp;tbl_Kalender[[#This Row],[Quartal]]</f>
        <v>Q 4</v>
      </c>
      <c r="J1812" t="str">
        <f>tbl_Kalender[[#This Row],[Quartal]]&amp;". Quartal"</f>
        <v>4. Quartal</v>
      </c>
      <c r="K1812">
        <f>_xlfn.ISOWEEKNUM(tbl_Kalender[[#This Row],[Datum]])</f>
        <v>50</v>
      </c>
    </row>
    <row r="1813" spans="1:11" x14ac:dyDescent="0.25">
      <c r="A1813" s="1">
        <v>47103</v>
      </c>
      <c r="B1813">
        <f>YEAR(tbl_Kalender[[#This Row],[Datum]])</f>
        <v>2028</v>
      </c>
      <c r="C1813">
        <f>DAY(tbl_Kalender[[#This Row],[Datum]])</f>
        <v>16</v>
      </c>
      <c r="D1813" t="str">
        <f>TEXT(tbl_Kalender[[#This Row],[Datum]],"TTTT")</f>
        <v>Samstag</v>
      </c>
      <c r="E1813">
        <f>WEEKDAY(tbl_Kalender[[#This Row],[Datum]],2)</f>
        <v>6</v>
      </c>
      <c r="F1813">
        <f>MONTH(tbl_Kalender[[#This Row],[Datum]])</f>
        <v>12</v>
      </c>
      <c r="G1813" t="str">
        <f>TEXT(tbl_Kalender[[#This Row],[Datum]],"MMMM")</f>
        <v>Dezember</v>
      </c>
      <c r="H1813">
        <f>ROUNDUP(tbl_Kalender[[#This Row],[Monat]]/3,0)</f>
        <v>4</v>
      </c>
      <c r="I1813" t="str">
        <f>"Q "&amp;tbl_Kalender[[#This Row],[Quartal]]</f>
        <v>Q 4</v>
      </c>
      <c r="J1813" t="str">
        <f>tbl_Kalender[[#This Row],[Quartal]]&amp;". Quartal"</f>
        <v>4. Quartal</v>
      </c>
      <c r="K1813">
        <f>_xlfn.ISOWEEKNUM(tbl_Kalender[[#This Row],[Datum]])</f>
        <v>50</v>
      </c>
    </row>
    <row r="1814" spans="1:11" x14ac:dyDescent="0.25">
      <c r="A1814" s="1">
        <v>47104</v>
      </c>
      <c r="B1814">
        <f>YEAR(tbl_Kalender[[#This Row],[Datum]])</f>
        <v>2028</v>
      </c>
      <c r="C1814">
        <f>DAY(tbl_Kalender[[#This Row],[Datum]])</f>
        <v>17</v>
      </c>
      <c r="D1814" t="str">
        <f>TEXT(tbl_Kalender[[#This Row],[Datum]],"TTTT")</f>
        <v>Sonntag</v>
      </c>
      <c r="E1814">
        <f>WEEKDAY(tbl_Kalender[[#This Row],[Datum]],2)</f>
        <v>7</v>
      </c>
      <c r="F1814">
        <f>MONTH(tbl_Kalender[[#This Row],[Datum]])</f>
        <v>12</v>
      </c>
      <c r="G1814" t="str">
        <f>TEXT(tbl_Kalender[[#This Row],[Datum]],"MMMM")</f>
        <v>Dezember</v>
      </c>
      <c r="H1814">
        <f>ROUNDUP(tbl_Kalender[[#This Row],[Monat]]/3,0)</f>
        <v>4</v>
      </c>
      <c r="I1814" t="str">
        <f>"Q "&amp;tbl_Kalender[[#This Row],[Quartal]]</f>
        <v>Q 4</v>
      </c>
      <c r="J1814" t="str">
        <f>tbl_Kalender[[#This Row],[Quartal]]&amp;". Quartal"</f>
        <v>4. Quartal</v>
      </c>
      <c r="K1814">
        <f>_xlfn.ISOWEEKNUM(tbl_Kalender[[#This Row],[Datum]])</f>
        <v>50</v>
      </c>
    </row>
    <row r="1815" spans="1:11" x14ac:dyDescent="0.25">
      <c r="A1815" s="1">
        <v>47105</v>
      </c>
      <c r="B1815">
        <f>YEAR(tbl_Kalender[[#This Row],[Datum]])</f>
        <v>2028</v>
      </c>
      <c r="C1815">
        <f>DAY(tbl_Kalender[[#This Row],[Datum]])</f>
        <v>18</v>
      </c>
      <c r="D1815" t="str">
        <f>TEXT(tbl_Kalender[[#This Row],[Datum]],"TTTT")</f>
        <v>Montag</v>
      </c>
      <c r="E1815">
        <f>WEEKDAY(tbl_Kalender[[#This Row],[Datum]],2)</f>
        <v>1</v>
      </c>
      <c r="F1815">
        <f>MONTH(tbl_Kalender[[#This Row],[Datum]])</f>
        <v>12</v>
      </c>
      <c r="G1815" t="str">
        <f>TEXT(tbl_Kalender[[#This Row],[Datum]],"MMMM")</f>
        <v>Dezember</v>
      </c>
      <c r="H1815">
        <f>ROUNDUP(tbl_Kalender[[#This Row],[Monat]]/3,0)</f>
        <v>4</v>
      </c>
      <c r="I1815" t="str">
        <f>"Q "&amp;tbl_Kalender[[#This Row],[Quartal]]</f>
        <v>Q 4</v>
      </c>
      <c r="J1815" t="str">
        <f>tbl_Kalender[[#This Row],[Quartal]]&amp;". Quartal"</f>
        <v>4. Quartal</v>
      </c>
      <c r="K1815">
        <f>_xlfn.ISOWEEKNUM(tbl_Kalender[[#This Row],[Datum]])</f>
        <v>51</v>
      </c>
    </row>
    <row r="1816" spans="1:11" x14ac:dyDescent="0.25">
      <c r="A1816" s="1">
        <v>47106</v>
      </c>
      <c r="B1816">
        <f>YEAR(tbl_Kalender[[#This Row],[Datum]])</f>
        <v>2028</v>
      </c>
      <c r="C1816">
        <f>DAY(tbl_Kalender[[#This Row],[Datum]])</f>
        <v>19</v>
      </c>
      <c r="D1816" t="str">
        <f>TEXT(tbl_Kalender[[#This Row],[Datum]],"TTTT")</f>
        <v>Dienstag</v>
      </c>
      <c r="E1816">
        <f>WEEKDAY(tbl_Kalender[[#This Row],[Datum]],2)</f>
        <v>2</v>
      </c>
      <c r="F1816">
        <f>MONTH(tbl_Kalender[[#This Row],[Datum]])</f>
        <v>12</v>
      </c>
      <c r="G1816" t="str">
        <f>TEXT(tbl_Kalender[[#This Row],[Datum]],"MMMM")</f>
        <v>Dezember</v>
      </c>
      <c r="H1816">
        <f>ROUNDUP(tbl_Kalender[[#This Row],[Monat]]/3,0)</f>
        <v>4</v>
      </c>
      <c r="I1816" t="str">
        <f>"Q "&amp;tbl_Kalender[[#This Row],[Quartal]]</f>
        <v>Q 4</v>
      </c>
      <c r="J1816" t="str">
        <f>tbl_Kalender[[#This Row],[Quartal]]&amp;". Quartal"</f>
        <v>4. Quartal</v>
      </c>
      <c r="K1816">
        <f>_xlfn.ISOWEEKNUM(tbl_Kalender[[#This Row],[Datum]])</f>
        <v>51</v>
      </c>
    </row>
    <row r="1817" spans="1:11" x14ac:dyDescent="0.25">
      <c r="A1817" s="1">
        <v>47107</v>
      </c>
      <c r="B1817">
        <f>YEAR(tbl_Kalender[[#This Row],[Datum]])</f>
        <v>2028</v>
      </c>
      <c r="C1817">
        <f>DAY(tbl_Kalender[[#This Row],[Datum]])</f>
        <v>20</v>
      </c>
      <c r="D1817" t="str">
        <f>TEXT(tbl_Kalender[[#This Row],[Datum]],"TTTT")</f>
        <v>Mittwoch</v>
      </c>
      <c r="E1817">
        <f>WEEKDAY(tbl_Kalender[[#This Row],[Datum]],2)</f>
        <v>3</v>
      </c>
      <c r="F1817">
        <f>MONTH(tbl_Kalender[[#This Row],[Datum]])</f>
        <v>12</v>
      </c>
      <c r="G1817" t="str">
        <f>TEXT(tbl_Kalender[[#This Row],[Datum]],"MMMM")</f>
        <v>Dezember</v>
      </c>
      <c r="H1817">
        <f>ROUNDUP(tbl_Kalender[[#This Row],[Monat]]/3,0)</f>
        <v>4</v>
      </c>
      <c r="I1817" t="str">
        <f>"Q "&amp;tbl_Kalender[[#This Row],[Quartal]]</f>
        <v>Q 4</v>
      </c>
      <c r="J1817" t="str">
        <f>tbl_Kalender[[#This Row],[Quartal]]&amp;". Quartal"</f>
        <v>4. Quartal</v>
      </c>
      <c r="K1817">
        <f>_xlfn.ISOWEEKNUM(tbl_Kalender[[#This Row],[Datum]])</f>
        <v>51</v>
      </c>
    </row>
    <row r="1818" spans="1:11" x14ac:dyDescent="0.25">
      <c r="A1818" s="1">
        <v>47108</v>
      </c>
      <c r="B1818">
        <f>YEAR(tbl_Kalender[[#This Row],[Datum]])</f>
        <v>2028</v>
      </c>
      <c r="C1818">
        <f>DAY(tbl_Kalender[[#This Row],[Datum]])</f>
        <v>21</v>
      </c>
      <c r="D1818" t="str">
        <f>TEXT(tbl_Kalender[[#This Row],[Datum]],"TTTT")</f>
        <v>Donnerstag</v>
      </c>
      <c r="E1818">
        <f>WEEKDAY(tbl_Kalender[[#This Row],[Datum]],2)</f>
        <v>4</v>
      </c>
      <c r="F1818">
        <f>MONTH(tbl_Kalender[[#This Row],[Datum]])</f>
        <v>12</v>
      </c>
      <c r="G1818" t="str">
        <f>TEXT(tbl_Kalender[[#This Row],[Datum]],"MMMM")</f>
        <v>Dezember</v>
      </c>
      <c r="H1818">
        <f>ROUNDUP(tbl_Kalender[[#This Row],[Monat]]/3,0)</f>
        <v>4</v>
      </c>
      <c r="I1818" t="str">
        <f>"Q "&amp;tbl_Kalender[[#This Row],[Quartal]]</f>
        <v>Q 4</v>
      </c>
      <c r="J1818" t="str">
        <f>tbl_Kalender[[#This Row],[Quartal]]&amp;". Quartal"</f>
        <v>4. Quartal</v>
      </c>
      <c r="K1818">
        <f>_xlfn.ISOWEEKNUM(tbl_Kalender[[#This Row],[Datum]])</f>
        <v>51</v>
      </c>
    </row>
    <row r="1819" spans="1:11" x14ac:dyDescent="0.25">
      <c r="A1819" s="1">
        <v>47109</v>
      </c>
      <c r="B1819">
        <f>YEAR(tbl_Kalender[[#This Row],[Datum]])</f>
        <v>2028</v>
      </c>
      <c r="C1819">
        <f>DAY(tbl_Kalender[[#This Row],[Datum]])</f>
        <v>22</v>
      </c>
      <c r="D1819" t="str">
        <f>TEXT(tbl_Kalender[[#This Row],[Datum]],"TTTT")</f>
        <v>Freitag</v>
      </c>
      <c r="E1819">
        <f>WEEKDAY(tbl_Kalender[[#This Row],[Datum]],2)</f>
        <v>5</v>
      </c>
      <c r="F1819">
        <f>MONTH(tbl_Kalender[[#This Row],[Datum]])</f>
        <v>12</v>
      </c>
      <c r="G1819" t="str">
        <f>TEXT(tbl_Kalender[[#This Row],[Datum]],"MMMM")</f>
        <v>Dezember</v>
      </c>
      <c r="H1819">
        <f>ROUNDUP(tbl_Kalender[[#This Row],[Monat]]/3,0)</f>
        <v>4</v>
      </c>
      <c r="I1819" t="str">
        <f>"Q "&amp;tbl_Kalender[[#This Row],[Quartal]]</f>
        <v>Q 4</v>
      </c>
      <c r="J1819" t="str">
        <f>tbl_Kalender[[#This Row],[Quartal]]&amp;". Quartal"</f>
        <v>4. Quartal</v>
      </c>
      <c r="K1819">
        <f>_xlfn.ISOWEEKNUM(tbl_Kalender[[#This Row],[Datum]])</f>
        <v>51</v>
      </c>
    </row>
    <row r="1820" spans="1:11" x14ac:dyDescent="0.25">
      <c r="A1820" s="1">
        <v>47110</v>
      </c>
      <c r="B1820">
        <f>YEAR(tbl_Kalender[[#This Row],[Datum]])</f>
        <v>2028</v>
      </c>
      <c r="C1820">
        <f>DAY(tbl_Kalender[[#This Row],[Datum]])</f>
        <v>23</v>
      </c>
      <c r="D1820" t="str">
        <f>TEXT(tbl_Kalender[[#This Row],[Datum]],"TTTT")</f>
        <v>Samstag</v>
      </c>
      <c r="E1820">
        <f>WEEKDAY(tbl_Kalender[[#This Row],[Datum]],2)</f>
        <v>6</v>
      </c>
      <c r="F1820">
        <f>MONTH(tbl_Kalender[[#This Row],[Datum]])</f>
        <v>12</v>
      </c>
      <c r="G1820" t="str">
        <f>TEXT(tbl_Kalender[[#This Row],[Datum]],"MMMM")</f>
        <v>Dezember</v>
      </c>
      <c r="H1820">
        <f>ROUNDUP(tbl_Kalender[[#This Row],[Monat]]/3,0)</f>
        <v>4</v>
      </c>
      <c r="I1820" t="str">
        <f>"Q "&amp;tbl_Kalender[[#This Row],[Quartal]]</f>
        <v>Q 4</v>
      </c>
      <c r="J1820" t="str">
        <f>tbl_Kalender[[#This Row],[Quartal]]&amp;". Quartal"</f>
        <v>4. Quartal</v>
      </c>
      <c r="K1820">
        <f>_xlfn.ISOWEEKNUM(tbl_Kalender[[#This Row],[Datum]])</f>
        <v>51</v>
      </c>
    </row>
    <row r="1821" spans="1:11" x14ac:dyDescent="0.25">
      <c r="A1821" s="1">
        <v>47111</v>
      </c>
      <c r="B1821">
        <f>YEAR(tbl_Kalender[[#This Row],[Datum]])</f>
        <v>2028</v>
      </c>
      <c r="C1821">
        <f>DAY(tbl_Kalender[[#This Row],[Datum]])</f>
        <v>24</v>
      </c>
      <c r="D1821" t="str">
        <f>TEXT(tbl_Kalender[[#This Row],[Datum]],"TTTT")</f>
        <v>Sonntag</v>
      </c>
      <c r="E1821">
        <f>WEEKDAY(tbl_Kalender[[#This Row],[Datum]],2)</f>
        <v>7</v>
      </c>
      <c r="F1821">
        <f>MONTH(tbl_Kalender[[#This Row],[Datum]])</f>
        <v>12</v>
      </c>
      <c r="G1821" t="str">
        <f>TEXT(tbl_Kalender[[#This Row],[Datum]],"MMMM")</f>
        <v>Dezember</v>
      </c>
      <c r="H1821">
        <f>ROUNDUP(tbl_Kalender[[#This Row],[Monat]]/3,0)</f>
        <v>4</v>
      </c>
      <c r="I1821" t="str">
        <f>"Q "&amp;tbl_Kalender[[#This Row],[Quartal]]</f>
        <v>Q 4</v>
      </c>
      <c r="J1821" t="str">
        <f>tbl_Kalender[[#This Row],[Quartal]]&amp;". Quartal"</f>
        <v>4. Quartal</v>
      </c>
      <c r="K1821">
        <f>_xlfn.ISOWEEKNUM(tbl_Kalender[[#This Row],[Datum]])</f>
        <v>51</v>
      </c>
    </row>
    <row r="1822" spans="1:11" x14ac:dyDescent="0.25">
      <c r="A1822" s="1">
        <v>47112</v>
      </c>
      <c r="B1822">
        <f>YEAR(tbl_Kalender[[#This Row],[Datum]])</f>
        <v>2028</v>
      </c>
      <c r="C1822">
        <f>DAY(tbl_Kalender[[#This Row],[Datum]])</f>
        <v>25</v>
      </c>
      <c r="D1822" t="str">
        <f>TEXT(tbl_Kalender[[#This Row],[Datum]],"TTTT")</f>
        <v>Montag</v>
      </c>
      <c r="E1822">
        <f>WEEKDAY(tbl_Kalender[[#This Row],[Datum]],2)</f>
        <v>1</v>
      </c>
      <c r="F1822">
        <f>MONTH(tbl_Kalender[[#This Row],[Datum]])</f>
        <v>12</v>
      </c>
      <c r="G1822" t="str">
        <f>TEXT(tbl_Kalender[[#This Row],[Datum]],"MMMM")</f>
        <v>Dezember</v>
      </c>
      <c r="H1822">
        <f>ROUNDUP(tbl_Kalender[[#This Row],[Monat]]/3,0)</f>
        <v>4</v>
      </c>
      <c r="I1822" t="str">
        <f>"Q "&amp;tbl_Kalender[[#This Row],[Quartal]]</f>
        <v>Q 4</v>
      </c>
      <c r="J1822" t="str">
        <f>tbl_Kalender[[#This Row],[Quartal]]&amp;". Quartal"</f>
        <v>4. Quartal</v>
      </c>
      <c r="K1822">
        <f>_xlfn.ISOWEEKNUM(tbl_Kalender[[#This Row],[Datum]])</f>
        <v>52</v>
      </c>
    </row>
    <row r="1823" spans="1:11" x14ac:dyDescent="0.25">
      <c r="A1823" s="1">
        <v>47113</v>
      </c>
      <c r="B1823">
        <f>YEAR(tbl_Kalender[[#This Row],[Datum]])</f>
        <v>2028</v>
      </c>
      <c r="C1823">
        <f>DAY(tbl_Kalender[[#This Row],[Datum]])</f>
        <v>26</v>
      </c>
      <c r="D1823" t="str">
        <f>TEXT(tbl_Kalender[[#This Row],[Datum]],"TTTT")</f>
        <v>Dienstag</v>
      </c>
      <c r="E1823">
        <f>WEEKDAY(tbl_Kalender[[#This Row],[Datum]],2)</f>
        <v>2</v>
      </c>
      <c r="F1823">
        <f>MONTH(tbl_Kalender[[#This Row],[Datum]])</f>
        <v>12</v>
      </c>
      <c r="G1823" t="str">
        <f>TEXT(tbl_Kalender[[#This Row],[Datum]],"MMMM")</f>
        <v>Dezember</v>
      </c>
      <c r="H1823">
        <f>ROUNDUP(tbl_Kalender[[#This Row],[Monat]]/3,0)</f>
        <v>4</v>
      </c>
      <c r="I1823" t="str">
        <f>"Q "&amp;tbl_Kalender[[#This Row],[Quartal]]</f>
        <v>Q 4</v>
      </c>
      <c r="J1823" t="str">
        <f>tbl_Kalender[[#This Row],[Quartal]]&amp;". Quartal"</f>
        <v>4. Quartal</v>
      </c>
      <c r="K1823">
        <f>_xlfn.ISOWEEKNUM(tbl_Kalender[[#This Row],[Datum]])</f>
        <v>52</v>
      </c>
    </row>
    <row r="1824" spans="1:11" x14ac:dyDescent="0.25">
      <c r="A1824" s="1">
        <v>47114</v>
      </c>
      <c r="B1824">
        <f>YEAR(tbl_Kalender[[#This Row],[Datum]])</f>
        <v>2028</v>
      </c>
      <c r="C1824">
        <f>DAY(tbl_Kalender[[#This Row],[Datum]])</f>
        <v>27</v>
      </c>
      <c r="D1824" t="str">
        <f>TEXT(tbl_Kalender[[#This Row],[Datum]],"TTTT")</f>
        <v>Mittwoch</v>
      </c>
      <c r="E1824">
        <f>WEEKDAY(tbl_Kalender[[#This Row],[Datum]],2)</f>
        <v>3</v>
      </c>
      <c r="F1824">
        <f>MONTH(tbl_Kalender[[#This Row],[Datum]])</f>
        <v>12</v>
      </c>
      <c r="G1824" t="str">
        <f>TEXT(tbl_Kalender[[#This Row],[Datum]],"MMMM")</f>
        <v>Dezember</v>
      </c>
      <c r="H1824">
        <f>ROUNDUP(tbl_Kalender[[#This Row],[Monat]]/3,0)</f>
        <v>4</v>
      </c>
      <c r="I1824" t="str">
        <f>"Q "&amp;tbl_Kalender[[#This Row],[Quartal]]</f>
        <v>Q 4</v>
      </c>
      <c r="J1824" t="str">
        <f>tbl_Kalender[[#This Row],[Quartal]]&amp;". Quartal"</f>
        <v>4. Quartal</v>
      </c>
      <c r="K1824">
        <f>_xlfn.ISOWEEKNUM(tbl_Kalender[[#This Row],[Datum]])</f>
        <v>52</v>
      </c>
    </row>
    <row r="1825" spans="1:11" x14ac:dyDescent="0.25">
      <c r="A1825" s="1">
        <v>47115</v>
      </c>
      <c r="B1825">
        <f>YEAR(tbl_Kalender[[#This Row],[Datum]])</f>
        <v>2028</v>
      </c>
      <c r="C1825">
        <f>DAY(tbl_Kalender[[#This Row],[Datum]])</f>
        <v>28</v>
      </c>
      <c r="D1825" t="str">
        <f>TEXT(tbl_Kalender[[#This Row],[Datum]],"TTTT")</f>
        <v>Donnerstag</v>
      </c>
      <c r="E1825">
        <f>WEEKDAY(tbl_Kalender[[#This Row],[Datum]],2)</f>
        <v>4</v>
      </c>
      <c r="F1825">
        <f>MONTH(tbl_Kalender[[#This Row],[Datum]])</f>
        <v>12</v>
      </c>
      <c r="G1825" t="str">
        <f>TEXT(tbl_Kalender[[#This Row],[Datum]],"MMMM")</f>
        <v>Dezember</v>
      </c>
      <c r="H1825">
        <f>ROUNDUP(tbl_Kalender[[#This Row],[Monat]]/3,0)</f>
        <v>4</v>
      </c>
      <c r="I1825" t="str">
        <f>"Q "&amp;tbl_Kalender[[#This Row],[Quartal]]</f>
        <v>Q 4</v>
      </c>
      <c r="J1825" t="str">
        <f>tbl_Kalender[[#This Row],[Quartal]]&amp;". Quartal"</f>
        <v>4. Quartal</v>
      </c>
      <c r="K1825">
        <f>_xlfn.ISOWEEKNUM(tbl_Kalender[[#This Row],[Datum]])</f>
        <v>52</v>
      </c>
    </row>
    <row r="1826" spans="1:11" x14ac:dyDescent="0.25">
      <c r="A1826" s="1">
        <v>47116</v>
      </c>
      <c r="B1826">
        <f>YEAR(tbl_Kalender[[#This Row],[Datum]])</f>
        <v>2028</v>
      </c>
      <c r="C1826">
        <f>DAY(tbl_Kalender[[#This Row],[Datum]])</f>
        <v>29</v>
      </c>
      <c r="D1826" t="str">
        <f>TEXT(tbl_Kalender[[#This Row],[Datum]],"TTTT")</f>
        <v>Freitag</v>
      </c>
      <c r="E1826">
        <f>WEEKDAY(tbl_Kalender[[#This Row],[Datum]],2)</f>
        <v>5</v>
      </c>
      <c r="F1826">
        <f>MONTH(tbl_Kalender[[#This Row],[Datum]])</f>
        <v>12</v>
      </c>
      <c r="G1826" t="str">
        <f>TEXT(tbl_Kalender[[#This Row],[Datum]],"MMMM")</f>
        <v>Dezember</v>
      </c>
      <c r="H1826">
        <f>ROUNDUP(tbl_Kalender[[#This Row],[Monat]]/3,0)</f>
        <v>4</v>
      </c>
      <c r="I1826" t="str">
        <f>"Q "&amp;tbl_Kalender[[#This Row],[Quartal]]</f>
        <v>Q 4</v>
      </c>
      <c r="J1826" t="str">
        <f>tbl_Kalender[[#This Row],[Quartal]]&amp;". Quartal"</f>
        <v>4. Quartal</v>
      </c>
      <c r="K1826">
        <f>_xlfn.ISOWEEKNUM(tbl_Kalender[[#This Row],[Datum]])</f>
        <v>52</v>
      </c>
    </row>
    <row r="1827" spans="1:11" x14ac:dyDescent="0.25">
      <c r="A1827" s="1">
        <v>47117</v>
      </c>
      <c r="B1827">
        <f>YEAR(tbl_Kalender[[#This Row],[Datum]])</f>
        <v>2028</v>
      </c>
      <c r="C1827">
        <f>DAY(tbl_Kalender[[#This Row],[Datum]])</f>
        <v>30</v>
      </c>
      <c r="D1827" t="str">
        <f>TEXT(tbl_Kalender[[#This Row],[Datum]],"TTTT")</f>
        <v>Samstag</v>
      </c>
      <c r="E1827">
        <f>WEEKDAY(tbl_Kalender[[#This Row],[Datum]],2)</f>
        <v>6</v>
      </c>
      <c r="F1827">
        <f>MONTH(tbl_Kalender[[#This Row],[Datum]])</f>
        <v>12</v>
      </c>
      <c r="G1827" t="str">
        <f>TEXT(tbl_Kalender[[#This Row],[Datum]],"MMMM")</f>
        <v>Dezember</v>
      </c>
      <c r="H1827">
        <f>ROUNDUP(tbl_Kalender[[#This Row],[Monat]]/3,0)</f>
        <v>4</v>
      </c>
      <c r="I1827" t="str">
        <f>"Q "&amp;tbl_Kalender[[#This Row],[Quartal]]</f>
        <v>Q 4</v>
      </c>
      <c r="J1827" t="str">
        <f>tbl_Kalender[[#This Row],[Quartal]]&amp;". Quartal"</f>
        <v>4. Quartal</v>
      </c>
      <c r="K1827">
        <f>_xlfn.ISOWEEKNUM(tbl_Kalender[[#This Row],[Datum]])</f>
        <v>52</v>
      </c>
    </row>
    <row r="1828" spans="1:11" x14ac:dyDescent="0.25">
      <c r="A1828" s="1">
        <v>47118</v>
      </c>
      <c r="B1828">
        <f>YEAR(tbl_Kalender[[#This Row],[Datum]])</f>
        <v>2028</v>
      </c>
      <c r="C1828">
        <f>DAY(tbl_Kalender[[#This Row],[Datum]])</f>
        <v>31</v>
      </c>
      <c r="D1828" t="str">
        <f>TEXT(tbl_Kalender[[#This Row],[Datum]],"TTTT")</f>
        <v>Sonntag</v>
      </c>
      <c r="E1828">
        <f>WEEKDAY(tbl_Kalender[[#This Row],[Datum]],2)</f>
        <v>7</v>
      </c>
      <c r="F1828">
        <f>MONTH(tbl_Kalender[[#This Row],[Datum]])</f>
        <v>12</v>
      </c>
      <c r="G1828" t="str">
        <f>TEXT(tbl_Kalender[[#This Row],[Datum]],"MMMM")</f>
        <v>Dezember</v>
      </c>
      <c r="H1828">
        <f>ROUNDUP(tbl_Kalender[[#This Row],[Monat]]/3,0)</f>
        <v>4</v>
      </c>
      <c r="I1828" t="str">
        <f>"Q "&amp;tbl_Kalender[[#This Row],[Quartal]]</f>
        <v>Q 4</v>
      </c>
      <c r="J1828" t="str">
        <f>tbl_Kalender[[#This Row],[Quartal]]&amp;". Quartal"</f>
        <v>4. Quartal</v>
      </c>
      <c r="K1828">
        <f>_xlfn.ISOWEEKNUM(tbl_Kalender[[#This Row],[Datum]])</f>
        <v>52</v>
      </c>
    </row>
    <row r="1829" spans="1:11" x14ac:dyDescent="0.25">
      <c r="A1829" s="1">
        <v>47119</v>
      </c>
      <c r="B1829">
        <f>YEAR(tbl_Kalender[[#This Row],[Datum]])</f>
        <v>2029</v>
      </c>
      <c r="C1829">
        <f>DAY(tbl_Kalender[[#This Row],[Datum]])</f>
        <v>1</v>
      </c>
      <c r="D1829" t="str">
        <f>TEXT(tbl_Kalender[[#This Row],[Datum]],"TTTT")</f>
        <v>Montag</v>
      </c>
      <c r="E1829">
        <f>WEEKDAY(tbl_Kalender[[#This Row],[Datum]],2)</f>
        <v>1</v>
      </c>
      <c r="F1829">
        <f>MONTH(tbl_Kalender[[#This Row],[Datum]])</f>
        <v>1</v>
      </c>
      <c r="G1829" t="str">
        <f>TEXT(tbl_Kalender[[#This Row],[Datum]],"MMMM")</f>
        <v>Januar</v>
      </c>
      <c r="H1829">
        <f>ROUNDUP(tbl_Kalender[[#This Row],[Monat]]/3,0)</f>
        <v>1</v>
      </c>
      <c r="I1829" t="str">
        <f>"Q "&amp;tbl_Kalender[[#This Row],[Quartal]]</f>
        <v>Q 1</v>
      </c>
      <c r="J1829" t="str">
        <f>tbl_Kalender[[#This Row],[Quartal]]&amp;". Quartal"</f>
        <v>1. Quartal</v>
      </c>
      <c r="K1829">
        <f>_xlfn.ISOWEEKNUM(tbl_Kalender[[#This Row],[Datum]])</f>
        <v>1</v>
      </c>
    </row>
    <row r="1830" spans="1:11" x14ac:dyDescent="0.25">
      <c r="A1830" s="1">
        <v>47120</v>
      </c>
      <c r="B1830">
        <f>YEAR(tbl_Kalender[[#This Row],[Datum]])</f>
        <v>2029</v>
      </c>
      <c r="C1830">
        <f>DAY(tbl_Kalender[[#This Row],[Datum]])</f>
        <v>2</v>
      </c>
      <c r="D1830" t="str">
        <f>TEXT(tbl_Kalender[[#This Row],[Datum]],"TTTT")</f>
        <v>Dienstag</v>
      </c>
      <c r="E1830">
        <f>WEEKDAY(tbl_Kalender[[#This Row],[Datum]],2)</f>
        <v>2</v>
      </c>
      <c r="F1830">
        <f>MONTH(tbl_Kalender[[#This Row],[Datum]])</f>
        <v>1</v>
      </c>
      <c r="G1830" t="str">
        <f>TEXT(tbl_Kalender[[#This Row],[Datum]],"MMMM")</f>
        <v>Januar</v>
      </c>
      <c r="H1830">
        <f>ROUNDUP(tbl_Kalender[[#This Row],[Monat]]/3,0)</f>
        <v>1</v>
      </c>
      <c r="I1830" t="str">
        <f>"Q "&amp;tbl_Kalender[[#This Row],[Quartal]]</f>
        <v>Q 1</v>
      </c>
      <c r="J1830" t="str">
        <f>tbl_Kalender[[#This Row],[Quartal]]&amp;". Quartal"</f>
        <v>1. Quartal</v>
      </c>
      <c r="K1830">
        <f>_xlfn.ISOWEEKNUM(tbl_Kalender[[#This Row],[Datum]])</f>
        <v>1</v>
      </c>
    </row>
    <row r="1831" spans="1:11" x14ac:dyDescent="0.25">
      <c r="A1831" s="1">
        <v>47121</v>
      </c>
      <c r="B1831">
        <f>YEAR(tbl_Kalender[[#This Row],[Datum]])</f>
        <v>2029</v>
      </c>
      <c r="C1831">
        <f>DAY(tbl_Kalender[[#This Row],[Datum]])</f>
        <v>3</v>
      </c>
      <c r="D1831" t="str">
        <f>TEXT(tbl_Kalender[[#This Row],[Datum]],"TTTT")</f>
        <v>Mittwoch</v>
      </c>
      <c r="E1831">
        <f>WEEKDAY(tbl_Kalender[[#This Row],[Datum]],2)</f>
        <v>3</v>
      </c>
      <c r="F1831">
        <f>MONTH(tbl_Kalender[[#This Row],[Datum]])</f>
        <v>1</v>
      </c>
      <c r="G1831" t="str">
        <f>TEXT(tbl_Kalender[[#This Row],[Datum]],"MMMM")</f>
        <v>Januar</v>
      </c>
      <c r="H1831">
        <f>ROUNDUP(tbl_Kalender[[#This Row],[Monat]]/3,0)</f>
        <v>1</v>
      </c>
      <c r="I1831" t="str">
        <f>"Q "&amp;tbl_Kalender[[#This Row],[Quartal]]</f>
        <v>Q 1</v>
      </c>
      <c r="J1831" t="str">
        <f>tbl_Kalender[[#This Row],[Quartal]]&amp;". Quartal"</f>
        <v>1. Quartal</v>
      </c>
      <c r="K1831">
        <f>_xlfn.ISOWEEKNUM(tbl_Kalender[[#This Row],[Datum]])</f>
        <v>1</v>
      </c>
    </row>
    <row r="1832" spans="1:11" x14ac:dyDescent="0.25">
      <c r="A1832" s="1">
        <v>47122</v>
      </c>
      <c r="B1832">
        <f>YEAR(tbl_Kalender[[#This Row],[Datum]])</f>
        <v>2029</v>
      </c>
      <c r="C1832">
        <f>DAY(tbl_Kalender[[#This Row],[Datum]])</f>
        <v>4</v>
      </c>
      <c r="D1832" t="str">
        <f>TEXT(tbl_Kalender[[#This Row],[Datum]],"TTTT")</f>
        <v>Donnerstag</v>
      </c>
      <c r="E1832">
        <f>WEEKDAY(tbl_Kalender[[#This Row],[Datum]],2)</f>
        <v>4</v>
      </c>
      <c r="F1832">
        <f>MONTH(tbl_Kalender[[#This Row],[Datum]])</f>
        <v>1</v>
      </c>
      <c r="G1832" t="str">
        <f>TEXT(tbl_Kalender[[#This Row],[Datum]],"MMMM")</f>
        <v>Januar</v>
      </c>
      <c r="H1832">
        <f>ROUNDUP(tbl_Kalender[[#This Row],[Monat]]/3,0)</f>
        <v>1</v>
      </c>
      <c r="I1832" t="str">
        <f>"Q "&amp;tbl_Kalender[[#This Row],[Quartal]]</f>
        <v>Q 1</v>
      </c>
      <c r="J1832" t="str">
        <f>tbl_Kalender[[#This Row],[Quartal]]&amp;". Quartal"</f>
        <v>1. Quartal</v>
      </c>
      <c r="K1832">
        <f>_xlfn.ISOWEEKNUM(tbl_Kalender[[#This Row],[Datum]])</f>
        <v>1</v>
      </c>
    </row>
    <row r="1833" spans="1:11" x14ac:dyDescent="0.25">
      <c r="A1833" s="1">
        <v>47123</v>
      </c>
      <c r="B1833">
        <f>YEAR(tbl_Kalender[[#This Row],[Datum]])</f>
        <v>2029</v>
      </c>
      <c r="C1833">
        <f>DAY(tbl_Kalender[[#This Row],[Datum]])</f>
        <v>5</v>
      </c>
      <c r="D1833" t="str">
        <f>TEXT(tbl_Kalender[[#This Row],[Datum]],"TTTT")</f>
        <v>Freitag</v>
      </c>
      <c r="E1833">
        <f>WEEKDAY(tbl_Kalender[[#This Row],[Datum]],2)</f>
        <v>5</v>
      </c>
      <c r="F1833">
        <f>MONTH(tbl_Kalender[[#This Row],[Datum]])</f>
        <v>1</v>
      </c>
      <c r="G1833" t="str">
        <f>TEXT(tbl_Kalender[[#This Row],[Datum]],"MMMM")</f>
        <v>Januar</v>
      </c>
      <c r="H1833">
        <f>ROUNDUP(tbl_Kalender[[#This Row],[Monat]]/3,0)</f>
        <v>1</v>
      </c>
      <c r="I1833" t="str">
        <f>"Q "&amp;tbl_Kalender[[#This Row],[Quartal]]</f>
        <v>Q 1</v>
      </c>
      <c r="J1833" t="str">
        <f>tbl_Kalender[[#This Row],[Quartal]]&amp;". Quartal"</f>
        <v>1. Quartal</v>
      </c>
      <c r="K1833">
        <f>_xlfn.ISOWEEKNUM(tbl_Kalender[[#This Row],[Datum]])</f>
        <v>1</v>
      </c>
    </row>
    <row r="1834" spans="1:11" x14ac:dyDescent="0.25">
      <c r="A1834" s="1">
        <v>47124</v>
      </c>
      <c r="B1834">
        <f>YEAR(tbl_Kalender[[#This Row],[Datum]])</f>
        <v>2029</v>
      </c>
      <c r="C1834">
        <f>DAY(tbl_Kalender[[#This Row],[Datum]])</f>
        <v>6</v>
      </c>
      <c r="D1834" t="str">
        <f>TEXT(tbl_Kalender[[#This Row],[Datum]],"TTTT")</f>
        <v>Samstag</v>
      </c>
      <c r="E1834">
        <f>WEEKDAY(tbl_Kalender[[#This Row],[Datum]],2)</f>
        <v>6</v>
      </c>
      <c r="F1834">
        <f>MONTH(tbl_Kalender[[#This Row],[Datum]])</f>
        <v>1</v>
      </c>
      <c r="G1834" t="str">
        <f>TEXT(tbl_Kalender[[#This Row],[Datum]],"MMMM")</f>
        <v>Januar</v>
      </c>
      <c r="H1834">
        <f>ROUNDUP(tbl_Kalender[[#This Row],[Monat]]/3,0)</f>
        <v>1</v>
      </c>
      <c r="I1834" t="str">
        <f>"Q "&amp;tbl_Kalender[[#This Row],[Quartal]]</f>
        <v>Q 1</v>
      </c>
      <c r="J1834" t="str">
        <f>tbl_Kalender[[#This Row],[Quartal]]&amp;". Quartal"</f>
        <v>1. Quartal</v>
      </c>
      <c r="K1834">
        <f>_xlfn.ISOWEEKNUM(tbl_Kalender[[#This Row],[Datum]])</f>
        <v>1</v>
      </c>
    </row>
    <row r="1835" spans="1:11" x14ac:dyDescent="0.25">
      <c r="A1835" s="1">
        <v>47125</v>
      </c>
      <c r="B1835">
        <f>YEAR(tbl_Kalender[[#This Row],[Datum]])</f>
        <v>2029</v>
      </c>
      <c r="C1835">
        <f>DAY(tbl_Kalender[[#This Row],[Datum]])</f>
        <v>7</v>
      </c>
      <c r="D1835" t="str">
        <f>TEXT(tbl_Kalender[[#This Row],[Datum]],"TTTT")</f>
        <v>Sonntag</v>
      </c>
      <c r="E1835">
        <f>WEEKDAY(tbl_Kalender[[#This Row],[Datum]],2)</f>
        <v>7</v>
      </c>
      <c r="F1835">
        <f>MONTH(tbl_Kalender[[#This Row],[Datum]])</f>
        <v>1</v>
      </c>
      <c r="G1835" t="str">
        <f>TEXT(tbl_Kalender[[#This Row],[Datum]],"MMMM")</f>
        <v>Januar</v>
      </c>
      <c r="H1835">
        <f>ROUNDUP(tbl_Kalender[[#This Row],[Monat]]/3,0)</f>
        <v>1</v>
      </c>
      <c r="I1835" t="str">
        <f>"Q "&amp;tbl_Kalender[[#This Row],[Quartal]]</f>
        <v>Q 1</v>
      </c>
      <c r="J1835" t="str">
        <f>tbl_Kalender[[#This Row],[Quartal]]&amp;". Quartal"</f>
        <v>1. Quartal</v>
      </c>
      <c r="K1835">
        <f>_xlfn.ISOWEEKNUM(tbl_Kalender[[#This Row],[Datum]])</f>
        <v>1</v>
      </c>
    </row>
    <row r="1836" spans="1:11" x14ac:dyDescent="0.25">
      <c r="A1836" s="1">
        <v>47126</v>
      </c>
      <c r="B1836">
        <f>YEAR(tbl_Kalender[[#This Row],[Datum]])</f>
        <v>2029</v>
      </c>
      <c r="C1836">
        <f>DAY(tbl_Kalender[[#This Row],[Datum]])</f>
        <v>8</v>
      </c>
      <c r="D1836" t="str">
        <f>TEXT(tbl_Kalender[[#This Row],[Datum]],"TTTT")</f>
        <v>Montag</v>
      </c>
      <c r="E1836">
        <f>WEEKDAY(tbl_Kalender[[#This Row],[Datum]],2)</f>
        <v>1</v>
      </c>
      <c r="F1836">
        <f>MONTH(tbl_Kalender[[#This Row],[Datum]])</f>
        <v>1</v>
      </c>
      <c r="G1836" t="str">
        <f>TEXT(tbl_Kalender[[#This Row],[Datum]],"MMMM")</f>
        <v>Januar</v>
      </c>
      <c r="H1836">
        <f>ROUNDUP(tbl_Kalender[[#This Row],[Monat]]/3,0)</f>
        <v>1</v>
      </c>
      <c r="I1836" t="str">
        <f>"Q "&amp;tbl_Kalender[[#This Row],[Quartal]]</f>
        <v>Q 1</v>
      </c>
      <c r="J1836" t="str">
        <f>tbl_Kalender[[#This Row],[Quartal]]&amp;". Quartal"</f>
        <v>1. Quartal</v>
      </c>
      <c r="K1836">
        <f>_xlfn.ISOWEEKNUM(tbl_Kalender[[#This Row],[Datum]])</f>
        <v>2</v>
      </c>
    </row>
    <row r="1837" spans="1:11" x14ac:dyDescent="0.25">
      <c r="A1837" s="1">
        <v>47127</v>
      </c>
      <c r="B1837">
        <f>YEAR(tbl_Kalender[[#This Row],[Datum]])</f>
        <v>2029</v>
      </c>
      <c r="C1837">
        <f>DAY(tbl_Kalender[[#This Row],[Datum]])</f>
        <v>9</v>
      </c>
      <c r="D1837" t="str">
        <f>TEXT(tbl_Kalender[[#This Row],[Datum]],"TTTT")</f>
        <v>Dienstag</v>
      </c>
      <c r="E1837">
        <f>WEEKDAY(tbl_Kalender[[#This Row],[Datum]],2)</f>
        <v>2</v>
      </c>
      <c r="F1837">
        <f>MONTH(tbl_Kalender[[#This Row],[Datum]])</f>
        <v>1</v>
      </c>
      <c r="G1837" t="str">
        <f>TEXT(tbl_Kalender[[#This Row],[Datum]],"MMMM")</f>
        <v>Januar</v>
      </c>
      <c r="H1837">
        <f>ROUNDUP(tbl_Kalender[[#This Row],[Monat]]/3,0)</f>
        <v>1</v>
      </c>
      <c r="I1837" t="str">
        <f>"Q "&amp;tbl_Kalender[[#This Row],[Quartal]]</f>
        <v>Q 1</v>
      </c>
      <c r="J1837" t="str">
        <f>tbl_Kalender[[#This Row],[Quartal]]&amp;". Quartal"</f>
        <v>1. Quartal</v>
      </c>
      <c r="K1837">
        <f>_xlfn.ISOWEEKNUM(tbl_Kalender[[#This Row],[Datum]])</f>
        <v>2</v>
      </c>
    </row>
    <row r="1838" spans="1:11" x14ac:dyDescent="0.25">
      <c r="A1838" s="1">
        <v>47128</v>
      </c>
      <c r="B1838">
        <f>YEAR(tbl_Kalender[[#This Row],[Datum]])</f>
        <v>2029</v>
      </c>
      <c r="C1838">
        <f>DAY(tbl_Kalender[[#This Row],[Datum]])</f>
        <v>10</v>
      </c>
      <c r="D1838" t="str">
        <f>TEXT(tbl_Kalender[[#This Row],[Datum]],"TTTT")</f>
        <v>Mittwoch</v>
      </c>
      <c r="E1838">
        <f>WEEKDAY(tbl_Kalender[[#This Row],[Datum]],2)</f>
        <v>3</v>
      </c>
      <c r="F1838">
        <f>MONTH(tbl_Kalender[[#This Row],[Datum]])</f>
        <v>1</v>
      </c>
      <c r="G1838" t="str">
        <f>TEXT(tbl_Kalender[[#This Row],[Datum]],"MMMM")</f>
        <v>Januar</v>
      </c>
      <c r="H1838">
        <f>ROUNDUP(tbl_Kalender[[#This Row],[Monat]]/3,0)</f>
        <v>1</v>
      </c>
      <c r="I1838" t="str">
        <f>"Q "&amp;tbl_Kalender[[#This Row],[Quartal]]</f>
        <v>Q 1</v>
      </c>
      <c r="J1838" t="str">
        <f>tbl_Kalender[[#This Row],[Quartal]]&amp;". Quartal"</f>
        <v>1. Quartal</v>
      </c>
      <c r="K1838">
        <f>_xlfn.ISOWEEKNUM(tbl_Kalender[[#This Row],[Datum]])</f>
        <v>2</v>
      </c>
    </row>
    <row r="1839" spans="1:11" x14ac:dyDescent="0.25">
      <c r="A1839" s="1">
        <v>47129</v>
      </c>
      <c r="B1839">
        <f>YEAR(tbl_Kalender[[#This Row],[Datum]])</f>
        <v>2029</v>
      </c>
      <c r="C1839">
        <f>DAY(tbl_Kalender[[#This Row],[Datum]])</f>
        <v>11</v>
      </c>
      <c r="D1839" t="str">
        <f>TEXT(tbl_Kalender[[#This Row],[Datum]],"TTTT")</f>
        <v>Donnerstag</v>
      </c>
      <c r="E1839">
        <f>WEEKDAY(tbl_Kalender[[#This Row],[Datum]],2)</f>
        <v>4</v>
      </c>
      <c r="F1839">
        <f>MONTH(tbl_Kalender[[#This Row],[Datum]])</f>
        <v>1</v>
      </c>
      <c r="G1839" t="str">
        <f>TEXT(tbl_Kalender[[#This Row],[Datum]],"MMMM")</f>
        <v>Januar</v>
      </c>
      <c r="H1839">
        <f>ROUNDUP(tbl_Kalender[[#This Row],[Monat]]/3,0)</f>
        <v>1</v>
      </c>
      <c r="I1839" t="str">
        <f>"Q "&amp;tbl_Kalender[[#This Row],[Quartal]]</f>
        <v>Q 1</v>
      </c>
      <c r="J1839" t="str">
        <f>tbl_Kalender[[#This Row],[Quartal]]&amp;". Quartal"</f>
        <v>1. Quartal</v>
      </c>
      <c r="K1839">
        <f>_xlfn.ISOWEEKNUM(tbl_Kalender[[#This Row],[Datum]])</f>
        <v>2</v>
      </c>
    </row>
    <row r="1840" spans="1:11" x14ac:dyDescent="0.25">
      <c r="A1840" s="1">
        <v>47130</v>
      </c>
      <c r="B1840">
        <f>YEAR(tbl_Kalender[[#This Row],[Datum]])</f>
        <v>2029</v>
      </c>
      <c r="C1840">
        <f>DAY(tbl_Kalender[[#This Row],[Datum]])</f>
        <v>12</v>
      </c>
      <c r="D1840" t="str">
        <f>TEXT(tbl_Kalender[[#This Row],[Datum]],"TTTT")</f>
        <v>Freitag</v>
      </c>
      <c r="E1840">
        <f>WEEKDAY(tbl_Kalender[[#This Row],[Datum]],2)</f>
        <v>5</v>
      </c>
      <c r="F1840">
        <f>MONTH(tbl_Kalender[[#This Row],[Datum]])</f>
        <v>1</v>
      </c>
      <c r="G1840" t="str">
        <f>TEXT(tbl_Kalender[[#This Row],[Datum]],"MMMM")</f>
        <v>Januar</v>
      </c>
      <c r="H1840">
        <f>ROUNDUP(tbl_Kalender[[#This Row],[Monat]]/3,0)</f>
        <v>1</v>
      </c>
      <c r="I1840" t="str">
        <f>"Q "&amp;tbl_Kalender[[#This Row],[Quartal]]</f>
        <v>Q 1</v>
      </c>
      <c r="J1840" t="str">
        <f>tbl_Kalender[[#This Row],[Quartal]]&amp;". Quartal"</f>
        <v>1. Quartal</v>
      </c>
      <c r="K1840">
        <f>_xlfn.ISOWEEKNUM(tbl_Kalender[[#This Row],[Datum]])</f>
        <v>2</v>
      </c>
    </row>
    <row r="1841" spans="1:11" x14ac:dyDescent="0.25">
      <c r="A1841" s="1">
        <v>47131</v>
      </c>
      <c r="B1841">
        <f>YEAR(tbl_Kalender[[#This Row],[Datum]])</f>
        <v>2029</v>
      </c>
      <c r="C1841">
        <f>DAY(tbl_Kalender[[#This Row],[Datum]])</f>
        <v>13</v>
      </c>
      <c r="D1841" t="str">
        <f>TEXT(tbl_Kalender[[#This Row],[Datum]],"TTTT")</f>
        <v>Samstag</v>
      </c>
      <c r="E1841">
        <f>WEEKDAY(tbl_Kalender[[#This Row],[Datum]],2)</f>
        <v>6</v>
      </c>
      <c r="F1841">
        <f>MONTH(tbl_Kalender[[#This Row],[Datum]])</f>
        <v>1</v>
      </c>
      <c r="G1841" t="str">
        <f>TEXT(tbl_Kalender[[#This Row],[Datum]],"MMMM")</f>
        <v>Januar</v>
      </c>
      <c r="H1841">
        <f>ROUNDUP(tbl_Kalender[[#This Row],[Monat]]/3,0)</f>
        <v>1</v>
      </c>
      <c r="I1841" t="str">
        <f>"Q "&amp;tbl_Kalender[[#This Row],[Quartal]]</f>
        <v>Q 1</v>
      </c>
      <c r="J1841" t="str">
        <f>tbl_Kalender[[#This Row],[Quartal]]&amp;". Quartal"</f>
        <v>1. Quartal</v>
      </c>
      <c r="K1841">
        <f>_xlfn.ISOWEEKNUM(tbl_Kalender[[#This Row],[Datum]])</f>
        <v>2</v>
      </c>
    </row>
    <row r="1842" spans="1:11" x14ac:dyDescent="0.25">
      <c r="A1842" s="1">
        <v>47132</v>
      </c>
      <c r="B1842">
        <f>YEAR(tbl_Kalender[[#This Row],[Datum]])</f>
        <v>2029</v>
      </c>
      <c r="C1842">
        <f>DAY(tbl_Kalender[[#This Row],[Datum]])</f>
        <v>14</v>
      </c>
      <c r="D1842" t="str">
        <f>TEXT(tbl_Kalender[[#This Row],[Datum]],"TTTT")</f>
        <v>Sonntag</v>
      </c>
      <c r="E1842">
        <f>WEEKDAY(tbl_Kalender[[#This Row],[Datum]],2)</f>
        <v>7</v>
      </c>
      <c r="F1842">
        <f>MONTH(tbl_Kalender[[#This Row],[Datum]])</f>
        <v>1</v>
      </c>
      <c r="G1842" t="str">
        <f>TEXT(tbl_Kalender[[#This Row],[Datum]],"MMMM")</f>
        <v>Januar</v>
      </c>
      <c r="H1842">
        <f>ROUNDUP(tbl_Kalender[[#This Row],[Monat]]/3,0)</f>
        <v>1</v>
      </c>
      <c r="I1842" t="str">
        <f>"Q "&amp;tbl_Kalender[[#This Row],[Quartal]]</f>
        <v>Q 1</v>
      </c>
      <c r="J1842" t="str">
        <f>tbl_Kalender[[#This Row],[Quartal]]&amp;". Quartal"</f>
        <v>1. Quartal</v>
      </c>
      <c r="K1842">
        <f>_xlfn.ISOWEEKNUM(tbl_Kalender[[#This Row],[Datum]])</f>
        <v>2</v>
      </c>
    </row>
    <row r="1843" spans="1:11" x14ac:dyDescent="0.25">
      <c r="A1843" s="1">
        <v>47133</v>
      </c>
      <c r="B1843">
        <f>YEAR(tbl_Kalender[[#This Row],[Datum]])</f>
        <v>2029</v>
      </c>
      <c r="C1843">
        <f>DAY(tbl_Kalender[[#This Row],[Datum]])</f>
        <v>15</v>
      </c>
      <c r="D1843" t="str">
        <f>TEXT(tbl_Kalender[[#This Row],[Datum]],"TTTT")</f>
        <v>Montag</v>
      </c>
      <c r="E1843">
        <f>WEEKDAY(tbl_Kalender[[#This Row],[Datum]],2)</f>
        <v>1</v>
      </c>
      <c r="F1843">
        <f>MONTH(tbl_Kalender[[#This Row],[Datum]])</f>
        <v>1</v>
      </c>
      <c r="G1843" t="str">
        <f>TEXT(tbl_Kalender[[#This Row],[Datum]],"MMMM")</f>
        <v>Januar</v>
      </c>
      <c r="H1843">
        <f>ROUNDUP(tbl_Kalender[[#This Row],[Monat]]/3,0)</f>
        <v>1</v>
      </c>
      <c r="I1843" t="str">
        <f>"Q "&amp;tbl_Kalender[[#This Row],[Quartal]]</f>
        <v>Q 1</v>
      </c>
      <c r="J1843" t="str">
        <f>tbl_Kalender[[#This Row],[Quartal]]&amp;". Quartal"</f>
        <v>1. Quartal</v>
      </c>
      <c r="K1843">
        <f>_xlfn.ISOWEEKNUM(tbl_Kalender[[#This Row],[Datum]])</f>
        <v>3</v>
      </c>
    </row>
    <row r="1844" spans="1:11" x14ac:dyDescent="0.25">
      <c r="A1844" s="1">
        <v>47134</v>
      </c>
      <c r="B1844">
        <f>YEAR(tbl_Kalender[[#This Row],[Datum]])</f>
        <v>2029</v>
      </c>
      <c r="C1844">
        <f>DAY(tbl_Kalender[[#This Row],[Datum]])</f>
        <v>16</v>
      </c>
      <c r="D1844" t="str">
        <f>TEXT(tbl_Kalender[[#This Row],[Datum]],"TTTT")</f>
        <v>Dienstag</v>
      </c>
      <c r="E1844">
        <f>WEEKDAY(tbl_Kalender[[#This Row],[Datum]],2)</f>
        <v>2</v>
      </c>
      <c r="F1844">
        <f>MONTH(tbl_Kalender[[#This Row],[Datum]])</f>
        <v>1</v>
      </c>
      <c r="G1844" t="str">
        <f>TEXT(tbl_Kalender[[#This Row],[Datum]],"MMMM")</f>
        <v>Januar</v>
      </c>
      <c r="H1844">
        <f>ROUNDUP(tbl_Kalender[[#This Row],[Monat]]/3,0)</f>
        <v>1</v>
      </c>
      <c r="I1844" t="str">
        <f>"Q "&amp;tbl_Kalender[[#This Row],[Quartal]]</f>
        <v>Q 1</v>
      </c>
      <c r="J1844" t="str">
        <f>tbl_Kalender[[#This Row],[Quartal]]&amp;". Quartal"</f>
        <v>1. Quartal</v>
      </c>
      <c r="K1844">
        <f>_xlfn.ISOWEEKNUM(tbl_Kalender[[#This Row],[Datum]])</f>
        <v>3</v>
      </c>
    </row>
    <row r="1845" spans="1:11" x14ac:dyDescent="0.25">
      <c r="A1845" s="1">
        <v>47135</v>
      </c>
      <c r="B1845">
        <f>YEAR(tbl_Kalender[[#This Row],[Datum]])</f>
        <v>2029</v>
      </c>
      <c r="C1845">
        <f>DAY(tbl_Kalender[[#This Row],[Datum]])</f>
        <v>17</v>
      </c>
      <c r="D1845" t="str">
        <f>TEXT(tbl_Kalender[[#This Row],[Datum]],"TTTT")</f>
        <v>Mittwoch</v>
      </c>
      <c r="E1845">
        <f>WEEKDAY(tbl_Kalender[[#This Row],[Datum]],2)</f>
        <v>3</v>
      </c>
      <c r="F1845">
        <f>MONTH(tbl_Kalender[[#This Row],[Datum]])</f>
        <v>1</v>
      </c>
      <c r="G1845" t="str">
        <f>TEXT(tbl_Kalender[[#This Row],[Datum]],"MMMM")</f>
        <v>Januar</v>
      </c>
      <c r="H1845">
        <f>ROUNDUP(tbl_Kalender[[#This Row],[Monat]]/3,0)</f>
        <v>1</v>
      </c>
      <c r="I1845" t="str">
        <f>"Q "&amp;tbl_Kalender[[#This Row],[Quartal]]</f>
        <v>Q 1</v>
      </c>
      <c r="J1845" t="str">
        <f>tbl_Kalender[[#This Row],[Quartal]]&amp;". Quartal"</f>
        <v>1. Quartal</v>
      </c>
      <c r="K1845">
        <f>_xlfn.ISOWEEKNUM(tbl_Kalender[[#This Row],[Datum]])</f>
        <v>3</v>
      </c>
    </row>
    <row r="1846" spans="1:11" x14ac:dyDescent="0.25">
      <c r="A1846" s="1">
        <v>47136</v>
      </c>
      <c r="B1846">
        <f>YEAR(tbl_Kalender[[#This Row],[Datum]])</f>
        <v>2029</v>
      </c>
      <c r="C1846">
        <f>DAY(tbl_Kalender[[#This Row],[Datum]])</f>
        <v>18</v>
      </c>
      <c r="D1846" t="str">
        <f>TEXT(tbl_Kalender[[#This Row],[Datum]],"TTTT")</f>
        <v>Donnerstag</v>
      </c>
      <c r="E1846">
        <f>WEEKDAY(tbl_Kalender[[#This Row],[Datum]],2)</f>
        <v>4</v>
      </c>
      <c r="F1846">
        <f>MONTH(tbl_Kalender[[#This Row],[Datum]])</f>
        <v>1</v>
      </c>
      <c r="G1846" t="str">
        <f>TEXT(tbl_Kalender[[#This Row],[Datum]],"MMMM")</f>
        <v>Januar</v>
      </c>
      <c r="H1846">
        <f>ROUNDUP(tbl_Kalender[[#This Row],[Monat]]/3,0)</f>
        <v>1</v>
      </c>
      <c r="I1846" t="str">
        <f>"Q "&amp;tbl_Kalender[[#This Row],[Quartal]]</f>
        <v>Q 1</v>
      </c>
      <c r="J1846" t="str">
        <f>tbl_Kalender[[#This Row],[Quartal]]&amp;". Quartal"</f>
        <v>1. Quartal</v>
      </c>
      <c r="K1846">
        <f>_xlfn.ISOWEEKNUM(tbl_Kalender[[#This Row],[Datum]])</f>
        <v>3</v>
      </c>
    </row>
    <row r="1847" spans="1:11" x14ac:dyDescent="0.25">
      <c r="A1847" s="1">
        <v>47137</v>
      </c>
      <c r="B1847">
        <f>YEAR(tbl_Kalender[[#This Row],[Datum]])</f>
        <v>2029</v>
      </c>
      <c r="C1847">
        <f>DAY(tbl_Kalender[[#This Row],[Datum]])</f>
        <v>19</v>
      </c>
      <c r="D1847" t="str">
        <f>TEXT(tbl_Kalender[[#This Row],[Datum]],"TTTT")</f>
        <v>Freitag</v>
      </c>
      <c r="E1847">
        <f>WEEKDAY(tbl_Kalender[[#This Row],[Datum]],2)</f>
        <v>5</v>
      </c>
      <c r="F1847">
        <f>MONTH(tbl_Kalender[[#This Row],[Datum]])</f>
        <v>1</v>
      </c>
      <c r="G1847" t="str">
        <f>TEXT(tbl_Kalender[[#This Row],[Datum]],"MMMM")</f>
        <v>Januar</v>
      </c>
      <c r="H1847">
        <f>ROUNDUP(tbl_Kalender[[#This Row],[Monat]]/3,0)</f>
        <v>1</v>
      </c>
      <c r="I1847" t="str">
        <f>"Q "&amp;tbl_Kalender[[#This Row],[Quartal]]</f>
        <v>Q 1</v>
      </c>
      <c r="J1847" t="str">
        <f>tbl_Kalender[[#This Row],[Quartal]]&amp;". Quartal"</f>
        <v>1. Quartal</v>
      </c>
      <c r="K1847">
        <f>_xlfn.ISOWEEKNUM(tbl_Kalender[[#This Row],[Datum]])</f>
        <v>3</v>
      </c>
    </row>
    <row r="1848" spans="1:11" x14ac:dyDescent="0.25">
      <c r="A1848" s="1">
        <v>47138</v>
      </c>
      <c r="B1848">
        <f>YEAR(tbl_Kalender[[#This Row],[Datum]])</f>
        <v>2029</v>
      </c>
      <c r="C1848">
        <f>DAY(tbl_Kalender[[#This Row],[Datum]])</f>
        <v>20</v>
      </c>
      <c r="D1848" t="str">
        <f>TEXT(tbl_Kalender[[#This Row],[Datum]],"TTTT")</f>
        <v>Samstag</v>
      </c>
      <c r="E1848">
        <f>WEEKDAY(tbl_Kalender[[#This Row],[Datum]],2)</f>
        <v>6</v>
      </c>
      <c r="F1848">
        <f>MONTH(tbl_Kalender[[#This Row],[Datum]])</f>
        <v>1</v>
      </c>
      <c r="G1848" t="str">
        <f>TEXT(tbl_Kalender[[#This Row],[Datum]],"MMMM")</f>
        <v>Januar</v>
      </c>
      <c r="H1848">
        <f>ROUNDUP(tbl_Kalender[[#This Row],[Monat]]/3,0)</f>
        <v>1</v>
      </c>
      <c r="I1848" t="str">
        <f>"Q "&amp;tbl_Kalender[[#This Row],[Quartal]]</f>
        <v>Q 1</v>
      </c>
      <c r="J1848" t="str">
        <f>tbl_Kalender[[#This Row],[Quartal]]&amp;". Quartal"</f>
        <v>1. Quartal</v>
      </c>
      <c r="K1848">
        <f>_xlfn.ISOWEEKNUM(tbl_Kalender[[#This Row],[Datum]])</f>
        <v>3</v>
      </c>
    </row>
    <row r="1849" spans="1:11" x14ac:dyDescent="0.25">
      <c r="A1849" s="1">
        <v>47139</v>
      </c>
      <c r="B1849">
        <f>YEAR(tbl_Kalender[[#This Row],[Datum]])</f>
        <v>2029</v>
      </c>
      <c r="C1849">
        <f>DAY(tbl_Kalender[[#This Row],[Datum]])</f>
        <v>21</v>
      </c>
      <c r="D1849" t="str">
        <f>TEXT(tbl_Kalender[[#This Row],[Datum]],"TTTT")</f>
        <v>Sonntag</v>
      </c>
      <c r="E1849">
        <f>WEEKDAY(tbl_Kalender[[#This Row],[Datum]],2)</f>
        <v>7</v>
      </c>
      <c r="F1849">
        <f>MONTH(tbl_Kalender[[#This Row],[Datum]])</f>
        <v>1</v>
      </c>
      <c r="G1849" t="str">
        <f>TEXT(tbl_Kalender[[#This Row],[Datum]],"MMMM")</f>
        <v>Januar</v>
      </c>
      <c r="H1849">
        <f>ROUNDUP(tbl_Kalender[[#This Row],[Monat]]/3,0)</f>
        <v>1</v>
      </c>
      <c r="I1849" t="str">
        <f>"Q "&amp;tbl_Kalender[[#This Row],[Quartal]]</f>
        <v>Q 1</v>
      </c>
      <c r="J1849" t="str">
        <f>tbl_Kalender[[#This Row],[Quartal]]&amp;". Quartal"</f>
        <v>1. Quartal</v>
      </c>
      <c r="K1849">
        <f>_xlfn.ISOWEEKNUM(tbl_Kalender[[#This Row],[Datum]])</f>
        <v>3</v>
      </c>
    </row>
    <row r="1850" spans="1:11" x14ac:dyDescent="0.25">
      <c r="A1850" s="1">
        <v>47140</v>
      </c>
      <c r="B1850">
        <f>YEAR(tbl_Kalender[[#This Row],[Datum]])</f>
        <v>2029</v>
      </c>
      <c r="C1850">
        <f>DAY(tbl_Kalender[[#This Row],[Datum]])</f>
        <v>22</v>
      </c>
      <c r="D1850" t="str">
        <f>TEXT(tbl_Kalender[[#This Row],[Datum]],"TTTT")</f>
        <v>Montag</v>
      </c>
      <c r="E1850">
        <f>WEEKDAY(tbl_Kalender[[#This Row],[Datum]],2)</f>
        <v>1</v>
      </c>
      <c r="F1850">
        <f>MONTH(tbl_Kalender[[#This Row],[Datum]])</f>
        <v>1</v>
      </c>
      <c r="G1850" t="str">
        <f>TEXT(tbl_Kalender[[#This Row],[Datum]],"MMMM")</f>
        <v>Januar</v>
      </c>
      <c r="H1850">
        <f>ROUNDUP(tbl_Kalender[[#This Row],[Monat]]/3,0)</f>
        <v>1</v>
      </c>
      <c r="I1850" t="str">
        <f>"Q "&amp;tbl_Kalender[[#This Row],[Quartal]]</f>
        <v>Q 1</v>
      </c>
      <c r="J1850" t="str">
        <f>tbl_Kalender[[#This Row],[Quartal]]&amp;". Quartal"</f>
        <v>1. Quartal</v>
      </c>
      <c r="K1850">
        <f>_xlfn.ISOWEEKNUM(tbl_Kalender[[#This Row],[Datum]])</f>
        <v>4</v>
      </c>
    </row>
    <row r="1851" spans="1:11" x14ac:dyDescent="0.25">
      <c r="A1851" s="1">
        <v>47141</v>
      </c>
      <c r="B1851">
        <f>YEAR(tbl_Kalender[[#This Row],[Datum]])</f>
        <v>2029</v>
      </c>
      <c r="C1851">
        <f>DAY(tbl_Kalender[[#This Row],[Datum]])</f>
        <v>23</v>
      </c>
      <c r="D1851" t="str">
        <f>TEXT(tbl_Kalender[[#This Row],[Datum]],"TTTT")</f>
        <v>Dienstag</v>
      </c>
      <c r="E1851">
        <f>WEEKDAY(tbl_Kalender[[#This Row],[Datum]],2)</f>
        <v>2</v>
      </c>
      <c r="F1851">
        <f>MONTH(tbl_Kalender[[#This Row],[Datum]])</f>
        <v>1</v>
      </c>
      <c r="G1851" t="str">
        <f>TEXT(tbl_Kalender[[#This Row],[Datum]],"MMMM")</f>
        <v>Januar</v>
      </c>
      <c r="H1851">
        <f>ROUNDUP(tbl_Kalender[[#This Row],[Monat]]/3,0)</f>
        <v>1</v>
      </c>
      <c r="I1851" t="str">
        <f>"Q "&amp;tbl_Kalender[[#This Row],[Quartal]]</f>
        <v>Q 1</v>
      </c>
      <c r="J1851" t="str">
        <f>tbl_Kalender[[#This Row],[Quartal]]&amp;". Quartal"</f>
        <v>1. Quartal</v>
      </c>
      <c r="K1851">
        <f>_xlfn.ISOWEEKNUM(tbl_Kalender[[#This Row],[Datum]])</f>
        <v>4</v>
      </c>
    </row>
    <row r="1852" spans="1:11" x14ac:dyDescent="0.25">
      <c r="A1852" s="1">
        <v>47142</v>
      </c>
      <c r="B1852">
        <f>YEAR(tbl_Kalender[[#This Row],[Datum]])</f>
        <v>2029</v>
      </c>
      <c r="C1852">
        <f>DAY(tbl_Kalender[[#This Row],[Datum]])</f>
        <v>24</v>
      </c>
      <c r="D1852" t="str">
        <f>TEXT(tbl_Kalender[[#This Row],[Datum]],"TTTT")</f>
        <v>Mittwoch</v>
      </c>
      <c r="E1852">
        <f>WEEKDAY(tbl_Kalender[[#This Row],[Datum]],2)</f>
        <v>3</v>
      </c>
      <c r="F1852">
        <f>MONTH(tbl_Kalender[[#This Row],[Datum]])</f>
        <v>1</v>
      </c>
      <c r="G1852" t="str">
        <f>TEXT(tbl_Kalender[[#This Row],[Datum]],"MMMM")</f>
        <v>Januar</v>
      </c>
      <c r="H1852">
        <f>ROUNDUP(tbl_Kalender[[#This Row],[Monat]]/3,0)</f>
        <v>1</v>
      </c>
      <c r="I1852" t="str">
        <f>"Q "&amp;tbl_Kalender[[#This Row],[Quartal]]</f>
        <v>Q 1</v>
      </c>
      <c r="J1852" t="str">
        <f>tbl_Kalender[[#This Row],[Quartal]]&amp;". Quartal"</f>
        <v>1. Quartal</v>
      </c>
      <c r="K1852">
        <f>_xlfn.ISOWEEKNUM(tbl_Kalender[[#This Row],[Datum]])</f>
        <v>4</v>
      </c>
    </row>
    <row r="1853" spans="1:11" x14ac:dyDescent="0.25">
      <c r="A1853" s="1">
        <v>47143</v>
      </c>
      <c r="B1853">
        <f>YEAR(tbl_Kalender[[#This Row],[Datum]])</f>
        <v>2029</v>
      </c>
      <c r="C1853">
        <f>DAY(tbl_Kalender[[#This Row],[Datum]])</f>
        <v>25</v>
      </c>
      <c r="D1853" t="str">
        <f>TEXT(tbl_Kalender[[#This Row],[Datum]],"TTTT")</f>
        <v>Donnerstag</v>
      </c>
      <c r="E1853">
        <f>WEEKDAY(tbl_Kalender[[#This Row],[Datum]],2)</f>
        <v>4</v>
      </c>
      <c r="F1853">
        <f>MONTH(tbl_Kalender[[#This Row],[Datum]])</f>
        <v>1</v>
      </c>
      <c r="G1853" t="str">
        <f>TEXT(tbl_Kalender[[#This Row],[Datum]],"MMMM")</f>
        <v>Januar</v>
      </c>
      <c r="H1853">
        <f>ROUNDUP(tbl_Kalender[[#This Row],[Monat]]/3,0)</f>
        <v>1</v>
      </c>
      <c r="I1853" t="str">
        <f>"Q "&amp;tbl_Kalender[[#This Row],[Quartal]]</f>
        <v>Q 1</v>
      </c>
      <c r="J1853" t="str">
        <f>tbl_Kalender[[#This Row],[Quartal]]&amp;". Quartal"</f>
        <v>1. Quartal</v>
      </c>
      <c r="K1853">
        <f>_xlfn.ISOWEEKNUM(tbl_Kalender[[#This Row],[Datum]])</f>
        <v>4</v>
      </c>
    </row>
    <row r="1854" spans="1:11" x14ac:dyDescent="0.25">
      <c r="A1854" s="1">
        <v>47144</v>
      </c>
      <c r="B1854">
        <f>YEAR(tbl_Kalender[[#This Row],[Datum]])</f>
        <v>2029</v>
      </c>
      <c r="C1854">
        <f>DAY(tbl_Kalender[[#This Row],[Datum]])</f>
        <v>26</v>
      </c>
      <c r="D1854" t="str">
        <f>TEXT(tbl_Kalender[[#This Row],[Datum]],"TTTT")</f>
        <v>Freitag</v>
      </c>
      <c r="E1854">
        <f>WEEKDAY(tbl_Kalender[[#This Row],[Datum]],2)</f>
        <v>5</v>
      </c>
      <c r="F1854">
        <f>MONTH(tbl_Kalender[[#This Row],[Datum]])</f>
        <v>1</v>
      </c>
      <c r="G1854" t="str">
        <f>TEXT(tbl_Kalender[[#This Row],[Datum]],"MMMM")</f>
        <v>Januar</v>
      </c>
      <c r="H1854">
        <f>ROUNDUP(tbl_Kalender[[#This Row],[Monat]]/3,0)</f>
        <v>1</v>
      </c>
      <c r="I1854" t="str">
        <f>"Q "&amp;tbl_Kalender[[#This Row],[Quartal]]</f>
        <v>Q 1</v>
      </c>
      <c r="J1854" t="str">
        <f>tbl_Kalender[[#This Row],[Quartal]]&amp;". Quartal"</f>
        <v>1. Quartal</v>
      </c>
      <c r="K1854">
        <f>_xlfn.ISOWEEKNUM(tbl_Kalender[[#This Row],[Datum]])</f>
        <v>4</v>
      </c>
    </row>
    <row r="1855" spans="1:11" x14ac:dyDescent="0.25">
      <c r="A1855" s="1">
        <v>47145</v>
      </c>
      <c r="B1855">
        <f>YEAR(tbl_Kalender[[#This Row],[Datum]])</f>
        <v>2029</v>
      </c>
      <c r="C1855">
        <f>DAY(tbl_Kalender[[#This Row],[Datum]])</f>
        <v>27</v>
      </c>
      <c r="D1855" t="str">
        <f>TEXT(tbl_Kalender[[#This Row],[Datum]],"TTTT")</f>
        <v>Samstag</v>
      </c>
      <c r="E1855">
        <f>WEEKDAY(tbl_Kalender[[#This Row],[Datum]],2)</f>
        <v>6</v>
      </c>
      <c r="F1855">
        <f>MONTH(tbl_Kalender[[#This Row],[Datum]])</f>
        <v>1</v>
      </c>
      <c r="G1855" t="str">
        <f>TEXT(tbl_Kalender[[#This Row],[Datum]],"MMMM")</f>
        <v>Januar</v>
      </c>
      <c r="H1855">
        <f>ROUNDUP(tbl_Kalender[[#This Row],[Monat]]/3,0)</f>
        <v>1</v>
      </c>
      <c r="I1855" t="str">
        <f>"Q "&amp;tbl_Kalender[[#This Row],[Quartal]]</f>
        <v>Q 1</v>
      </c>
      <c r="J1855" t="str">
        <f>tbl_Kalender[[#This Row],[Quartal]]&amp;". Quartal"</f>
        <v>1. Quartal</v>
      </c>
      <c r="K1855">
        <f>_xlfn.ISOWEEKNUM(tbl_Kalender[[#This Row],[Datum]])</f>
        <v>4</v>
      </c>
    </row>
    <row r="1856" spans="1:11" x14ac:dyDescent="0.25">
      <c r="A1856" s="1">
        <v>47146</v>
      </c>
      <c r="B1856">
        <f>YEAR(tbl_Kalender[[#This Row],[Datum]])</f>
        <v>2029</v>
      </c>
      <c r="C1856">
        <f>DAY(tbl_Kalender[[#This Row],[Datum]])</f>
        <v>28</v>
      </c>
      <c r="D1856" t="str">
        <f>TEXT(tbl_Kalender[[#This Row],[Datum]],"TTTT")</f>
        <v>Sonntag</v>
      </c>
      <c r="E1856">
        <f>WEEKDAY(tbl_Kalender[[#This Row],[Datum]],2)</f>
        <v>7</v>
      </c>
      <c r="F1856">
        <f>MONTH(tbl_Kalender[[#This Row],[Datum]])</f>
        <v>1</v>
      </c>
      <c r="G1856" t="str">
        <f>TEXT(tbl_Kalender[[#This Row],[Datum]],"MMMM")</f>
        <v>Januar</v>
      </c>
      <c r="H1856">
        <f>ROUNDUP(tbl_Kalender[[#This Row],[Monat]]/3,0)</f>
        <v>1</v>
      </c>
      <c r="I1856" t="str">
        <f>"Q "&amp;tbl_Kalender[[#This Row],[Quartal]]</f>
        <v>Q 1</v>
      </c>
      <c r="J1856" t="str">
        <f>tbl_Kalender[[#This Row],[Quartal]]&amp;". Quartal"</f>
        <v>1. Quartal</v>
      </c>
      <c r="K1856">
        <f>_xlfn.ISOWEEKNUM(tbl_Kalender[[#This Row],[Datum]])</f>
        <v>4</v>
      </c>
    </row>
    <row r="1857" spans="1:11" x14ac:dyDescent="0.25">
      <c r="A1857" s="1">
        <v>47147</v>
      </c>
      <c r="B1857">
        <f>YEAR(tbl_Kalender[[#This Row],[Datum]])</f>
        <v>2029</v>
      </c>
      <c r="C1857">
        <f>DAY(tbl_Kalender[[#This Row],[Datum]])</f>
        <v>29</v>
      </c>
      <c r="D1857" t="str">
        <f>TEXT(tbl_Kalender[[#This Row],[Datum]],"TTTT")</f>
        <v>Montag</v>
      </c>
      <c r="E1857">
        <f>WEEKDAY(tbl_Kalender[[#This Row],[Datum]],2)</f>
        <v>1</v>
      </c>
      <c r="F1857">
        <f>MONTH(tbl_Kalender[[#This Row],[Datum]])</f>
        <v>1</v>
      </c>
      <c r="G1857" t="str">
        <f>TEXT(tbl_Kalender[[#This Row],[Datum]],"MMMM")</f>
        <v>Januar</v>
      </c>
      <c r="H1857">
        <f>ROUNDUP(tbl_Kalender[[#This Row],[Monat]]/3,0)</f>
        <v>1</v>
      </c>
      <c r="I1857" t="str">
        <f>"Q "&amp;tbl_Kalender[[#This Row],[Quartal]]</f>
        <v>Q 1</v>
      </c>
      <c r="J1857" t="str">
        <f>tbl_Kalender[[#This Row],[Quartal]]&amp;". Quartal"</f>
        <v>1. Quartal</v>
      </c>
      <c r="K1857">
        <f>_xlfn.ISOWEEKNUM(tbl_Kalender[[#This Row],[Datum]])</f>
        <v>5</v>
      </c>
    </row>
    <row r="1858" spans="1:11" x14ac:dyDescent="0.25">
      <c r="A1858" s="1">
        <v>47148</v>
      </c>
      <c r="B1858">
        <f>YEAR(tbl_Kalender[[#This Row],[Datum]])</f>
        <v>2029</v>
      </c>
      <c r="C1858">
        <f>DAY(tbl_Kalender[[#This Row],[Datum]])</f>
        <v>30</v>
      </c>
      <c r="D1858" t="str">
        <f>TEXT(tbl_Kalender[[#This Row],[Datum]],"TTTT")</f>
        <v>Dienstag</v>
      </c>
      <c r="E1858">
        <f>WEEKDAY(tbl_Kalender[[#This Row],[Datum]],2)</f>
        <v>2</v>
      </c>
      <c r="F1858">
        <f>MONTH(tbl_Kalender[[#This Row],[Datum]])</f>
        <v>1</v>
      </c>
      <c r="G1858" t="str">
        <f>TEXT(tbl_Kalender[[#This Row],[Datum]],"MMMM")</f>
        <v>Januar</v>
      </c>
      <c r="H1858">
        <f>ROUNDUP(tbl_Kalender[[#This Row],[Monat]]/3,0)</f>
        <v>1</v>
      </c>
      <c r="I1858" t="str">
        <f>"Q "&amp;tbl_Kalender[[#This Row],[Quartal]]</f>
        <v>Q 1</v>
      </c>
      <c r="J1858" t="str">
        <f>tbl_Kalender[[#This Row],[Quartal]]&amp;". Quartal"</f>
        <v>1. Quartal</v>
      </c>
      <c r="K1858">
        <f>_xlfn.ISOWEEKNUM(tbl_Kalender[[#This Row],[Datum]])</f>
        <v>5</v>
      </c>
    </row>
    <row r="1859" spans="1:11" x14ac:dyDescent="0.25">
      <c r="A1859" s="1">
        <v>47149</v>
      </c>
      <c r="B1859">
        <f>YEAR(tbl_Kalender[[#This Row],[Datum]])</f>
        <v>2029</v>
      </c>
      <c r="C1859">
        <f>DAY(tbl_Kalender[[#This Row],[Datum]])</f>
        <v>31</v>
      </c>
      <c r="D1859" t="str">
        <f>TEXT(tbl_Kalender[[#This Row],[Datum]],"TTTT")</f>
        <v>Mittwoch</v>
      </c>
      <c r="E1859">
        <f>WEEKDAY(tbl_Kalender[[#This Row],[Datum]],2)</f>
        <v>3</v>
      </c>
      <c r="F1859">
        <f>MONTH(tbl_Kalender[[#This Row],[Datum]])</f>
        <v>1</v>
      </c>
      <c r="G1859" t="str">
        <f>TEXT(tbl_Kalender[[#This Row],[Datum]],"MMMM")</f>
        <v>Januar</v>
      </c>
      <c r="H1859">
        <f>ROUNDUP(tbl_Kalender[[#This Row],[Monat]]/3,0)</f>
        <v>1</v>
      </c>
      <c r="I1859" t="str">
        <f>"Q "&amp;tbl_Kalender[[#This Row],[Quartal]]</f>
        <v>Q 1</v>
      </c>
      <c r="J1859" t="str">
        <f>tbl_Kalender[[#This Row],[Quartal]]&amp;". Quartal"</f>
        <v>1. Quartal</v>
      </c>
      <c r="K1859">
        <f>_xlfn.ISOWEEKNUM(tbl_Kalender[[#This Row],[Datum]])</f>
        <v>5</v>
      </c>
    </row>
    <row r="1860" spans="1:11" x14ac:dyDescent="0.25">
      <c r="A1860" s="1">
        <v>47150</v>
      </c>
      <c r="B1860">
        <f>YEAR(tbl_Kalender[[#This Row],[Datum]])</f>
        <v>2029</v>
      </c>
      <c r="C1860">
        <f>DAY(tbl_Kalender[[#This Row],[Datum]])</f>
        <v>1</v>
      </c>
      <c r="D1860" t="str">
        <f>TEXT(tbl_Kalender[[#This Row],[Datum]],"TTTT")</f>
        <v>Donnerstag</v>
      </c>
      <c r="E1860">
        <f>WEEKDAY(tbl_Kalender[[#This Row],[Datum]],2)</f>
        <v>4</v>
      </c>
      <c r="F1860">
        <f>MONTH(tbl_Kalender[[#This Row],[Datum]])</f>
        <v>2</v>
      </c>
      <c r="G1860" t="str">
        <f>TEXT(tbl_Kalender[[#This Row],[Datum]],"MMMM")</f>
        <v>Februar</v>
      </c>
      <c r="H1860">
        <f>ROUNDUP(tbl_Kalender[[#This Row],[Monat]]/3,0)</f>
        <v>1</v>
      </c>
      <c r="I1860" t="str">
        <f>"Q "&amp;tbl_Kalender[[#This Row],[Quartal]]</f>
        <v>Q 1</v>
      </c>
      <c r="J1860" t="str">
        <f>tbl_Kalender[[#This Row],[Quartal]]&amp;". Quartal"</f>
        <v>1. Quartal</v>
      </c>
      <c r="K1860">
        <f>_xlfn.ISOWEEKNUM(tbl_Kalender[[#This Row],[Datum]])</f>
        <v>5</v>
      </c>
    </row>
    <row r="1861" spans="1:11" x14ac:dyDescent="0.25">
      <c r="A1861" s="1">
        <v>47151</v>
      </c>
      <c r="B1861">
        <f>YEAR(tbl_Kalender[[#This Row],[Datum]])</f>
        <v>2029</v>
      </c>
      <c r="C1861">
        <f>DAY(tbl_Kalender[[#This Row],[Datum]])</f>
        <v>2</v>
      </c>
      <c r="D1861" t="str">
        <f>TEXT(tbl_Kalender[[#This Row],[Datum]],"TTTT")</f>
        <v>Freitag</v>
      </c>
      <c r="E1861">
        <f>WEEKDAY(tbl_Kalender[[#This Row],[Datum]],2)</f>
        <v>5</v>
      </c>
      <c r="F1861">
        <f>MONTH(tbl_Kalender[[#This Row],[Datum]])</f>
        <v>2</v>
      </c>
      <c r="G1861" t="str">
        <f>TEXT(tbl_Kalender[[#This Row],[Datum]],"MMMM")</f>
        <v>Februar</v>
      </c>
      <c r="H1861">
        <f>ROUNDUP(tbl_Kalender[[#This Row],[Monat]]/3,0)</f>
        <v>1</v>
      </c>
      <c r="I1861" t="str">
        <f>"Q "&amp;tbl_Kalender[[#This Row],[Quartal]]</f>
        <v>Q 1</v>
      </c>
      <c r="J1861" t="str">
        <f>tbl_Kalender[[#This Row],[Quartal]]&amp;". Quartal"</f>
        <v>1. Quartal</v>
      </c>
      <c r="K1861">
        <f>_xlfn.ISOWEEKNUM(tbl_Kalender[[#This Row],[Datum]])</f>
        <v>5</v>
      </c>
    </row>
    <row r="1862" spans="1:11" x14ac:dyDescent="0.25">
      <c r="A1862" s="1">
        <v>47152</v>
      </c>
      <c r="B1862">
        <f>YEAR(tbl_Kalender[[#This Row],[Datum]])</f>
        <v>2029</v>
      </c>
      <c r="C1862">
        <f>DAY(tbl_Kalender[[#This Row],[Datum]])</f>
        <v>3</v>
      </c>
      <c r="D1862" t="str">
        <f>TEXT(tbl_Kalender[[#This Row],[Datum]],"TTTT")</f>
        <v>Samstag</v>
      </c>
      <c r="E1862">
        <f>WEEKDAY(tbl_Kalender[[#This Row],[Datum]],2)</f>
        <v>6</v>
      </c>
      <c r="F1862">
        <f>MONTH(tbl_Kalender[[#This Row],[Datum]])</f>
        <v>2</v>
      </c>
      <c r="G1862" t="str">
        <f>TEXT(tbl_Kalender[[#This Row],[Datum]],"MMMM")</f>
        <v>Februar</v>
      </c>
      <c r="H1862">
        <f>ROUNDUP(tbl_Kalender[[#This Row],[Monat]]/3,0)</f>
        <v>1</v>
      </c>
      <c r="I1862" t="str">
        <f>"Q "&amp;tbl_Kalender[[#This Row],[Quartal]]</f>
        <v>Q 1</v>
      </c>
      <c r="J1862" t="str">
        <f>tbl_Kalender[[#This Row],[Quartal]]&amp;". Quartal"</f>
        <v>1. Quartal</v>
      </c>
      <c r="K1862">
        <f>_xlfn.ISOWEEKNUM(tbl_Kalender[[#This Row],[Datum]])</f>
        <v>5</v>
      </c>
    </row>
    <row r="1863" spans="1:11" x14ac:dyDescent="0.25">
      <c r="A1863" s="1">
        <v>47153</v>
      </c>
      <c r="B1863">
        <f>YEAR(tbl_Kalender[[#This Row],[Datum]])</f>
        <v>2029</v>
      </c>
      <c r="C1863">
        <f>DAY(tbl_Kalender[[#This Row],[Datum]])</f>
        <v>4</v>
      </c>
      <c r="D1863" t="str">
        <f>TEXT(tbl_Kalender[[#This Row],[Datum]],"TTTT")</f>
        <v>Sonntag</v>
      </c>
      <c r="E1863">
        <f>WEEKDAY(tbl_Kalender[[#This Row],[Datum]],2)</f>
        <v>7</v>
      </c>
      <c r="F1863">
        <f>MONTH(tbl_Kalender[[#This Row],[Datum]])</f>
        <v>2</v>
      </c>
      <c r="G1863" t="str">
        <f>TEXT(tbl_Kalender[[#This Row],[Datum]],"MMMM")</f>
        <v>Februar</v>
      </c>
      <c r="H1863">
        <f>ROUNDUP(tbl_Kalender[[#This Row],[Monat]]/3,0)</f>
        <v>1</v>
      </c>
      <c r="I1863" t="str">
        <f>"Q "&amp;tbl_Kalender[[#This Row],[Quartal]]</f>
        <v>Q 1</v>
      </c>
      <c r="J1863" t="str">
        <f>tbl_Kalender[[#This Row],[Quartal]]&amp;". Quartal"</f>
        <v>1. Quartal</v>
      </c>
      <c r="K1863">
        <f>_xlfn.ISOWEEKNUM(tbl_Kalender[[#This Row],[Datum]])</f>
        <v>5</v>
      </c>
    </row>
    <row r="1864" spans="1:11" x14ac:dyDescent="0.25">
      <c r="A1864" s="1">
        <v>47154</v>
      </c>
      <c r="B1864">
        <f>YEAR(tbl_Kalender[[#This Row],[Datum]])</f>
        <v>2029</v>
      </c>
      <c r="C1864">
        <f>DAY(tbl_Kalender[[#This Row],[Datum]])</f>
        <v>5</v>
      </c>
      <c r="D1864" t="str">
        <f>TEXT(tbl_Kalender[[#This Row],[Datum]],"TTTT")</f>
        <v>Montag</v>
      </c>
      <c r="E1864">
        <f>WEEKDAY(tbl_Kalender[[#This Row],[Datum]],2)</f>
        <v>1</v>
      </c>
      <c r="F1864">
        <f>MONTH(tbl_Kalender[[#This Row],[Datum]])</f>
        <v>2</v>
      </c>
      <c r="G1864" t="str">
        <f>TEXT(tbl_Kalender[[#This Row],[Datum]],"MMMM")</f>
        <v>Februar</v>
      </c>
      <c r="H1864">
        <f>ROUNDUP(tbl_Kalender[[#This Row],[Monat]]/3,0)</f>
        <v>1</v>
      </c>
      <c r="I1864" t="str">
        <f>"Q "&amp;tbl_Kalender[[#This Row],[Quartal]]</f>
        <v>Q 1</v>
      </c>
      <c r="J1864" t="str">
        <f>tbl_Kalender[[#This Row],[Quartal]]&amp;". Quartal"</f>
        <v>1. Quartal</v>
      </c>
      <c r="K1864">
        <f>_xlfn.ISOWEEKNUM(tbl_Kalender[[#This Row],[Datum]])</f>
        <v>6</v>
      </c>
    </row>
    <row r="1865" spans="1:11" x14ac:dyDescent="0.25">
      <c r="A1865" s="1">
        <v>47155</v>
      </c>
      <c r="B1865">
        <f>YEAR(tbl_Kalender[[#This Row],[Datum]])</f>
        <v>2029</v>
      </c>
      <c r="C1865">
        <f>DAY(tbl_Kalender[[#This Row],[Datum]])</f>
        <v>6</v>
      </c>
      <c r="D1865" t="str">
        <f>TEXT(tbl_Kalender[[#This Row],[Datum]],"TTTT")</f>
        <v>Dienstag</v>
      </c>
      <c r="E1865">
        <f>WEEKDAY(tbl_Kalender[[#This Row],[Datum]],2)</f>
        <v>2</v>
      </c>
      <c r="F1865">
        <f>MONTH(tbl_Kalender[[#This Row],[Datum]])</f>
        <v>2</v>
      </c>
      <c r="G1865" t="str">
        <f>TEXT(tbl_Kalender[[#This Row],[Datum]],"MMMM")</f>
        <v>Februar</v>
      </c>
      <c r="H1865">
        <f>ROUNDUP(tbl_Kalender[[#This Row],[Monat]]/3,0)</f>
        <v>1</v>
      </c>
      <c r="I1865" t="str">
        <f>"Q "&amp;tbl_Kalender[[#This Row],[Quartal]]</f>
        <v>Q 1</v>
      </c>
      <c r="J1865" t="str">
        <f>tbl_Kalender[[#This Row],[Quartal]]&amp;". Quartal"</f>
        <v>1. Quartal</v>
      </c>
      <c r="K1865">
        <f>_xlfn.ISOWEEKNUM(tbl_Kalender[[#This Row],[Datum]])</f>
        <v>6</v>
      </c>
    </row>
    <row r="1866" spans="1:11" x14ac:dyDescent="0.25">
      <c r="A1866" s="1">
        <v>47156</v>
      </c>
      <c r="B1866">
        <f>YEAR(tbl_Kalender[[#This Row],[Datum]])</f>
        <v>2029</v>
      </c>
      <c r="C1866">
        <f>DAY(tbl_Kalender[[#This Row],[Datum]])</f>
        <v>7</v>
      </c>
      <c r="D1866" t="str">
        <f>TEXT(tbl_Kalender[[#This Row],[Datum]],"TTTT")</f>
        <v>Mittwoch</v>
      </c>
      <c r="E1866">
        <f>WEEKDAY(tbl_Kalender[[#This Row],[Datum]],2)</f>
        <v>3</v>
      </c>
      <c r="F1866">
        <f>MONTH(tbl_Kalender[[#This Row],[Datum]])</f>
        <v>2</v>
      </c>
      <c r="G1866" t="str">
        <f>TEXT(tbl_Kalender[[#This Row],[Datum]],"MMMM")</f>
        <v>Februar</v>
      </c>
      <c r="H1866">
        <f>ROUNDUP(tbl_Kalender[[#This Row],[Monat]]/3,0)</f>
        <v>1</v>
      </c>
      <c r="I1866" t="str">
        <f>"Q "&amp;tbl_Kalender[[#This Row],[Quartal]]</f>
        <v>Q 1</v>
      </c>
      <c r="J1866" t="str">
        <f>tbl_Kalender[[#This Row],[Quartal]]&amp;". Quartal"</f>
        <v>1. Quartal</v>
      </c>
      <c r="K1866">
        <f>_xlfn.ISOWEEKNUM(tbl_Kalender[[#This Row],[Datum]])</f>
        <v>6</v>
      </c>
    </row>
    <row r="1867" spans="1:11" x14ac:dyDescent="0.25">
      <c r="A1867" s="1">
        <v>47157</v>
      </c>
      <c r="B1867">
        <f>YEAR(tbl_Kalender[[#This Row],[Datum]])</f>
        <v>2029</v>
      </c>
      <c r="C1867">
        <f>DAY(tbl_Kalender[[#This Row],[Datum]])</f>
        <v>8</v>
      </c>
      <c r="D1867" t="str">
        <f>TEXT(tbl_Kalender[[#This Row],[Datum]],"TTTT")</f>
        <v>Donnerstag</v>
      </c>
      <c r="E1867">
        <f>WEEKDAY(tbl_Kalender[[#This Row],[Datum]],2)</f>
        <v>4</v>
      </c>
      <c r="F1867">
        <f>MONTH(tbl_Kalender[[#This Row],[Datum]])</f>
        <v>2</v>
      </c>
      <c r="G1867" t="str">
        <f>TEXT(tbl_Kalender[[#This Row],[Datum]],"MMMM")</f>
        <v>Februar</v>
      </c>
      <c r="H1867">
        <f>ROUNDUP(tbl_Kalender[[#This Row],[Monat]]/3,0)</f>
        <v>1</v>
      </c>
      <c r="I1867" t="str">
        <f>"Q "&amp;tbl_Kalender[[#This Row],[Quartal]]</f>
        <v>Q 1</v>
      </c>
      <c r="J1867" t="str">
        <f>tbl_Kalender[[#This Row],[Quartal]]&amp;". Quartal"</f>
        <v>1. Quartal</v>
      </c>
      <c r="K1867">
        <f>_xlfn.ISOWEEKNUM(tbl_Kalender[[#This Row],[Datum]])</f>
        <v>6</v>
      </c>
    </row>
    <row r="1868" spans="1:11" x14ac:dyDescent="0.25">
      <c r="A1868" s="1">
        <v>47158</v>
      </c>
      <c r="B1868">
        <f>YEAR(tbl_Kalender[[#This Row],[Datum]])</f>
        <v>2029</v>
      </c>
      <c r="C1868">
        <f>DAY(tbl_Kalender[[#This Row],[Datum]])</f>
        <v>9</v>
      </c>
      <c r="D1868" t="str">
        <f>TEXT(tbl_Kalender[[#This Row],[Datum]],"TTTT")</f>
        <v>Freitag</v>
      </c>
      <c r="E1868">
        <f>WEEKDAY(tbl_Kalender[[#This Row],[Datum]],2)</f>
        <v>5</v>
      </c>
      <c r="F1868">
        <f>MONTH(tbl_Kalender[[#This Row],[Datum]])</f>
        <v>2</v>
      </c>
      <c r="G1868" t="str">
        <f>TEXT(tbl_Kalender[[#This Row],[Datum]],"MMMM")</f>
        <v>Februar</v>
      </c>
      <c r="H1868">
        <f>ROUNDUP(tbl_Kalender[[#This Row],[Monat]]/3,0)</f>
        <v>1</v>
      </c>
      <c r="I1868" t="str">
        <f>"Q "&amp;tbl_Kalender[[#This Row],[Quartal]]</f>
        <v>Q 1</v>
      </c>
      <c r="J1868" t="str">
        <f>tbl_Kalender[[#This Row],[Quartal]]&amp;". Quartal"</f>
        <v>1. Quartal</v>
      </c>
      <c r="K1868">
        <f>_xlfn.ISOWEEKNUM(tbl_Kalender[[#This Row],[Datum]])</f>
        <v>6</v>
      </c>
    </row>
    <row r="1869" spans="1:11" x14ac:dyDescent="0.25">
      <c r="A1869" s="1">
        <v>47159</v>
      </c>
      <c r="B1869">
        <f>YEAR(tbl_Kalender[[#This Row],[Datum]])</f>
        <v>2029</v>
      </c>
      <c r="C1869">
        <f>DAY(tbl_Kalender[[#This Row],[Datum]])</f>
        <v>10</v>
      </c>
      <c r="D1869" t="str">
        <f>TEXT(tbl_Kalender[[#This Row],[Datum]],"TTTT")</f>
        <v>Samstag</v>
      </c>
      <c r="E1869">
        <f>WEEKDAY(tbl_Kalender[[#This Row],[Datum]],2)</f>
        <v>6</v>
      </c>
      <c r="F1869">
        <f>MONTH(tbl_Kalender[[#This Row],[Datum]])</f>
        <v>2</v>
      </c>
      <c r="G1869" t="str">
        <f>TEXT(tbl_Kalender[[#This Row],[Datum]],"MMMM")</f>
        <v>Februar</v>
      </c>
      <c r="H1869">
        <f>ROUNDUP(tbl_Kalender[[#This Row],[Monat]]/3,0)</f>
        <v>1</v>
      </c>
      <c r="I1869" t="str">
        <f>"Q "&amp;tbl_Kalender[[#This Row],[Quartal]]</f>
        <v>Q 1</v>
      </c>
      <c r="J1869" t="str">
        <f>tbl_Kalender[[#This Row],[Quartal]]&amp;". Quartal"</f>
        <v>1. Quartal</v>
      </c>
      <c r="K1869">
        <f>_xlfn.ISOWEEKNUM(tbl_Kalender[[#This Row],[Datum]])</f>
        <v>6</v>
      </c>
    </row>
    <row r="1870" spans="1:11" x14ac:dyDescent="0.25">
      <c r="A1870" s="1">
        <v>47160</v>
      </c>
      <c r="B1870">
        <f>YEAR(tbl_Kalender[[#This Row],[Datum]])</f>
        <v>2029</v>
      </c>
      <c r="C1870">
        <f>DAY(tbl_Kalender[[#This Row],[Datum]])</f>
        <v>11</v>
      </c>
      <c r="D1870" t="str">
        <f>TEXT(tbl_Kalender[[#This Row],[Datum]],"TTTT")</f>
        <v>Sonntag</v>
      </c>
      <c r="E1870">
        <f>WEEKDAY(tbl_Kalender[[#This Row],[Datum]],2)</f>
        <v>7</v>
      </c>
      <c r="F1870">
        <f>MONTH(tbl_Kalender[[#This Row],[Datum]])</f>
        <v>2</v>
      </c>
      <c r="G1870" t="str">
        <f>TEXT(tbl_Kalender[[#This Row],[Datum]],"MMMM")</f>
        <v>Februar</v>
      </c>
      <c r="H1870">
        <f>ROUNDUP(tbl_Kalender[[#This Row],[Monat]]/3,0)</f>
        <v>1</v>
      </c>
      <c r="I1870" t="str">
        <f>"Q "&amp;tbl_Kalender[[#This Row],[Quartal]]</f>
        <v>Q 1</v>
      </c>
      <c r="J1870" t="str">
        <f>tbl_Kalender[[#This Row],[Quartal]]&amp;". Quartal"</f>
        <v>1. Quartal</v>
      </c>
      <c r="K1870">
        <f>_xlfn.ISOWEEKNUM(tbl_Kalender[[#This Row],[Datum]])</f>
        <v>6</v>
      </c>
    </row>
    <row r="1871" spans="1:11" x14ac:dyDescent="0.25">
      <c r="A1871" s="1">
        <v>47161</v>
      </c>
      <c r="B1871">
        <f>YEAR(tbl_Kalender[[#This Row],[Datum]])</f>
        <v>2029</v>
      </c>
      <c r="C1871">
        <f>DAY(tbl_Kalender[[#This Row],[Datum]])</f>
        <v>12</v>
      </c>
      <c r="D1871" t="str">
        <f>TEXT(tbl_Kalender[[#This Row],[Datum]],"TTTT")</f>
        <v>Montag</v>
      </c>
      <c r="E1871">
        <f>WEEKDAY(tbl_Kalender[[#This Row],[Datum]],2)</f>
        <v>1</v>
      </c>
      <c r="F1871">
        <f>MONTH(tbl_Kalender[[#This Row],[Datum]])</f>
        <v>2</v>
      </c>
      <c r="G1871" t="str">
        <f>TEXT(tbl_Kalender[[#This Row],[Datum]],"MMMM")</f>
        <v>Februar</v>
      </c>
      <c r="H1871">
        <f>ROUNDUP(tbl_Kalender[[#This Row],[Monat]]/3,0)</f>
        <v>1</v>
      </c>
      <c r="I1871" t="str">
        <f>"Q "&amp;tbl_Kalender[[#This Row],[Quartal]]</f>
        <v>Q 1</v>
      </c>
      <c r="J1871" t="str">
        <f>tbl_Kalender[[#This Row],[Quartal]]&amp;". Quartal"</f>
        <v>1. Quartal</v>
      </c>
      <c r="K1871">
        <f>_xlfn.ISOWEEKNUM(tbl_Kalender[[#This Row],[Datum]])</f>
        <v>7</v>
      </c>
    </row>
    <row r="1872" spans="1:11" x14ac:dyDescent="0.25">
      <c r="A1872" s="1">
        <v>47162</v>
      </c>
      <c r="B1872">
        <f>YEAR(tbl_Kalender[[#This Row],[Datum]])</f>
        <v>2029</v>
      </c>
      <c r="C1872">
        <f>DAY(tbl_Kalender[[#This Row],[Datum]])</f>
        <v>13</v>
      </c>
      <c r="D1872" t="str">
        <f>TEXT(tbl_Kalender[[#This Row],[Datum]],"TTTT")</f>
        <v>Dienstag</v>
      </c>
      <c r="E1872">
        <f>WEEKDAY(tbl_Kalender[[#This Row],[Datum]],2)</f>
        <v>2</v>
      </c>
      <c r="F1872">
        <f>MONTH(tbl_Kalender[[#This Row],[Datum]])</f>
        <v>2</v>
      </c>
      <c r="G1872" t="str">
        <f>TEXT(tbl_Kalender[[#This Row],[Datum]],"MMMM")</f>
        <v>Februar</v>
      </c>
      <c r="H1872">
        <f>ROUNDUP(tbl_Kalender[[#This Row],[Monat]]/3,0)</f>
        <v>1</v>
      </c>
      <c r="I1872" t="str">
        <f>"Q "&amp;tbl_Kalender[[#This Row],[Quartal]]</f>
        <v>Q 1</v>
      </c>
      <c r="J1872" t="str">
        <f>tbl_Kalender[[#This Row],[Quartal]]&amp;". Quartal"</f>
        <v>1. Quartal</v>
      </c>
      <c r="K1872">
        <f>_xlfn.ISOWEEKNUM(tbl_Kalender[[#This Row],[Datum]])</f>
        <v>7</v>
      </c>
    </row>
    <row r="1873" spans="1:11" x14ac:dyDescent="0.25">
      <c r="A1873" s="1">
        <v>47163</v>
      </c>
      <c r="B1873">
        <f>YEAR(tbl_Kalender[[#This Row],[Datum]])</f>
        <v>2029</v>
      </c>
      <c r="C1873">
        <f>DAY(tbl_Kalender[[#This Row],[Datum]])</f>
        <v>14</v>
      </c>
      <c r="D1873" t="str">
        <f>TEXT(tbl_Kalender[[#This Row],[Datum]],"TTTT")</f>
        <v>Mittwoch</v>
      </c>
      <c r="E1873">
        <f>WEEKDAY(tbl_Kalender[[#This Row],[Datum]],2)</f>
        <v>3</v>
      </c>
      <c r="F1873">
        <f>MONTH(tbl_Kalender[[#This Row],[Datum]])</f>
        <v>2</v>
      </c>
      <c r="G1873" t="str">
        <f>TEXT(tbl_Kalender[[#This Row],[Datum]],"MMMM")</f>
        <v>Februar</v>
      </c>
      <c r="H1873">
        <f>ROUNDUP(tbl_Kalender[[#This Row],[Monat]]/3,0)</f>
        <v>1</v>
      </c>
      <c r="I1873" t="str">
        <f>"Q "&amp;tbl_Kalender[[#This Row],[Quartal]]</f>
        <v>Q 1</v>
      </c>
      <c r="J1873" t="str">
        <f>tbl_Kalender[[#This Row],[Quartal]]&amp;". Quartal"</f>
        <v>1. Quartal</v>
      </c>
      <c r="K1873">
        <f>_xlfn.ISOWEEKNUM(tbl_Kalender[[#This Row],[Datum]])</f>
        <v>7</v>
      </c>
    </row>
    <row r="1874" spans="1:11" x14ac:dyDescent="0.25">
      <c r="A1874" s="1">
        <v>47164</v>
      </c>
      <c r="B1874">
        <f>YEAR(tbl_Kalender[[#This Row],[Datum]])</f>
        <v>2029</v>
      </c>
      <c r="C1874">
        <f>DAY(tbl_Kalender[[#This Row],[Datum]])</f>
        <v>15</v>
      </c>
      <c r="D1874" t="str">
        <f>TEXT(tbl_Kalender[[#This Row],[Datum]],"TTTT")</f>
        <v>Donnerstag</v>
      </c>
      <c r="E1874">
        <f>WEEKDAY(tbl_Kalender[[#This Row],[Datum]],2)</f>
        <v>4</v>
      </c>
      <c r="F1874">
        <f>MONTH(tbl_Kalender[[#This Row],[Datum]])</f>
        <v>2</v>
      </c>
      <c r="G1874" t="str">
        <f>TEXT(tbl_Kalender[[#This Row],[Datum]],"MMMM")</f>
        <v>Februar</v>
      </c>
      <c r="H1874">
        <f>ROUNDUP(tbl_Kalender[[#This Row],[Monat]]/3,0)</f>
        <v>1</v>
      </c>
      <c r="I1874" t="str">
        <f>"Q "&amp;tbl_Kalender[[#This Row],[Quartal]]</f>
        <v>Q 1</v>
      </c>
      <c r="J1874" t="str">
        <f>tbl_Kalender[[#This Row],[Quartal]]&amp;". Quartal"</f>
        <v>1. Quartal</v>
      </c>
      <c r="K1874">
        <f>_xlfn.ISOWEEKNUM(tbl_Kalender[[#This Row],[Datum]])</f>
        <v>7</v>
      </c>
    </row>
    <row r="1875" spans="1:11" x14ac:dyDescent="0.25">
      <c r="A1875" s="1">
        <v>47165</v>
      </c>
      <c r="B1875">
        <f>YEAR(tbl_Kalender[[#This Row],[Datum]])</f>
        <v>2029</v>
      </c>
      <c r="C1875">
        <f>DAY(tbl_Kalender[[#This Row],[Datum]])</f>
        <v>16</v>
      </c>
      <c r="D1875" t="str">
        <f>TEXT(tbl_Kalender[[#This Row],[Datum]],"TTTT")</f>
        <v>Freitag</v>
      </c>
      <c r="E1875">
        <f>WEEKDAY(tbl_Kalender[[#This Row],[Datum]],2)</f>
        <v>5</v>
      </c>
      <c r="F1875">
        <f>MONTH(tbl_Kalender[[#This Row],[Datum]])</f>
        <v>2</v>
      </c>
      <c r="G1875" t="str">
        <f>TEXT(tbl_Kalender[[#This Row],[Datum]],"MMMM")</f>
        <v>Februar</v>
      </c>
      <c r="H1875">
        <f>ROUNDUP(tbl_Kalender[[#This Row],[Monat]]/3,0)</f>
        <v>1</v>
      </c>
      <c r="I1875" t="str">
        <f>"Q "&amp;tbl_Kalender[[#This Row],[Quartal]]</f>
        <v>Q 1</v>
      </c>
      <c r="J1875" t="str">
        <f>tbl_Kalender[[#This Row],[Quartal]]&amp;". Quartal"</f>
        <v>1. Quartal</v>
      </c>
      <c r="K1875">
        <f>_xlfn.ISOWEEKNUM(tbl_Kalender[[#This Row],[Datum]])</f>
        <v>7</v>
      </c>
    </row>
    <row r="1876" spans="1:11" x14ac:dyDescent="0.25">
      <c r="A1876" s="1">
        <v>47166</v>
      </c>
      <c r="B1876">
        <f>YEAR(tbl_Kalender[[#This Row],[Datum]])</f>
        <v>2029</v>
      </c>
      <c r="C1876">
        <f>DAY(tbl_Kalender[[#This Row],[Datum]])</f>
        <v>17</v>
      </c>
      <c r="D1876" t="str">
        <f>TEXT(tbl_Kalender[[#This Row],[Datum]],"TTTT")</f>
        <v>Samstag</v>
      </c>
      <c r="E1876">
        <f>WEEKDAY(tbl_Kalender[[#This Row],[Datum]],2)</f>
        <v>6</v>
      </c>
      <c r="F1876">
        <f>MONTH(tbl_Kalender[[#This Row],[Datum]])</f>
        <v>2</v>
      </c>
      <c r="G1876" t="str">
        <f>TEXT(tbl_Kalender[[#This Row],[Datum]],"MMMM")</f>
        <v>Februar</v>
      </c>
      <c r="H1876">
        <f>ROUNDUP(tbl_Kalender[[#This Row],[Monat]]/3,0)</f>
        <v>1</v>
      </c>
      <c r="I1876" t="str">
        <f>"Q "&amp;tbl_Kalender[[#This Row],[Quartal]]</f>
        <v>Q 1</v>
      </c>
      <c r="J1876" t="str">
        <f>tbl_Kalender[[#This Row],[Quartal]]&amp;". Quartal"</f>
        <v>1. Quartal</v>
      </c>
      <c r="K1876">
        <f>_xlfn.ISOWEEKNUM(tbl_Kalender[[#This Row],[Datum]])</f>
        <v>7</v>
      </c>
    </row>
    <row r="1877" spans="1:11" x14ac:dyDescent="0.25">
      <c r="A1877" s="1">
        <v>47167</v>
      </c>
      <c r="B1877">
        <f>YEAR(tbl_Kalender[[#This Row],[Datum]])</f>
        <v>2029</v>
      </c>
      <c r="C1877">
        <f>DAY(tbl_Kalender[[#This Row],[Datum]])</f>
        <v>18</v>
      </c>
      <c r="D1877" t="str">
        <f>TEXT(tbl_Kalender[[#This Row],[Datum]],"TTTT")</f>
        <v>Sonntag</v>
      </c>
      <c r="E1877">
        <f>WEEKDAY(tbl_Kalender[[#This Row],[Datum]],2)</f>
        <v>7</v>
      </c>
      <c r="F1877">
        <f>MONTH(tbl_Kalender[[#This Row],[Datum]])</f>
        <v>2</v>
      </c>
      <c r="G1877" t="str">
        <f>TEXT(tbl_Kalender[[#This Row],[Datum]],"MMMM")</f>
        <v>Februar</v>
      </c>
      <c r="H1877">
        <f>ROUNDUP(tbl_Kalender[[#This Row],[Monat]]/3,0)</f>
        <v>1</v>
      </c>
      <c r="I1877" t="str">
        <f>"Q "&amp;tbl_Kalender[[#This Row],[Quartal]]</f>
        <v>Q 1</v>
      </c>
      <c r="J1877" t="str">
        <f>tbl_Kalender[[#This Row],[Quartal]]&amp;". Quartal"</f>
        <v>1. Quartal</v>
      </c>
      <c r="K1877">
        <f>_xlfn.ISOWEEKNUM(tbl_Kalender[[#This Row],[Datum]])</f>
        <v>7</v>
      </c>
    </row>
    <row r="1878" spans="1:11" x14ac:dyDescent="0.25">
      <c r="A1878" s="1">
        <v>47168</v>
      </c>
      <c r="B1878">
        <f>YEAR(tbl_Kalender[[#This Row],[Datum]])</f>
        <v>2029</v>
      </c>
      <c r="C1878">
        <f>DAY(tbl_Kalender[[#This Row],[Datum]])</f>
        <v>19</v>
      </c>
      <c r="D1878" t="str">
        <f>TEXT(tbl_Kalender[[#This Row],[Datum]],"TTTT")</f>
        <v>Montag</v>
      </c>
      <c r="E1878">
        <f>WEEKDAY(tbl_Kalender[[#This Row],[Datum]],2)</f>
        <v>1</v>
      </c>
      <c r="F1878">
        <f>MONTH(tbl_Kalender[[#This Row],[Datum]])</f>
        <v>2</v>
      </c>
      <c r="G1878" t="str">
        <f>TEXT(tbl_Kalender[[#This Row],[Datum]],"MMMM")</f>
        <v>Februar</v>
      </c>
      <c r="H1878">
        <f>ROUNDUP(tbl_Kalender[[#This Row],[Monat]]/3,0)</f>
        <v>1</v>
      </c>
      <c r="I1878" t="str">
        <f>"Q "&amp;tbl_Kalender[[#This Row],[Quartal]]</f>
        <v>Q 1</v>
      </c>
      <c r="J1878" t="str">
        <f>tbl_Kalender[[#This Row],[Quartal]]&amp;". Quartal"</f>
        <v>1. Quartal</v>
      </c>
      <c r="K1878">
        <f>_xlfn.ISOWEEKNUM(tbl_Kalender[[#This Row],[Datum]])</f>
        <v>8</v>
      </c>
    </row>
    <row r="1879" spans="1:11" x14ac:dyDescent="0.25">
      <c r="A1879" s="1">
        <v>47169</v>
      </c>
      <c r="B1879">
        <f>YEAR(tbl_Kalender[[#This Row],[Datum]])</f>
        <v>2029</v>
      </c>
      <c r="C1879">
        <f>DAY(tbl_Kalender[[#This Row],[Datum]])</f>
        <v>20</v>
      </c>
      <c r="D1879" t="str">
        <f>TEXT(tbl_Kalender[[#This Row],[Datum]],"TTTT")</f>
        <v>Dienstag</v>
      </c>
      <c r="E1879">
        <f>WEEKDAY(tbl_Kalender[[#This Row],[Datum]],2)</f>
        <v>2</v>
      </c>
      <c r="F1879">
        <f>MONTH(tbl_Kalender[[#This Row],[Datum]])</f>
        <v>2</v>
      </c>
      <c r="G1879" t="str">
        <f>TEXT(tbl_Kalender[[#This Row],[Datum]],"MMMM")</f>
        <v>Februar</v>
      </c>
      <c r="H1879">
        <f>ROUNDUP(tbl_Kalender[[#This Row],[Monat]]/3,0)</f>
        <v>1</v>
      </c>
      <c r="I1879" t="str">
        <f>"Q "&amp;tbl_Kalender[[#This Row],[Quartal]]</f>
        <v>Q 1</v>
      </c>
      <c r="J1879" t="str">
        <f>tbl_Kalender[[#This Row],[Quartal]]&amp;". Quartal"</f>
        <v>1. Quartal</v>
      </c>
      <c r="K1879">
        <f>_xlfn.ISOWEEKNUM(tbl_Kalender[[#This Row],[Datum]])</f>
        <v>8</v>
      </c>
    </row>
    <row r="1880" spans="1:11" x14ac:dyDescent="0.25">
      <c r="A1880" s="1">
        <v>47170</v>
      </c>
      <c r="B1880">
        <f>YEAR(tbl_Kalender[[#This Row],[Datum]])</f>
        <v>2029</v>
      </c>
      <c r="C1880">
        <f>DAY(tbl_Kalender[[#This Row],[Datum]])</f>
        <v>21</v>
      </c>
      <c r="D1880" t="str">
        <f>TEXT(tbl_Kalender[[#This Row],[Datum]],"TTTT")</f>
        <v>Mittwoch</v>
      </c>
      <c r="E1880">
        <f>WEEKDAY(tbl_Kalender[[#This Row],[Datum]],2)</f>
        <v>3</v>
      </c>
      <c r="F1880">
        <f>MONTH(tbl_Kalender[[#This Row],[Datum]])</f>
        <v>2</v>
      </c>
      <c r="G1880" t="str">
        <f>TEXT(tbl_Kalender[[#This Row],[Datum]],"MMMM")</f>
        <v>Februar</v>
      </c>
      <c r="H1880">
        <f>ROUNDUP(tbl_Kalender[[#This Row],[Monat]]/3,0)</f>
        <v>1</v>
      </c>
      <c r="I1880" t="str">
        <f>"Q "&amp;tbl_Kalender[[#This Row],[Quartal]]</f>
        <v>Q 1</v>
      </c>
      <c r="J1880" t="str">
        <f>tbl_Kalender[[#This Row],[Quartal]]&amp;". Quartal"</f>
        <v>1. Quartal</v>
      </c>
      <c r="K1880">
        <f>_xlfn.ISOWEEKNUM(tbl_Kalender[[#This Row],[Datum]])</f>
        <v>8</v>
      </c>
    </row>
    <row r="1881" spans="1:11" x14ac:dyDescent="0.25">
      <c r="A1881" s="1">
        <v>47171</v>
      </c>
      <c r="B1881">
        <f>YEAR(tbl_Kalender[[#This Row],[Datum]])</f>
        <v>2029</v>
      </c>
      <c r="C1881">
        <f>DAY(tbl_Kalender[[#This Row],[Datum]])</f>
        <v>22</v>
      </c>
      <c r="D1881" t="str">
        <f>TEXT(tbl_Kalender[[#This Row],[Datum]],"TTTT")</f>
        <v>Donnerstag</v>
      </c>
      <c r="E1881">
        <f>WEEKDAY(tbl_Kalender[[#This Row],[Datum]],2)</f>
        <v>4</v>
      </c>
      <c r="F1881">
        <f>MONTH(tbl_Kalender[[#This Row],[Datum]])</f>
        <v>2</v>
      </c>
      <c r="G1881" t="str">
        <f>TEXT(tbl_Kalender[[#This Row],[Datum]],"MMMM")</f>
        <v>Februar</v>
      </c>
      <c r="H1881">
        <f>ROUNDUP(tbl_Kalender[[#This Row],[Monat]]/3,0)</f>
        <v>1</v>
      </c>
      <c r="I1881" t="str">
        <f>"Q "&amp;tbl_Kalender[[#This Row],[Quartal]]</f>
        <v>Q 1</v>
      </c>
      <c r="J1881" t="str">
        <f>tbl_Kalender[[#This Row],[Quartal]]&amp;". Quartal"</f>
        <v>1. Quartal</v>
      </c>
      <c r="K1881">
        <f>_xlfn.ISOWEEKNUM(tbl_Kalender[[#This Row],[Datum]])</f>
        <v>8</v>
      </c>
    </row>
    <row r="1882" spans="1:11" x14ac:dyDescent="0.25">
      <c r="A1882" s="1">
        <v>47172</v>
      </c>
      <c r="B1882">
        <f>YEAR(tbl_Kalender[[#This Row],[Datum]])</f>
        <v>2029</v>
      </c>
      <c r="C1882">
        <f>DAY(tbl_Kalender[[#This Row],[Datum]])</f>
        <v>23</v>
      </c>
      <c r="D1882" t="str">
        <f>TEXT(tbl_Kalender[[#This Row],[Datum]],"TTTT")</f>
        <v>Freitag</v>
      </c>
      <c r="E1882">
        <f>WEEKDAY(tbl_Kalender[[#This Row],[Datum]],2)</f>
        <v>5</v>
      </c>
      <c r="F1882">
        <f>MONTH(tbl_Kalender[[#This Row],[Datum]])</f>
        <v>2</v>
      </c>
      <c r="G1882" t="str">
        <f>TEXT(tbl_Kalender[[#This Row],[Datum]],"MMMM")</f>
        <v>Februar</v>
      </c>
      <c r="H1882">
        <f>ROUNDUP(tbl_Kalender[[#This Row],[Monat]]/3,0)</f>
        <v>1</v>
      </c>
      <c r="I1882" t="str">
        <f>"Q "&amp;tbl_Kalender[[#This Row],[Quartal]]</f>
        <v>Q 1</v>
      </c>
      <c r="J1882" t="str">
        <f>tbl_Kalender[[#This Row],[Quartal]]&amp;". Quartal"</f>
        <v>1. Quartal</v>
      </c>
      <c r="K1882">
        <f>_xlfn.ISOWEEKNUM(tbl_Kalender[[#This Row],[Datum]])</f>
        <v>8</v>
      </c>
    </row>
    <row r="1883" spans="1:11" x14ac:dyDescent="0.25">
      <c r="A1883" s="1">
        <v>47173</v>
      </c>
      <c r="B1883">
        <f>YEAR(tbl_Kalender[[#This Row],[Datum]])</f>
        <v>2029</v>
      </c>
      <c r="C1883">
        <f>DAY(tbl_Kalender[[#This Row],[Datum]])</f>
        <v>24</v>
      </c>
      <c r="D1883" t="str">
        <f>TEXT(tbl_Kalender[[#This Row],[Datum]],"TTTT")</f>
        <v>Samstag</v>
      </c>
      <c r="E1883">
        <f>WEEKDAY(tbl_Kalender[[#This Row],[Datum]],2)</f>
        <v>6</v>
      </c>
      <c r="F1883">
        <f>MONTH(tbl_Kalender[[#This Row],[Datum]])</f>
        <v>2</v>
      </c>
      <c r="G1883" t="str">
        <f>TEXT(tbl_Kalender[[#This Row],[Datum]],"MMMM")</f>
        <v>Februar</v>
      </c>
      <c r="H1883">
        <f>ROUNDUP(tbl_Kalender[[#This Row],[Monat]]/3,0)</f>
        <v>1</v>
      </c>
      <c r="I1883" t="str">
        <f>"Q "&amp;tbl_Kalender[[#This Row],[Quartal]]</f>
        <v>Q 1</v>
      </c>
      <c r="J1883" t="str">
        <f>tbl_Kalender[[#This Row],[Quartal]]&amp;". Quartal"</f>
        <v>1. Quartal</v>
      </c>
      <c r="K1883">
        <f>_xlfn.ISOWEEKNUM(tbl_Kalender[[#This Row],[Datum]])</f>
        <v>8</v>
      </c>
    </row>
    <row r="1884" spans="1:11" x14ac:dyDescent="0.25">
      <c r="A1884" s="1">
        <v>47174</v>
      </c>
      <c r="B1884">
        <f>YEAR(tbl_Kalender[[#This Row],[Datum]])</f>
        <v>2029</v>
      </c>
      <c r="C1884">
        <f>DAY(tbl_Kalender[[#This Row],[Datum]])</f>
        <v>25</v>
      </c>
      <c r="D1884" t="str">
        <f>TEXT(tbl_Kalender[[#This Row],[Datum]],"TTTT")</f>
        <v>Sonntag</v>
      </c>
      <c r="E1884">
        <f>WEEKDAY(tbl_Kalender[[#This Row],[Datum]],2)</f>
        <v>7</v>
      </c>
      <c r="F1884">
        <f>MONTH(tbl_Kalender[[#This Row],[Datum]])</f>
        <v>2</v>
      </c>
      <c r="G1884" t="str">
        <f>TEXT(tbl_Kalender[[#This Row],[Datum]],"MMMM")</f>
        <v>Februar</v>
      </c>
      <c r="H1884">
        <f>ROUNDUP(tbl_Kalender[[#This Row],[Monat]]/3,0)</f>
        <v>1</v>
      </c>
      <c r="I1884" t="str">
        <f>"Q "&amp;tbl_Kalender[[#This Row],[Quartal]]</f>
        <v>Q 1</v>
      </c>
      <c r="J1884" t="str">
        <f>tbl_Kalender[[#This Row],[Quartal]]&amp;". Quartal"</f>
        <v>1. Quartal</v>
      </c>
      <c r="K1884">
        <f>_xlfn.ISOWEEKNUM(tbl_Kalender[[#This Row],[Datum]])</f>
        <v>8</v>
      </c>
    </row>
    <row r="1885" spans="1:11" x14ac:dyDescent="0.25">
      <c r="A1885" s="1">
        <v>47175</v>
      </c>
      <c r="B1885">
        <f>YEAR(tbl_Kalender[[#This Row],[Datum]])</f>
        <v>2029</v>
      </c>
      <c r="C1885">
        <f>DAY(tbl_Kalender[[#This Row],[Datum]])</f>
        <v>26</v>
      </c>
      <c r="D1885" t="str">
        <f>TEXT(tbl_Kalender[[#This Row],[Datum]],"TTTT")</f>
        <v>Montag</v>
      </c>
      <c r="E1885">
        <f>WEEKDAY(tbl_Kalender[[#This Row],[Datum]],2)</f>
        <v>1</v>
      </c>
      <c r="F1885">
        <f>MONTH(tbl_Kalender[[#This Row],[Datum]])</f>
        <v>2</v>
      </c>
      <c r="G1885" t="str">
        <f>TEXT(tbl_Kalender[[#This Row],[Datum]],"MMMM")</f>
        <v>Februar</v>
      </c>
      <c r="H1885">
        <f>ROUNDUP(tbl_Kalender[[#This Row],[Monat]]/3,0)</f>
        <v>1</v>
      </c>
      <c r="I1885" t="str">
        <f>"Q "&amp;tbl_Kalender[[#This Row],[Quartal]]</f>
        <v>Q 1</v>
      </c>
      <c r="J1885" t="str">
        <f>tbl_Kalender[[#This Row],[Quartal]]&amp;". Quartal"</f>
        <v>1. Quartal</v>
      </c>
      <c r="K1885">
        <f>_xlfn.ISOWEEKNUM(tbl_Kalender[[#This Row],[Datum]])</f>
        <v>9</v>
      </c>
    </row>
    <row r="1886" spans="1:11" x14ac:dyDescent="0.25">
      <c r="A1886" s="1">
        <v>47176</v>
      </c>
      <c r="B1886">
        <f>YEAR(tbl_Kalender[[#This Row],[Datum]])</f>
        <v>2029</v>
      </c>
      <c r="C1886">
        <f>DAY(tbl_Kalender[[#This Row],[Datum]])</f>
        <v>27</v>
      </c>
      <c r="D1886" t="str">
        <f>TEXT(tbl_Kalender[[#This Row],[Datum]],"TTTT")</f>
        <v>Dienstag</v>
      </c>
      <c r="E1886">
        <f>WEEKDAY(tbl_Kalender[[#This Row],[Datum]],2)</f>
        <v>2</v>
      </c>
      <c r="F1886">
        <f>MONTH(tbl_Kalender[[#This Row],[Datum]])</f>
        <v>2</v>
      </c>
      <c r="G1886" t="str">
        <f>TEXT(tbl_Kalender[[#This Row],[Datum]],"MMMM")</f>
        <v>Februar</v>
      </c>
      <c r="H1886">
        <f>ROUNDUP(tbl_Kalender[[#This Row],[Monat]]/3,0)</f>
        <v>1</v>
      </c>
      <c r="I1886" t="str">
        <f>"Q "&amp;tbl_Kalender[[#This Row],[Quartal]]</f>
        <v>Q 1</v>
      </c>
      <c r="J1886" t="str">
        <f>tbl_Kalender[[#This Row],[Quartal]]&amp;". Quartal"</f>
        <v>1. Quartal</v>
      </c>
      <c r="K1886">
        <f>_xlfn.ISOWEEKNUM(tbl_Kalender[[#This Row],[Datum]])</f>
        <v>9</v>
      </c>
    </row>
    <row r="1887" spans="1:11" x14ac:dyDescent="0.25">
      <c r="A1887" s="1">
        <v>47177</v>
      </c>
      <c r="B1887">
        <f>YEAR(tbl_Kalender[[#This Row],[Datum]])</f>
        <v>2029</v>
      </c>
      <c r="C1887">
        <f>DAY(tbl_Kalender[[#This Row],[Datum]])</f>
        <v>28</v>
      </c>
      <c r="D1887" t="str">
        <f>TEXT(tbl_Kalender[[#This Row],[Datum]],"TTTT")</f>
        <v>Mittwoch</v>
      </c>
      <c r="E1887">
        <f>WEEKDAY(tbl_Kalender[[#This Row],[Datum]],2)</f>
        <v>3</v>
      </c>
      <c r="F1887">
        <f>MONTH(tbl_Kalender[[#This Row],[Datum]])</f>
        <v>2</v>
      </c>
      <c r="G1887" t="str">
        <f>TEXT(tbl_Kalender[[#This Row],[Datum]],"MMMM")</f>
        <v>Februar</v>
      </c>
      <c r="H1887">
        <f>ROUNDUP(tbl_Kalender[[#This Row],[Monat]]/3,0)</f>
        <v>1</v>
      </c>
      <c r="I1887" t="str">
        <f>"Q "&amp;tbl_Kalender[[#This Row],[Quartal]]</f>
        <v>Q 1</v>
      </c>
      <c r="J1887" t="str">
        <f>tbl_Kalender[[#This Row],[Quartal]]&amp;". Quartal"</f>
        <v>1. Quartal</v>
      </c>
      <c r="K1887">
        <f>_xlfn.ISOWEEKNUM(tbl_Kalender[[#This Row],[Datum]])</f>
        <v>9</v>
      </c>
    </row>
    <row r="1888" spans="1:11" x14ac:dyDescent="0.25">
      <c r="A1888" s="1">
        <v>47178</v>
      </c>
      <c r="B1888">
        <f>YEAR(tbl_Kalender[[#This Row],[Datum]])</f>
        <v>2029</v>
      </c>
      <c r="C1888">
        <f>DAY(tbl_Kalender[[#This Row],[Datum]])</f>
        <v>1</v>
      </c>
      <c r="D1888" t="str">
        <f>TEXT(tbl_Kalender[[#This Row],[Datum]],"TTTT")</f>
        <v>Donnerstag</v>
      </c>
      <c r="E1888">
        <f>WEEKDAY(tbl_Kalender[[#This Row],[Datum]],2)</f>
        <v>4</v>
      </c>
      <c r="F1888">
        <f>MONTH(tbl_Kalender[[#This Row],[Datum]])</f>
        <v>3</v>
      </c>
      <c r="G1888" t="str">
        <f>TEXT(tbl_Kalender[[#This Row],[Datum]],"MMMM")</f>
        <v>März</v>
      </c>
      <c r="H1888">
        <f>ROUNDUP(tbl_Kalender[[#This Row],[Monat]]/3,0)</f>
        <v>1</v>
      </c>
      <c r="I1888" t="str">
        <f>"Q "&amp;tbl_Kalender[[#This Row],[Quartal]]</f>
        <v>Q 1</v>
      </c>
      <c r="J1888" t="str">
        <f>tbl_Kalender[[#This Row],[Quartal]]&amp;". Quartal"</f>
        <v>1. Quartal</v>
      </c>
      <c r="K1888">
        <f>_xlfn.ISOWEEKNUM(tbl_Kalender[[#This Row],[Datum]])</f>
        <v>9</v>
      </c>
    </row>
    <row r="1889" spans="1:11" x14ac:dyDescent="0.25">
      <c r="A1889" s="1">
        <v>47179</v>
      </c>
      <c r="B1889">
        <f>YEAR(tbl_Kalender[[#This Row],[Datum]])</f>
        <v>2029</v>
      </c>
      <c r="C1889">
        <f>DAY(tbl_Kalender[[#This Row],[Datum]])</f>
        <v>2</v>
      </c>
      <c r="D1889" t="str">
        <f>TEXT(tbl_Kalender[[#This Row],[Datum]],"TTTT")</f>
        <v>Freitag</v>
      </c>
      <c r="E1889">
        <f>WEEKDAY(tbl_Kalender[[#This Row],[Datum]],2)</f>
        <v>5</v>
      </c>
      <c r="F1889">
        <f>MONTH(tbl_Kalender[[#This Row],[Datum]])</f>
        <v>3</v>
      </c>
      <c r="G1889" t="str">
        <f>TEXT(tbl_Kalender[[#This Row],[Datum]],"MMMM")</f>
        <v>März</v>
      </c>
      <c r="H1889">
        <f>ROUNDUP(tbl_Kalender[[#This Row],[Monat]]/3,0)</f>
        <v>1</v>
      </c>
      <c r="I1889" t="str">
        <f>"Q "&amp;tbl_Kalender[[#This Row],[Quartal]]</f>
        <v>Q 1</v>
      </c>
      <c r="J1889" t="str">
        <f>tbl_Kalender[[#This Row],[Quartal]]&amp;". Quartal"</f>
        <v>1. Quartal</v>
      </c>
      <c r="K1889">
        <f>_xlfn.ISOWEEKNUM(tbl_Kalender[[#This Row],[Datum]])</f>
        <v>9</v>
      </c>
    </row>
    <row r="1890" spans="1:11" x14ac:dyDescent="0.25">
      <c r="A1890" s="1">
        <v>47180</v>
      </c>
      <c r="B1890">
        <f>YEAR(tbl_Kalender[[#This Row],[Datum]])</f>
        <v>2029</v>
      </c>
      <c r="C1890">
        <f>DAY(tbl_Kalender[[#This Row],[Datum]])</f>
        <v>3</v>
      </c>
      <c r="D1890" t="str">
        <f>TEXT(tbl_Kalender[[#This Row],[Datum]],"TTTT")</f>
        <v>Samstag</v>
      </c>
      <c r="E1890">
        <f>WEEKDAY(tbl_Kalender[[#This Row],[Datum]],2)</f>
        <v>6</v>
      </c>
      <c r="F1890">
        <f>MONTH(tbl_Kalender[[#This Row],[Datum]])</f>
        <v>3</v>
      </c>
      <c r="G1890" t="str">
        <f>TEXT(tbl_Kalender[[#This Row],[Datum]],"MMMM")</f>
        <v>März</v>
      </c>
      <c r="H1890">
        <f>ROUNDUP(tbl_Kalender[[#This Row],[Monat]]/3,0)</f>
        <v>1</v>
      </c>
      <c r="I1890" t="str">
        <f>"Q "&amp;tbl_Kalender[[#This Row],[Quartal]]</f>
        <v>Q 1</v>
      </c>
      <c r="J1890" t="str">
        <f>tbl_Kalender[[#This Row],[Quartal]]&amp;". Quartal"</f>
        <v>1. Quartal</v>
      </c>
      <c r="K1890">
        <f>_xlfn.ISOWEEKNUM(tbl_Kalender[[#This Row],[Datum]])</f>
        <v>9</v>
      </c>
    </row>
    <row r="1891" spans="1:11" x14ac:dyDescent="0.25">
      <c r="A1891" s="1">
        <v>47181</v>
      </c>
      <c r="B1891">
        <f>YEAR(tbl_Kalender[[#This Row],[Datum]])</f>
        <v>2029</v>
      </c>
      <c r="C1891">
        <f>DAY(tbl_Kalender[[#This Row],[Datum]])</f>
        <v>4</v>
      </c>
      <c r="D1891" t="str">
        <f>TEXT(tbl_Kalender[[#This Row],[Datum]],"TTTT")</f>
        <v>Sonntag</v>
      </c>
      <c r="E1891">
        <f>WEEKDAY(tbl_Kalender[[#This Row],[Datum]],2)</f>
        <v>7</v>
      </c>
      <c r="F1891">
        <f>MONTH(tbl_Kalender[[#This Row],[Datum]])</f>
        <v>3</v>
      </c>
      <c r="G1891" t="str">
        <f>TEXT(tbl_Kalender[[#This Row],[Datum]],"MMMM")</f>
        <v>März</v>
      </c>
      <c r="H1891">
        <f>ROUNDUP(tbl_Kalender[[#This Row],[Monat]]/3,0)</f>
        <v>1</v>
      </c>
      <c r="I1891" t="str">
        <f>"Q "&amp;tbl_Kalender[[#This Row],[Quartal]]</f>
        <v>Q 1</v>
      </c>
      <c r="J1891" t="str">
        <f>tbl_Kalender[[#This Row],[Quartal]]&amp;". Quartal"</f>
        <v>1. Quartal</v>
      </c>
      <c r="K1891">
        <f>_xlfn.ISOWEEKNUM(tbl_Kalender[[#This Row],[Datum]])</f>
        <v>9</v>
      </c>
    </row>
    <row r="1892" spans="1:11" x14ac:dyDescent="0.25">
      <c r="A1892" s="1">
        <v>47182</v>
      </c>
      <c r="B1892">
        <f>YEAR(tbl_Kalender[[#This Row],[Datum]])</f>
        <v>2029</v>
      </c>
      <c r="C1892">
        <f>DAY(tbl_Kalender[[#This Row],[Datum]])</f>
        <v>5</v>
      </c>
      <c r="D1892" t="str">
        <f>TEXT(tbl_Kalender[[#This Row],[Datum]],"TTTT")</f>
        <v>Montag</v>
      </c>
      <c r="E1892">
        <f>WEEKDAY(tbl_Kalender[[#This Row],[Datum]],2)</f>
        <v>1</v>
      </c>
      <c r="F1892">
        <f>MONTH(tbl_Kalender[[#This Row],[Datum]])</f>
        <v>3</v>
      </c>
      <c r="G1892" t="str">
        <f>TEXT(tbl_Kalender[[#This Row],[Datum]],"MMMM")</f>
        <v>März</v>
      </c>
      <c r="H1892">
        <f>ROUNDUP(tbl_Kalender[[#This Row],[Monat]]/3,0)</f>
        <v>1</v>
      </c>
      <c r="I1892" t="str">
        <f>"Q "&amp;tbl_Kalender[[#This Row],[Quartal]]</f>
        <v>Q 1</v>
      </c>
      <c r="J1892" t="str">
        <f>tbl_Kalender[[#This Row],[Quartal]]&amp;". Quartal"</f>
        <v>1. Quartal</v>
      </c>
      <c r="K1892">
        <f>_xlfn.ISOWEEKNUM(tbl_Kalender[[#This Row],[Datum]])</f>
        <v>10</v>
      </c>
    </row>
    <row r="1893" spans="1:11" x14ac:dyDescent="0.25">
      <c r="A1893" s="1">
        <v>47183</v>
      </c>
      <c r="B1893">
        <f>YEAR(tbl_Kalender[[#This Row],[Datum]])</f>
        <v>2029</v>
      </c>
      <c r="C1893">
        <f>DAY(tbl_Kalender[[#This Row],[Datum]])</f>
        <v>6</v>
      </c>
      <c r="D1893" t="str">
        <f>TEXT(tbl_Kalender[[#This Row],[Datum]],"TTTT")</f>
        <v>Dienstag</v>
      </c>
      <c r="E1893">
        <f>WEEKDAY(tbl_Kalender[[#This Row],[Datum]],2)</f>
        <v>2</v>
      </c>
      <c r="F1893">
        <f>MONTH(tbl_Kalender[[#This Row],[Datum]])</f>
        <v>3</v>
      </c>
      <c r="G1893" t="str">
        <f>TEXT(tbl_Kalender[[#This Row],[Datum]],"MMMM")</f>
        <v>März</v>
      </c>
      <c r="H1893">
        <f>ROUNDUP(tbl_Kalender[[#This Row],[Monat]]/3,0)</f>
        <v>1</v>
      </c>
      <c r="I1893" t="str">
        <f>"Q "&amp;tbl_Kalender[[#This Row],[Quartal]]</f>
        <v>Q 1</v>
      </c>
      <c r="J1893" t="str">
        <f>tbl_Kalender[[#This Row],[Quartal]]&amp;". Quartal"</f>
        <v>1. Quartal</v>
      </c>
      <c r="K1893">
        <f>_xlfn.ISOWEEKNUM(tbl_Kalender[[#This Row],[Datum]])</f>
        <v>10</v>
      </c>
    </row>
    <row r="1894" spans="1:11" x14ac:dyDescent="0.25">
      <c r="A1894" s="1">
        <v>47184</v>
      </c>
      <c r="B1894">
        <f>YEAR(tbl_Kalender[[#This Row],[Datum]])</f>
        <v>2029</v>
      </c>
      <c r="C1894">
        <f>DAY(tbl_Kalender[[#This Row],[Datum]])</f>
        <v>7</v>
      </c>
      <c r="D1894" t="str">
        <f>TEXT(tbl_Kalender[[#This Row],[Datum]],"TTTT")</f>
        <v>Mittwoch</v>
      </c>
      <c r="E1894">
        <f>WEEKDAY(tbl_Kalender[[#This Row],[Datum]],2)</f>
        <v>3</v>
      </c>
      <c r="F1894">
        <f>MONTH(tbl_Kalender[[#This Row],[Datum]])</f>
        <v>3</v>
      </c>
      <c r="G1894" t="str">
        <f>TEXT(tbl_Kalender[[#This Row],[Datum]],"MMMM")</f>
        <v>März</v>
      </c>
      <c r="H1894">
        <f>ROUNDUP(tbl_Kalender[[#This Row],[Monat]]/3,0)</f>
        <v>1</v>
      </c>
      <c r="I1894" t="str">
        <f>"Q "&amp;tbl_Kalender[[#This Row],[Quartal]]</f>
        <v>Q 1</v>
      </c>
      <c r="J1894" t="str">
        <f>tbl_Kalender[[#This Row],[Quartal]]&amp;". Quartal"</f>
        <v>1. Quartal</v>
      </c>
      <c r="K1894">
        <f>_xlfn.ISOWEEKNUM(tbl_Kalender[[#This Row],[Datum]])</f>
        <v>10</v>
      </c>
    </row>
    <row r="1895" spans="1:11" x14ac:dyDescent="0.25">
      <c r="A1895" s="1">
        <v>47185</v>
      </c>
      <c r="B1895">
        <f>YEAR(tbl_Kalender[[#This Row],[Datum]])</f>
        <v>2029</v>
      </c>
      <c r="C1895">
        <f>DAY(tbl_Kalender[[#This Row],[Datum]])</f>
        <v>8</v>
      </c>
      <c r="D1895" t="str">
        <f>TEXT(tbl_Kalender[[#This Row],[Datum]],"TTTT")</f>
        <v>Donnerstag</v>
      </c>
      <c r="E1895">
        <f>WEEKDAY(tbl_Kalender[[#This Row],[Datum]],2)</f>
        <v>4</v>
      </c>
      <c r="F1895">
        <f>MONTH(tbl_Kalender[[#This Row],[Datum]])</f>
        <v>3</v>
      </c>
      <c r="G1895" t="str">
        <f>TEXT(tbl_Kalender[[#This Row],[Datum]],"MMMM")</f>
        <v>März</v>
      </c>
      <c r="H1895">
        <f>ROUNDUP(tbl_Kalender[[#This Row],[Monat]]/3,0)</f>
        <v>1</v>
      </c>
      <c r="I1895" t="str">
        <f>"Q "&amp;tbl_Kalender[[#This Row],[Quartal]]</f>
        <v>Q 1</v>
      </c>
      <c r="J1895" t="str">
        <f>tbl_Kalender[[#This Row],[Quartal]]&amp;". Quartal"</f>
        <v>1. Quartal</v>
      </c>
      <c r="K1895">
        <f>_xlfn.ISOWEEKNUM(tbl_Kalender[[#This Row],[Datum]])</f>
        <v>10</v>
      </c>
    </row>
    <row r="1896" spans="1:11" x14ac:dyDescent="0.25">
      <c r="A1896" s="1">
        <v>47186</v>
      </c>
      <c r="B1896">
        <f>YEAR(tbl_Kalender[[#This Row],[Datum]])</f>
        <v>2029</v>
      </c>
      <c r="C1896">
        <f>DAY(tbl_Kalender[[#This Row],[Datum]])</f>
        <v>9</v>
      </c>
      <c r="D1896" t="str">
        <f>TEXT(tbl_Kalender[[#This Row],[Datum]],"TTTT")</f>
        <v>Freitag</v>
      </c>
      <c r="E1896">
        <f>WEEKDAY(tbl_Kalender[[#This Row],[Datum]],2)</f>
        <v>5</v>
      </c>
      <c r="F1896">
        <f>MONTH(tbl_Kalender[[#This Row],[Datum]])</f>
        <v>3</v>
      </c>
      <c r="G1896" t="str">
        <f>TEXT(tbl_Kalender[[#This Row],[Datum]],"MMMM")</f>
        <v>März</v>
      </c>
      <c r="H1896">
        <f>ROUNDUP(tbl_Kalender[[#This Row],[Monat]]/3,0)</f>
        <v>1</v>
      </c>
      <c r="I1896" t="str">
        <f>"Q "&amp;tbl_Kalender[[#This Row],[Quartal]]</f>
        <v>Q 1</v>
      </c>
      <c r="J1896" t="str">
        <f>tbl_Kalender[[#This Row],[Quartal]]&amp;". Quartal"</f>
        <v>1. Quartal</v>
      </c>
      <c r="K1896">
        <f>_xlfn.ISOWEEKNUM(tbl_Kalender[[#This Row],[Datum]])</f>
        <v>10</v>
      </c>
    </row>
    <row r="1897" spans="1:11" x14ac:dyDescent="0.25">
      <c r="A1897" s="1">
        <v>47187</v>
      </c>
      <c r="B1897">
        <f>YEAR(tbl_Kalender[[#This Row],[Datum]])</f>
        <v>2029</v>
      </c>
      <c r="C1897">
        <f>DAY(tbl_Kalender[[#This Row],[Datum]])</f>
        <v>10</v>
      </c>
      <c r="D1897" t="str">
        <f>TEXT(tbl_Kalender[[#This Row],[Datum]],"TTTT")</f>
        <v>Samstag</v>
      </c>
      <c r="E1897">
        <f>WEEKDAY(tbl_Kalender[[#This Row],[Datum]],2)</f>
        <v>6</v>
      </c>
      <c r="F1897">
        <f>MONTH(tbl_Kalender[[#This Row],[Datum]])</f>
        <v>3</v>
      </c>
      <c r="G1897" t="str">
        <f>TEXT(tbl_Kalender[[#This Row],[Datum]],"MMMM")</f>
        <v>März</v>
      </c>
      <c r="H1897">
        <f>ROUNDUP(tbl_Kalender[[#This Row],[Monat]]/3,0)</f>
        <v>1</v>
      </c>
      <c r="I1897" t="str">
        <f>"Q "&amp;tbl_Kalender[[#This Row],[Quartal]]</f>
        <v>Q 1</v>
      </c>
      <c r="J1897" t="str">
        <f>tbl_Kalender[[#This Row],[Quartal]]&amp;". Quartal"</f>
        <v>1. Quartal</v>
      </c>
      <c r="K1897">
        <f>_xlfn.ISOWEEKNUM(tbl_Kalender[[#This Row],[Datum]])</f>
        <v>10</v>
      </c>
    </row>
    <row r="1898" spans="1:11" x14ac:dyDescent="0.25">
      <c r="A1898" s="1">
        <v>47188</v>
      </c>
      <c r="B1898">
        <f>YEAR(tbl_Kalender[[#This Row],[Datum]])</f>
        <v>2029</v>
      </c>
      <c r="C1898">
        <f>DAY(tbl_Kalender[[#This Row],[Datum]])</f>
        <v>11</v>
      </c>
      <c r="D1898" t="str">
        <f>TEXT(tbl_Kalender[[#This Row],[Datum]],"TTTT")</f>
        <v>Sonntag</v>
      </c>
      <c r="E1898">
        <f>WEEKDAY(tbl_Kalender[[#This Row],[Datum]],2)</f>
        <v>7</v>
      </c>
      <c r="F1898">
        <f>MONTH(tbl_Kalender[[#This Row],[Datum]])</f>
        <v>3</v>
      </c>
      <c r="G1898" t="str">
        <f>TEXT(tbl_Kalender[[#This Row],[Datum]],"MMMM")</f>
        <v>März</v>
      </c>
      <c r="H1898">
        <f>ROUNDUP(tbl_Kalender[[#This Row],[Monat]]/3,0)</f>
        <v>1</v>
      </c>
      <c r="I1898" t="str">
        <f>"Q "&amp;tbl_Kalender[[#This Row],[Quartal]]</f>
        <v>Q 1</v>
      </c>
      <c r="J1898" t="str">
        <f>tbl_Kalender[[#This Row],[Quartal]]&amp;". Quartal"</f>
        <v>1. Quartal</v>
      </c>
      <c r="K1898">
        <f>_xlfn.ISOWEEKNUM(tbl_Kalender[[#This Row],[Datum]])</f>
        <v>10</v>
      </c>
    </row>
    <row r="1899" spans="1:11" x14ac:dyDescent="0.25">
      <c r="A1899" s="1">
        <v>47189</v>
      </c>
      <c r="B1899">
        <f>YEAR(tbl_Kalender[[#This Row],[Datum]])</f>
        <v>2029</v>
      </c>
      <c r="C1899">
        <f>DAY(tbl_Kalender[[#This Row],[Datum]])</f>
        <v>12</v>
      </c>
      <c r="D1899" t="str">
        <f>TEXT(tbl_Kalender[[#This Row],[Datum]],"TTTT")</f>
        <v>Montag</v>
      </c>
      <c r="E1899">
        <f>WEEKDAY(tbl_Kalender[[#This Row],[Datum]],2)</f>
        <v>1</v>
      </c>
      <c r="F1899">
        <f>MONTH(tbl_Kalender[[#This Row],[Datum]])</f>
        <v>3</v>
      </c>
      <c r="G1899" t="str">
        <f>TEXT(tbl_Kalender[[#This Row],[Datum]],"MMMM")</f>
        <v>März</v>
      </c>
      <c r="H1899">
        <f>ROUNDUP(tbl_Kalender[[#This Row],[Monat]]/3,0)</f>
        <v>1</v>
      </c>
      <c r="I1899" t="str">
        <f>"Q "&amp;tbl_Kalender[[#This Row],[Quartal]]</f>
        <v>Q 1</v>
      </c>
      <c r="J1899" t="str">
        <f>tbl_Kalender[[#This Row],[Quartal]]&amp;". Quartal"</f>
        <v>1. Quartal</v>
      </c>
      <c r="K1899">
        <f>_xlfn.ISOWEEKNUM(tbl_Kalender[[#This Row],[Datum]])</f>
        <v>11</v>
      </c>
    </row>
    <row r="1900" spans="1:11" x14ac:dyDescent="0.25">
      <c r="A1900" s="1">
        <v>47190</v>
      </c>
      <c r="B1900">
        <f>YEAR(tbl_Kalender[[#This Row],[Datum]])</f>
        <v>2029</v>
      </c>
      <c r="C1900">
        <f>DAY(tbl_Kalender[[#This Row],[Datum]])</f>
        <v>13</v>
      </c>
      <c r="D1900" t="str">
        <f>TEXT(tbl_Kalender[[#This Row],[Datum]],"TTTT")</f>
        <v>Dienstag</v>
      </c>
      <c r="E1900">
        <f>WEEKDAY(tbl_Kalender[[#This Row],[Datum]],2)</f>
        <v>2</v>
      </c>
      <c r="F1900">
        <f>MONTH(tbl_Kalender[[#This Row],[Datum]])</f>
        <v>3</v>
      </c>
      <c r="G1900" t="str">
        <f>TEXT(tbl_Kalender[[#This Row],[Datum]],"MMMM")</f>
        <v>März</v>
      </c>
      <c r="H1900">
        <f>ROUNDUP(tbl_Kalender[[#This Row],[Monat]]/3,0)</f>
        <v>1</v>
      </c>
      <c r="I1900" t="str">
        <f>"Q "&amp;tbl_Kalender[[#This Row],[Quartal]]</f>
        <v>Q 1</v>
      </c>
      <c r="J1900" t="str">
        <f>tbl_Kalender[[#This Row],[Quartal]]&amp;". Quartal"</f>
        <v>1. Quartal</v>
      </c>
      <c r="K1900">
        <f>_xlfn.ISOWEEKNUM(tbl_Kalender[[#This Row],[Datum]])</f>
        <v>11</v>
      </c>
    </row>
    <row r="1901" spans="1:11" x14ac:dyDescent="0.25">
      <c r="A1901" s="1">
        <v>47191</v>
      </c>
      <c r="B1901">
        <f>YEAR(tbl_Kalender[[#This Row],[Datum]])</f>
        <v>2029</v>
      </c>
      <c r="C1901">
        <f>DAY(tbl_Kalender[[#This Row],[Datum]])</f>
        <v>14</v>
      </c>
      <c r="D1901" t="str">
        <f>TEXT(tbl_Kalender[[#This Row],[Datum]],"TTTT")</f>
        <v>Mittwoch</v>
      </c>
      <c r="E1901">
        <f>WEEKDAY(tbl_Kalender[[#This Row],[Datum]],2)</f>
        <v>3</v>
      </c>
      <c r="F1901">
        <f>MONTH(tbl_Kalender[[#This Row],[Datum]])</f>
        <v>3</v>
      </c>
      <c r="G1901" t="str">
        <f>TEXT(tbl_Kalender[[#This Row],[Datum]],"MMMM")</f>
        <v>März</v>
      </c>
      <c r="H1901">
        <f>ROUNDUP(tbl_Kalender[[#This Row],[Monat]]/3,0)</f>
        <v>1</v>
      </c>
      <c r="I1901" t="str">
        <f>"Q "&amp;tbl_Kalender[[#This Row],[Quartal]]</f>
        <v>Q 1</v>
      </c>
      <c r="J1901" t="str">
        <f>tbl_Kalender[[#This Row],[Quartal]]&amp;". Quartal"</f>
        <v>1. Quartal</v>
      </c>
      <c r="K1901">
        <f>_xlfn.ISOWEEKNUM(tbl_Kalender[[#This Row],[Datum]])</f>
        <v>11</v>
      </c>
    </row>
    <row r="1902" spans="1:11" x14ac:dyDescent="0.25">
      <c r="A1902" s="1">
        <v>47192</v>
      </c>
      <c r="B1902">
        <f>YEAR(tbl_Kalender[[#This Row],[Datum]])</f>
        <v>2029</v>
      </c>
      <c r="C1902">
        <f>DAY(tbl_Kalender[[#This Row],[Datum]])</f>
        <v>15</v>
      </c>
      <c r="D1902" t="str">
        <f>TEXT(tbl_Kalender[[#This Row],[Datum]],"TTTT")</f>
        <v>Donnerstag</v>
      </c>
      <c r="E1902">
        <f>WEEKDAY(tbl_Kalender[[#This Row],[Datum]],2)</f>
        <v>4</v>
      </c>
      <c r="F1902">
        <f>MONTH(tbl_Kalender[[#This Row],[Datum]])</f>
        <v>3</v>
      </c>
      <c r="G1902" t="str">
        <f>TEXT(tbl_Kalender[[#This Row],[Datum]],"MMMM")</f>
        <v>März</v>
      </c>
      <c r="H1902">
        <f>ROUNDUP(tbl_Kalender[[#This Row],[Monat]]/3,0)</f>
        <v>1</v>
      </c>
      <c r="I1902" t="str">
        <f>"Q "&amp;tbl_Kalender[[#This Row],[Quartal]]</f>
        <v>Q 1</v>
      </c>
      <c r="J1902" t="str">
        <f>tbl_Kalender[[#This Row],[Quartal]]&amp;". Quartal"</f>
        <v>1. Quartal</v>
      </c>
      <c r="K1902">
        <f>_xlfn.ISOWEEKNUM(tbl_Kalender[[#This Row],[Datum]])</f>
        <v>11</v>
      </c>
    </row>
    <row r="1903" spans="1:11" x14ac:dyDescent="0.25">
      <c r="A1903" s="1">
        <v>47193</v>
      </c>
      <c r="B1903">
        <f>YEAR(tbl_Kalender[[#This Row],[Datum]])</f>
        <v>2029</v>
      </c>
      <c r="C1903">
        <f>DAY(tbl_Kalender[[#This Row],[Datum]])</f>
        <v>16</v>
      </c>
      <c r="D1903" t="str">
        <f>TEXT(tbl_Kalender[[#This Row],[Datum]],"TTTT")</f>
        <v>Freitag</v>
      </c>
      <c r="E1903">
        <f>WEEKDAY(tbl_Kalender[[#This Row],[Datum]],2)</f>
        <v>5</v>
      </c>
      <c r="F1903">
        <f>MONTH(tbl_Kalender[[#This Row],[Datum]])</f>
        <v>3</v>
      </c>
      <c r="G1903" t="str">
        <f>TEXT(tbl_Kalender[[#This Row],[Datum]],"MMMM")</f>
        <v>März</v>
      </c>
      <c r="H1903">
        <f>ROUNDUP(tbl_Kalender[[#This Row],[Monat]]/3,0)</f>
        <v>1</v>
      </c>
      <c r="I1903" t="str">
        <f>"Q "&amp;tbl_Kalender[[#This Row],[Quartal]]</f>
        <v>Q 1</v>
      </c>
      <c r="J1903" t="str">
        <f>tbl_Kalender[[#This Row],[Quartal]]&amp;". Quartal"</f>
        <v>1. Quartal</v>
      </c>
      <c r="K1903">
        <f>_xlfn.ISOWEEKNUM(tbl_Kalender[[#This Row],[Datum]])</f>
        <v>11</v>
      </c>
    </row>
    <row r="1904" spans="1:11" x14ac:dyDescent="0.25">
      <c r="A1904" s="1">
        <v>47194</v>
      </c>
      <c r="B1904">
        <f>YEAR(tbl_Kalender[[#This Row],[Datum]])</f>
        <v>2029</v>
      </c>
      <c r="C1904">
        <f>DAY(tbl_Kalender[[#This Row],[Datum]])</f>
        <v>17</v>
      </c>
      <c r="D1904" t="str">
        <f>TEXT(tbl_Kalender[[#This Row],[Datum]],"TTTT")</f>
        <v>Samstag</v>
      </c>
      <c r="E1904">
        <f>WEEKDAY(tbl_Kalender[[#This Row],[Datum]],2)</f>
        <v>6</v>
      </c>
      <c r="F1904">
        <f>MONTH(tbl_Kalender[[#This Row],[Datum]])</f>
        <v>3</v>
      </c>
      <c r="G1904" t="str">
        <f>TEXT(tbl_Kalender[[#This Row],[Datum]],"MMMM")</f>
        <v>März</v>
      </c>
      <c r="H1904">
        <f>ROUNDUP(tbl_Kalender[[#This Row],[Monat]]/3,0)</f>
        <v>1</v>
      </c>
      <c r="I1904" t="str">
        <f>"Q "&amp;tbl_Kalender[[#This Row],[Quartal]]</f>
        <v>Q 1</v>
      </c>
      <c r="J1904" t="str">
        <f>tbl_Kalender[[#This Row],[Quartal]]&amp;". Quartal"</f>
        <v>1. Quartal</v>
      </c>
      <c r="K1904">
        <f>_xlfn.ISOWEEKNUM(tbl_Kalender[[#This Row],[Datum]])</f>
        <v>11</v>
      </c>
    </row>
    <row r="1905" spans="1:11" x14ac:dyDescent="0.25">
      <c r="A1905" s="1">
        <v>47195</v>
      </c>
      <c r="B1905">
        <f>YEAR(tbl_Kalender[[#This Row],[Datum]])</f>
        <v>2029</v>
      </c>
      <c r="C1905">
        <f>DAY(tbl_Kalender[[#This Row],[Datum]])</f>
        <v>18</v>
      </c>
      <c r="D1905" t="str">
        <f>TEXT(tbl_Kalender[[#This Row],[Datum]],"TTTT")</f>
        <v>Sonntag</v>
      </c>
      <c r="E1905">
        <f>WEEKDAY(tbl_Kalender[[#This Row],[Datum]],2)</f>
        <v>7</v>
      </c>
      <c r="F1905">
        <f>MONTH(tbl_Kalender[[#This Row],[Datum]])</f>
        <v>3</v>
      </c>
      <c r="G1905" t="str">
        <f>TEXT(tbl_Kalender[[#This Row],[Datum]],"MMMM")</f>
        <v>März</v>
      </c>
      <c r="H1905">
        <f>ROUNDUP(tbl_Kalender[[#This Row],[Monat]]/3,0)</f>
        <v>1</v>
      </c>
      <c r="I1905" t="str">
        <f>"Q "&amp;tbl_Kalender[[#This Row],[Quartal]]</f>
        <v>Q 1</v>
      </c>
      <c r="J1905" t="str">
        <f>tbl_Kalender[[#This Row],[Quartal]]&amp;". Quartal"</f>
        <v>1. Quartal</v>
      </c>
      <c r="K1905">
        <f>_xlfn.ISOWEEKNUM(tbl_Kalender[[#This Row],[Datum]])</f>
        <v>11</v>
      </c>
    </row>
    <row r="1906" spans="1:11" x14ac:dyDescent="0.25">
      <c r="A1906" s="1">
        <v>47196</v>
      </c>
      <c r="B1906">
        <f>YEAR(tbl_Kalender[[#This Row],[Datum]])</f>
        <v>2029</v>
      </c>
      <c r="C1906">
        <f>DAY(tbl_Kalender[[#This Row],[Datum]])</f>
        <v>19</v>
      </c>
      <c r="D1906" t="str">
        <f>TEXT(tbl_Kalender[[#This Row],[Datum]],"TTTT")</f>
        <v>Montag</v>
      </c>
      <c r="E1906">
        <f>WEEKDAY(tbl_Kalender[[#This Row],[Datum]],2)</f>
        <v>1</v>
      </c>
      <c r="F1906">
        <f>MONTH(tbl_Kalender[[#This Row],[Datum]])</f>
        <v>3</v>
      </c>
      <c r="G1906" t="str">
        <f>TEXT(tbl_Kalender[[#This Row],[Datum]],"MMMM")</f>
        <v>März</v>
      </c>
      <c r="H1906">
        <f>ROUNDUP(tbl_Kalender[[#This Row],[Monat]]/3,0)</f>
        <v>1</v>
      </c>
      <c r="I1906" t="str">
        <f>"Q "&amp;tbl_Kalender[[#This Row],[Quartal]]</f>
        <v>Q 1</v>
      </c>
      <c r="J1906" t="str">
        <f>tbl_Kalender[[#This Row],[Quartal]]&amp;". Quartal"</f>
        <v>1. Quartal</v>
      </c>
      <c r="K1906">
        <f>_xlfn.ISOWEEKNUM(tbl_Kalender[[#This Row],[Datum]])</f>
        <v>12</v>
      </c>
    </row>
    <row r="1907" spans="1:11" x14ac:dyDescent="0.25">
      <c r="A1907" s="1">
        <v>47197</v>
      </c>
      <c r="B1907">
        <f>YEAR(tbl_Kalender[[#This Row],[Datum]])</f>
        <v>2029</v>
      </c>
      <c r="C1907">
        <f>DAY(tbl_Kalender[[#This Row],[Datum]])</f>
        <v>20</v>
      </c>
      <c r="D1907" t="str">
        <f>TEXT(tbl_Kalender[[#This Row],[Datum]],"TTTT")</f>
        <v>Dienstag</v>
      </c>
      <c r="E1907">
        <f>WEEKDAY(tbl_Kalender[[#This Row],[Datum]],2)</f>
        <v>2</v>
      </c>
      <c r="F1907">
        <f>MONTH(tbl_Kalender[[#This Row],[Datum]])</f>
        <v>3</v>
      </c>
      <c r="G1907" t="str">
        <f>TEXT(tbl_Kalender[[#This Row],[Datum]],"MMMM")</f>
        <v>März</v>
      </c>
      <c r="H1907">
        <f>ROUNDUP(tbl_Kalender[[#This Row],[Monat]]/3,0)</f>
        <v>1</v>
      </c>
      <c r="I1907" t="str">
        <f>"Q "&amp;tbl_Kalender[[#This Row],[Quartal]]</f>
        <v>Q 1</v>
      </c>
      <c r="J1907" t="str">
        <f>tbl_Kalender[[#This Row],[Quartal]]&amp;". Quartal"</f>
        <v>1. Quartal</v>
      </c>
      <c r="K1907">
        <f>_xlfn.ISOWEEKNUM(tbl_Kalender[[#This Row],[Datum]])</f>
        <v>12</v>
      </c>
    </row>
    <row r="1908" spans="1:11" x14ac:dyDescent="0.25">
      <c r="A1908" s="1">
        <v>47198</v>
      </c>
      <c r="B1908">
        <f>YEAR(tbl_Kalender[[#This Row],[Datum]])</f>
        <v>2029</v>
      </c>
      <c r="C1908">
        <f>DAY(tbl_Kalender[[#This Row],[Datum]])</f>
        <v>21</v>
      </c>
      <c r="D1908" t="str">
        <f>TEXT(tbl_Kalender[[#This Row],[Datum]],"TTTT")</f>
        <v>Mittwoch</v>
      </c>
      <c r="E1908">
        <f>WEEKDAY(tbl_Kalender[[#This Row],[Datum]],2)</f>
        <v>3</v>
      </c>
      <c r="F1908">
        <f>MONTH(tbl_Kalender[[#This Row],[Datum]])</f>
        <v>3</v>
      </c>
      <c r="G1908" t="str">
        <f>TEXT(tbl_Kalender[[#This Row],[Datum]],"MMMM")</f>
        <v>März</v>
      </c>
      <c r="H1908">
        <f>ROUNDUP(tbl_Kalender[[#This Row],[Monat]]/3,0)</f>
        <v>1</v>
      </c>
      <c r="I1908" t="str">
        <f>"Q "&amp;tbl_Kalender[[#This Row],[Quartal]]</f>
        <v>Q 1</v>
      </c>
      <c r="J1908" t="str">
        <f>tbl_Kalender[[#This Row],[Quartal]]&amp;". Quartal"</f>
        <v>1. Quartal</v>
      </c>
      <c r="K1908">
        <f>_xlfn.ISOWEEKNUM(tbl_Kalender[[#This Row],[Datum]])</f>
        <v>12</v>
      </c>
    </row>
    <row r="1909" spans="1:11" x14ac:dyDescent="0.25">
      <c r="A1909" s="1">
        <v>47199</v>
      </c>
      <c r="B1909">
        <f>YEAR(tbl_Kalender[[#This Row],[Datum]])</f>
        <v>2029</v>
      </c>
      <c r="C1909">
        <f>DAY(tbl_Kalender[[#This Row],[Datum]])</f>
        <v>22</v>
      </c>
      <c r="D1909" t="str">
        <f>TEXT(tbl_Kalender[[#This Row],[Datum]],"TTTT")</f>
        <v>Donnerstag</v>
      </c>
      <c r="E1909">
        <f>WEEKDAY(tbl_Kalender[[#This Row],[Datum]],2)</f>
        <v>4</v>
      </c>
      <c r="F1909">
        <f>MONTH(tbl_Kalender[[#This Row],[Datum]])</f>
        <v>3</v>
      </c>
      <c r="G1909" t="str">
        <f>TEXT(tbl_Kalender[[#This Row],[Datum]],"MMMM")</f>
        <v>März</v>
      </c>
      <c r="H1909">
        <f>ROUNDUP(tbl_Kalender[[#This Row],[Monat]]/3,0)</f>
        <v>1</v>
      </c>
      <c r="I1909" t="str">
        <f>"Q "&amp;tbl_Kalender[[#This Row],[Quartal]]</f>
        <v>Q 1</v>
      </c>
      <c r="J1909" t="str">
        <f>tbl_Kalender[[#This Row],[Quartal]]&amp;". Quartal"</f>
        <v>1. Quartal</v>
      </c>
      <c r="K1909">
        <f>_xlfn.ISOWEEKNUM(tbl_Kalender[[#This Row],[Datum]])</f>
        <v>12</v>
      </c>
    </row>
    <row r="1910" spans="1:11" x14ac:dyDescent="0.25">
      <c r="A1910" s="1">
        <v>47200</v>
      </c>
      <c r="B1910">
        <f>YEAR(tbl_Kalender[[#This Row],[Datum]])</f>
        <v>2029</v>
      </c>
      <c r="C1910">
        <f>DAY(tbl_Kalender[[#This Row],[Datum]])</f>
        <v>23</v>
      </c>
      <c r="D1910" t="str">
        <f>TEXT(tbl_Kalender[[#This Row],[Datum]],"TTTT")</f>
        <v>Freitag</v>
      </c>
      <c r="E1910">
        <f>WEEKDAY(tbl_Kalender[[#This Row],[Datum]],2)</f>
        <v>5</v>
      </c>
      <c r="F1910">
        <f>MONTH(tbl_Kalender[[#This Row],[Datum]])</f>
        <v>3</v>
      </c>
      <c r="G1910" t="str">
        <f>TEXT(tbl_Kalender[[#This Row],[Datum]],"MMMM")</f>
        <v>März</v>
      </c>
      <c r="H1910">
        <f>ROUNDUP(tbl_Kalender[[#This Row],[Monat]]/3,0)</f>
        <v>1</v>
      </c>
      <c r="I1910" t="str">
        <f>"Q "&amp;tbl_Kalender[[#This Row],[Quartal]]</f>
        <v>Q 1</v>
      </c>
      <c r="J1910" t="str">
        <f>tbl_Kalender[[#This Row],[Quartal]]&amp;". Quartal"</f>
        <v>1. Quartal</v>
      </c>
      <c r="K1910">
        <f>_xlfn.ISOWEEKNUM(tbl_Kalender[[#This Row],[Datum]])</f>
        <v>12</v>
      </c>
    </row>
    <row r="1911" spans="1:11" x14ac:dyDescent="0.25">
      <c r="A1911" s="1">
        <v>47201</v>
      </c>
      <c r="B1911">
        <f>YEAR(tbl_Kalender[[#This Row],[Datum]])</f>
        <v>2029</v>
      </c>
      <c r="C1911">
        <f>DAY(tbl_Kalender[[#This Row],[Datum]])</f>
        <v>24</v>
      </c>
      <c r="D1911" t="str">
        <f>TEXT(tbl_Kalender[[#This Row],[Datum]],"TTTT")</f>
        <v>Samstag</v>
      </c>
      <c r="E1911">
        <f>WEEKDAY(tbl_Kalender[[#This Row],[Datum]],2)</f>
        <v>6</v>
      </c>
      <c r="F1911">
        <f>MONTH(tbl_Kalender[[#This Row],[Datum]])</f>
        <v>3</v>
      </c>
      <c r="G1911" t="str">
        <f>TEXT(tbl_Kalender[[#This Row],[Datum]],"MMMM")</f>
        <v>März</v>
      </c>
      <c r="H1911">
        <f>ROUNDUP(tbl_Kalender[[#This Row],[Monat]]/3,0)</f>
        <v>1</v>
      </c>
      <c r="I1911" t="str">
        <f>"Q "&amp;tbl_Kalender[[#This Row],[Quartal]]</f>
        <v>Q 1</v>
      </c>
      <c r="J1911" t="str">
        <f>tbl_Kalender[[#This Row],[Quartal]]&amp;". Quartal"</f>
        <v>1. Quartal</v>
      </c>
      <c r="K1911">
        <f>_xlfn.ISOWEEKNUM(tbl_Kalender[[#This Row],[Datum]])</f>
        <v>12</v>
      </c>
    </row>
    <row r="1912" spans="1:11" x14ac:dyDescent="0.25">
      <c r="A1912" s="1">
        <v>47202</v>
      </c>
      <c r="B1912">
        <f>YEAR(tbl_Kalender[[#This Row],[Datum]])</f>
        <v>2029</v>
      </c>
      <c r="C1912">
        <f>DAY(tbl_Kalender[[#This Row],[Datum]])</f>
        <v>25</v>
      </c>
      <c r="D1912" t="str">
        <f>TEXT(tbl_Kalender[[#This Row],[Datum]],"TTTT")</f>
        <v>Sonntag</v>
      </c>
      <c r="E1912">
        <f>WEEKDAY(tbl_Kalender[[#This Row],[Datum]],2)</f>
        <v>7</v>
      </c>
      <c r="F1912">
        <f>MONTH(tbl_Kalender[[#This Row],[Datum]])</f>
        <v>3</v>
      </c>
      <c r="G1912" t="str">
        <f>TEXT(tbl_Kalender[[#This Row],[Datum]],"MMMM")</f>
        <v>März</v>
      </c>
      <c r="H1912">
        <f>ROUNDUP(tbl_Kalender[[#This Row],[Monat]]/3,0)</f>
        <v>1</v>
      </c>
      <c r="I1912" t="str">
        <f>"Q "&amp;tbl_Kalender[[#This Row],[Quartal]]</f>
        <v>Q 1</v>
      </c>
      <c r="J1912" t="str">
        <f>tbl_Kalender[[#This Row],[Quartal]]&amp;". Quartal"</f>
        <v>1. Quartal</v>
      </c>
      <c r="K1912">
        <f>_xlfn.ISOWEEKNUM(tbl_Kalender[[#This Row],[Datum]])</f>
        <v>12</v>
      </c>
    </row>
    <row r="1913" spans="1:11" x14ac:dyDescent="0.25">
      <c r="A1913" s="1">
        <v>47203</v>
      </c>
      <c r="B1913">
        <f>YEAR(tbl_Kalender[[#This Row],[Datum]])</f>
        <v>2029</v>
      </c>
      <c r="C1913">
        <f>DAY(tbl_Kalender[[#This Row],[Datum]])</f>
        <v>26</v>
      </c>
      <c r="D1913" t="str">
        <f>TEXT(tbl_Kalender[[#This Row],[Datum]],"TTTT")</f>
        <v>Montag</v>
      </c>
      <c r="E1913">
        <f>WEEKDAY(tbl_Kalender[[#This Row],[Datum]],2)</f>
        <v>1</v>
      </c>
      <c r="F1913">
        <f>MONTH(tbl_Kalender[[#This Row],[Datum]])</f>
        <v>3</v>
      </c>
      <c r="G1913" t="str">
        <f>TEXT(tbl_Kalender[[#This Row],[Datum]],"MMMM")</f>
        <v>März</v>
      </c>
      <c r="H1913">
        <f>ROUNDUP(tbl_Kalender[[#This Row],[Monat]]/3,0)</f>
        <v>1</v>
      </c>
      <c r="I1913" t="str">
        <f>"Q "&amp;tbl_Kalender[[#This Row],[Quartal]]</f>
        <v>Q 1</v>
      </c>
      <c r="J1913" t="str">
        <f>tbl_Kalender[[#This Row],[Quartal]]&amp;". Quartal"</f>
        <v>1. Quartal</v>
      </c>
      <c r="K1913">
        <f>_xlfn.ISOWEEKNUM(tbl_Kalender[[#This Row],[Datum]])</f>
        <v>13</v>
      </c>
    </row>
    <row r="1914" spans="1:11" x14ac:dyDescent="0.25">
      <c r="A1914" s="1">
        <v>47204</v>
      </c>
      <c r="B1914">
        <f>YEAR(tbl_Kalender[[#This Row],[Datum]])</f>
        <v>2029</v>
      </c>
      <c r="C1914">
        <f>DAY(tbl_Kalender[[#This Row],[Datum]])</f>
        <v>27</v>
      </c>
      <c r="D1914" t="str">
        <f>TEXT(tbl_Kalender[[#This Row],[Datum]],"TTTT")</f>
        <v>Dienstag</v>
      </c>
      <c r="E1914">
        <f>WEEKDAY(tbl_Kalender[[#This Row],[Datum]],2)</f>
        <v>2</v>
      </c>
      <c r="F1914">
        <f>MONTH(tbl_Kalender[[#This Row],[Datum]])</f>
        <v>3</v>
      </c>
      <c r="G1914" t="str">
        <f>TEXT(tbl_Kalender[[#This Row],[Datum]],"MMMM")</f>
        <v>März</v>
      </c>
      <c r="H1914">
        <f>ROUNDUP(tbl_Kalender[[#This Row],[Monat]]/3,0)</f>
        <v>1</v>
      </c>
      <c r="I1914" t="str">
        <f>"Q "&amp;tbl_Kalender[[#This Row],[Quartal]]</f>
        <v>Q 1</v>
      </c>
      <c r="J1914" t="str">
        <f>tbl_Kalender[[#This Row],[Quartal]]&amp;". Quartal"</f>
        <v>1. Quartal</v>
      </c>
      <c r="K1914">
        <f>_xlfn.ISOWEEKNUM(tbl_Kalender[[#This Row],[Datum]])</f>
        <v>13</v>
      </c>
    </row>
    <row r="1915" spans="1:11" x14ac:dyDescent="0.25">
      <c r="A1915" s="1">
        <v>47205</v>
      </c>
      <c r="B1915">
        <f>YEAR(tbl_Kalender[[#This Row],[Datum]])</f>
        <v>2029</v>
      </c>
      <c r="C1915">
        <f>DAY(tbl_Kalender[[#This Row],[Datum]])</f>
        <v>28</v>
      </c>
      <c r="D1915" t="str">
        <f>TEXT(tbl_Kalender[[#This Row],[Datum]],"TTTT")</f>
        <v>Mittwoch</v>
      </c>
      <c r="E1915">
        <f>WEEKDAY(tbl_Kalender[[#This Row],[Datum]],2)</f>
        <v>3</v>
      </c>
      <c r="F1915">
        <f>MONTH(tbl_Kalender[[#This Row],[Datum]])</f>
        <v>3</v>
      </c>
      <c r="G1915" t="str">
        <f>TEXT(tbl_Kalender[[#This Row],[Datum]],"MMMM")</f>
        <v>März</v>
      </c>
      <c r="H1915">
        <f>ROUNDUP(tbl_Kalender[[#This Row],[Monat]]/3,0)</f>
        <v>1</v>
      </c>
      <c r="I1915" t="str">
        <f>"Q "&amp;tbl_Kalender[[#This Row],[Quartal]]</f>
        <v>Q 1</v>
      </c>
      <c r="J1915" t="str">
        <f>tbl_Kalender[[#This Row],[Quartal]]&amp;". Quartal"</f>
        <v>1. Quartal</v>
      </c>
      <c r="K1915">
        <f>_xlfn.ISOWEEKNUM(tbl_Kalender[[#This Row],[Datum]])</f>
        <v>13</v>
      </c>
    </row>
    <row r="1916" spans="1:11" x14ac:dyDescent="0.25">
      <c r="A1916" s="1">
        <v>47206</v>
      </c>
      <c r="B1916">
        <f>YEAR(tbl_Kalender[[#This Row],[Datum]])</f>
        <v>2029</v>
      </c>
      <c r="C1916">
        <f>DAY(tbl_Kalender[[#This Row],[Datum]])</f>
        <v>29</v>
      </c>
      <c r="D1916" t="str">
        <f>TEXT(tbl_Kalender[[#This Row],[Datum]],"TTTT")</f>
        <v>Donnerstag</v>
      </c>
      <c r="E1916">
        <f>WEEKDAY(tbl_Kalender[[#This Row],[Datum]],2)</f>
        <v>4</v>
      </c>
      <c r="F1916">
        <f>MONTH(tbl_Kalender[[#This Row],[Datum]])</f>
        <v>3</v>
      </c>
      <c r="G1916" t="str">
        <f>TEXT(tbl_Kalender[[#This Row],[Datum]],"MMMM")</f>
        <v>März</v>
      </c>
      <c r="H1916">
        <f>ROUNDUP(tbl_Kalender[[#This Row],[Monat]]/3,0)</f>
        <v>1</v>
      </c>
      <c r="I1916" t="str">
        <f>"Q "&amp;tbl_Kalender[[#This Row],[Quartal]]</f>
        <v>Q 1</v>
      </c>
      <c r="J1916" t="str">
        <f>tbl_Kalender[[#This Row],[Quartal]]&amp;". Quartal"</f>
        <v>1. Quartal</v>
      </c>
      <c r="K1916">
        <f>_xlfn.ISOWEEKNUM(tbl_Kalender[[#This Row],[Datum]])</f>
        <v>13</v>
      </c>
    </row>
    <row r="1917" spans="1:11" x14ac:dyDescent="0.25">
      <c r="A1917" s="1">
        <v>47207</v>
      </c>
      <c r="B1917">
        <f>YEAR(tbl_Kalender[[#This Row],[Datum]])</f>
        <v>2029</v>
      </c>
      <c r="C1917">
        <f>DAY(tbl_Kalender[[#This Row],[Datum]])</f>
        <v>30</v>
      </c>
      <c r="D1917" t="str">
        <f>TEXT(tbl_Kalender[[#This Row],[Datum]],"TTTT")</f>
        <v>Freitag</v>
      </c>
      <c r="E1917">
        <f>WEEKDAY(tbl_Kalender[[#This Row],[Datum]],2)</f>
        <v>5</v>
      </c>
      <c r="F1917">
        <f>MONTH(tbl_Kalender[[#This Row],[Datum]])</f>
        <v>3</v>
      </c>
      <c r="G1917" t="str">
        <f>TEXT(tbl_Kalender[[#This Row],[Datum]],"MMMM")</f>
        <v>März</v>
      </c>
      <c r="H1917">
        <f>ROUNDUP(tbl_Kalender[[#This Row],[Monat]]/3,0)</f>
        <v>1</v>
      </c>
      <c r="I1917" t="str">
        <f>"Q "&amp;tbl_Kalender[[#This Row],[Quartal]]</f>
        <v>Q 1</v>
      </c>
      <c r="J1917" t="str">
        <f>tbl_Kalender[[#This Row],[Quartal]]&amp;". Quartal"</f>
        <v>1. Quartal</v>
      </c>
      <c r="K1917">
        <f>_xlfn.ISOWEEKNUM(tbl_Kalender[[#This Row],[Datum]])</f>
        <v>13</v>
      </c>
    </row>
    <row r="1918" spans="1:11" x14ac:dyDescent="0.25">
      <c r="A1918" s="1">
        <v>47208</v>
      </c>
      <c r="B1918">
        <f>YEAR(tbl_Kalender[[#This Row],[Datum]])</f>
        <v>2029</v>
      </c>
      <c r="C1918">
        <f>DAY(tbl_Kalender[[#This Row],[Datum]])</f>
        <v>31</v>
      </c>
      <c r="D1918" t="str">
        <f>TEXT(tbl_Kalender[[#This Row],[Datum]],"TTTT")</f>
        <v>Samstag</v>
      </c>
      <c r="E1918">
        <f>WEEKDAY(tbl_Kalender[[#This Row],[Datum]],2)</f>
        <v>6</v>
      </c>
      <c r="F1918">
        <f>MONTH(tbl_Kalender[[#This Row],[Datum]])</f>
        <v>3</v>
      </c>
      <c r="G1918" t="str">
        <f>TEXT(tbl_Kalender[[#This Row],[Datum]],"MMMM")</f>
        <v>März</v>
      </c>
      <c r="H1918">
        <f>ROUNDUP(tbl_Kalender[[#This Row],[Monat]]/3,0)</f>
        <v>1</v>
      </c>
      <c r="I1918" t="str">
        <f>"Q "&amp;tbl_Kalender[[#This Row],[Quartal]]</f>
        <v>Q 1</v>
      </c>
      <c r="J1918" t="str">
        <f>tbl_Kalender[[#This Row],[Quartal]]&amp;". Quartal"</f>
        <v>1. Quartal</v>
      </c>
      <c r="K1918">
        <f>_xlfn.ISOWEEKNUM(tbl_Kalender[[#This Row],[Datum]])</f>
        <v>13</v>
      </c>
    </row>
    <row r="1919" spans="1:11" x14ac:dyDescent="0.25">
      <c r="A1919" s="1">
        <v>47209</v>
      </c>
      <c r="B1919">
        <f>YEAR(tbl_Kalender[[#This Row],[Datum]])</f>
        <v>2029</v>
      </c>
      <c r="C1919">
        <f>DAY(tbl_Kalender[[#This Row],[Datum]])</f>
        <v>1</v>
      </c>
      <c r="D1919" t="str">
        <f>TEXT(tbl_Kalender[[#This Row],[Datum]],"TTTT")</f>
        <v>Sonntag</v>
      </c>
      <c r="E1919">
        <f>WEEKDAY(tbl_Kalender[[#This Row],[Datum]],2)</f>
        <v>7</v>
      </c>
      <c r="F1919">
        <f>MONTH(tbl_Kalender[[#This Row],[Datum]])</f>
        <v>4</v>
      </c>
      <c r="G1919" t="str">
        <f>TEXT(tbl_Kalender[[#This Row],[Datum]],"MMMM")</f>
        <v>April</v>
      </c>
      <c r="H1919">
        <f>ROUNDUP(tbl_Kalender[[#This Row],[Monat]]/3,0)</f>
        <v>2</v>
      </c>
      <c r="I1919" t="str">
        <f>"Q "&amp;tbl_Kalender[[#This Row],[Quartal]]</f>
        <v>Q 2</v>
      </c>
      <c r="J1919" t="str">
        <f>tbl_Kalender[[#This Row],[Quartal]]&amp;". Quartal"</f>
        <v>2. Quartal</v>
      </c>
      <c r="K1919">
        <f>_xlfn.ISOWEEKNUM(tbl_Kalender[[#This Row],[Datum]])</f>
        <v>13</v>
      </c>
    </row>
    <row r="1920" spans="1:11" x14ac:dyDescent="0.25">
      <c r="A1920" s="1">
        <v>47210</v>
      </c>
      <c r="B1920">
        <f>YEAR(tbl_Kalender[[#This Row],[Datum]])</f>
        <v>2029</v>
      </c>
      <c r="C1920">
        <f>DAY(tbl_Kalender[[#This Row],[Datum]])</f>
        <v>2</v>
      </c>
      <c r="D1920" t="str">
        <f>TEXT(tbl_Kalender[[#This Row],[Datum]],"TTTT")</f>
        <v>Montag</v>
      </c>
      <c r="E1920">
        <f>WEEKDAY(tbl_Kalender[[#This Row],[Datum]],2)</f>
        <v>1</v>
      </c>
      <c r="F1920">
        <f>MONTH(tbl_Kalender[[#This Row],[Datum]])</f>
        <v>4</v>
      </c>
      <c r="G1920" t="str">
        <f>TEXT(tbl_Kalender[[#This Row],[Datum]],"MMMM")</f>
        <v>April</v>
      </c>
      <c r="H1920">
        <f>ROUNDUP(tbl_Kalender[[#This Row],[Monat]]/3,0)</f>
        <v>2</v>
      </c>
      <c r="I1920" t="str">
        <f>"Q "&amp;tbl_Kalender[[#This Row],[Quartal]]</f>
        <v>Q 2</v>
      </c>
      <c r="J1920" t="str">
        <f>tbl_Kalender[[#This Row],[Quartal]]&amp;". Quartal"</f>
        <v>2. Quartal</v>
      </c>
      <c r="K1920">
        <f>_xlfn.ISOWEEKNUM(tbl_Kalender[[#This Row],[Datum]])</f>
        <v>14</v>
      </c>
    </row>
    <row r="1921" spans="1:11" x14ac:dyDescent="0.25">
      <c r="A1921" s="1">
        <v>47211</v>
      </c>
      <c r="B1921">
        <f>YEAR(tbl_Kalender[[#This Row],[Datum]])</f>
        <v>2029</v>
      </c>
      <c r="C1921">
        <f>DAY(tbl_Kalender[[#This Row],[Datum]])</f>
        <v>3</v>
      </c>
      <c r="D1921" t="str">
        <f>TEXT(tbl_Kalender[[#This Row],[Datum]],"TTTT")</f>
        <v>Dienstag</v>
      </c>
      <c r="E1921">
        <f>WEEKDAY(tbl_Kalender[[#This Row],[Datum]],2)</f>
        <v>2</v>
      </c>
      <c r="F1921">
        <f>MONTH(tbl_Kalender[[#This Row],[Datum]])</f>
        <v>4</v>
      </c>
      <c r="G1921" t="str">
        <f>TEXT(tbl_Kalender[[#This Row],[Datum]],"MMMM")</f>
        <v>April</v>
      </c>
      <c r="H1921">
        <f>ROUNDUP(tbl_Kalender[[#This Row],[Monat]]/3,0)</f>
        <v>2</v>
      </c>
      <c r="I1921" t="str">
        <f>"Q "&amp;tbl_Kalender[[#This Row],[Quartal]]</f>
        <v>Q 2</v>
      </c>
      <c r="J1921" t="str">
        <f>tbl_Kalender[[#This Row],[Quartal]]&amp;". Quartal"</f>
        <v>2. Quartal</v>
      </c>
      <c r="K1921">
        <f>_xlfn.ISOWEEKNUM(tbl_Kalender[[#This Row],[Datum]])</f>
        <v>14</v>
      </c>
    </row>
    <row r="1922" spans="1:11" x14ac:dyDescent="0.25">
      <c r="A1922" s="1">
        <v>47212</v>
      </c>
      <c r="B1922">
        <f>YEAR(tbl_Kalender[[#This Row],[Datum]])</f>
        <v>2029</v>
      </c>
      <c r="C1922">
        <f>DAY(tbl_Kalender[[#This Row],[Datum]])</f>
        <v>4</v>
      </c>
      <c r="D1922" t="str">
        <f>TEXT(tbl_Kalender[[#This Row],[Datum]],"TTTT")</f>
        <v>Mittwoch</v>
      </c>
      <c r="E1922">
        <f>WEEKDAY(tbl_Kalender[[#This Row],[Datum]],2)</f>
        <v>3</v>
      </c>
      <c r="F1922">
        <f>MONTH(tbl_Kalender[[#This Row],[Datum]])</f>
        <v>4</v>
      </c>
      <c r="G1922" t="str">
        <f>TEXT(tbl_Kalender[[#This Row],[Datum]],"MMMM")</f>
        <v>April</v>
      </c>
      <c r="H1922">
        <f>ROUNDUP(tbl_Kalender[[#This Row],[Monat]]/3,0)</f>
        <v>2</v>
      </c>
      <c r="I1922" t="str">
        <f>"Q "&amp;tbl_Kalender[[#This Row],[Quartal]]</f>
        <v>Q 2</v>
      </c>
      <c r="J1922" t="str">
        <f>tbl_Kalender[[#This Row],[Quartal]]&amp;". Quartal"</f>
        <v>2. Quartal</v>
      </c>
      <c r="K1922">
        <f>_xlfn.ISOWEEKNUM(tbl_Kalender[[#This Row],[Datum]])</f>
        <v>14</v>
      </c>
    </row>
    <row r="1923" spans="1:11" x14ac:dyDescent="0.25">
      <c r="A1923" s="1">
        <v>47213</v>
      </c>
      <c r="B1923">
        <f>YEAR(tbl_Kalender[[#This Row],[Datum]])</f>
        <v>2029</v>
      </c>
      <c r="C1923">
        <f>DAY(tbl_Kalender[[#This Row],[Datum]])</f>
        <v>5</v>
      </c>
      <c r="D1923" t="str">
        <f>TEXT(tbl_Kalender[[#This Row],[Datum]],"TTTT")</f>
        <v>Donnerstag</v>
      </c>
      <c r="E1923">
        <f>WEEKDAY(tbl_Kalender[[#This Row],[Datum]],2)</f>
        <v>4</v>
      </c>
      <c r="F1923">
        <f>MONTH(tbl_Kalender[[#This Row],[Datum]])</f>
        <v>4</v>
      </c>
      <c r="G1923" t="str">
        <f>TEXT(tbl_Kalender[[#This Row],[Datum]],"MMMM")</f>
        <v>April</v>
      </c>
      <c r="H1923">
        <f>ROUNDUP(tbl_Kalender[[#This Row],[Monat]]/3,0)</f>
        <v>2</v>
      </c>
      <c r="I1923" t="str">
        <f>"Q "&amp;tbl_Kalender[[#This Row],[Quartal]]</f>
        <v>Q 2</v>
      </c>
      <c r="J1923" t="str">
        <f>tbl_Kalender[[#This Row],[Quartal]]&amp;". Quartal"</f>
        <v>2. Quartal</v>
      </c>
      <c r="K1923">
        <f>_xlfn.ISOWEEKNUM(tbl_Kalender[[#This Row],[Datum]])</f>
        <v>14</v>
      </c>
    </row>
    <row r="1924" spans="1:11" x14ac:dyDescent="0.25">
      <c r="A1924" s="1">
        <v>47214</v>
      </c>
      <c r="B1924">
        <f>YEAR(tbl_Kalender[[#This Row],[Datum]])</f>
        <v>2029</v>
      </c>
      <c r="C1924">
        <f>DAY(tbl_Kalender[[#This Row],[Datum]])</f>
        <v>6</v>
      </c>
      <c r="D1924" t="str">
        <f>TEXT(tbl_Kalender[[#This Row],[Datum]],"TTTT")</f>
        <v>Freitag</v>
      </c>
      <c r="E1924">
        <f>WEEKDAY(tbl_Kalender[[#This Row],[Datum]],2)</f>
        <v>5</v>
      </c>
      <c r="F1924">
        <f>MONTH(tbl_Kalender[[#This Row],[Datum]])</f>
        <v>4</v>
      </c>
      <c r="G1924" t="str">
        <f>TEXT(tbl_Kalender[[#This Row],[Datum]],"MMMM")</f>
        <v>April</v>
      </c>
      <c r="H1924">
        <f>ROUNDUP(tbl_Kalender[[#This Row],[Monat]]/3,0)</f>
        <v>2</v>
      </c>
      <c r="I1924" t="str">
        <f>"Q "&amp;tbl_Kalender[[#This Row],[Quartal]]</f>
        <v>Q 2</v>
      </c>
      <c r="J1924" t="str">
        <f>tbl_Kalender[[#This Row],[Quartal]]&amp;". Quartal"</f>
        <v>2. Quartal</v>
      </c>
      <c r="K1924">
        <f>_xlfn.ISOWEEKNUM(tbl_Kalender[[#This Row],[Datum]])</f>
        <v>14</v>
      </c>
    </row>
    <row r="1925" spans="1:11" x14ac:dyDescent="0.25">
      <c r="A1925" s="1">
        <v>47215</v>
      </c>
      <c r="B1925">
        <f>YEAR(tbl_Kalender[[#This Row],[Datum]])</f>
        <v>2029</v>
      </c>
      <c r="C1925">
        <f>DAY(tbl_Kalender[[#This Row],[Datum]])</f>
        <v>7</v>
      </c>
      <c r="D1925" t="str">
        <f>TEXT(tbl_Kalender[[#This Row],[Datum]],"TTTT")</f>
        <v>Samstag</v>
      </c>
      <c r="E1925">
        <f>WEEKDAY(tbl_Kalender[[#This Row],[Datum]],2)</f>
        <v>6</v>
      </c>
      <c r="F1925">
        <f>MONTH(tbl_Kalender[[#This Row],[Datum]])</f>
        <v>4</v>
      </c>
      <c r="G1925" t="str">
        <f>TEXT(tbl_Kalender[[#This Row],[Datum]],"MMMM")</f>
        <v>April</v>
      </c>
      <c r="H1925">
        <f>ROUNDUP(tbl_Kalender[[#This Row],[Monat]]/3,0)</f>
        <v>2</v>
      </c>
      <c r="I1925" t="str">
        <f>"Q "&amp;tbl_Kalender[[#This Row],[Quartal]]</f>
        <v>Q 2</v>
      </c>
      <c r="J1925" t="str">
        <f>tbl_Kalender[[#This Row],[Quartal]]&amp;". Quartal"</f>
        <v>2. Quartal</v>
      </c>
      <c r="K1925">
        <f>_xlfn.ISOWEEKNUM(tbl_Kalender[[#This Row],[Datum]])</f>
        <v>14</v>
      </c>
    </row>
    <row r="1926" spans="1:11" x14ac:dyDescent="0.25">
      <c r="A1926" s="1">
        <v>47216</v>
      </c>
      <c r="B1926">
        <f>YEAR(tbl_Kalender[[#This Row],[Datum]])</f>
        <v>2029</v>
      </c>
      <c r="C1926">
        <f>DAY(tbl_Kalender[[#This Row],[Datum]])</f>
        <v>8</v>
      </c>
      <c r="D1926" t="str">
        <f>TEXT(tbl_Kalender[[#This Row],[Datum]],"TTTT")</f>
        <v>Sonntag</v>
      </c>
      <c r="E1926">
        <f>WEEKDAY(tbl_Kalender[[#This Row],[Datum]],2)</f>
        <v>7</v>
      </c>
      <c r="F1926">
        <f>MONTH(tbl_Kalender[[#This Row],[Datum]])</f>
        <v>4</v>
      </c>
      <c r="G1926" t="str">
        <f>TEXT(tbl_Kalender[[#This Row],[Datum]],"MMMM")</f>
        <v>April</v>
      </c>
      <c r="H1926">
        <f>ROUNDUP(tbl_Kalender[[#This Row],[Monat]]/3,0)</f>
        <v>2</v>
      </c>
      <c r="I1926" t="str">
        <f>"Q "&amp;tbl_Kalender[[#This Row],[Quartal]]</f>
        <v>Q 2</v>
      </c>
      <c r="J1926" t="str">
        <f>tbl_Kalender[[#This Row],[Quartal]]&amp;". Quartal"</f>
        <v>2. Quartal</v>
      </c>
      <c r="K1926">
        <f>_xlfn.ISOWEEKNUM(tbl_Kalender[[#This Row],[Datum]])</f>
        <v>14</v>
      </c>
    </row>
    <row r="1927" spans="1:11" x14ac:dyDescent="0.25">
      <c r="A1927" s="1">
        <v>47217</v>
      </c>
      <c r="B1927">
        <f>YEAR(tbl_Kalender[[#This Row],[Datum]])</f>
        <v>2029</v>
      </c>
      <c r="C1927">
        <f>DAY(tbl_Kalender[[#This Row],[Datum]])</f>
        <v>9</v>
      </c>
      <c r="D1927" t="str">
        <f>TEXT(tbl_Kalender[[#This Row],[Datum]],"TTTT")</f>
        <v>Montag</v>
      </c>
      <c r="E1927">
        <f>WEEKDAY(tbl_Kalender[[#This Row],[Datum]],2)</f>
        <v>1</v>
      </c>
      <c r="F1927">
        <f>MONTH(tbl_Kalender[[#This Row],[Datum]])</f>
        <v>4</v>
      </c>
      <c r="G1927" t="str">
        <f>TEXT(tbl_Kalender[[#This Row],[Datum]],"MMMM")</f>
        <v>April</v>
      </c>
      <c r="H1927">
        <f>ROUNDUP(tbl_Kalender[[#This Row],[Monat]]/3,0)</f>
        <v>2</v>
      </c>
      <c r="I1927" t="str">
        <f>"Q "&amp;tbl_Kalender[[#This Row],[Quartal]]</f>
        <v>Q 2</v>
      </c>
      <c r="J1927" t="str">
        <f>tbl_Kalender[[#This Row],[Quartal]]&amp;". Quartal"</f>
        <v>2. Quartal</v>
      </c>
      <c r="K1927">
        <f>_xlfn.ISOWEEKNUM(tbl_Kalender[[#This Row],[Datum]])</f>
        <v>15</v>
      </c>
    </row>
    <row r="1928" spans="1:11" x14ac:dyDescent="0.25">
      <c r="A1928" s="1">
        <v>47218</v>
      </c>
      <c r="B1928">
        <f>YEAR(tbl_Kalender[[#This Row],[Datum]])</f>
        <v>2029</v>
      </c>
      <c r="C1928">
        <f>DAY(tbl_Kalender[[#This Row],[Datum]])</f>
        <v>10</v>
      </c>
      <c r="D1928" t="str">
        <f>TEXT(tbl_Kalender[[#This Row],[Datum]],"TTTT")</f>
        <v>Dienstag</v>
      </c>
      <c r="E1928">
        <f>WEEKDAY(tbl_Kalender[[#This Row],[Datum]],2)</f>
        <v>2</v>
      </c>
      <c r="F1928">
        <f>MONTH(tbl_Kalender[[#This Row],[Datum]])</f>
        <v>4</v>
      </c>
      <c r="G1928" t="str">
        <f>TEXT(tbl_Kalender[[#This Row],[Datum]],"MMMM")</f>
        <v>April</v>
      </c>
      <c r="H1928">
        <f>ROUNDUP(tbl_Kalender[[#This Row],[Monat]]/3,0)</f>
        <v>2</v>
      </c>
      <c r="I1928" t="str">
        <f>"Q "&amp;tbl_Kalender[[#This Row],[Quartal]]</f>
        <v>Q 2</v>
      </c>
      <c r="J1928" t="str">
        <f>tbl_Kalender[[#This Row],[Quartal]]&amp;". Quartal"</f>
        <v>2. Quartal</v>
      </c>
      <c r="K1928">
        <f>_xlfn.ISOWEEKNUM(tbl_Kalender[[#This Row],[Datum]])</f>
        <v>15</v>
      </c>
    </row>
    <row r="1929" spans="1:11" x14ac:dyDescent="0.25">
      <c r="A1929" s="1">
        <v>47219</v>
      </c>
      <c r="B1929">
        <f>YEAR(tbl_Kalender[[#This Row],[Datum]])</f>
        <v>2029</v>
      </c>
      <c r="C1929">
        <f>DAY(tbl_Kalender[[#This Row],[Datum]])</f>
        <v>11</v>
      </c>
      <c r="D1929" t="str">
        <f>TEXT(tbl_Kalender[[#This Row],[Datum]],"TTTT")</f>
        <v>Mittwoch</v>
      </c>
      <c r="E1929">
        <f>WEEKDAY(tbl_Kalender[[#This Row],[Datum]],2)</f>
        <v>3</v>
      </c>
      <c r="F1929">
        <f>MONTH(tbl_Kalender[[#This Row],[Datum]])</f>
        <v>4</v>
      </c>
      <c r="G1929" t="str">
        <f>TEXT(tbl_Kalender[[#This Row],[Datum]],"MMMM")</f>
        <v>April</v>
      </c>
      <c r="H1929">
        <f>ROUNDUP(tbl_Kalender[[#This Row],[Monat]]/3,0)</f>
        <v>2</v>
      </c>
      <c r="I1929" t="str">
        <f>"Q "&amp;tbl_Kalender[[#This Row],[Quartal]]</f>
        <v>Q 2</v>
      </c>
      <c r="J1929" t="str">
        <f>tbl_Kalender[[#This Row],[Quartal]]&amp;". Quartal"</f>
        <v>2. Quartal</v>
      </c>
      <c r="K1929">
        <f>_xlfn.ISOWEEKNUM(tbl_Kalender[[#This Row],[Datum]])</f>
        <v>15</v>
      </c>
    </row>
    <row r="1930" spans="1:11" x14ac:dyDescent="0.25">
      <c r="A1930" s="1">
        <v>47220</v>
      </c>
      <c r="B1930">
        <f>YEAR(tbl_Kalender[[#This Row],[Datum]])</f>
        <v>2029</v>
      </c>
      <c r="C1930">
        <f>DAY(tbl_Kalender[[#This Row],[Datum]])</f>
        <v>12</v>
      </c>
      <c r="D1930" t="str">
        <f>TEXT(tbl_Kalender[[#This Row],[Datum]],"TTTT")</f>
        <v>Donnerstag</v>
      </c>
      <c r="E1930">
        <f>WEEKDAY(tbl_Kalender[[#This Row],[Datum]],2)</f>
        <v>4</v>
      </c>
      <c r="F1930">
        <f>MONTH(tbl_Kalender[[#This Row],[Datum]])</f>
        <v>4</v>
      </c>
      <c r="G1930" t="str">
        <f>TEXT(tbl_Kalender[[#This Row],[Datum]],"MMMM")</f>
        <v>April</v>
      </c>
      <c r="H1930">
        <f>ROUNDUP(tbl_Kalender[[#This Row],[Monat]]/3,0)</f>
        <v>2</v>
      </c>
      <c r="I1930" t="str">
        <f>"Q "&amp;tbl_Kalender[[#This Row],[Quartal]]</f>
        <v>Q 2</v>
      </c>
      <c r="J1930" t="str">
        <f>tbl_Kalender[[#This Row],[Quartal]]&amp;". Quartal"</f>
        <v>2. Quartal</v>
      </c>
      <c r="K1930">
        <f>_xlfn.ISOWEEKNUM(tbl_Kalender[[#This Row],[Datum]])</f>
        <v>15</v>
      </c>
    </row>
    <row r="1931" spans="1:11" x14ac:dyDescent="0.25">
      <c r="A1931" s="1">
        <v>47221</v>
      </c>
      <c r="B1931">
        <f>YEAR(tbl_Kalender[[#This Row],[Datum]])</f>
        <v>2029</v>
      </c>
      <c r="C1931">
        <f>DAY(tbl_Kalender[[#This Row],[Datum]])</f>
        <v>13</v>
      </c>
      <c r="D1931" t="str">
        <f>TEXT(tbl_Kalender[[#This Row],[Datum]],"TTTT")</f>
        <v>Freitag</v>
      </c>
      <c r="E1931">
        <f>WEEKDAY(tbl_Kalender[[#This Row],[Datum]],2)</f>
        <v>5</v>
      </c>
      <c r="F1931">
        <f>MONTH(tbl_Kalender[[#This Row],[Datum]])</f>
        <v>4</v>
      </c>
      <c r="G1931" t="str">
        <f>TEXT(tbl_Kalender[[#This Row],[Datum]],"MMMM")</f>
        <v>April</v>
      </c>
      <c r="H1931">
        <f>ROUNDUP(tbl_Kalender[[#This Row],[Monat]]/3,0)</f>
        <v>2</v>
      </c>
      <c r="I1931" t="str">
        <f>"Q "&amp;tbl_Kalender[[#This Row],[Quartal]]</f>
        <v>Q 2</v>
      </c>
      <c r="J1931" t="str">
        <f>tbl_Kalender[[#This Row],[Quartal]]&amp;". Quartal"</f>
        <v>2. Quartal</v>
      </c>
      <c r="K1931">
        <f>_xlfn.ISOWEEKNUM(tbl_Kalender[[#This Row],[Datum]])</f>
        <v>15</v>
      </c>
    </row>
    <row r="1932" spans="1:11" x14ac:dyDescent="0.25">
      <c r="A1932" s="1">
        <v>47222</v>
      </c>
      <c r="B1932">
        <f>YEAR(tbl_Kalender[[#This Row],[Datum]])</f>
        <v>2029</v>
      </c>
      <c r="C1932">
        <f>DAY(tbl_Kalender[[#This Row],[Datum]])</f>
        <v>14</v>
      </c>
      <c r="D1932" t="str">
        <f>TEXT(tbl_Kalender[[#This Row],[Datum]],"TTTT")</f>
        <v>Samstag</v>
      </c>
      <c r="E1932">
        <f>WEEKDAY(tbl_Kalender[[#This Row],[Datum]],2)</f>
        <v>6</v>
      </c>
      <c r="F1932">
        <f>MONTH(tbl_Kalender[[#This Row],[Datum]])</f>
        <v>4</v>
      </c>
      <c r="G1932" t="str">
        <f>TEXT(tbl_Kalender[[#This Row],[Datum]],"MMMM")</f>
        <v>April</v>
      </c>
      <c r="H1932">
        <f>ROUNDUP(tbl_Kalender[[#This Row],[Monat]]/3,0)</f>
        <v>2</v>
      </c>
      <c r="I1932" t="str">
        <f>"Q "&amp;tbl_Kalender[[#This Row],[Quartal]]</f>
        <v>Q 2</v>
      </c>
      <c r="J1932" t="str">
        <f>tbl_Kalender[[#This Row],[Quartal]]&amp;". Quartal"</f>
        <v>2. Quartal</v>
      </c>
      <c r="K1932">
        <f>_xlfn.ISOWEEKNUM(tbl_Kalender[[#This Row],[Datum]])</f>
        <v>15</v>
      </c>
    </row>
    <row r="1933" spans="1:11" x14ac:dyDescent="0.25">
      <c r="A1933" s="1">
        <v>47223</v>
      </c>
      <c r="B1933">
        <f>YEAR(tbl_Kalender[[#This Row],[Datum]])</f>
        <v>2029</v>
      </c>
      <c r="C1933">
        <f>DAY(tbl_Kalender[[#This Row],[Datum]])</f>
        <v>15</v>
      </c>
      <c r="D1933" t="str">
        <f>TEXT(tbl_Kalender[[#This Row],[Datum]],"TTTT")</f>
        <v>Sonntag</v>
      </c>
      <c r="E1933">
        <f>WEEKDAY(tbl_Kalender[[#This Row],[Datum]],2)</f>
        <v>7</v>
      </c>
      <c r="F1933">
        <f>MONTH(tbl_Kalender[[#This Row],[Datum]])</f>
        <v>4</v>
      </c>
      <c r="G1933" t="str">
        <f>TEXT(tbl_Kalender[[#This Row],[Datum]],"MMMM")</f>
        <v>April</v>
      </c>
      <c r="H1933">
        <f>ROUNDUP(tbl_Kalender[[#This Row],[Monat]]/3,0)</f>
        <v>2</v>
      </c>
      <c r="I1933" t="str">
        <f>"Q "&amp;tbl_Kalender[[#This Row],[Quartal]]</f>
        <v>Q 2</v>
      </c>
      <c r="J1933" t="str">
        <f>tbl_Kalender[[#This Row],[Quartal]]&amp;". Quartal"</f>
        <v>2. Quartal</v>
      </c>
      <c r="K1933">
        <f>_xlfn.ISOWEEKNUM(tbl_Kalender[[#This Row],[Datum]])</f>
        <v>15</v>
      </c>
    </row>
    <row r="1934" spans="1:11" x14ac:dyDescent="0.25">
      <c r="A1934" s="1">
        <v>47224</v>
      </c>
      <c r="B1934">
        <f>YEAR(tbl_Kalender[[#This Row],[Datum]])</f>
        <v>2029</v>
      </c>
      <c r="C1934">
        <f>DAY(tbl_Kalender[[#This Row],[Datum]])</f>
        <v>16</v>
      </c>
      <c r="D1934" t="str">
        <f>TEXT(tbl_Kalender[[#This Row],[Datum]],"TTTT")</f>
        <v>Montag</v>
      </c>
      <c r="E1934">
        <f>WEEKDAY(tbl_Kalender[[#This Row],[Datum]],2)</f>
        <v>1</v>
      </c>
      <c r="F1934">
        <f>MONTH(tbl_Kalender[[#This Row],[Datum]])</f>
        <v>4</v>
      </c>
      <c r="G1934" t="str">
        <f>TEXT(tbl_Kalender[[#This Row],[Datum]],"MMMM")</f>
        <v>April</v>
      </c>
      <c r="H1934">
        <f>ROUNDUP(tbl_Kalender[[#This Row],[Monat]]/3,0)</f>
        <v>2</v>
      </c>
      <c r="I1934" t="str">
        <f>"Q "&amp;tbl_Kalender[[#This Row],[Quartal]]</f>
        <v>Q 2</v>
      </c>
      <c r="J1934" t="str">
        <f>tbl_Kalender[[#This Row],[Quartal]]&amp;". Quartal"</f>
        <v>2. Quartal</v>
      </c>
      <c r="K1934">
        <f>_xlfn.ISOWEEKNUM(tbl_Kalender[[#This Row],[Datum]])</f>
        <v>16</v>
      </c>
    </row>
    <row r="1935" spans="1:11" x14ac:dyDescent="0.25">
      <c r="A1935" s="1">
        <v>47225</v>
      </c>
      <c r="B1935">
        <f>YEAR(tbl_Kalender[[#This Row],[Datum]])</f>
        <v>2029</v>
      </c>
      <c r="C1935">
        <f>DAY(tbl_Kalender[[#This Row],[Datum]])</f>
        <v>17</v>
      </c>
      <c r="D1935" t="str">
        <f>TEXT(tbl_Kalender[[#This Row],[Datum]],"TTTT")</f>
        <v>Dienstag</v>
      </c>
      <c r="E1935">
        <f>WEEKDAY(tbl_Kalender[[#This Row],[Datum]],2)</f>
        <v>2</v>
      </c>
      <c r="F1935">
        <f>MONTH(tbl_Kalender[[#This Row],[Datum]])</f>
        <v>4</v>
      </c>
      <c r="G1935" t="str">
        <f>TEXT(tbl_Kalender[[#This Row],[Datum]],"MMMM")</f>
        <v>April</v>
      </c>
      <c r="H1935">
        <f>ROUNDUP(tbl_Kalender[[#This Row],[Monat]]/3,0)</f>
        <v>2</v>
      </c>
      <c r="I1935" t="str">
        <f>"Q "&amp;tbl_Kalender[[#This Row],[Quartal]]</f>
        <v>Q 2</v>
      </c>
      <c r="J1935" t="str">
        <f>tbl_Kalender[[#This Row],[Quartal]]&amp;". Quartal"</f>
        <v>2. Quartal</v>
      </c>
      <c r="K1935">
        <f>_xlfn.ISOWEEKNUM(tbl_Kalender[[#This Row],[Datum]])</f>
        <v>16</v>
      </c>
    </row>
    <row r="1936" spans="1:11" x14ac:dyDescent="0.25">
      <c r="A1936" s="1">
        <v>47226</v>
      </c>
      <c r="B1936">
        <f>YEAR(tbl_Kalender[[#This Row],[Datum]])</f>
        <v>2029</v>
      </c>
      <c r="C1936">
        <f>DAY(tbl_Kalender[[#This Row],[Datum]])</f>
        <v>18</v>
      </c>
      <c r="D1936" t="str">
        <f>TEXT(tbl_Kalender[[#This Row],[Datum]],"TTTT")</f>
        <v>Mittwoch</v>
      </c>
      <c r="E1936">
        <f>WEEKDAY(tbl_Kalender[[#This Row],[Datum]],2)</f>
        <v>3</v>
      </c>
      <c r="F1936">
        <f>MONTH(tbl_Kalender[[#This Row],[Datum]])</f>
        <v>4</v>
      </c>
      <c r="G1936" t="str">
        <f>TEXT(tbl_Kalender[[#This Row],[Datum]],"MMMM")</f>
        <v>April</v>
      </c>
      <c r="H1936">
        <f>ROUNDUP(tbl_Kalender[[#This Row],[Monat]]/3,0)</f>
        <v>2</v>
      </c>
      <c r="I1936" t="str">
        <f>"Q "&amp;tbl_Kalender[[#This Row],[Quartal]]</f>
        <v>Q 2</v>
      </c>
      <c r="J1936" t="str">
        <f>tbl_Kalender[[#This Row],[Quartal]]&amp;". Quartal"</f>
        <v>2. Quartal</v>
      </c>
      <c r="K1936">
        <f>_xlfn.ISOWEEKNUM(tbl_Kalender[[#This Row],[Datum]])</f>
        <v>16</v>
      </c>
    </row>
    <row r="1937" spans="1:11" x14ac:dyDescent="0.25">
      <c r="A1937" s="1">
        <v>47227</v>
      </c>
      <c r="B1937">
        <f>YEAR(tbl_Kalender[[#This Row],[Datum]])</f>
        <v>2029</v>
      </c>
      <c r="C1937">
        <f>DAY(tbl_Kalender[[#This Row],[Datum]])</f>
        <v>19</v>
      </c>
      <c r="D1937" t="str">
        <f>TEXT(tbl_Kalender[[#This Row],[Datum]],"TTTT")</f>
        <v>Donnerstag</v>
      </c>
      <c r="E1937">
        <f>WEEKDAY(tbl_Kalender[[#This Row],[Datum]],2)</f>
        <v>4</v>
      </c>
      <c r="F1937">
        <f>MONTH(tbl_Kalender[[#This Row],[Datum]])</f>
        <v>4</v>
      </c>
      <c r="G1937" t="str">
        <f>TEXT(tbl_Kalender[[#This Row],[Datum]],"MMMM")</f>
        <v>April</v>
      </c>
      <c r="H1937">
        <f>ROUNDUP(tbl_Kalender[[#This Row],[Monat]]/3,0)</f>
        <v>2</v>
      </c>
      <c r="I1937" t="str">
        <f>"Q "&amp;tbl_Kalender[[#This Row],[Quartal]]</f>
        <v>Q 2</v>
      </c>
      <c r="J1937" t="str">
        <f>tbl_Kalender[[#This Row],[Quartal]]&amp;". Quartal"</f>
        <v>2. Quartal</v>
      </c>
      <c r="K1937">
        <f>_xlfn.ISOWEEKNUM(tbl_Kalender[[#This Row],[Datum]])</f>
        <v>16</v>
      </c>
    </row>
    <row r="1938" spans="1:11" x14ac:dyDescent="0.25">
      <c r="A1938" s="1">
        <v>47228</v>
      </c>
      <c r="B1938">
        <f>YEAR(tbl_Kalender[[#This Row],[Datum]])</f>
        <v>2029</v>
      </c>
      <c r="C1938">
        <f>DAY(tbl_Kalender[[#This Row],[Datum]])</f>
        <v>20</v>
      </c>
      <c r="D1938" t="str">
        <f>TEXT(tbl_Kalender[[#This Row],[Datum]],"TTTT")</f>
        <v>Freitag</v>
      </c>
      <c r="E1938">
        <f>WEEKDAY(tbl_Kalender[[#This Row],[Datum]],2)</f>
        <v>5</v>
      </c>
      <c r="F1938">
        <f>MONTH(tbl_Kalender[[#This Row],[Datum]])</f>
        <v>4</v>
      </c>
      <c r="G1938" t="str">
        <f>TEXT(tbl_Kalender[[#This Row],[Datum]],"MMMM")</f>
        <v>April</v>
      </c>
      <c r="H1938">
        <f>ROUNDUP(tbl_Kalender[[#This Row],[Monat]]/3,0)</f>
        <v>2</v>
      </c>
      <c r="I1938" t="str">
        <f>"Q "&amp;tbl_Kalender[[#This Row],[Quartal]]</f>
        <v>Q 2</v>
      </c>
      <c r="J1938" t="str">
        <f>tbl_Kalender[[#This Row],[Quartal]]&amp;". Quartal"</f>
        <v>2. Quartal</v>
      </c>
      <c r="K1938">
        <f>_xlfn.ISOWEEKNUM(tbl_Kalender[[#This Row],[Datum]])</f>
        <v>16</v>
      </c>
    </row>
    <row r="1939" spans="1:11" x14ac:dyDescent="0.25">
      <c r="A1939" s="1">
        <v>47229</v>
      </c>
      <c r="B1939">
        <f>YEAR(tbl_Kalender[[#This Row],[Datum]])</f>
        <v>2029</v>
      </c>
      <c r="C1939">
        <f>DAY(tbl_Kalender[[#This Row],[Datum]])</f>
        <v>21</v>
      </c>
      <c r="D1939" t="str">
        <f>TEXT(tbl_Kalender[[#This Row],[Datum]],"TTTT")</f>
        <v>Samstag</v>
      </c>
      <c r="E1939">
        <f>WEEKDAY(tbl_Kalender[[#This Row],[Datum]],2)</f>
        <v>6</v>
      </c>
      <c r="F1939">
        <f>MONTH(tbl_Kalender[[#This Row],[Datum]])</f>
        <v>4</v>
      </c>
      <c r="G1939" t="str">
        <f>TEXT(tbl_Kalender[[#This Row],[Datum]],"MMMM")</f>
        <v>April</v>
      </c>
      <c r="H1939">
        <f>ROUNDUP(tbl_Kalender[[#This Row],[Monat]]/3,0)</f>
        <v>2</v>
      </c>
      <c r="I1939" t="str">
        <f>"Q "&amp;tbl_Kalender[[#This Row],[Quartal]]</f>
        <v>Q 2</v>
      </c>
      <c r="J1939" t="str">
        <f>tbl_Kalender[[#This Row],[Quartal]]&amp;". Quartal"</f>
        <v>2. Quartal</v>
      </c>
      <c r="K1939">
        <f>_xlfn.ISOWEEKNUM(tbl_Kalender[[#This Row],[Datum]])</f>
        <v>16</v>
      </c>
    </row>
    <row r="1940" spans="1:11" x14ac:dyDescent="0.25">
      <c r="A1940" s="1">
        <v>47230</v>
      </c>
      <c r="B1940">
        <f>YEAR(tbl_Kalender[[#This Row],[Datum]])</f>
        <v>2029</v>
      </c>
      <c r="C1940">
        <f>DAY(tbl_Kalender[[#This Row],[Datum]])</f>
        <v>22</v>
      </c>
      <c r="D1940" t="str">
        <f>TEXT(tbl_Kalender[[#This Row],[Datum]],"TTTT")</f>
        <v>Sonntag</v>
      </c>
      <c r="E1940">
        <f>WEEKDAY(tbl_Kalender[[#This Row],[Datum]],2)</f>
        <v>7</v>
      </c>
      <c r="F1940">
        <f>MONTH(tbl_Kalender[[#This Row],[Datum]])</f>
        <v>4</v>
      </c>
      <c r="G1940" t="str">
        <f>TEXT(tbl_Kalender[[#This Row],[Datum]],"MMMM")</f>
        <v>April</v>
      </c>
      <c r="H1940">
        <f>ROUNDUP(tbl_Kalender[[#This Row],[Monat]]/3,0)</f>
        <v>2</v>
      </c>
      <c r="I1940" t="str">
        <f>"Q "&amp;tbl_Kalender[[#This Row],[Quartal]]</f>
        <v>Q 2</v>
      </c>
      <c r="J1940" t="str">
        <f>tbl_Kalender[[#This Row],[Quartal]]&amp;". Quartal"</f>
        <v>2. Quartal</v>
      </c>
      <c r="K1940">
        <f>_xlfn.ISOWEEKNUM(tbl_Kalender[[#This Row],[Datum]])</f>
        <v>16</v>
      </c>
    </row>
    <row r="1941" spans="1:11" x14ac:dyDescent="0.25">
      <c r="A1941" s="1">
        <v>47231</v>
      </c>
      <c r="B1941">
        <f>YEAR(tbl_Kalender[[#This Row],[Datum]])</f>
        <v>2029</v>
      </c>
      <c r="C1941">
        <f>DAY(tbl_Kalender[[#This Row],[Datum]])</f>
        <v>23</v>
      </c>
      <c r="D1941" t="str">
        <f>TEXT(tbl_Kalender[[#This Row],[Datum]],"TTTT")</f>
        <v>Montag</v>
      </c>
      <c r="E1941">
        <f>WEEKDAY(tbl_Kalender[[#This Row],[Datum]],2)</f>
        <v>1</v>
      </c>
      <c r="F1941">
        <f>MONTH(tbl_Kalender[[#This Row],[Datum]])</f>
        <v>4</v>
      </c>
      <c r="G1941" t="str">
        <f>TEXT(tbl_Kalender[[#This Row],[Datum]],"MMMM")</f>
        <v>April</v>
      </c>
      <c r="H1941">
        <f>ROUNDUP(tbl_Kalender[[#This Row],[Monat]]/3,0)</f>
        <v>2</v>
      </c>
      <c r="I1941" t="str">
        <f>"Q "&amp;tbl_Kalender[[#This Row],[Quartal]]</f>
        <v>Q 2</v>
      </c>
      <c r="J1941" t="str">
        <f>tbl_Kalender[[#This Row],[Quartal]]&amp;". Quartal"</f>
        <v>2. Quartal</v>
      </c>
      <c r="K1941">
        <f>_xlfn.ISOWEEKNUM(tbl_Kalender[[#This Row],[Datum]])</f>
        <v>17</v>
      </c>
    </row>
    <row r="1942" spans="1:11" x14ac:dyDescent="0.25">
      <c r="A1942" s="1">
        <v>47232</v>
      </c>
      <c r="B1942">
        <f>YEAR(tbl_Kalender[[#This Row],[Datum]])</f>
        <v>2029</v>
      </c>
      <c r="C1942">
        <f>DAY(tbl_Kalender[[#This Row],[Datum]])</f>
        <v>24</v>
      </c>
      <c r="D1942" t="str">
        <f>TEXT(tbl_Kalender[[#This Row],[Datum]],"TTTT")</f>
        <v>Dienstag</v>
      </c>
      <c r="E1942">
        <f>WEEKDAY(tbl_Kalender[[#This Row],[Datum]],2)</f>
        <v>2</v>
      </c>
      <c r="F1942">
        <f>MONTH(tbl_Kalender[[#This Row],[Datum]])</f>
        <v>4</v>
      </c>
      <c r="G1942" t="str">
        <f>TEXT(tbl_Kalender[[#This Row],[Datum]],"MMMM")</f>
        <v>April</v>
      </c>
      <c r="H1942">
        <f>ROUNDUP(tbl_Kalender[[#This Row],[Monat]]/3,0)</f>
        <v>2</v>
      </c>
      <c r="I1942" t="str">
        <f>"Q "&amp;tbl_Kalender[[#This Row],[Quartal]]</f>
        <v>Q 2</v>
      </c>
      <c r="J1942" t="str">
        <f>tbl_Kalender[[#This Row],[Quartal]]&amp;". Quartal"</f>
        <v>2. Quartal</v>
      </c>
      <c r="K1942">
        <f>_xlfn.ISOWEEKNUM(tbl_Kalender[[#This Row],[Datum]])</f>
        <v>17</v>
      </c>
    </row>
    <row r="1943" spans="1:11" x14ac:dyDescent="0.25">
      <c r="A1943" s="1">
        <v>47233</v>
      </c>
      <c r="B1943">
        <f>YEAR(tbl_Kalender[[#This Row],[Datum]])</f>
        <v>2029</v>
      </c>
      <c r="C1943">
        <f>DAY(tbl_Kalender[[#This Row],[Datum]])</f>
        <v>25</v>
      </c>
      <c r="D1943" t="str">
        <f>TEXT(tbl_Kalender[[#This Row],[Datum]],"TTTT")</f>
        <v>Mittwoch</v>
      </c>
      <c r="E1943">
        <f>WEEKDAY(tbl_Kalender[[#This Row],[Datum]],2)</f>
        <v>3</v>
      </c>
      <c r="F1943">
        <f>MONTH(tbl_Kalender[[#This Row],[Datum]])</f>
        <v>4</v>
      </c>
      <c r="G1943" t="str">
        <f>TEXT(tbl_Kalender[[#This Row],[Datum]],"MMMM")</f>
        <v>April</v>
      </c>
      <c r="H1943">
        <f>ROUNDUP(tbl_Kalender[[#This Row],[Monat]]/3,0)</f>
        <v>2</v>
      </c>
      <c r="I1943" t="str">
        <f>"Q "&amp;tbl_Kalender[[#This Row],[Quartal]]</f>
        <v>Q 2</v>
      </c>
      <c r="J1943" t="str">
        <f>tbl_Kalender[[#This Row],[Quartal]]&amp;". Quartal"</f>
        <v>2. Quartal</v>
      </c>
      <c r="K1943">
        <f>_xlfn.ISOWEEKNUM(tbl_Kalender[[#This Row],[Datum]])</f>
        <v>17</v>
      </c>
    </row>
    <row r="1944" spans="1:11" x14ac:dyDescent="0.25">
      <c r="A1944" s="1">
        <v>47234</v>
      </c>
      <c r="B1944">
        <f>YEAR(tbl_Kalender[[#This Row],[Datum]])</f>
        <v>2029</v>
      </c>
      <c r="C1944">
        <f>DAY(tbl_Kalender[[#This Row],[Datum]])</f>
        <v>26</v>
      </c>
      <c r="D1944" t="str">
        <f>TEXT(tbl_Kalender[[#This Row],[Datum]],"TTTT")</f>
        <v>Donnerstag</v>
      </c>
      <c r="E1944">
        <f>WEEKDAY(tbl_Kalender[[#This Row],[Datum]],2)</f>
        <v>4</v>
      </c>
      <c r="F1944">
        <f>MONTH(tbl_Kalender[[#This Row],[Datum]])</f>
        <v>4</v>
      </c>
      <c r="G1944" t="str">
        <f>TEXT(tbl_Kalender[[#This Row],[Datum]],"MMMM")</f>
        <v>April</v>
      </c>
      <c r="H1944">
        <f>ROUNDUP(tbl_Kalender[[#This Row],[Monat]]/3,0)</f>
        <v>2</v>
      </c>
      <c r="I1944" t="str">
        <f>"Q "&amp;tbl_Kalender[[#This Row],[Quartal]]</f>
        <v>Q 2</v>
      </c>
      <c r="J1944" t="str">
        <f>tbl_Kalender[[#This Row],[Quartal]]&amp;". Quartal"</f>
        <v>2. Quartal</v>
      </c>
      <c r="K1944">
        <f>_xlfn.ISOWEEKNUM(tbl_Kalender[[#This Row],[Datum]])</f>
        <v>17</v>
      </c>
    </row>
    <row r="1945" spans="1:11" x14ac:dyDescent="0.25">
      <c r="A1945" s="1">
        <v>47235</v>
      </c>
      <c r="B1945">
        <f>YEAR(tbl_Kalender[[#This Row],[Datum]])</f>
        <v>2029</v>
      </c>
      <c r="C1945">
        <f>DAY(tbl_Kalender[[#This Row],[Datum]])</f>
        <v>27</v>
      </c>
      <c r="D1945" t="str">
        <f>TEXT(tbl_Kalender[[#This Row],[Datum]],"TTTT")</f>
        <v>Freitag</v>
      </c>
      <c r="E1945">
        <f>WEEKDAY(tbl_Kalender[[#This Row],[Datum]],2)</f>
        <v>5</v>
      </c>
      <c r="F1945">
        <f>MONTH(tbl_Kalender[[#This Row],[Datum]])</f>
        <v>4</v>
      </c>
      <c r="G1945" t="str">
        <f>TEXT(tbl_Kalender[[#This Row],[Datum]],"MMMM")</f>
        <v>April</v>
      </c>
      <c r="H1945">
        <f>ROUNDUP(tbl_Kalender[[#This Row],[Monat]]/3,0)</f>
        <v>2</v>
      </c>
      <c r="I1945" t="str">
        <f>"Q "&amp;tbl_Kalender[[#This Row],[Quartal]]</f>
        <v>Q 2</v>
      </c>
      <c r="J1945" t="str">
        <f>tbl_Kalender[[#This Row],[Quartal]]&amp;". Quartal"</f>
        <v>2. Quartal</v>
      </c>
      <c r="K1945">
        <f>_xlfn.ISOWEEKNUM(tbl_Kalender[[#This Row],[Datum]])</f>
        <v>17</v>
      </c>
    </row>
    <row r="1946" spans="1:11" x14ac:dyDescent="0.25">
      <c r="A1946" s="1">
        <v>47236</v>
      </c>
      <c r="B1946">
        <f>YEAR(tbl_Kalender[[#This Row],[Datum]])</f>
        <v>2029</v>
      </c>
      <c r="C1946">
        <f>DAY(tbl_Kalender[[#This Row],[Datum]])</f>
        <v>28</v>
      </c>
      <c r="D1946" t="str">
        <f>TEXT(tbl_Kalender[[#This Row],[Datum]],"TTTT")</f>
        <v>Samstag</v>
      </c>
      <c r="E1946">
        <f>WEEKDAY(tbl_Kalender[[#This Row],[Datum]],2)</f>
        <v>6</v>
      </c>
      <c r="F1946">
        <f>MONTH(tbl_Kalender[[#This Row],[Datum]])</f>
        <v>4</v>
      </c>
      <c r="G1946" t="str">
        <f>TEXT(tbl_Kalender[[#This Row],[Datum]],"MMMM")</f>
        <v>April</v>
      </c>
      <c r="H1946">
        <f>ROUNDUP(tbl_Kalender[[#This Row],[Monat]]/3,0)</f>
        <v>2</v>
      </c>
      <c r="I1946" t="str">
        <f>"Q "&amp;tbl_Kalender[[#This Row],[Quartal]]</f>
        <v>Q 2</v>
      </c>
      <c r="J1946" t="str">
        <f>tbl_Kalender[[#This Row],[Quartal]]&amp;". Quartal"</f>
        <v>2. Quartal</v>
      </c>
      <c r="K1946">
        <f>_xlfn.ISOWEEKNUM(tbl_Kalender[[#This Row],[Datum]])</f>
        <v>17</v>
      </c>
    </row>
    <row r="1947" spans="1:11" x14ac:dyDescent="0.25">
      <c r="A1947" s="1">
        <v>47237</v>
      </c>
      <c r="B1947">
        <f>YEAR(tbl_Kalender[[#This Row],[Datum]])</f>
        <v>2029</v>
      </c>
      <c r="C1947">
        <f>DAY(tbl_Kalender[[#This Row],[Datum]])</f>
        <v>29</v>
      </c>
      <c r="D1947" t="str">
        <f>TEXT(tbl_Kalender[[#This Row],[Datum]],"TTTT")</f>
        <v>Sonntag</v>
      </c>
      <c r="E1947">
        <f>WEEKDAY(tbl_Kalender[[#This Row],[Datum]],2)</f>
        <v>7</v>
      </c>
      <c r="F1947">
        <f>MONTH(tbl_Kalender[[#This Row],[Datum]])</f>
        <v>4</v>
      </c>
      <c r="G1947" t="str">
        <f>TEXT(tbl_Kalender[[#This Row],[Datum]],"MMMM")</f>
        <v>April</v>
      </c>
      <c r="H1947">
        <f>ROUNDUP(tbl_Kalender[[#This Row],[Monat]]/3,0)</f>
        <v>2</v>
      </c>
      <c r="I1947" t="str">
        <f>"Q "&amp;tbl_Kalender[[#This Row],[Quartal]]</f>
        <v>Q 2</v>
      </c>
      <c r="J1947" t="str">
        <f>tbl_Kalender[[#This Row],[Quartal]]&amp;". Quartal"</f>
        <v>2. Quartal</v>
      </c>
      <c r="K1947">
        <f>_xlfn.ISOWEEKNUM(tbl_Kalender[[#This Row],[Datum]])</f>
        <v>17</v>
      </c>
    </row>
    <row r="1948" spans="1:11" x14ac:dyDescent="0.25">
      <c r="A1948" s="1">
        <v>47238</v>
      </c>
      <c r="B1948">
        <f>YEAR(tbl_Kalender[[#This Row],[Datum]])</f>
        <v>2029</v>
      </c>
      <c r="C1948">
        <f>DAY(tbl_Kalender[[#This Row],[Datum]])</f>
        <v>30</v>
      </c>
      <c r="D1948" t="str">
        <f>TEXT(tbl_Kalender[[#This Row],[Datum]],"TTTT")</f>
        <v>Montag</v>
      </c>
      <c r="E1948">
        <f>WEEKDAY(tbl_Kalender[[#This Row],[Datum]],2)</f>
        <v>1</v>
      </c>
      <c r="F1948">
        <f>MONTH(tbl_Kalender[[#This Row],[Datum]])</f>
        <v>4</v>
      </c>
      <c r="G1948" t="str">
        <f>TEXT(tbl_Kalender[[#This Row],[Datum]],"MMMM")</f>
        <v>April</v>
      </c>
      <c r="H1948">
        <f>ROUNDUP(tbl_Kalender[[#This Row],[Monat]]/3,0)</f>
        <v>2</v>
      </c>
      <c r="I1948" t="str">
        <f>"Q "&amp;tbl_Kalender[[#This Row],[Quartal]]</f>
        <v>Q 2</v>
      </c>
      <c r="J1948" t="str">
        <f>tbl_Kalender[[#This Row],[Quartal]]&amp;". Quartal"</f>
        <v>2. Quartal</v>
      </c>
      <c r="K1948">
        <f>_xlfn.ISOWEEKNUM(tbl_Kalender[[#This Row],[Datum]])</f>
        <v>18</v>
      </c>
    </row>
    <row r="1949" spans="1:11" x14ac:dyDescent="0.25">
      <c r="A1949" s="1">
        <v>47239</v>
      </c>
      <c r="B1949">
        <f>YEAR(tbl_Kalender[[#This Row],[Datum]])</f>
        <v>2029</v>
      </c>
      <c r="C1949">
        <f>DAY(tbl_Kalender[[#This Row],[Datum]])</f>
        <v>1</v>
      </c>
      <c r="D1949" t="str">
        <f>TEXT(tbl_Kalender[[#This Row],[Datum]],"TTTT")</f>
        <v>Dienstag</v>
      </c>
      <c r="E1949">
        <f>WEEKDAY(tbl_Kalender[[#This Row],[Datum]],2)</f>
        <v>2</v>
      </c>
      <c r="F1949">
        <f>MONTH(tbl_Kalender[[#This Row],[Datum]])</f>
        <v>5</v>
      </c>
      <c r="G1949" t="str">
        <f>TEXT(tbl_Kalender[[#This Row],[Datum]],"MMMM")</f>
        <v>Mai</v>
      </c>
      <c r="H1949">
        <f>ROUNDUP(tbl_Kalender[[#This Row],[Monat]]/3,0)</f>
        <v>2</v>
      </c>
      <c r="I1949" t="str">
        <f>"Q "&amp;tbl_Kalender[[#This Row],[Quartal]]</f>
        <v>Q 2</v>
      </c>
      <c r="J1949" t="str">
        <f>tbl_Kalender[[#This Row],[Quartal]]&amp;". Quartal"</f>
        <v>2. Quartal</v>
      </c>
      <c r="K1949">
        <f>_xlfn.ISOWEEKNUM(tbl_Kalender[[#This Row],[Datum]])</f>
        <v>18</v>
      </c>
    </row>
    <row r="1950" spans="1:11" x14ac:dyDescent="0.25">
      <c r="A1950" s="1">
        <v>47240</v>
      </c>
      <c r="B1950">
        <f>YEAR(tbl_Kalender[[#This Row],[Datum]])</f>
        <v>2029</v>
      </c>
      <c r="C1950">
        <f>DAY(tbl_Kalender[[#This Row],[Datum]])</f>
        <v>2</v>
      </c>
      <c r="D1950" t="str">
        <f>TEXT(tbl_Kalender[[#This Row],[Datum]],"TTTT")</f>
        <v>Mittwoch</v>
      </c>
      <c r="E1950">
        <f>WEEKDAY(tbl_Kalender[[#This Row],[Datum]],2)</f>
        <v>3</v>
      </c>
      <c r="F1950">
        <f>MONTH(tbl_Kalender[[#This Row],[Datum]])</f>
        <v>5</v>
      </c>
      <c r="G1950" t="str">
        <f>TEXT(tbl_Kalender[[#This Row],[Datum]],"MMMM")</f>
        <v>Mai</v>
      </c>
      <c r="H1950">
        <f>ROUNDUP(tbl_Kalender[[#This Row],[Monat]]/3,0)</f>
        <v>2</v>
      </c>
      <c r="I1950" t="str">
        <f>"Q "&amp;tbl_Kalender[[#This Row],[Quartal]]</f>
        <v>Q 2</v>
      </c>
      <c r="J1950" t="str">
        <f>tbl_Kalender[[#This Row],[Quartal]]&amp;". Quartal"</f>
        <v>2. Quartal</v>
      </c>
      <c r="K1950">
        <f>_xlfn.ISOWEEKNUM(tbl_Kalender[[#This Row],[Datum]])</f>
        <v>18</v>
      </c>
    </row>
    <row r="1951" spans="1:11" x14ac:dyDescent="0.25">
      <c r="A1951" s="1">
        <v>47241</v>
      </c>
      <c r="B1951">
        <f>YEAR(tbl_Kalender[[#This Row],[Datum]])</f>
        <v>2029</v>
      </c>
      <c r="C1951">
        <f>DAY(tbl_Kalender[[#This Row],[Datum]])</f>
        <v>3</v>
      </c>
      <c r="D1951" t="str">
        <f>TEXT(tbl_Kalender[[#This Row],[Datum]],"TTTT")</f>
        <v>Donnerstag</v>
      </c>
      <c r="E1951">
        <f>WEEKDAY(tbl_Kalender[[#This Row],[Datum]],2)</f>
        <v>4</v>
      </c>
      <c r="F1951">
        <f>MONTH(tbl_Kalender[[#This Row],[Datum]])</f>
        <v>5</v>
      </c>
      <c r="G1951" t="str">
        <f>TEXT(tbl_Kalender[[#This Row],[Datum]],"MMMM")</f>
        <v>Mai</v>
      </c>
      <c r="H1951">
        <f>ROUNDUP(tbl_Kalender[[#This Row],[Monat]]/3,0)</f>
        <v>2</v>
      </c>
      <c r="I1951" t="str">
        <f>"Q "&amp;tbl_Kalender[[#This Row],[Quartal]]</f>
        <v>Q 2</v>
      </c>
      <c r="J1951" t="str">
        <f>tbl_Kalender[[#This Row],[Quartal]]&amp;". Quartal"</f>
        <v>2. Quartal</v>
      </c>
      <c r="K1951">
        <f>_xlfn.ISOWEEKNUM(tbl_Kalender[[#This Row],[Datum]])</f>
        <v>18</v>
      </c>
    </row>
    <row r="1952" spans="1:11" x14ac:dyDescent="0.25">
      <c r="A1952" s="1">
        <v>47242</v>
      </c>
      <c r="B1952">
        <f>YEAR(tbl_Kalender[[#This Row],[Datum]])</f>
        <v>2029</v>
      </c>
      <c r="C1952">
        <f>DAY(tbl_Kalender[[#This Row],[Datum]])</f>
        <v>4</v>
      </c>
      <c r="D1952" t="str">
        <f>TEXT(tbl_Kalender[[#This Row],[Datum]],"TTTT")</f>
        <v>Freitag</v>
      </c>
      <c r="E1952">
        <f>WEEKDAY(tbl_Kalender[[#This Row],[Datum]],2)</f>
        <v>5</v>
      </c>
      <c r="F1952">
        <f>MONTH(tbl_Kalender[[#This Row],[Datum]])</f>
        <v>5</v>
      </c>
      <c r="G1952" t="str">
        <f>TEXT(tbl_Kalender[[#This Row],[Datum]],"MMMM")</f>
        <v>Mai</v>
      </c>
      <c r="H1952">
        <f>ROUNDUP(tbl_Kalender[[#This Row],[Monat]]/3,0)</f>
        <v>2</v>
      </c>
      <c r="I1952" t="str">
        <f>"Q "&amp;tbl_Kalender[[#This Row],[Quartal]]</f>
        <v>Q 2</v>
      </c>
      <c r="J1952" t="str">
        <f>tbl_Kalender[[#This Row],[Quartal]]&amp;". Quartal"</f>
        <v>2. Quartal</v>
      </c>
      <c r="K1952">
        <f>_xlfn.ISOWEEKNUM(tbl_Kalender[[#This Row],[Datum]])</f>
        <v>18</v>
      </c>
    </row>
    <row r="1953" spans="1:11" x14ac:dyDescent="0.25">
      <c r="A1953" s="1">
        <v>47243</v>
      </c>
      <c r="B1953">
        <f>YEAR(tbl_Kalender[[#This Row],[Datum]])</f>
        <v>2029</v>
      </c>
      <c r="C1953">
        <f>DAY(tbl_Kalender[[#This Row],[Datum]])</f>
        <v>5</v>
      </c>
      <c r="D1953" t="str">
        <f>TEXT(tbl_Kalender[[#This Row],[Datum]],"TTTT")</f>
        <v>Samstag</v>
      </c>
      <c r="E1953">
        <f>WEEKDAY(tbl_Kalender[[#This Row],[Datum]],2)</f>
        <v>6</v>
      </c>
      <c r="F1953">
        <f>MONTH(tbl_Kalender[[#This Row],[Datum]])</f>
        <v>5</v>
      </c>
      <c r="G1953" t="str">
        <f>TEXT(tbl_Kalender[[#This Row],[Datum]],"MMMM")</f>
        <v>Mai</v>
      </c>
      <c r="H1953">
        <f>ROUNDUP(tbl_Kalender[[#This Row],[Monat]]/3,0)</f>
        <v>2</v>
      </c>
      <c r="I1953" t="str">
        <f>"Q "&amp;tbl_Kalender[[#This Row],[Quartal]]</f>
        <v>Q 2</v>
      </c>
      <c r="J1953" t="str">
        <f>tbl_Kalender[[#This Row],[Quartal]]&amp;". Quartal"</f>
        <v>2. Quartal</v>
      </c>
      <c r="K1953">
        <f>_xlfn.ISOWEEKNUM(tbl_Kalender[[#This Row],[Datum]])</f>
        <v>18</v>
      </c>
    </row>
    <row r="1954" spans="1:11" x14ac:dyDescent="0.25">
      <c r="A1954" s="1">
        <v>47244</v>
      </c>
      <c r="B1954">
        <f>YEAR(tbl_Kalender[[#This Row],[Datum]])</f>
        <v>2029</v>
      </c>
      <c r="C1954">
        <f>DAY(tbl_Kalender[[#This Row],[Datum]])</f>
        <v>6</v>
      </c>
      <c r="D1954" t="str">
        <f>TEXT(tbl_Kalender[[#This Row],[Datum]],"TTTT")</f>
        <v>Sonntag</v>
      </c>
      <c r="E1954">
        <f>WEEKDAY(tbl_Kalender[[#This Row],[Datum]],2)</f>
        <v>7</v>
      </c>
      <c r="F1954">
        <f>MONTH(tbl_Kalender[[#This Row],[Datum]])</f>
        <v>5</v>
      </c>
      <c r="G1954" t="str">
        <f>TEXT(tbl_Kalender[[#This Row],[Datum]],"MMMM")</f>
        <v>Mai</v>
      </c>
      <c r="H1954">
        <f>ROUNDUP(tbl_Kalender[[#This Row],[Monat]]/3,0)</f>
        <v>2</v>
      </c>
      <c r="I1954" t="str">
        <f>"Q "&amp;tbl_Kalender[[#This Row],[Quartal]]</f>
        <v>Q 2</v>
      </c>
      <c r="J1954" t="str">
        <f>tbl_Kalender[[#This Row],[Quartal]]&amp;". Quartal"</f>
        <v>2. Quartal</v>
      </c>
      <c r="K1954">
        <f>_xlfn.ISOWEEKNUM(tbl_Kalender[[#This Row],[Datum]])</f>
        <v>18</v>
      </c>
    </row>
    <row r="1955" spans="1:11" x14ac:dyDescent="0.25">
      <c r="A1955" s="1">
        <v>47245</v>
      </c>
      <c r="B1955">
        <f>YEAR(tbl_Kalender[[#This Row],[Datum]])</f>
        <v>2029</v>
      </c>
      <c r="C1955">
        <f>DAY(tbl_Kalender[[#This Row],[Datum]])</f>
        <v>7</v>
      </c>
      <c r="D1955" t="str">
        <f>TEXT(tbl_Kalender[[#This Row],[Datum]],"TTTT")</f>
        <v>Montag</v>
      </c>
      <c r="E1955">
        <f>WEEKDAY(tbl_Kalender[[#This Row],[Datum]],2)</f>
        <v>1</v>
      </c>
      <c r="F1955">
        <f>MONTH(tbl_Kalender[[#This Row],[Datum]])</f>
        <v>5</v>
      </c>
      <c r="G1955" t="str">
        <f>TEXT(tbl_Kalender[[#This Row],[Datum]],"MMMM")</f>
        <v>Mai</v>
      </c>
      <c r="H1955">
        <f>ROUNDUP(tbl_Kalender[[#This Row],[Monat]]/3,0)</f>
        <v>2</v>
      </c>
      <c r="I1955" t="str">
        <f>"Q "&amp;tbl_Kalender[[#This Row],[Quartal]]</f>
        <v>Q 2</v>
      </c>
      <c r="J1955" t="str">
        <f>tbl_Kalender[[#This Row],[Quartal]]&amp;". Quartal"</f>
        <v>2. Quartal</v>
      </c>
      <c r="K1955">
        <f>_xlfn.ISOWEEKNUM(tbl_Kalender[[#This Row],[Datum]])</f>
        <v>19</v>
      </c>
    </row>
    <row r="1956" spans="1:11" x14ac:dyDescent="0.25">
      <c r="A1956" s="1">
        <v>47246</v>
      </c>
      <c r="B1956">
        <f>YEAR(tbl_Kalender[[#This Row],[Datum]])</f>
        <v>2029</v>
      </c>
      <c r="C1956">
        <f>DAY(tbl_Kalender[[#This Row],[Datum]])</f>
        <v>8</v>
      </c>
      <c r="D1956" t="str">
        <f>TEXT(tbl_Kalender[[#This Row],[Datum]],"TTTT")</f>
        <v>Dienstag</v>
      </c>
      <c r="E1956">
        <f>WEEKDAY(tbl_Kalender[[#This Row],[Datum]],2)</f>
        <v>2</v>
      </c>
      <c r="F1956">
        <f>MONTH(tbl_Kalender[[#This Row],[Datum]])</f>
        <v>5</v>
      </c>
      <c r="G1956" t="str">
        <f>TEXT(tbl_Kalender[[#This Row],[Datum]],"MMMM")</f>
        <v>Mai</v>
      </c>
      <c r="H1956">
        <f>ROUNDUP(tbl_Kalender[[#This Row],[Monat]]/3,0)</f>
        <v>2</v>
      </c>
      <c r="I1956" t="str">
        <f>"Q "&amp;tbl_Kalender[[#This Row],[Quartal]]</f>
        <v>Q 2</v>
      </c>
      <c r="J1956" t="str">
        <f>tbl_Kalender[[#This Row],[Quartal]]&amp;". Quartal"</f>
        <v>2. Quartal</v>
      </c>
      <c r="K1956">
        <f>_xlfn.ISOWEEKNUM(tbl_Kalender[[#This Row],[Datum]])</f>
        <v>19</v>
      </c>
    </row>
    <row r="1957" spans="1:11" x14ac:dyDescent="0.25">
      <c r="A1957" s="1">
        <v>47247</v>
      </c>
      <c r="B1957">
        <f>YEAR(tbl_Kalender[[#This Row],[Datum]])</f>
        <v>2029</v>
      </c>
      <c r="C1957">
        <f>DAY(tbl_Kalender[[#This Row],[Datum]])</f>
        <v>9</v>
      </c>
      <c r="D1957" t="str">
        <f>TEXT(tbl_Kalender[[#This Row],[Datum]],"TTTT")</f>
        <v>Mittwoch</v>
      </c>
      <c r="E1957">
        <f>WEEKDAY(tbl_Kalender[[#This Row],[Datum]],2)</f>
        <v>3</v>
      </c>
      <c r="F1957">
        <f>MONTH(tbl_Kalender[[#This Row],[Datum]])</f>
        <v>5</v>
      </c>
      <c r="G1957" t="str">
        <f>TEXT(tbl_Kalender[[#This Row],[Datum]],"MMMM")</f>
        <v>Mai</v>
      </c>
      <c r="H1957">
        <f>ROUNDUP(tbl_Kalender[[#This Row],[Monat]]/3,0)</f>
        <v>2</v>
      </c>
      <c r="I1957" t="str">
        <f>"Q "&amp;tbl_Kalender[[#This Row],[Quartal]]</f>
        <v>Q 2</v>
      </c>
      <c r="J1957" t="str">
        <f>tbl_Kalender[[#This Row],[Quartal]]&amp;". Quartal"</f>
        <v>2. Quartal</v>
      </c>
      <c r="K1957">
        <f>_xlfn.ISOWEEKNUM(tbl_Kalender[[#This Row],[Datum]])</f>
        <v>19</v>
      </c>
    </row>
    <row r="1958" spans="1:11" x14ac:dyDescent="0.25">
      <c r="A1958" s="1">
        <v>47248</v>
      </c>
      <c r="B1958">
        <f>YEAR(tbl_Kalender[[#This Row],[Datum]])</f>
        <v>2029</v>
      </c>
      <c r="C1958">
        <f>DAY(tbl_Kalender[[#This Row],[Datum]])</f>
        <v>10</v>
      </c>
      <c r="D1958" t="str">
        <f>TEXT(tbl_Kalender[[#This Row],[Datum]],"TTTT")</f>
        <v>Donnerstag</v>
      </c>
      <c r="E1958">
        <f>WEEKDAY(tbl_Kalender[[#This Row],[Datum]],2)</f>
        <v>4</v>
      </c>
      <c r="F1958">
        <f>MONTH(tbl_Kalender[[#This Row],[Datum]])</f>
        <v>5</v>
      </c>
      <c r="G1958" t="str">
        <f>TEXT(tbl_Kalender[[#This Row],[Datum]],"MMMM")</f>
        <v>Mai</v>
      </c>
      <c r="H1958">
        <f>ROUNDUP(tbl_Kalender[[#This Row],[Monat]]/3,0)</f>
        <v>2</v>
      </c>
      <c r="I1958" t="str">
        <f>"Q "&amp;tbl_Kalender[[#This Row],[Quartal]]</f>
        <v>Q 2</v>
      </c>
      <c r="J1958" t="str">
        <f>tbl_Kalender[[#This Row],[Quartal]]&amp;". Quartal"</f>
        <v>2. Quartal</v>
      </c>
      <c r="K1958">
        <f>_xlfn.ISOWEEKNUM(tbl_Kalender[[#This Row],[Datum]])</f>
        <v>19</v>
      </c>
    </row>
    <row r="1959" spans="1:11" x14ac:dyDescent="0.25">
      <c r="A1959" s="1">
        <v>47249</v>
      </c>
      <c r="B1959">
        <f>YEAR(tbl_Kalender[[#This Row],[Datum]])</f>
        <v>2029</v>
      </c>
      <c r="C1959">
        <f>DAY(tbl_Kalender[[#This Row],[Datum]])</f>
        <v>11</v>
      </c>
      <c r="D1959" t="str">
        <f>TEXT(tbl_Kalender[[#This Row],[Datum]],"TTTT")</f>
        <v>Freitag</v>
      </c>
      <c r="E1959">
        <f>WEEKDAY(tbl_Kalender[[#This Row],[Datum]],2)</f>
        <v>5</v>
      </c>
      <c r="F1959">
        <f>MONTH(tbl_Kalender[[#This Row],[Datum]])</f>
        <v>5</v>
      </c>
      <c r="G1959" t="str">
        <f>TEXT(tbl_Kalender[[#This Row],[Datum]],"MMMM")</f>
        <v>Mai</v>
      </c>
      <c r="H1959">
        <f>ROUNDUP(tbl_Kalender[[#This Row],[Monat]]/3,0)</f>
        <v>2</v>
      </c>
      <c r="I1959" t="str">
        <f>"Q "&amp;tbl_Kalender[[#This Row],[Quartal]]</f>
        <v>Q 2</v>
      </c>
      <c r="J1959" t="str">
        <f>tbl_Kalender[[#This Row],[Quartal]]&amp;". Quartal"</f>
        <v>2. Quartal</v>
      </c>
      <c r="K1959">
        <f>_xlfn.ISOWEEKNUM(tbl_Kalender[[#This Row],[Datum]])</f>
        <v>19</v>
      </c>
    </row>
    <row r="1960" spans="1:11" x14ac:dyDescent="0.25">
      <c r="A1960" s="1">
        <v>47250</v>
      </c>
      <c r="B1960">
        <f>YEAR(tbl_Kalender[[#This Row],[Datum]])</f>
        <v>2029</v>
      </c>
      <c r="C1960">
        <f>DAY(tbl_Kalender[[#This Row],[Datum]])</f>
        <v>12</v>
      </c>
      <c r="D1960" t="str">
        <f>TEXT(tbl_Kalender[[#This Row],[Datum]],"TTTT")</f>
        <v>Samstag</v>
      </c>
      <c r="E1960">
        <f>WEEKDAY(tbl_Kalender[[#This Row],[Datum]],2)</f>
        <v>6</v>
      </c>
      <c r="F1960">
        <f>MONTH(tbl_Kalender[[#This Row],[Datum]])</f>
        <v>5</v>
      </c>
      <c r="G1960" t="str">
        <f>TEXT(tbl_Kalender[[#This Row],[Datum]],"MMMM")</f>
        <v>Mai</v>
      </c>
      <c r="H1960">
        <f>ROUNDUP(tbl_Kalender[[#This Row],[Monat]]/3,0)</f>
        <v>2</v>
      </c>
      <c r="I1960" t="str">
        <f>"Q "&amp;tbl_Kalender[[#This Row],[Quartal]]</f>
        <v>Q 2</v>
      </c>
      <c r="J1960" t="str">
        <f>tbl_Kalender[[#This Row],[Quartal]]&amp;". Quartal"</f>
        <v>2. Quartal</v>
      </c>
      <c r="K1960">
        <f>_xlfn.ISOWEEKNUM(tbl_Kalender[[#This Row],[Datum]])</f>
        <v>19</v>
      </c>
    </row>
    <row r="1961" spans="1:11" x14ac:dyDescent="0.25">
      <c r="A1961" s="1">
        <v>47251</v>
      </c>
      <c r="B1961">
        <f>YEAR(tbl_Kalender[[#This Row],[Datum]])</f>
        <v>2029</v>
      </c>
      <c r="C1961">
        <f>DAY(tbl_Kalender[[#This Row],[Datum]])</f>
        <v>13</v>
      </c>
      <c r="D1961" t="str">
        <f>TEXT(tbl_Kalender[[#This Row],[Datum]],"TTTT")</f>
        <v>Sonntag</v>
      </c>
      <c r="E1961">
        <f>WEEKDAY(tbl_Kalender[[#This Row],[Datum]],2)</f>
        <v>7</v>
      </c>
      <c r="F1961">
        <f>MONTH(tbl_Kalender[[#This Row],[Datum]])</f>
        <v>5</v>
      </c>
      <c r="G1961" t="str">
        <f>TEXT(tbl_Kalender[[#This Row],[Datum]],"MMMM")</f>
        <v>Mai</v>
      </c>
      <c r="H1961">
        <f>ROUNDUP(tbl_Kalender[[#This Row],[Monat]]/3,0)</f>
        <v>2</v>
      </c>
      <c r="I1961" t="str">
        <f>"Q "&amp;tbl_Kalender[[#This Row],[Quartal]]</f>
        <v>Q 2</v>
      </c>
      <c r="J1961" t="str">
        <f>tbl_Kalender[[#This Row],[Quartal]]&amp;". Quartal"</f>
        <v>2. Quartal</v>
      </c>
      <c r="K1961">
        <f>_xlfn.ISOWEEKNUM(tbl_Kalender[[#This Row],[Datum]])</f>
        <v>19</v>
      </c>
    </row>
    <row r="1962" spans="1:11" x14ac:dyDescent="0.25">
      <c r="A1962" s="1">
        <v>47252</v>
      </c>
      <c r="B1962">
        <f>YEAR(tbl_Kalender[[#This Row],[Datum]])</f>
        <v>2029</v>
      </c>
      <c r="C1962">
        <f>DAY(tbl_Kalender[[#This Row],[Datum]])</f>
        <v>14</v>
      </c>
      <c r="D1962" t="str">
        <f>TEXT(tbl_Kalender[[#This Row],[Datum]],"TTTT")</f>
        <v>Montag</v>
      </c>
      <c r="E1962">
        <f>WEEKDAY(tbl_Kalender[[#This Row],[Datum]],2)</f>
        <v>1</v>
      </c>
      <c r="F1962">
        <f>MONTH(tbl_Kalender[[#This Row],[Datum]])</f>
        <v>5</v>
      </c>
      <c r="G1962" t="str">
        <f>TEXT(tbl_Kalender[[#This Row],[Datum]],"MMMM")</f>
        <v>Mai</v>
      </c>
      <c r="H1962">
        <f>ROUNDUP(tbl_Kalender[[#This Row],[Monat]]/3,0)</f>
        <v>2</v>
      </c>
      <c r="I1962" t="str">
        <f>"Q "&amp;tbl_Kalender[[#This Row],[Quartal]]</f>
        <v>Q 2</v>
      </c>
      <c r="J1962" t="str">
        <f>tbl_Kalender[[#This Row],[Quartal]]&amp;". Quartal"</f>
        <v>2. Quartal</v>
      </c>
      <c r="K1962">
        <f>_xlfn.ISOWEEKNUM(tbl_Kalender[[#This Row],[Datum]])</f>
        <v>20</v>
      </c>
    </row>
    <row r="1963" spans="1:11" x14ac:dyDescent="0.25">
      <c r="A1963" s="1">
        <v>47253</v>
      </c>
      <c r="B1963">
        <f>YEAR(tbl_Kalender[[#This Row],[Datum]])</f>
        <v>2029</v>
      </c>
      <c r="C1963">
        <f>DAY(tbl_Kalender[[#This Row],[Datum]])</f>
        <v>15</v>
      </c>
      <c r="D1963" t="str">
        <f>TEXT(tbl_Kalender[[#This Row],[Datum]],"TTTT")</f>
        <v>Dienstag</v>
      </c>
      <c r="E1963">
        <f>WEEKDAY(tbl_Kalender[[#This Row],[Datum]],2)</f>
        <v>2</v>
      </c>
      <c r="F1963">
        <f>MONTH(tbl_Kalender[[#This Row],[Datum]])</f>
        <v>5</v>
      </c>
      <c r="G1963" t="str">
        <f>TEXT(tbl_Kalender[[#This Row],[Datum]],"MMMM")</f>
        <v>Mai</v>
      </c>
      <c r="H1963">
        <f>ROUNDUP(tbl_Kalender[[#This Row],[Monat]]/3,0)</f>
        <v>2</v>
      </c>
      <c r="I1963" t="str">
        <f>"Q "&amp;tbl_Kalender[[#This Row],[Quartal]]</f>
        <v>Q 2</v>
      </c>
      <c r="J1963" t="str">
        <f>tbl_Kalender[[#This Row],[Quartal]]&amp;". Quartal"</f>
        <v>2. Quartal</v>
      </c>
      <c r="K1963">
        <f>_xlfn.ISOWEEKNUM(tbl_Kalender[[#This Row],[Datum]])</f>
        <v>20</v>
      </c>
    </row>
    <row r="1964" spans="1:11" x14ac:dyDescent="0.25">
      <c r="A1964" s="1">
        <v>47254</v>
      </c>
      <c r="B1964">
        <f>YEAR(tbl_Kalender[[#This Row],[Datum]])</f>
        <v>2029</v>
      </c>
      <c r="C1964">
        <f>DAY(tbl_Kalender[[#This Row],[Datum]])</f>
        <v>16</v>
      </c>
      <c r="D1964" t="str">
        <f>TEXT(tbl_Kalender[[#This Row],[Datum]],"TTTT")</f>
        <v>Mittwoch</v>
      </c>
      <c r="E1964">
        <f>WEEKDAY(tbl_Kalender[[#This Row],[Datum]],2)</f>
        <v>3</v>
      </c>
      <c r="F1964">
        <f>MONTH(tbl_Kalender[[#This Row],[Datum]])</f>
        <v>5</v>
      </c>
      <c r="G1964" t="str">
        <f>TEXT(tbl_Kalender[[#This Row],[Datum]],"MMMM")</f>
        <v>Mai</v>
      </c>
      <c r="H1964">
        <f>ROUNDUP(tbl_Kalender[[#This Row],[Monat]]/3,0)</f>
        <v>2</v>
      </c>
      <c r="I1964" t="str">
        <f>"Q "&amp;tbl_Kalender[[#This Row],[Quartal]]</f>
        <v>Q 2</v>
      </c>
      <c r="J1964" t="str">
        <f>tbl_Kalender[[#This Row],[Quartal]]&amp;". Quartal"</f>
        <v>2. Quartal</v>
      </c>
      <c r="K1964">
        <f>_xlfn.ISOWEEKNUM(tbl_Kalender[[#This Row],[Datum]])</f>
        <v>20</v>
      </c>
    </row>
    <row r="1965" spans="1:11" x14ac:dyDescent="0.25">
      <c r="A1965" s="1">
        <v>47255</v>
      </c>
      <c r="B1965">
        <f>YEAR(tbl_Kalender[[#This Row],[Datum]])</f>
        <v>2029</v>
      </c>
      <c r="C1965">
        <f>DAY(tbl_Kalender[[#This Row],[Datum]])</f>
        <v>17</v>
      </c>
      <c r="D1965" t="str">
        <f>TEXT(tbl_Kalender[[#This Row],[Datum]],"TTTT")</f>
        <v>Donnerstag</v>
      </c>
      <c r="E1965">
        <f>WEEKDAY(tbl_Kalender[[#This Row],[Datum]],2)</f>
        <v>4</v>
      </c>
      <c r="F1965">
        <f>MONTH(tbl_Kalender[[#This Row],[Datum]])</f>
        <v>5</v>
      </c>
      <c r="G1965" t="str">
        <f>TEXT(tbl_Kalender[[#This Row],[Datum]],"MMMM")</f>
        <v>Mai</v>
      </c>
      <c r="H1965">
        <f>ROUNDUP(tbl_Kalender[[#This Row],[Monat]]/3,0)</f>
        <v>2</v>
      </c>
      <c r="I1965" t="str">
        <f>"Q "&amp;tbl_Kalender[[#This Row],[Quartal]]</f>
        <v>Q 2</v>
      </c>
      <c r="J1965" t="str">
        <f>tbl_Kalender[[#This Row],[Quartal]]&amp;". Quartal"</f>
        <v>2. Quartal</v>
      </c>
      <c r="K1965">
        <f>_xlfn.ISOWEEKNUM(tbl_Kalender[[#This Row],[Datum]])</f>
        <v>20</v>
      </c>
    </row>
    <row r="1966" spans="1:11" x14ac:dyDescent="0.25">
      <c r="A1966" s="1">
        <v>47256</v>
      </c>
      <c r="B1966">
        <f>YEAR(tbl_Kalender[[#This Row],[Datum]])</f>
        <v>2029</v>
      </c>
      <c r="C1966">
        <f>DAY(tbl_Kalender[[#This Row],[Datum]])</f>
        <v>18</v>
      </c>
      <c r="D1966" t="str">
        <f>TEXT(tbl_Kalender[[#This Row],[Datum]],"TTTT")</f>
        <v>Freitag</v>
      </c>
      <c r="E1966">
        <f>WEEKDAY(tbl_Kalender[[#This Row],[Datum]],2)</f>
        <v>5</v>
      </c>
      <c r="F1966">
        <f>MONTH(tbl_Kalender[[#This Row],[Datum]])</f>
        <v>5</v>
      </c>
      <c r="G1966" t="str">
        <f>TEXT(tbl_Kalender[[#This Row],[Datum]],"MMMM")</f>
        <v>Mai</v>
      </c>
      <c r="H1966">
        <f>ROUNDUP(tbl_Kalender[[#This Row],[Monat]]/3,0)</f>
        <v>2</v>
      </c>
      <c r="I1966" t="str">
        <f>"Q "&amp;tbl_Kalender[[#This Row],[Quartal]]</f>
        <v>Q 2</v>
      </c>
      <c r="J1966" t="str">
        <f>tbl_Kalender[[#This Row],[Quartal]]&amp;". Quartal"</f>
        <v>2. Quartal</v>
      </c>
      <c r="K1966">
        <f>_xlfn.ISOWEEKNUM(tbl_Kalender[[#This Row],[Datum]])</f>
        <v>20</v>
      </c>
    </row>
    <row r="1967" spans="1:11" x14ac:dyDescent="0.25">
      <c r="A1967" s="1">
        <v>47257</v>
      </c>
      <c r="B1967">
        <f>YEAR(tbl_Kalender[[#This Row],[Datum]])</f>
        <v>2029</v>
      </c>
      <c r="C1967">
        <f>DAY(tbl_Kalender[[#This Row],[Datum]])</f>
        <v>19</v>
      </c>
      <c r="D1967" t="str">
        <f>TEXT(tbl_Kalender[[#This Row],[Datum]],"TTTT")</f>
        <v>Samstag</v>
      </c>
      <c r="E1967">
        <f>WEEKDAY(tbl_Kalender[[#This Row],[Datum]],2)</f>
        <v>6</v>
      </c>
      <c r="F1967">
        <f>MONTH(tbl_Kalender[[#This Row],[Datum]])</f>
        <v>5</v>
      </c>
      <c r="G1967" t="str">
        <f>TEXT(tbl_Kalender[[#This Row],[Datum]],"MMMM")</f>
        <v>Mai</v>
      </c>
      <c r="H1967">
        <f>ROUNDUP(tbl_Kalender[[#This Row],[Monat]]/3,0)</f>
        <v>2</v>
      </c>
      <c r="I1967" t="str">
        <f>"Q "&amp;tbl_Kalender[[#This Row],[Quartal]]</f>
        <v>Q 2</v>
      </c>
      <c r="J1967" t="str">
        <f>tbl_Kalender[[#This Row],[Quartal]]&amp;". Quartal"</f>
        <v>2. Quartal</v>
      </c>
      <c r="K1967">
        <f>_xlfn.ISOWEEKNUM(tbl_Kalender[[#This Row],[Datum]])</f>
        <v>20</v>
      </c>
    </row>
    <row r="1968" spans="1:11" x14ac:dyDescent="0.25">
      <c r="A1968" s="1">
        <v>47258</v>
      </c>
      <c r="B1968">
        <f>YEAR(tbl_Kalender[[#This Row],[Datum]])</f>
        <v>2029</v>
      </c>
      <c r="C1968">
        <f>DAY(tbl_Kalender[[#This Row],[Datum]])</f>
        <v>20</v>
      </c>
      <c r="D1968" t="str">
        <f>TEXT(tbl_Kalender[[#This Row],[Datum]],"TTTT")</f>
        <v>Sonntag</v>
      </c>
      <c r="E1968">
        <f>WEEKDAY(tbl_Kalender[[#This Row],[Datum]],2)</f>
        <v>7</v>
      </c>
      <c r="F1968">
        <f>MONTH(tbl_Kalender[[#This Row],[Datum]])</f>
        <v>5</v>
      </c>
      <c r="G1968" t="str">
        <f>TEXT(tbl_Kalender[[#This Row],[Datum]],"MMMM")</f>
        <v>Mai</v>
      </c>
      <c r="H1968">
        <f>ROUNDUP(tbl_Kalender[[#This Row],[Monat]]/3,0)</f>
        <v>2</v>
      </c>
      <c r="I1968" t="str">
        <f>"Q "&amp;tbl_Kalender[[#This Row],[Quartal]]</f>
        <v>Q 2</v>
      </c>
      <c r="J1968" t="str">
        <f>tbl_Kalender[[#This Row],[Quartal]]&amp;". Quartal"</f>
        <v>2. Quartal</v>
      </c>
      <c r="K1968">
        <f>_xlfn.ISOWEEKNUM(tbl_Kalender[[#This Row],[Datum]])</f>
        <v>20</v>
      </c>
    </row>
    <row r="1969" spans="1:11" x14ac:dyDescent="0.25">
      <c r="A1969" s="1">
        <v>47259</v>
      </c>
      <c r="B1969">
        <f>YEAR(tbl_Kalender[[#This Row],[Datum]])</f>
        <v>2029</v>
      </c>
      <c r="C1969">
        <f>DAY(tbl_Kalender[[#This Row],[Datum]])</f>
        <v>21</v>
      </c>
      <c r="D1969" t="str">
        <f>TEXT(tbl_Kalender[[#This Row],[Datum]],"TTTT")</f>
        <v>Montag</v>
      </c>
      <c r="E1969">
        <f>WEEKDAY(tbl_Kalender[[#This Row],[Datum]],2)</f>
        <v>1</v>
      </c>
      <c r="F1969">
        <f>MONTH(tbl_Kalender[[#This Row],[Datum]])</f>
        <v>5</v>
      </c>
      <c r="G1969" t="str">
        <f>TEXT(tbl_Kalender[[#This Row],[Datum]],"MMMM")</f>
        <v>Mai</v>
      </c>
      <c r="H1969">
        <f>ROUNDUP(tbl_Kalender[[#This Row],[Monat]]/3,0)</f>
        <v>2</v>
      </c>
      <c r="I1969" t="str">
        <f>"Q "&amp;tbl_Kalender[[#This Row],[Quartal]]</f>
        <v>Q 2</v>
      </c>
      <c r="J1969" t="str">
        <f>tbl_Kalender[[#This Row],[Quartal]]&amp;". Quartal"</f>
        <v>2. Quartal</v>
      </c>
      <c r="K1969">
        <f>_xlfn.ISOWEEKNUM(tbl_Kalender[[#This Row],[Datum]])</f>
        <v>21</v>
      </c>
    </row>
    <row r="1970" spans="1:11" x14ac:dyDescent="0.25">
      <c r="A1970" s="1">
        <v>47260</v>
      </c>
      <c r="B1970">
        <f>YEAR(tbl_Kalender[[#This Row],[Datum]])</f>
        <v>2029</v>
      </c>
      <c r="C1970">
        <f>DAY(tbl_Kalender[[#This Row],[Datum]])</f>
        <v>22</v>
      </c>
      <c r="D1970" t="str">
        <f>TEXT(tbl_Kalender[[#This Row],[Datum]],"TTTT")</f>
        <v>Dienstag</v>
      </c>
      <c r="E1970">
        <f>WEEKDAY(tbl_Kalender[[#This Row],[Datum]],2)</f>
        <v>2</v>
      </c>
      <c r="F1970">
        <f>MONTH(tbl_Kalender[[#This Row],[Datum]])</f>
        <v>5</v>
      </c>
      <c r="G1970" t="str">
        <f>TEXT(tbl_Kalender[[#This Row],[Datum]],"MMMM")</f>
        <v>Mai</v>
      </c>
      <c r="H1970">
        <f>ROUNDUP(tbl_Kalender[[#This Row],[Monat]]/3,0)</f>
        <v>2</v>
      </c>
      <c r="I1970" t="str">
        <f>"Q "&amp;tbl_Kalender[[#This Row],[Quartal]]</f>
        <v>Q 2</v>
      </c>
      <c r="J1970" t="str">
        <f>tbl_Kalender[[#This Row],[Quartal]]&amp;". Quartal"</f>
        <v>2. Quartal</v>
      </c>
      <c r="K1970">
        <f>_xlfn.ISOWEEKNUM(tbl_Kalender[[#This Row],[Datum]])</f>
        <v>21</v>
      </c>
    </row>
    <row r="1971" spans="1:11" x14ac:dyDescent="0.25">
      <c r="A1971" s="1">
        <v>47261</v>
      </c>
      <c r="B1971">
        <f>YEAR(tbl_Kalender[[#This Row],[Datum]])</f>
        <v>2029</v>
      </c>
      <c r="C1971">
        <f>DAY(tbl_Kalender[[#This Row],[Datum]])</f>
        <v>23</v>
      </c>
      <c r="D1971" t="str">
        <f>TEXT(tbl_Kalender[[#This Row],[Datum]],"TTTT")</f>
        <v>Mittwoch</v>
      </c>
      <c r="E1971">
        <f>WEEKDAY(tbl_Kalender[[#This Row],[Datum]],2)</f>
        <v>3</v>
      </c>
      <c r="F1971">
        <f>MONTH(tbl_Kalender[[#This Row],[Datum]])</f>
        <v>5</v>
      </c>
      <c r="G1971" t="str">
        <f>TEXT(tbl_Kalender[[#This Row],[Datum]],"MMMM")</f>
        <v>Mai</v>
      </c>
      <c r="H1971">
        <f>ROUNDUP(tbl_Kalender[[#This Row],[Monat]]/3,0)</f>
        <v>2</v>
      </c>
      <c r="I1971" t="str">
        <f>"Q "&amp;tbl_Kalender[[#This Row],[Quartal]]</f>
        <v>Q 2</v>
      </c>
      <c r="J1971" t="str">
        <f>tbl_Kalender[[#This Row],[Quartal]]&amp;". Quartal"</f>
        <v>2. Quartal</v>
      </c>
      <c r="K1971">
        <f>_xlfn.ISOWEEKNUM(tbl_Kalender[[#This Row],[Datum]])</f>
        <v>21</v>
      </c>
    </row>
    <row r="1972" spans="1:11" x14ac:dyDescent="0.25">
      <c r="A1972" s="1">
        <v>47262</v>
      </c>
      <c r="B1972">
        <f>YEAR(tbl_Kalender[[#This Row],[Datum]])</f>
        <v>2029</v>
      </c>
      <c r="C1972">
        <f>DAY(tbl_Kalender[[#This Row],[Datum]])</f>
        <v>24</v>
      </c>
      <c r="D1972" t="str">
        <f>TEXT(tbl_Kalender[[#This Row],[Datum]],"TTTT")</f>
        <v>Donnerstag</v>
      </c>
      <c r="E1972">
        <f>WEEKDAY(tbl_Kalender[[#This Row],[Datum]],2)</f>
        <v>4</v>
      </c>
      <c r="F1972">
        <f>MONTH(tbl_Kalender[[#This Row],[Datum]])</f>
        <v>5</v>
      </c>
      <c r="G1972" t="str">
        <f>TEXT(tbl_Kalender[[#This Row],[Datum]],"MMMM")</f>
        <v>Mai</v>
      </c>
      <c r="H1972">
        <f>ROUNDUP(tbl_Kalender[[#This Row],[Monat]]/3,0)</f>
        <v>2</v>
      </c>
      <c r="I1972" t="str">
        <f>"Q "&amp;tbl_Kalender[[#This Row],[Quartal]]</f>
        <v>Q 2</v>
      </c>
      <c r="J1972" t="str">
        <f>tbl_Kalender[[#This Row],[Quartal]]&amp;". Quartal"</f>
        <v>2. Quartal</v>
      </c>
      <c r="K1972">
        <f>_xlfn.ISOWEEKNUM(tbl_Kalender[[#This Row],[Datum]])</f>
        <v>21</v>
      </c>
    </row>
    <row r="1973" spans="1:11" x14ac:dyDescent="0.25">
      <c r="A1973" s="1">
        <v>47263</v>
      </c>
      <c r="B1973">
        <f>YEAR(tbl_Kalender[[#This Row],[Datum]])</f>
        <v>2029</v>
      </c>
      <c r="C1973">
        <f>DAY(tbl_Kalender[[#This Row],[Datum]])</f>
        <v>25</v>
      </c>
      <c r="D1973" t="str">
        <f>TEXT(tbl_Kalender[[#This Row],[Datum]],"TTTT")</f>
        <v>Freitag</v>
      </c>
      <c r="E1973">
        <f>WEEKDAY(tbl_Kalender[[#This Row],[Datum]],2)</f>
        <v>5</v>
      </c>
      <c r="F1973">
        <f>MONTH(tbl_Kalender[[#This Row],[Datum]])</f>
        <v>5</v>
      </c>
      <c r="G1973" t="str">
        <f>TEXT(tbl_Kalender[[#This Row],[Datum]],"MMMM")</f>
        <v>Mai</v>
      </c>
      <c r="H1973">
        <f>ROUNDUP(tbl_Kalender[[#This Row],[Monat]]/3,0)</f>
        <v>2</v>
      </c>
      <c r="I1973" t="str">
        <f>"Q "&amp;tbl_Kalender[[#This Row],[Quartal]]</f>
        <v>Q 2</v>
      </c>
      <c r="J1973" t="str">
        <f>tbl_Kalender[[#This Row],[Quartal]]&amp;". Quartal"</f>
        <v>2. Quartal</v>
      </c>
      <c r="K1973">
        <f>_xlfn.ISOWEEKNUM(tbl_Kalender[[#This Row],[Datum]])</f>
        <v>21</v>
      </c>
    </row>
    <row r="1974" spans="1:11" x14ac:dyDescent="0.25">
      <c r="A1974" s="1">
        <v>47264</v>
      </c>
      <c r="B1974">
        <f>YEAR(tbl_Kalender[[#This Row],[Datum]])</f>
        <v>2029</v>
      </c>
      <c r="C1974">
        <f>DAY(tbl_Kalender[[#This Row],[Datum]])</f>
        <v>26</v>
      </c>
      <c r="D1974" t="str">
        <f>TEXT(tbl_Kalender[[#This Row],[Datum]],"TTTT")</f>
        <v>Samstag</v>
      </c>
      <c r="E1974">
        <f>WEEKDAY(tbl_Kalender[[#This Row],[Datum]],2)</f>
        <v>6</v>
      </c>
      <c r="F1974">
        <f>MONTH(tbl_Kalender[[#This Row],[Datum]])</f>
        <v>5</v>
      </c>
      <c r="G1974" t="str">
        <f>TEXT(tbl_Kalender[[#This Row],[Datum]],"MMMM")</f>
        <v>Mai</v>
      </c>
      <c r="H1974">
        <f>ROUNDUP(tbl_Kalender[[#This Row],[Monat]]/3,0)</f>
        <v>2</v>
      </c>
      <c r="I1974" t="str">
        <f>"Q "&amp;tbl_Kalender[[#This Row],[Quartal]]</f>
        <v>Q 2</v>
      </c>
      <c r="J1974" t="str">
        <f>tbl_Kalender[[#This Row],[Quartal]]&amp;". Quartal"</f>
        <v>2. Quartal</v>
      </c>
      <c r="K1974">
        <f>_xlfn.ISOWEEKNUM(tbl_Kalender[[#This Row],[Datum]])</f>
        <v>21</v>
      </c>
    </row>
    <row r="1975" spans="1:11" x14ac:dyDescent="0.25">
      <c r="A1975" s="1">
        <v>47265</v>
      </c>
      <c r="B1975">
        <f>YEAR(tbl_Kalender[[#This Row],[Datum]])</f>
        <v>2029</v>
      </c>
      <c r="C1975">
        <f>DAY(tbl_Kalender[[#This Row],[Datum]])</f>
        <v>27</v>
      </c>
      <c r="D1975" t="str">
        <f>TEXT(tbl_Kalender[[#This Row],[Datum]],"TTTT")</f>
        <v>Sonntag</v>
      </c>
      <c r="E1975">
        <f>WEEKDAY(tbl_Kalender[[#This Row],[Datum]],2)</f>
        <v>7</v>
      </c>
      <c r="F1975">
        <f>MONTH(tbl_Kalender[[#This Row],[Datum]])</f>
        <v>5</v>
      </c>
      <c r="G1975" t="str">
        <f>TEXT(tbl_Kalender[[#This Row],[Datum]],"MMMM")</f>
        <v>Mai</v>
      </c>
      <c r="H1975">
        <f>ROUNDUP(tbl_Kalender[[#This Row],[Monat]]/3,0)</f>
        <v>2</v>
      </c>
      <c r="I1975" t="str">
        <f>"Q "&amp;tbl_Kalender[[#This Row],[Quartal]]</f>
        <v>Q 2</v>
      </c>
      <c r="J1975" t="str">
        <f>tbl_Kalender[[#This Row],[Quartal]]&amp;". Quartal"</f>
        <v>2. Quartal</v>
      </c>
      <c r="K1975">
        <f>_xlfn.ISOWEEKNUM(tbl_Kalender[[#This Row],[Datum]])</f>
        <v>21</v>
      </c>
    </row>
    <row r="1976" spans="1:11" x14ac:dyDescent="0.25">
      <c r="A1976" s="1">
        <v>47266</v>
      </c>
      <c r="B1976">
        <f>YEAR(tbl_Kalender[[#This Row],[Datum]])</f>
        <v>2029</v>
      </c>
      <c r="C1976">
        <f>DAY(tbl_Kalender[[#This Row],[Datum]])</f>
        <v>28</v>
      </c>
      <c r="D1976" t="str">
        <f>TEXT(tbl_Kalender[[#This Row],[Datum]],"TTTT")</f>
        <v>Montag</v>
      </c>
      <c r="E1976">
        <f>WEEKDAY(tbl_Kalender[[#This Row],[Datum]],2)</f>
        <v>1</v>
      </c>
      <c r="F1976">
        <f>MONTH(tbl_Kalender[[#This Row],[Datum]])</f>
        <v>5</v>
      </c>
      <c r="G1976" t="str">
        <f>TEXT(tbl_Kalender[[#This Row],[Datum]],"MMMM")</f>
        <v>Mai</v>
      </c>
      <c r="H1976">
        <f>ROUNDUP(tbl_Kalender[[#This Row],[Monat]]/3,0)</f>
        <v>2</v>
      </c>
      <c r="I1976" t="str">
        <f>"Q "&amp;tbl_Kalender[[#This Row],[Quartal]]</f>
        <v>Q 2</v>
      </c>
      <c r="J1976" t="str">
        <f>tbl_Kalender[[#This Row],[Quartal]]&amp;". Quartal"</f>
        <v>2. Quartal</v>
      </c>
      <c r="K1976">
        <f>_xlfn.ISOWEEKNUM(tbl_Kalender[[#This Row],[Datum]])</f>
        <v>22</v>
      </c>
    </row>
    <row r="1977" spans="1:11" x14ac:dyDescent="0.25">
      <c r="A1977" s="1">
        <v>47267</v>
      </c>
      <c r="B1977">
        <f>YEAR(tbl_Kalender[[#This Row],[Datum]])</f>
        <v>2029</v>
      </c>
      <c r="C1977">
        <f>DAY(tbl_Kalender[[#This Row],[Datum]])</f>
        <v>29</v>
      </c>
      <c r="D1977" t="str">
        <f>TEXT(tbl_Kalender[[#This Row],[Datum]],"TTTT")</f>
        <v>Dienstag</v>
      </c>
      <c r="E1977">
        <f>WEEKDAY(tbl_Kalender[[#This Row],[Datum]],2)</f>
        <v>2</v>
      </c>
      <c r="F1977">
        <f>MONTH(tbl_Kalender[[#This Row],[Datum]])</f>
        <v>5</v>
      </c>
      <c r="G1977" t="str">
        <f>TEXT(tbl_Kalender[[#This Row],[Datum]],"MMMM")</f>
        <v>Mai</v>
      </c>
      <c r="H1977">
        <f>ROUNDUP(tbl_Kalender[[#This Row],[Monat]]/3,0)</f>
        <v>2</v>
      </c>
      <c r="I1977" t="str">
        <f>"Q "&amp;tbl_Kalender[[#This Row],[Quartal]]</f>
        <v>Q 2</v>
      </c>
      <c r="J1977" t="str">
        <f>tbl_Kalender[[#This Row],[Quartal]]&amp;". Quartal"</f>
        <v>2. Quartal</v>
      </c>
      <c r="K1977">
        <f>_xlfn.ISOWEEKNUM(tbl_Kalender[[#This Row],[Datum]])</f>
        <v>22</v>
      </c>
    </row>
    <row r="1978" spans="1:11" x14ac:dyDescent="0.25">
      <c r="A1978" s="1">
        <v>47268</v>
      </c>
      <c r="B1978">
        <f>YEAR(tbl_Kalender[[#This Row],[Datum]])</f>
        <v>2029</v>
      </c>
      <c r="C1978">
        <f>DAY(tbl_Kalender[[#This Row],[Datum]])</f>
        <v>30</v>
      </c>
      <c r="D1978" t="str">
        <f>TEXT(tbl_Kalender[[#This Row],[Datum]],"TTTT")</f>
        <v>Mittwoch</v>
      </c>
      <c r="E1978">
        <f>WEEKDAY(tbl_Kalender[[#This Row],[Datum]],2)</f>
        <v>3</v>
      </c>
      <c r="F1978">
        <f>MONTH(tbl_Kalender[[#This Row],[Datum]])</f>
        <v>5</v>
      </c>
      <c r="G1978" t="str">
        <f>TEXT(tbl_Kalender[[#This Row],[Datum]],"MMMM")</f>
        <v>Mai</v>
      </c>
      <c r="H1978">
        <f>ROUNDUP(tbl_Kalender[[#This Row],[Monat]]/3,0)</f>
        <v>2</v>
      </c>
      <c r="I1978" t="str">
        <f>"Q "&amp;tbl_Kalender[[#This Row],[Quartal]]</f>
        <v>Q 2</v>
      </c>
      <c r="J1978" t="str">
        <f>tbl_Kalender[[#This Row],[Quartal]]&amp;". Quartal"</f>
        <v>2. Quartal</v>
      </c>
      <c r="K1978">
        <f>_xlfn.ISOWEEKNUM(tbl_Kalender[[#This Row],[Datum]])</f>
        <v>22</v>
      </c>
    </row>
    <row r="1979" spans="1:11" x14ac:dyDescent="0.25">
      <c r="A1979" s="1">
        <v>47269</v>
      </c>
      <c r="B1979">
        <f>YEAR(tbl_Kalender[[#This Row],[Datum]])</f>
        <v>2029</v>
      </c>
      <c r="C1979">
        <f>DAY(tbl_Kalender[[#This Row],[Datum]])</f>
        <v>31</v>
      </c>
      <c r="D1979" t="str">
        <f>TEXT(tbl_Kalender[[#This Row],[Datum]],"TTTT")</f>
        <v>Donnerstag</v>
      </c>
      <c r="E1979">
        <f>WEEKDAY(tbl_Kalender[[#This Row],[Datum]],2)</f>
        <v>4</v>
      </c>
      <c r="F1979">
        <f>MONTH(tbl_Kalender[[#This Row],[Datum]])</f>
        <v>5</v>
      </c>
      <c r="G1979" t="str">
        <f>TEXT(tbl_Kalender[[#This Row],[Datum]],"MMMM")</f>
        <v>Mai</v>
      </c>
      <c r="H1979">
        <f>ROUNDUP(tbl_Kalender[[#This Row],[Monat]]/3,0)</f>
        <v>2</v>
      </c>
      <c r="I1979" t="str">
        <f>"Q "&amp;tbl_Kalender[[#This Row],[Quartal]]</f>
        <v>Q 2</v>
      </c>
      <c r="J1979" t="str">
        <f>tbl_Kalender[[#This Row],[Quartal]]&amp;". Quartal"</f>
        <v>2. Quartal</v>
      </c>
      <c r="K1979">
        <f>_xlfn.ISOWEEKNUM(tbl_Kalender[[#This Row],[Datum]])</f>
        <v>22</v>
      </c>
    </row>
    <row r="1980" spans="1:11" x14ac:dyDescent="0.25">
      <c r="A1980" s="1">
        <v>47270</v>
      </c>
      <c r="B1980">
        <f>YEAR(tbl_Kalender[[#This Row],[Datum]])</f>
        <v>2029</v>
      </c>
      <c r="C1980">
        <f>DAY(tbl_Kalender[[#This Row],[Datum]])</f>
        <v>1</v>
      </c>
      <c r="D1980" t="str">
        <f>TEXT(tbl_Kalender[[#This Row],[Datum]],"TTTT")</f>
        <v>Freitag</v>
      </c>
      <c r="E1980">
        <f>WEEKDAY(tbl_Kalender[[#This Row],[Datum]],2)</f>
        <v>5</v>
      </c>
      <c r="F1980">
        <f>MONTH(tbl_Kalender[[#This Row],[Datum]])</f>
        <v>6</v>
      </c>
      <c r="G1980" t="str">
        <f>TEXT(tbl_Kalender[[#This Row],[Datum]],"MMMM")</f>
        <v>Juni</v>
      </c>
      <c r="H1980">
        <f>ROUNDUP(tbl_Kalender[[#This Row],[Monat]]/3,0)</f>
        <v>2</v>
      </c>
      <c r="I1980" t="str">
        <f>"Q "&amp;tbl_Kalender[[#This Row],[Quartal]]</f>
        <v>Q 2</v>
      </c>
      <c r="J1980" t="str">
        <f>tbl_Kalender[[#This Row],[Quartal]]&amp;". Quartal"</f>
        <v>2. Quartal</v>
      </c>
      <c r="K1980">
        <f>_xlfn.ISOWEEKNUM(tbl_Kalender[[#This Row],[Datum]])</f>
        <v>22</v>
      </c>
    </row>
    <row r="1981" spans="1:11" x14ac:dyDescent="0.25">
      <c r="A1981" s="1">
        <v>47271</v>
      </c>
      <c r="B1981">
        <f>YEAR(tbl_Kalender[[#This Row],[Datum]])</f>
        <v>2029</v>
      </c>
      <c r="C1981">
        <f>DAY(tbl_Kalender[[#This Row],[Datum]])</f>
        <v>2</v>
      </c>
      <c r="D1981" t="str">
        <f>TEXT(tbl_Kalender[[#This Row],[Datum]],"TTTT")</f>
        <v>Samstag</v>
      </c>
      <c r="E1981">
        <f>WEEKDAY(tbl_Kalender[[#This Row],[Datum]],2)</f>
        <v>6</v>
      </c>
      <c r="F1981">
        <f>MONTH(tbl_Kalender[[#This Row],[Datum]])</f>
        <v>6</v>
      </c>
      <c r="G1981" t="str">
        <f>TEXT(tbl_Kalender[[#This Row],[Datum]],"MMMM")</f>
        <v>Juni</v>
      </c>
      <c r="H1981">
        <f>ROUNDUP(tbl_Kalender[[#This Row],[Monat]]/3,0)</f>
        <v>2</v>
      </c>
      <c r="I1981" t="str">
        <f>"Q "&amp;tbl_Kalender[[#This Row],[Quartal]]</f>
        <v>Q 2</v>
      </c>
      <c r="J1981" t="str">
        <f>tbl_Kalender[[#This Row],[Quartal]]&amp;". Quartal"</f>
        <v>2. Quartal</v>
      </c>
      <c r="K1981">
        <f>_xlfn.ISOWEEKNUM(tbl_Kalender[[#This Row],[Datum]])</f>
        <v>22</v>
      </c>
    </row>
    <row r="1982" spans="1:11" x14ac:dyDescent="0.25">
      <c r="A1982" s="1">
        <v>47272</v>
      </c>
      <c r="B1982">
        <f>YEAR(tbl_Kalender[[#This Row],[Datum]])</f>
        <v>2029</v>
      </c>
      <c r="C1982">
        <f>DAY(tbl_Kalender[[#This Row],[Datum]])</f>
        <v>3</v>
      </c>
      <c r="D1982" t="str">
        <f>TEXT(tbl_Kalender[[#This Row],[Datum]],"TTTT")</f>
        <v>Sonntag</v>
      </c>
      <c r="E1982">
        <f>WEEKDAY(tbl_Kalender[[#This Row],[Datum]],2)</f>
        <v>7</v>
      </c>
      <c r="F1982">
        <f>MONTH(tbl_Kalender[[#This Row],[Datum]])</f>
        <v>6</v>
      </c>
      <c r="G1982" t="str">
        <f>TEXT(tbl_Kalender[[#This Row],[Datum]],"MMMM")</f>
        <v>Juni</v>
      </c>
      <c r="H1982">
        <f>ROUNDUP(tbl_Kalender[[#This Row],[Monat]]/3,0)</f>
        <v>2</v>
      </c>
      <c r="I1982" t="str">
        <f>"Q "&amp;tbl_Kalender[[#This Row],[Quartal]]</f>
        <v>Q 2</v>
      </c>
      <c r="J1982" t="str">
        <f>tbl_Kalender[[#This Row],[Quartal]]&amp;". Quartal"</f>
        <v>2. Quartal</v>
      </c>
      <c r="K1982">
        <f>_xlfn.ISOWEEKNUM(tbl_Kalender[[#This Row],[Datum]])</f>
        <v>22</v>
      </c>
    </row>
    <row r="1983" spans="1:11" x14ac:dyDescent="0.25">
      <c r="A1983" s="1">
        <v>47273</v>
      </c>
      <c r="B1983">
        <f>YEAR(tbl_Kalender[[#This Row],[Datum]])</f>
        <v>2029</v>
      </c>
      <c r="C1983">
        <f>DAY(tbl_Kalender[[#This Row],[Datum]])</f>
        <v>4</v>
      </c>
      <c r="D1983" t="str">
        <f>TEXT(tbl_Kalender[[#This Row],[Datum]],"TTTT")</f>
        <v>Montag</v>
      </c>
      <c r="E1983">
        <f>WEEKDAY(tbl_Kalender[[#This Row],[Datum]],2)</f>
        <v>1</v>
      </c>
      <c r="F1983">
        <f>MONTH(tbl_Kalender[[#This Row],[Datum]])</f>
        <v>6</v>
      </c>
      <c r="G1983" t="str">
        <f>TEXT(tbl_Kalender[[#This Row],[Datum]],"MMMM")</f>
        <v>Juni</v>
      </c>
      <c r="H1983">
        <f>ROUNDUP(tbl_Kalender[[#This Row],[Monat]]/3,0)</f>
        <v>2</v>
      </c>
      <c r="I1983" t="str">
        <f>"Q "&amp;tbl_Kalender[[#This Row],[Quartal]]</f>
        <v>Q 2</v>
      </c>
      <c r="J1983" t="str">
        <f>tbl_Kalender[[#This Row],[Quartal]]&amp;". Quartal"</f>
        <v>2. Quartal</v>
      </c>
      <c r="K1983">
        <f>_xlfn.ISOWEEKNUM(tbl_Kalender[[#This Row],[Datum]])</f>
        <v>23</v>
      </c>
    </row>
    <row r="1984" spans="1:11" x14ac:dyDescent="0.25">
      <c r="A1984" s="1">
        <v>47274</v>
      </c>
      <c r="B1984">
        <f>YEAR(tbl_Kalender[[#This Row],[Datum]])</f>
        <v>2029</v>
      </c>
      <c r="C1984">
        <f>DAY(tbl_Kalender[[#This Row],[Datum]])</f>
        <v>5</v>
      </c>
      <c r="D1984" t="str">
        <f>TEXT(tbl_Kalender[[#This Row],[Datum]],"TTTT")</f>
        <v>Dienstag</v>
      </c>
      <c r="E1984">
        <f>WEEKDAY(tbl_Kalender[[#This Row],[Datum]],2)</f>
        <v>2</v>
      </c>
      <c r="F1984">
        <f>MONTH(tbl_Kalender[[#This Row],[Datum]])</f>
        <v>6</v>
      </c>
      <c r="G1984" t="str">
        <f>TEXT(tbl_Kalender[[#This Row],[Datum]],"MMMM")</f>
        <v>Juni</v>
      </c>
      <c r="H1984">
        <f>ROUNDUP(tbl_Kalender[[#This Row],[Monat]]/3,0)</f>
        <v>2</v>
      </c>
      <c r="I1984" t="str">
        <f>"Q "&amp;tbl_Kalender[[#This Row],[Quartal]]</f>
        <v>Q 2</v>
      </c>
      <c r="J1984" t="str">
        <f>tbl_Kalender[[#This Row],[Quartal]]&amp;". Quartal"</f>
        <v>2. Quartal</v>
      </c>
      <c r="K1984">
        <f>_xlfn.ISOWEEKNUM(tbl_Kalender[[#This Row],[Datum]])</f>
        <v>23</v>
      </c>
    </row>
    <row r="1985" spans="1:11" x14ac:dyDescent="0.25">
      <c r="A1985" s="1">
        <v>47275</v>
      </c>
      <c r="B1985">
        <f>YEAR(tbl_Kalender[[#This Row],[Datum]])</f>
        <v>2029</v>
      </c>
      <c r="C1985">
        <f>DAY(tbl_Kalender[[#This Row],[Datum]])</f>
        <v>6</v>
      </c>
      <c r="D1985" t="str">
        <f>TEXT(tbl_Kalender[[#This Row],[Datum]],"TTTT")</f>
        <v>Mittwoch</v>
      </c>
      <c r="E1985">
        <f>WEEKDAY(tbl_Kalender[[#This Row],[Datum]],2)</f>
        <v>3</v>
      </c>
      <c r="F1985">
        <f>MONTH(tbl_Kalender[[#This Row],[Datum]])</f>
        <v>6</v>
      </c>
      <c r="G1985" t="str">
        <f>TEXT(tbl_Kalender[[#This Row],[Datum]],"MMMM")</f>
        <v>Juni</v>
      </c>
      <c r="H1985">
        <f>ROUNDUP(tbl_Kalender[[#This Row],[Monat]]/3,0)</f>
        <v>2</v>
      </c>
      <c r="I1985" t="str">
        <f>"Q "&amp;tbl_Kalender[[#This Row],[Quartal]]</f>
        <v>Q 2</v>
      </c>
      <c r="J1985" t="str">
        <f>tbl_Kalender[[#This Row],[Quartal]]&amp;". Quartal"</f>
        <v>2. Quartal</v>
      </c>
      <c r="K1985">
        <f>_xlfn.ISOWEEKNUM(tbl_Kalender[[#This Row],[Datum]])</f>
        <v>23</v>
      </c>
    </row>
    <row r="1986" spans="1:11" x14ac:dyDescent="0.25">
      <c r="A1986" s="1">
        <v>47276</v>
      </c>
      <c r="B1986">
        <f>YEAR(tbl_Kalender[[#This Row],[Datum]])</f>
        <v>2029</v>
      </c>
      <c r="C1986">
        <f>DAY(tbl_Kalender[[#This Row],[Datum]])</f>
        <v>7</v>
      </c>
      <c r="D1986" t="str">
        <f>TEXT(tbl_Kalender[[#This Row],[Datum]],"TTTT")</f>
        <v>Donnerstag</v>
      </c>
      <c r="E1986">
        <f>WEEKDAY(tbl_Kalender[[#This Row],[Datum]],2)</f>
        <v>4</v>
      </c>
      <c r="F1986">
        <f>MONTH(tbl_Kalender[[#This Row],[Datum]])</f>
        <v>6</v>
      </c>
      <c r="G1986" t="str">
        <f>TEXT(tbl_Kalender[[#This Row],[Datum]],"MMMM")</f>
        <v>Juni</v>
      </c>
      <c r="H1986">
        <f>ROUNDUP(tbl_Kalender[[#This Row],[Monat]]/3,0)</f>
        <v>2</v>
      </c>
      <c r="I1986" t="str">
        <f>"Q "&amp;tbl_Kalender[[#This Row],[Quartal]]</f>
        <v>Q 2</v>
      </c>
      <c r="J1986" t="str">
        <f>tbl_Kalender[[#This Row],[Quartal]]&amp;". Quartal"</f>
        <v>2. Quartal</v>
      </c>
      <c r="K1986">
        <f>_xlfn.ISOWEEKNUM(tbl_Kalender[[#This Row],[Datum]])</f>
        <v>23</v>
      </c>
    </row>
    <row r="1987" spans="1:11" x14ac:dyDescent="0.25">
      <c r="A1987" s="1">
        <v>47277</v>
      </c>
      <c r="B1987">
        <f>YEAR(tbl_Kalender[[#This Row],[Datum]])</f>
        <v>2029</v>
      </c>
      <c r="C1987">
        <f>DAY(tbl_Kalender[[#This Row],[Datum]])</f>
        <v>8</v>
      </c>
      <c r="D1987" t="str">
        <f>TEXT(tbl_Kalender[[#This Row],[Datum]],"TTTT")</f>
        <v>Freitag</v>
      </c>
      <c r="E1987">
        <f>WEEKDAY(tbl_Kalender[[#This Row],[Datum]],2)</f>
        <v>5</v>
      </c>
      <c r="F1987">
        <f>MONTH(tbl_Kalender[[#This Row],[Datum]])</f>
        <v>6</v>
      </c>
      <c r="G1987" t="str">
        <f>TEXT(tbl_Kalender[[#This Row],[Datum]],"MMMM")</f>
        <v>Juni</v>
      </c>
      <c r="H1987">
        <f>ROUNDUP(tbl_Kalender[[#This Row],[Monat]]/3,0)</f>
        <v>2</v>
      </c>
      <c r="I1987" t="str">
        <f>"Q "&amp;tbl_Kalender[[#This Row],[Quartal]]</f>
        <v>Q 2</v>
      </c>
      <c r="J1987" t="str">
        <f>tbl_Kalender[[#This Row],[Quartal]]&amp;". Quartal"</f>
        <v>2. Quartal</v>
      </c>
      <c r="K1987">
        <f>_xlfn.ISOWEEKNUM(tbl_Kalender[[#This Row],[Datum]])</f>
        <v>23</v>
      </c>
    </row>
    <row r="1988" spans="1:11" x14ac:dyDescent="0.25">
      <c r="A1988" s="1">
        <v>47278</v>
      </c>
      <c r="B1988">
        <f>YEAR(tbl_Kalender[[#This Row],[Datum]])</f>
        <v>2029</v>
      </c>
      <c r="C1988">
        <f>DAY(tbl_Kalender[[#This Row],[Datum]])</f>
        <v>9</v>
      </c>
      <c r="D1988" t="str">
        <f>TEXT(tbl_Kalender[[#This Row],[Datum]],"TTTT")</f>
        <v>Samstag</v>
      </c>
      <c r="E1988">
        <f>WEEKDAY(tbl_Kalender[[#This Row],[Datum]],2)</f>
        <v>6</v>
      </c>
      <c r="F1988">
        <f>MONTH(tbl_Kalender[[#This Row],[Datum]])</f>
        <v>6</v>
      </c>
      <c r="G1988" t="str">
        <f>TEXT(tbl_Kalender[[#This Row],[Datum]],"MMMM")</f>
        <v>Juni</v>
      </c>
      <c r="H1988">
        <f>ROUNDUP(tbl_Kalender[[#This Row],[Monat]]/3,0)</f>
        <v>2</v>
      </c>
      <c r="I1988" t="str">
        <f>"Q "&amp;tbl_Kalender[[#This Row],[Quartal]]</f>
        <v>Q 2</v>
      </c>
      <c r="J1988" t="str">
        <f>tbl_Kalender[[#This Row],[Quartal]]&amp;". Quartal"</f>
        <v>2. Quartal</v>
      </c>
      <c r="K1988">
        <f>_xlfn.ISOWEEKNUM(tbl_Kalender[[#This Row],[Datum]])</f>
        <v>23</v>
      </c>
    </row>
    <row r="1989" spans="1:11" x14ac:dyDescent="0.25">
      <c r="A1989" s="1">
        <v>47279</v>
      </c>
      <c r="B1989">
        <f>YEAR(tbl_Kalender[[#This Row],[Datum]])</f>
        <v>2029</v>
      </c>
      <c r="C1989">
        <f>DAY(tbl_Kalender[[#This Row],[Datum]])</f>
        <v>10</v>
      </c>
      <c r="D1989" t="str">
        <f>TEXT(tbl_Kalender[[#This Row],[Datum]],"TTTT")</f>
        <v>Sonntag</v>
      </c>
      <c r="E1989">
        <f>WEEKDAY(tbl_Kalender[[#This Row],[Datum]],2)</f>
        <v>7</v>
      </c>
      <c r="F1989">
        <f>MONTH(tbl_Kalender[[#This Row],[Datum]])</f>
        <v>6</v>
      </c>
      <c r="G1989" t="str">
        <f>TEXT(tbl_Kalender[[#This Row],[Datum]],"MMMM")</f>
        <v>Juni</v>
      </c>
      <c r="H1989">
        <f>ROUNDUP(tbl_Kalender[[#This Row],[Monat]]/3,0)</f>
        <v>2</v>
      </c>
      <c r="I1989" t="str">
        <f>"Q "&amp;tbl_Kalender[[#This Row],[Quartal]]</f>
        <v>Q 2</v>
      </c>
      <c r="J1989" t="str">
        <f>tbl_Kalender[[#This Row],[Quartal]]&amp;". Quartal"</f>
        <v>2. Quartal</v>
      </c>
      <c r="K1989">
        <f>_xlfn.ISOWEEKNUM(tbl_Kalender[[#This Row],[Datum]])</f>
        <v>23</v>
      </c>
    </row>
    <row r="1990" spans="1:11" x14ac:dyDescent="0.25">
      <c r="A1990" s="1">
        <v>47280</v>
      </c>
      <c r="B1990">
        <f>YEAR(tbl_Kalender[[#This Row],[Datum]])</f>
        <v>2029</v>
      </c>
      <c r="C1990">
        <f>DAY(tbl_Kalender[[#This Row],[Datum]])</f>
        <v>11</v>
      </c>
      <c r="D1990" t="str">
        <f>TEXT(tbl_Kalender[[#This Row],[Datum]],"TTTT")</f>
        <v>Montag</v>
      </c>
      <c r="E1990">
        <f>WEEKDAY(tbl_Kalender[[#This Row],[Datum]],2)</f>
        <v>1</v>
      </c>
      <c r="F1990">
        <f>MONTH(tbl_Kalender[[#This Row],[Datum]])</f>
        <v>6</v>
      </c>
      <c r="G1990" t="str">
        <f>TEXT(tbl_Kalender[[#This Row],[Datum]],"MMMM")</f>
        <v>Juni</v>
      </c>
      <c r="H1990">
        <f>ROUNDUP(tbl_Kalender[[#This Row],[Monat]]/3,0)</f>
        <v>2</v>
      </c>
      <c r="I1990" t="str">
        <f>"Q "&amp;tbl_Kalender[[#This Row],[Quartal]]</f>
        <v>Q 2</v>
      </c>
      <c r="J1990" t="str">
        <f>tbl_Kalender[[#This Row],[Quartal]]&amp;". Quartal"</f>
        <v>2. Quartal</v>
      </c>
      <c r="K1990">
        <f>_xlfn.ISOWEEKNUM(tbl_Kalender[[#This Row],[Datum]])</f>
        <v>24</v>
      </c>
    </row>
    <row r="1991" spans="1:11" x14ac:dyDescent="0.25">
      <c r="A1991" s="1">
        <v>47281</v>
      </c>
      <c r="B1991">
        <f>YEAR(tbl_Kalender[[#This Row],[Datum]])</f>
        <v>2029</v>
      </c>
      <c r="C1991">
        <f>DAY(tbl_Kalender[[#This Row],[Datum]])</f>
        <v>12</v>
      </c>
      <c r="D1991" t="str">
        <f>TEXT(tbl_Kalender[[#This Row],[Datum]],"TTTT")</f>
        <v>Dienstag</v>
      </c>
      <c r="E1991">
        <f>WEEKDAY(tbl_Kalender[[#This Row],[Datum]],2)</f>
        <v>2</v>
      </c>
      <c r="F1991">
        <f>MONTH(tbl_Kalender[[#This Row],[Datum]])</f>
        <v>6</v>
      </c>
      <c r="G1991" t="str">
        <f>TEXT(tbl_Kalender[[#This Row],[Datum]],"MMMM")</f>
        <v>Juni</v>
      </c>
      <c r="H1991">
        <f>ROUNDUP(tbl_Kalender[[#This Row],[Monat]]/3,0)</f>
        <v>2</v>
      </c>
      <c r="I1991" t="str">
        <f>"Q "&amp;tbl_Kalender[[#This Row],[Quartal]]</f>
        <v>Q 2</v>
      </c>
      <c r="J1991" t="str">
        <f>tbl_Kalender[[#This Row],[Quartal]]&amp;". Quartal"</f>
        <v>2. Quartal</v>
      </c>
      <c r="K1991">
        <f>_xlfn.ISOWEEKNUM(tbl_Kalender[[#This Row],[Datum]])</f>
        <v>24</v>
      </c>
    </row>
    <row r="1992" spans="1:11" x14ac:dyDescent="0.25">
      <c r="A1992" s="1">
        <v>47282</v>
      </c>
      <c r="B1992">
        <f>YEAR(tbl_Kalender[[#This Row],[Datum]])</f>
        <v>2029</v>
      </c>
      <c r="C1992">
        <f>DAY(tbl_Kalender[[#This Row],[Datum]])</f>
        <v>13</v>
      </c>
      <c r="D1992" t="str">
        <f>TEXT(tbl_Kalender[[#This Row],[Datum]],"TTTT")</f>
        <v>Mittwoch</v>
      </c>
      <c r="E1992">
        <f>WEEKDAY(tbl_Kalender[[#This Row],[Datum]],2)</f>
        <v>3</v>
      </c>
      <c r="F1992">
        <f>MONTH(tbl_Kalender[[#This Row],[Datum]])</f>
        <v>6</v>
      </c>
      <c r="G1992" t="str">
        <f>TEXT(tbl_Kalender[[#This Row],[Datum]],"MMMM")</f>
        <v>Juni</v>
      </c>
      <c r="H1992">
        <f>ROUNDUP(tbl_Kalender[[#This Row],[Monat]]/3,0)</f>
        <v>2</v>
      </c>
      <c r="I1992" t="str">
        <f>"Q "&amp;tbl_Kalender[[#This Row],[Quartal]]</f>
        <v>Q 2</v>
      </c>
      <c r="J1992" t="str">
        <f>tbl_Kalender[[#This Row],[Quartal]]&amp;". Quartal"</f>
        <v>2. Quartal</v>
      </c>
      <c r="K1992">
        <f>_xlfn.ISOWEEKNUM(tbl_Kalender[[#This Row],[Datum]])</f>
        <v>24</v>
      </c>
    </row>
    <row r="1993" spans="1:11" x14ac:dyDescent="0.25">
      <c r="A1993" s="1">
        <v>47283</v>
      </c>
      <c r="B1993">
        <f>YEAR(tbl_Kalender[[#This Row],[Datum]])</f>
        <v>2029</v>
      </c>
      <c r="C1993">
        <f>DAY(tbl_Kalender[[#This Row],[Datum]])</f>
        <v>14</v>
      </c>
      <c r="D1993" t="str">
        <f>TEXT(tbl_Kalender[[#This Row],[Datum]],"TTTT")</f>
        <v>Donnerstag</v>
      </c>
      <c r="E1993">
        <f>WEEKDAY(tbl_Kalender[[#This Row],[Datum]],2)</f>
        <v>4</v>
      </c>
      <c r="F1993">
        <f>MONTH(tbl_Kalender[[#This Row],[Datum]])</f>
        <v>6</v>
      </c>
      <c r="G1993" t="str">
        <f>TEXT(tbl_Kalender[[#This Row],[Datum]],"MMMM")</f>
        <v>Juni</v>
      </c>
      <c r="H1993">
        <f>ROUNDUP(tbl_Kalender[[#This Row],[Monat]]/3,0)</f>
        <v>2</v>
      </c>
      <c r="I1993" t="str">
        <f>"Q "&amp;tbl_Kalender[[#This Row],[Quartal]]</f>
        <v>Q 2</v>
      </c>
      <c r="J1993" t="str">
        <f>tbl_Kalender[[#This Row],[Quartal]]&amp;". Quartal"</f>
        <v>2. Quartal</v>
      </c>
      <c r="K1993">
        <f>_xlfn.ISOWEEKNUM(tbl_Kalender[[#This Row],[Datum]])</f>
        <v>24</v>
      </c>
    </row>
    <row r="1994" spans="1:11" x14ac:dyDescent="0.25">
      <c r="A1994" s="1">
        <v>47284</v>
      </c>
      <c r="B1994">
        <f>YEAR(tbl_Kalender[[#This Row],[Datum]])</f>
        <v>2029</v>
      </c>
      <c r="C1994">
        <f>DAY(tbl_Kalender[[#This Row],[Datum]])</f>
        <v>15</v>
      </c>
      <c r="D1994" t="str">
        <f>TEXT(tbl_Kalender[[#This Row],[Datum]],"TTTT")</f>
        <v>Freitag</v>
      </c>
      <c r="E1994">
        <f>WEEKDAY(tbl_Kalender[[#This Row],[Datum]],2)</f>
        <v>5</v>
      </c>
      <c r="F1994">
        <f>MONTH(tbl_Kalender[[#This Row],[Datum]])</f>
        <v>6</v>
      </c>
      <c r="G1994" t="str">
        <f>TEXT(tbl_Kalender[[#This Row],[Datum]],"MMMM")</f>
        <v>Juni</v>
      </c>
      <c r="H1994">
        <f>ROUNDUP(tbl_Kalender[[#This Row],[Monat]]/3,0)</f>
        <v>2</v>
      </c>
      <c r="I1994" t="str">
        <f>"Q "&amp;tbl_Kalender[[#This Row],[Quartal]]</f>
        <v>Q 2</v>
      </c>
      <c r="J1994" t="str">
        <f>tbl_Kalender[[#This Row],[Quartal]]&amp;". Quartal"</f>
        <v>2. Quartal</v>
      </c>
      <c r="K1994">
        <f>_xlfn.ISOWEEKNUM(tbl_Kalender[[#This Row],[Datum]])</f>
        <v>24</v>
      </c>
    </row>
    <row r="1995" spans="1:11" x14ac:dyDescent="0.25">
      <c r="A1995" s="1">
        <v>47285</v>
      </c>
      <c r="B1995">
        <f>YEAR(tbl_Kalender[[#This Row],[Datum]])</f>
        <v>2029</v>
      </c>
      <c r="C1995">
        <f>DAY(tbl_Kalender[[#This Row],[Datum]])</f>
        <v>16</v>
      </c>
      <c r="D1995" t="str">
        <f>TEXT(tbl_Kalender[[#This Row],[Datum]],"TTTT")</f>
        <v>Samstag</v>
      </c>
      <c r="E1995">
        <f>WEEKDAY(tbl_Kalender[[#This Row],[Datum]],2)</f>
        <v>6</v>
      </c>
      <c r="F1995">
        <f>MONTH(tbl_Kalender[[#This Row],[Datum]])</f>
        <v>6</v>
      </c>
      <c r="G1995" t="str">
        <f>TEXT(tbl_Kalender[[#This Row],[Datum]],"MMMM")</f>
        <v>Juni</v>
      </c>
      <c r="H1995">
        <f>ROUNDUP(tbl_Kalender[[#This Row],[Monat]]/3,0)</f>
        <v>2</v>
      </c>
      <c r="I1995" t="str">
        <f>"Q "&amp;tbl_Kalender[[#This Row],[Quartal]]</f>
        <v>Q 2</v>
      </c>
      <c r="J1995" t="str">
        <f>tbl_Kalender[[#This Row],[Quartal]]&amp;". Quartal"</f>
        <v>2. Quartal</v>
      </c>
      <c r="K1995">
        <f>_xlfn.ISOWEEKNUM(tbl_Kalender[[#This Row],[Datum]])</f>
        <v>24</v>
      </c>
    </row>
    <row r="1996" spans="1:11" x14ac:dyDescent="0.25">
      <c r="A1996" s="1">
        <v>47286</v>
      </c>
      <c r="B1996">
        <f>YEAR(tbl_Kalender[[#This Row],[Datum]])</f>
        <v>2029</v>
      </c>
      <c r="C1996">
        <f>DAY(tbl_Kalender[[#This Row],[Datum]])</f>
        <v>17</v>
      </c>
      <c r="D1996" t="str">
        <f>TEXT(tbl_Kalender[[#This Row],[Datum]],"TTTT")</f>
        <v>Sonntag</v>
      </c>
      <c r="E1996">
        <f>WEEKDAY(tbl_Kalender[[#This Row],[Datum]],2)</f>
        <v>7</v>
      </c>
      <c r="F1996">
        <f>MONTH(tbl_Kalender[[#This Row],[Datum]])</f>
        <v>6</v>
      </c>
      <c r="G1996" t="str">
        <f>TEXT(tbl_Kalender[[#This Row],[Datum]],"MMMM")</f>
        <v>Juni</v>
      </c>
      <c r="H1996">
        <f>ROUNDUP(tbl_Kalender[[#This Row],[Monat]]/3,0)</f>
        <v>2</v>
      </c>
      <c r="I1996" t="str">
        <f>"Q "&amp;tbl_Kalender[[#This Row],[Quartal]]</f>
        <v>Q 2</v>
      </c>
      <c r="J1996" t="str">
        <f>tbl_Kalender[[#This Row],[Quartal]]&amp;". Quartal"</f>
        <v>2. Quartal</v>
      </c>
      <c r="K1996">
        <f>_xlfn.ISOWEEKNUM(tbl_Kalender[[#This Row],[Datum]])</f>
        <v>24</v>
      </c>
    </row>
    <row r="1997" spans="1:11" x14ac:dyDescent="0.25">
      <c r="A1997" s="1">
        <v>47287</v>
      </c>
      <c r="B1997">
        <f>YEAR(tbl_Kalender[[#This Row],[Datum]])</f>
        <v>2029</v>
      </c>
      <c r="C1997">
        <f>DAY(tbl_Kalender[[#This Row],[Datum]])</f>
        <v>18</v>
      </c>
      <c r="D1997" t="str">
        <f>TEXT(tbl_Kalender[[#This Row],[Datum]],"TTTT")</f>
        <v>Montag</v>
      </c>
      <c r="E1997">
        <f>WEEKDAY(tbl_Kalender[[#This Row],[Datum]],2)</f>
        <v>1</v>
      </c>
      <c r="F1997">
        <f>MONTH(tbl_Kalender[[#This Row],[Datum]])</f>
        <v>6</v>
      </c>
      <c r="G1997" t="str">
        <f>TEXT(tbl_Kalender[[#This Row],[Datum]],"MMMM")</f>
        <v>Juni</v>
      </c>
      <c r="H1997">
        <f>ROUNDUP(tbl_Kalender[[#This Row],[Monat]]/3,0)</f>
        <v>2</v>
      </c>
      <c r="I1997" t="str">
        <f>"Q "&amp;tbl_Kalender[[#This Row],[Quartal]]</f>
        <v>Q 2</v>
      </c>
      <c r="J1997" t="str">
        <f>tbl_Kalender[[#This Row],[Quartal]]&amp;". Quartal"</f>
        <v>2. Quartal</v>
      </c>
      <c r="K1997">
        <f>_xlfn.ISOWEEKNUM(tbl_Kalender[[#This Row],[Datum]])</f>
        <v>25</v>
      </c>
    </row>
    <row r="1998" spans="1:11" x14ac:dyDescent="0.25">
      <c r="A1998" s="1">
        <v>47288</v>
      </c>
      <c r="B1998">
        <f>YEAR(tbl_Kalender[[#This Row],[Datum]])</f>
        <v>2029</v>
      </c>
      <c r="C1998">
        <f>DAY(tbl_Kalender[[#This Row],[Datum]])</f>
        <v>19</v>
      </c>
      <c r="D1998" t="str">
        <f>TEXT(tbl_Kalender[[#This Row],[Datum]],"TTTT")</f>
        <v>Dienstag</v>
      </c>
      <c r="E1998">
        <f>WEEKDAY(tbl_Kalender[[#This Row],[Datum]],2)</f>
        <v>2</v>
      </c>
      <c r="F1998">
        <f>MONTH(tbl_Kalender[[#This Row],[Datum]])</f>
        <v>6</v>
      </c>
      <c r="G1998" t="str">
        <f>TEXT(tbl_Kalender[[#This Row],[Datum]],"MMMM")</f>
        <v>Juni</v>
      </c>
      <c r="H1998">
        <f>ROUNDUP(tbl_Kalender[[#This Row],[Monat]]/3,0)</f>
        <v>2</v>
      </c>
      <c r="I1998" t="str">
        <f>"Q "&amp;tbl_Kalender[[#This Row],[Quartal]]</f>
        <v>Q 2</v>
      </c>
      <c r="J1998" t="str">
        <f>tbl_Kalender[[#This Row],[Quartal]]&amp;". Quartal"</f>
        <v>2. Quartal</v>
      </c>
      <c r="K1998">
        <f>_xlfn.ISOWEEKNUM(tbl_Kalender[[#This Row],[Datum]])</f>
        <v>25</v>
      </c>
    </row>
    <row r="1999" spans="1:11" x14ac:dyDescent="0.25">
      <c r="A1999" s="1">
        <v>47289</v>
      </c>
      <c r="B1999">
        <f>YEAR(tbl_Kalender[[#This Row],[Datum]])</f>
        <v>2029</v>
      </c>
      <c r="C1999">
        <f>DAY(tbl_Kalender[[#This Row],[Datum]])</f>
        <v>20</v>
      </c>
      <c r="D1999" t="str">
        <f>TEXT(tbl_Kalender[[#This Row],[Datum]],"TTTT")</f>
        <v>Mittwoch</v>
      </c>
      <c r="E1999">
        <f>WEEKDAY(tbl_Kalender[[#This Row],[Datum]],2)</f>
        <v>3</v>
      </c>
      <c r="F1999">
        <f>MONTH(tbl_Kalender[[#This Row],[Datum]])</f>
        <v>6</v>
      </c>
      <c r="G1999" t="str">
        <f>TEXT(tbl_Kalender[[#This Row],[Datum]],"MMMM")</f>
        <v>Juni</v>
      </c>
      <c r="H1999">
        <f>ROUNDUP(tbl_Kalender[[#This Row],[Monat]]/3,0)</f>
        <v>2</v>
      </c>
      <c r="I1999" t="str">
        <f>"Q "&amp;tbl_Kalender[[#This Row],[Quartal]]</f>
        <v>Q 2</v>
      </c>
      <c r="J1999" t="str">
        <f>tbl_Kalender[[#This Row],[Quartal]]&amp;". Quartal"</f>
        <v>2. Quartal</v>
      </c>
      <c r="K1999">
        <f>_xlfn.ISOWEEKNUM(tbl_Kalender[[#This Row],[Datum]])</f>
        <v>25</v>
      </c>
    </row>
    <row r="2000" spans="1:11" x14ac:dyDescent="0.25">
      <c r="A2000" s="1">
        <v>47290</v>
      </c>
      <c r="B2000">
        <f>YEAR(tbl_Kalender[[#This Row],[Datum]])</f>
        <v>2029</v>
      </c>
      <c r="C2000">
        <f>DAY(tbl_Kalender[[#This Row],[Datum]])</f>
        <v>21</v>
      </c>
      <c r="D2000" t="str">
        <f>TEXT(tbl_Kalender[[#This Row],[Datum]],"TTTT")</f>
        <v>Donnerstag</v>
      </c>
      <c r="E2000">
        <f>WEEKDAY(tbl_Kalender[[#This Row],[Datum]],2)</f>
        <v>4</v>
      </c>
      <c r="F2000">
        <f>MONTH(tbl_Kalender[[#This Row],[Datum]])</f>
        <v>6</v>
      </c>
      <c r="G2000" t="str">
        <f>TEXT(tbl_Kalender[[#This Row],[Datum]],"MMMM")</f>
        <v>Juni</v>
      </c>
      <c r="H2000">
        <f>ROUNDUP(tbl_Kalender[[#This Row],[Monat]]/3,0)</f>
        <v>2</v>
      </c>
      <c r="I2000" t="str">
        <f>"Q "&amp;tbl_Kalender[[#This Row],[Quartal]]</f>
        <v>Q 2</v>
      </c>
      <c r="J2000" t="str">
        <f>tbl_Kalender[[#This Row],[Quartal]]&amp;". Quartal"</f>
        <v>2. Quartal</v>
      </c>
      <c r="K2000">
        <f>_xlfn.ISOWEEKNUM(tbl_Kalender[[#This Row],[Datum]])</f>
        <v>25</v>
      </c>
    </row>
    <row r="2001" spans="1:11" x14ac:dyDescent="0.25">
      <c r="A2001" s="1">
        <v>47291</v>
      </c>
      <c r="B2001">
        <f>YEAR(tbl_Kalender[[#This Row],[Datum]])</f>
        <v>2029</v>
      </c>
      <c r="C2001">
        <f>DAY(tbl_Kalender[[#This Row],[Datum]])</f>
        <v>22</v>
      </c>
      <c r="D2001" t="str">
        <f>TEXT(tbl_Kalender[[#This Row],[Datum]],"TTTT")</f>
        <v>Freitag</v>
      </c>
      <c r="E2001">
        <f>WEEKDAY(tbl_Kalender[[#This Row],[Datum]],2)</f>
        <v>5</v>
      </c>
      <c r="F2001">
        <f>MONTH(tbl_Kalender[[#This Row],[Datum]])</f>
        <v>6</v>
      </c>
      <c r="G2001" t="str">
        <f>TEXT(tbl_Kalender[[#This Row],[Datum]],"MMMM")</f>
        <v>Juni</v>
      </c>
      <c r="H2001">
        <f>ROUNDUP(tbl_Kalender[[#This Row],[Monat]]/3,0)</f>
        <v>2</v>
      </c>
      <c r="I2001" t="str">
        <f>"Q "&amp;tbl_Kalender[[#This Row],[Quartal]]</f>
        <v>Q 2</v>
      </c>
      <c r="J2001" t="str">
        <f>tbl_Kalender[[#This Row],[Quartal]]&amp;". Quartal"</f>
        <v>2. Quartal</v>
      </c>
      <c r="K2001">
        <f>_xlfn.ISOWEEKNUM(tbl_Kalender[[#This Row],[Datum]])</f>
        <v>25</v>
      </c>
    </row>
    <row r="2002" spans="1:11" x14ac:dyDescent="0.25">
      <c r="A2002" s="1">
        <v>47292</v>
      </c>
      <c r="B2002">
        <f>YEAR(tbl_Kalender[[#This Row],[Datum]])</f>
        <v>2029</v>
      </c>
      <c r="C2002">
        <f>DAY(tbl_Kalender[[#This Row],[Datum]])</f>
        <v>23</v>
      </c>
      <c r="D2002" t="str">
        <f>TEXT(tbl_Kalender[[#This Row],[Datum]],"TTTT")</f>
        <v>Samstag</v>
      </c>
      <c r="E2002">
        <f>WEEKDAY(tbl_Kalender[[#This Row],[Datum]],2)</f>
        <v>6</v>
      </c>
      <c r="F2002">
        <f>MONTH(tbl_Kalender[[#This Row],[Datum]])</f>
        <v>6</v>
      </c>
      <c r="G2002" t="str">
        <f>TEXT(tbl_Kalender[[#This Row],[Datum]],"MMMM")</f>
        <v>Juni</v>
      </c>
      <c r="H2002">
        <f>ROUNDUP(tbl_Kalender[[#This Row],[Monat]]/3,0)</f>
        <v>2</v>
      </c>
      <c r="I2002" t="str">
        <f>"Q "&amp;tbl_Kalender[[#This Row],[Quartal]]</f>
        <v>Q 2</v>
      </c>
      <c r="J2002" t="str">
        <f>tbl_Kalender[[#This Row],[Quartal]]&amp;". Quartal"</f>
        <v>2. Quartal</v>
      </c>
      <c r="K2002">
        <f>_xlfn.ISOWEEKNUM(tbl_Kalender[[#This Row],[Datum]])</f>
        <v>25</v>
      </c>
    </row>
    <row r="2003" spans="1:11" x14ac:dyDescent="0.25">
      <c r="A2003" s="1">
        <v>47293</v>
      </c>
      <c r="B2003">
        <f>YEAR(tbl_Kalender[[#This Row],[Datum]])</f>
        <v>2029</v>
      </c>
      <c r="C2003">
        <f>DAY(tbl_Kalender[[#This Row],[Datum]])</f>
        <v>24</v>
      </c>
      <c r="D2003" t="str">
        <f>TEXT(tbl_Kalender[[#This Row],[Datum]],"TTTT")</f>
        <v>Sonntag</v>
      </c>
      <c r="E2003">
        <f>WEEKDAY(tbl_Kalender[[#This Row],[Datum]],2)</f>
        <v>7</v>
      </c>
      <c r="F2003">
        <f>MONTH(tbl_Kalender[[#This Row],[Datum]])</f>
        <v>6</v>
      </c>
      <c r="G2003" t="str">
        <f>TEXT(tbl_Kalender[[#This Row],[Datum]],"MMMM")</f>
        <v>Juni</v>
      </c>
      <c r="H2003">
        <f>ROUNDUP(tbl_Kalender[[#This Row],[Monat]]/3,0)</f>
        <v>2</v>
      </c>
      <c r="I2003" t="str">
        <f>"Q "&amp;tbl_Kalender[[#This Row],[Quartal]]</f>
        <v>Q 2</v>
      </c>
      <c r="J2003" t="str">
        <f>tbl_Kalender[[#This Row],[Quartal]]&amp;". Quartal"</f>
        <v>2. Quartal</v>
      </c>
      <c r="K2003">
        <f>_xlfn.ISOWEEKNUM(tbl_Kalender[[#This Row],[Datum]])</f>
        <v>25</v>
      </c>
    </row>
    <row r="2004" spans="1:11" x14ac:dyDescent="0.25">
      <c r="A2004" s="1">
        <v>47294</v>
      </c>
      <c r="B2004">
        <f>YEAR(tbl_Kalender[[#This Row],[Datum]])</f>
        <v>2029</v>
      </c>
      <c r="C2004">
        <f>DAY(tbl_Kalender[[#This Row],[Datum]])</f>
        <v>25</v>
      </c>
      <c r="D2004" t="str">
        <f>TEXT(tbl_Kalender[[#This Row],[Datum]],"TTTT")</f>
        <v>Montag</v>
      </c>
      <c r="E2004">
        <f>WEEKDAY(tbl_Kalender[[#This Row],[Datum]],2)</f>
        <v>1</v>
      </c>
      <c r="F2004">
        <f>MONTH(tbl_Kalender[[#This Row],[Datum]])</f>
        <v>6</v>
      </c>
      <c r="G2004" t="str">
        <f>TEXT(tbl_Kalender[[#This Row],[Datum]],"MMMM")</f>
        <v>Juni</v>
      </c>
      <c r="H2004">
        <f>ROUNDUP(tbl_Kalender[[#This Row],[Monat]]/3,0)</f>
        <v>2</v>
      </c>
      <c r="I2004" t="str">
        <f>"Q "&amp;tbl_Kalender[[#This Row],[Quartal]]</f>
        <v>Q 2</v>
      </c>
      <c r="J2004" t="str">
        <f>tbl_Kalender[[#This Row],[Quartal]]&amp;". Quartal"</f>
        <v>2. Quartal</v>
      </c>
      <c r="K2004">
        <f>_xlfn.ISOWEEKNUM(tbl_Kalender[[#This Row],[Datum]])</f>
        <v>26</v>
      </c>
    </row>
    <row r="2005" spans="1:11" x14ac:dyDescent="0.25">
      <c r="A2005" s="1">
        <v>47295</v>
      </c>
      <c r="B2005">
        <f>YEAR(tbl_Kalender[[#This Row],[Datum]])</f>
        <v>2029</v>
      </c>
      <c r="C2005">
        <f>DAY(tbl_Kalender[[#This Row],[Datum]])</f>
        <v>26</v>
      </c>
      <c r="D2005" t="str">
        <f>TEXT(tbl_Kalender[[#This Row],[Datum]],"TTTT")</f>
        <v>Dienstag</v>
      </c>
      <c r="E2005">
        <f>WEEKDAY(tbl_Kalender[[#This Row],[Datum]],2)</f>
        <v>2</v>
      </c>
      <c r="F2005">
        <f>MONTH(tbl_Kalender[[#This Row],[Datum]])</f>
        <v>6</v>
      </c>
      <c r="G2005" t="str">
        <f>TEXT(tbl_Kalender[[#This Row],[Datum]],"MMMM")</f>
        <v>Juni</v>
      </c>
      <c r="H2005">
        <f>ROUNDUP(tbl_Kalender[[#This Row],[Monat]]/3,0)</f>
        <v>2</v>
      </c>
      <c r="I2005" t="str">
        <f>"Q "&amp;tbl_Kalender[[#This Row],[Quartal]]</f>
        <v>Q 2</v>
      </c>
      <c r="J2005" t="str">
        <f>tbl_Kalender[[#This Row],[Quartal]]&amp;". Quartal"</f>
        <v>2. Quartal</v>
      </c>
      <c r="K2005">
        <f>_xlfn.ISOWEEKNUM(tbl_Kalender[[#This Row],[Datum]])</f>
        <v>26</v>
      </c>
    </row>
    <row r="2006" spans="1:11" x14ac:dyDescent="0.25">
      <c r="A2006" s="1">
        <v>47296</v>
      </c>
      <c r="B2006">
        <f>YEAR(tbl_Kalender[[#This Row],[Datum]])</f>
        <v>2029</v>
      </c>
      <c r="C2006">
        <f>DAY(tbl_Kalender[[#This Row],[Datum]])</f>
        <v>27</v>
      </c>
      <c r="D2006" t="str">
        <f>TEXT(tbl_Kalender[[#This Row],[Datum]],"TTTT")</f>
        <v>Mittwoch</v>
      </c>
      <c r="E2006">
        <f>WEEKDAY(tbl_Kalender[[#This Row],[Datum]],2)</f>
        <v>3</v>
      </c>
      <c r="F2006">
        <f>MONTH(tbl_Kalender[[#This Row],[Datum]])</f>
        <v>6</v>
      </c>
      <c r="G2006" t="str">
        <f>TEXT(tbl_Kalender[[#This Row],[Datum]],"MMMM")</f>
        <v>Juni</v>
      </c>
      <c r="H2006">
        <f>ROUNDUP(tbl_Kalender[[#This Row],[Monat]]/3,0)</f>
        <v>2</v>
      </c>
      <c r="I2006" t="str">
        <f>"Q "&amp;tbl_Kalender[[#This Row],[Quartal]]</f>
        <v>Q 2</v>
      </c>
      <c r="J2006" t="str">
        <f>tbl_Kalender[[#This Row],[Quartal]]&amp;". Quartal"</f>
        <v>2. Quartal</v>
      </c>
      <c r="K2006">
        <f>_xlfn.ISOWEEKNUM(tbl_Kalender[[#This Row],[Datum]])</f>
        <v>26</v>
      </c>
    </row>
    <row r="2007" spans="1:11" x14ac:dyDescent="0.25">
      <c r="A2007" s="1">
        <v>47297</v>
      </c>
      <c r="B2007">
        <f>YEAR(tbl_Kalender[[#This Row],[Datum]])</f>
        <v>2029</v>
      </c>
      <c r="C2007">
        <f>DAY(tbl_Kalender[[#This Row],[Datum]])</f>
        <v>28</v>
      </c>
      <c r="D2007" t="str">
        <f>TEXT(tbl_Kalender[[#This Row],[Datum]],"TTTT")</f>
        <v>Donnerstag</v>
      </c>
      <c r="E2007">
        <f>WEEKDAY(tbl_Kalender[[#This Row],[Datum]],2)</f>
        <v>4</v>
      </c>
      <c r="F2007">
        <f>MONTH(tbl_Kalender[[#This Row],[Datum]])</f>
        <v>6</v>
      </c>
      <c r="G2007" t="str">
        <f>TEXT(tbl_Kalender[[#This Row],[Datum]],"MMMM")</f>
        <v>Juni</v>
      </c>
      <c r="H2007">
        <f>ROUNDUP(tbl_Kalender[[#This Row],[Monat]]/3,0)</f>
        <v>2</v>
      </c>
      <c r="I2007" t="str">
        <f>"Q "&amp;tbl_Kalender[[#This Row],[Quartal]]</f>
        <v>Q 2</v>
      </c>
      <c r="J2007" t="str">
        <f>tbl_Kalender[[#This Row],[Quartal]]&amp;". Quartal"</f>
        <v>2. Quartal</v>
      </c>
      <c r="K2007">
        <f>_xlfn.ISOWEEKNUM(tbl_Kalender[[#This Row],[Datum]])</f>
        <v>26</v>
      </c>
    </row>
    <row r="2008" spans="1:11" x14ac:dyDescent="0.25">
      <c r="A2008" s="1">
        <v>47298</v>
      </c>
      <c r="B2008">
        <f>YEAR(tbl_Kalender[[#This Row],[Datum]])</f>
        <v>2029</v>
      </c>
      <c r="C2008">
        <f>DAY(tbl_Kalender[[#This Row],[Datum]])</f>
        <v>29</v>
      </c>
      <c r="D2008" t="str">
        <f>TEXT(tbl_Kalender[[#This Row],[Datum]],"TTTT")</f>
        <v>Freitag</v>
      </c>
      <c r="E2008">
        <f>WEEKDAY(tbl_Kalender[[#This Row],[Datum]],2)</f>
        <v>5</v>
      </c>
      <c r="F2008">
        <f>MONTH(tbl_Kalender[[#This Row],[Datum]])</f>
        <v>6</v>
      </c>
      <c r="G2008" t="str">
        <f>TEXT(tbl_Kalender[[#This Row],[Datum]],"MMMM")</f>
        <v>Juni</v>
      </c>
      <c r="H2008">
        <f>ROUNDUP(tbl_Kalender[[#This Row],[Monat]]/3,0)</f>
        <v>2</v>
      </c>
      <c r="I2008" t="str">
        <f>"Q "&amp;tbl_Kalender[[#This Row],[Quartal]]</f>
        <v>Q 2</v>
      </c>
      <c r="J2008" t="str">
        <f>tbl_Kalender[[#This Row],[Quartal]]&amp;". Quartal"</f>
        <v>2. Quartal</v>
      </c>
      <c r="K2008">
        <f>_xlfn.ISOWEEKNUM(tbl_Kalender[[#This Row],[Datum]])</f>
        <v>26</v>
      </c>
    </row>
    <row r="2009" spans="1:11" x14ac:dyDescent="0.25">
      <c r="A2009" s="1">
        <v>47299</v>
      </c>
      <c r="B2009">
        <f>YEAR(tbl_Kalender[[#This Row],[Datum]])</f>
        <v>2029</v>
      </c>
      <c r="C2009">
        <f>DAY(tbl_Kalender[[#This Row],[Datum]])</f>
        <v>30</v>
      </c>
      <c r="D2009" t="str">
        <f>TEXT(tbl_Kalender[[#This Row],[Datum]],"TTTT")</f>
        <v>Samstag</v>
      </c>
      <c r="E2009">
        <f>WEEKDAY(tbl_Kalender[[#This Row],[Datum]],2)</f>
        <v>6</v>
      </c>
      <c r="F2009">
        <f>MONTH(tbl_Kalender[[#This Row],[Datum]])</f>
        <v>6</v>
      </c>
      <c r="G2009" t="str">
        <f>TEXT(tbl_Kalender[[#This Row],[Datum]],"MMMM")</f>
        <v>Juni</v>
      </c>
      <c r="H2009">
        <f>ROUNDUP(tbl_Kalender[[#This Row],[Monat]]/3,0)</f>
        <v>2</v>
      </c>
      <c r="I2009" t="str">
        <f>"Q "&amp;tbl_Kalender[[#This Row],[Quartal]]</f>
        <v>Q 2</v>
      </c>
      <c r="J2009" t="str">
        <f>tbl_Kalender[[#This Row],[Quartal]]&amp;". Quartal"</f>
        <v>2. Quartal</v>
      </c>
      <c r="K2009">
        <f>_xlfn.ISOWEEKNUM(tbl_Kalender[[#This Row],[Datum]])</f>
        <v>26</v>
      </c>
    </row>
    <row r="2010" spans="1:11" x14ac:dyDescent="0.25">
      <c r="A2010" s="1">
        <v>47300</v>
      </c>
      <c r="B2010">
        <f>YEAR(tbl_Kalender[[#This Row],[Datum]])</f>
        <v>2029</v>
      </c>
      <c r="C2010">
        <f>DAY(tbl_Kalender[[#This Row],[Datum]])</f>
        <v>1</v>
      </c>
      <c r="D2010" t="str">
        <f>TEXT(tbl_Kalender[[#This Row],[Datum]],"TTTT")</f>
        <v>Sonntag</v>
      </c>
      <c r="E2010">
        <f>WEEKDAY(tbl_Kalender[[#This Row],[Datum]],2)</f>
        <v>7</v>
      </c>
      <c r="F2010">
        <f>MONTH(tbl_Kalender[[#This Row],[Datum]])</f>
        <v>7</v>
      </c>
      <c r="G2010" t="str">
        <f>TEXT(tbl_Kalender[[#This Row],[Datum]],"MMMM")</f>
        <v>Juli</v>
      </c>
      <c r="H2010">
        <f>ROUNDUP(tbl_Kalender[[#This Row],[Monat]]/3,0)</f>
        <v>3</v>
      </c>
      <c r="I2010" t="str">
        <f>"Q "&amp;tbl_Kalender[[#This Row],[Quartal]]</f>
        <v>Q 3</v>
      </c>
      <c r="J2010" t="str">
        <f>tbl_Kalender[[#This Row],[Quartal]]&amp;". Quartal"</f>
        <v>3. Quartal</v>
      </c>
      <c r="K2010">
        <f>_xlfn.ISOWEEKNUM(tbl_Kalender[[#This Row],[Datum]])</f>
        <v>26</v>
      </c>
    </row>
    <row r="2011" spans="1:11" x14ac:dyDescent="0.25">
      <c r="A2011" s="1">
        <v>47301</v>
      </c>
      <c r="B2011">
        <f>YEAR(tbl_Kalender[[#This Row],[Datum]])</f>
        <v>2029</v>
      </c>
      <c r="C2011">
        <f>DAY(tbl_Kalender[[#This Row],[Datum]])</f>
        <v>2</v>
      </c>
      <c r="D2011" t="str">
        <f>TEXT(tbl_Kalender[[#This Row],[Datum]],"TTTT")</f>
        <v>Montag</v>
      </c>
      <c r="E2011">
        <f>WEEKDAY(tbl_Kalender[[#This Row],[Datum]],2)</f>
        <v>1</v>
      </c>
      <c r="F2011">
        <f>MONTH(tbl_Kalender[[#This Row],[Datum]])</f>
        <v>7</v>
      </c>
      <c r="G2011" t="str">
        <f>TEXT(tbl_Kalender[[#This Row],[Datum]],"MMMM")</f>
        <v>Juli</v>
      </c>
      <c r="H2011">
        <f>ROUNDUP(tbl_Kalender[[#This Row],[Monat]]/3,0)</f>
        <v>3</v>
      </c>
      <c r="I2011" t="str">
        <f>"Q "&amp;tbl_Kalender[[#This Row],[Quartal]]</f>
        <v>Q 3</v>
      </c>
      <c r="J2011" t="str">
        <f>tbl_Kalender[[#This Row],[Quartal]]&amp;". Quartal"</f>
        <v>3. Quartal</v>
      </c>
      <c r="K2011">
        <f>_xlfn.ISOWEEKNUM(tbl_Kalender[[#This Row],[Datum]])</f>
        <v>27</v>
      </c>
    </row>
    <row r="2012" spans="1:11" x14ac:dyDescent="0.25">
      <c r="A2012" s="1">
        <v>47302</v>
      </c>
      <c r="B2012">
        <f>YEAR(tbl_Kalender[[#This Row],[Datum]])</f>
        <v>2029</v>
      </c>
      <c r="C2012">
        <f>DAY(tbl_Kalender[[#This Row],[Datum]])</f>
        <v>3</v>
      </c>
      <c r="D2012" t="str">
        <f>TEXT(tbl_Kalender[[#This Row],[Datum]],"TTTT")</f>
        <v>Dienstag</v>
      </c>
      <c r="E2012">
        <f>WEEKDAY(tbl_Kalender[[#This Row],[Datum]],2)</f>
        <v>2</v>
      </c>
      <c r="F2012">
        <f>MONTH(tbl_Kalender[[#This Row],[Datum]])</f>
        <v>7</v>
      </c>
      <c r="G2012" t="str">
        <f>TEXT(tbl_Kalender[[#This Row],[Datum]],"MMMM")</f>
        <v>Juli</v>
      </c>
      <c r="H2012">
        <f>ROUNDUP(tbl_Kalender[[#This Row],[Monat]]/3,0)</f>
        <v>3</v>
      </c>
      <c r="I2012" t="str">
        <f>"Q "&amp;tbl_Kalender[[#This Row],[Quartal]]</f>
        <v>Q 3</v>
      </c>
      <c r="J2012" t="str">
        <f>tbl_Kalender[[#This Row],[Quartal]]&amp;". Quartal"</f>
        <v>3. Quartal</v>
      </c>
      <c r="K2012">
        <f>_xlfn.ISOWEEKNUM(tbl_Kalender[[#This Row],[Datum]])</f>
        <v>27</v>
      </c>
    </row>
    <row r="2013" spans="1:11" x14ac:dyDescent="0.25">
      <c r="A2013" s="1">
        <v>47303</v>
      </c>
      <c r="B2013">
        <f>YEAR(tbl_Kalender[[#This Row],[Datum]])</f>
        <v>2029</v>
      </c>
      <c r="C2013">
        <f>DAY(tbl_Kalender[[#This Row],[Datum]])</f>
        <v>4</v>
      </c>
      <c r="D2013" t="str">
        <f>TEXT(tbl_Kalender[[#This Row],[Datum]],"TTTT")</f>
        <v>Mittwoch</v>
      </c>
      <c r="E2013">
        <f>WEEKDAY(tbl_Kalender[[#This Row],[Datum]],2)</f>
        <v>3</v>
      </c>
      <c r="F2013">
        <f>MONTH(tbl_Kalender[[#This Row],[Datum]])</f>
        <v>7</v>
      </c>
      <c r="G2013" t="str">
        <f>TEXT(tbl_Kalender[[#This Row],[Datum]],"MMMM")</f>
        <v>Juli</v>
      </c>
      <c r="H2013">
        <f>ROUNDUP(tbl_Kalender[[#This Row],[Monat]]/3,0)</f>
        <v>3</v>
      </c>
      <c r="I2013" t="str">
        <f>"Q "&amp;tbl_Kalender[[#This Row],[Quartal]]</f>
        <v>Q 3</v>
      </c>
      <c r="J2013" t="str">
        <f>tbl_Kalender[[#This Row],[Quartal]]&amp;". Quartal"</f>
        <v>3. Quartal</v>
      </c>
      <c r="K2013">
        <f>_xlfn.ISOWEEKNUM(tbl_Kalender[[#This Row],[Datum]])</f>
        <v>27</v>
      </c>
    </row>
    <row r="2014" spans="1:11" x14ac:dyDescent="0.25">
      <c r="A2014" s="1">
        <v>47304</v>
      </c>
      <c r="B2014">
        <f>YEAR(tbl_Kalender[[#This Row],[Datum]])</f>
        <v>2029</v>
      </c>
      <c r="C2014">
        <f>DAY(tbl_Kalender[[#This Row],[Datum]])</f>
        <v>5</v>
      </c>
      <c r="D2014" t="str">
        <f>TEXT(tbl_Kalender[[#This Row],[Datum]],"TTTT")</f>
        <v>Donnerstag</v>
      </c>
      <c r="E2014">
        <f>WEEKDAY(tbl_Kalender[[#This Row],[Datum]],2)</f>
        <v>4</v>
      </c>
      <c r="F2014">
        <f>MONTH(tbl_Kalender[[#This Row],[Datum]])</f>
        <v>7</v>
      </c>
      <c r="G2014" t="str">
        <f>TEXT(tbl_Kalender[[#This Row],[Datum]],"MMMM")</f>
        <v>Juli</v>
      </c>
      <c r="H2014">
        <f>ROUNDUP(tbl_Kalender[[#This Row],[Monat]]/3,0)</f>
        <v>3</v>
      </c>
      <c r="I2014" t="str">
        <f>"Q "&amp;tbl_Kalender[[#This Row],[Quartal]]</f>
        <v>Q 3</v>
      </c>
      <c r="J2014" t="str">
        <f>tbl_Kalender[[#This Row],[Quartal]]&amp;". Quartal"</f>
        <v>3. Quartal</v>
      </c>
      <c r="K2014">
        <f>_xlfn.ISOWEEKNUM(tbl_Kalender[[#This Row],[Datum]])</f>
        <v>27</v>
      </c>
    </row>
    <row r="2015" spans="1:11" x14ac:dyDescent="0.25">
      <c r="A2015" s="1">
        <v>47305</v>
      </c>
      <c r="B2015">
        <f>YEAR(tbl_Kalender[[#This Row],[Datum]])</f>
        <v>2029</v>
      </c>
      <c r="C2015">
        <f>DAY(tbl_Kalender[[#This Row],[Datum]])</f>
        <v>6</v>
      </c>
      <c r="D2015" t="str">
        <f>TEXT(tbl_Kalender[[#This Row],[Datum]],"TTTT")</f>
        <v>Freitag</v>
      </c>
      <c r="E2015">
        <f>WEEKDAY(tbl_Kalender[[#This Row],[Datum]],2)</f>
        <v>5</v>
      </c>
      <c r="F2015">
        <f>MONTH(tbl_Kalender[[#This Row],[Datum]])</f>
        <v>7</v>
      </c>
      <c r="G2015" t="str">
        <f>TEXT(tbl_Kalender[[#This Row],[Datum]],"MMMM")</f>
        <v>Juli</v>
      </c>
      <c r="H2015">
        <f>ROUNDUP(tbl_Kalender[[#This Row],[Monat]]/3,0)</f>
        <v>3</v>
      </c>
      <c r="I2015" t="str">
        <f>"Q "&amp;tbl_Kalender[[#This Row],[Quartal]]</f>
        <v>Q 3</v>
      </c>
      <c r="J2015" t="str">
        <f>tbl_Kalender[[#This Row],[Quartal]]&amp;". Quartal"</f>
        <v>3. Quartal</v>
      </c>
      <c r="K2015">
        <f>_xlfn.ISOWEEKNUM(tbl_Kalender[[#This Row],[Datum]])</f>
        <v>27</v>
      </c>
    </row>
    <row r="2016" spans="1:11" x14ac:dyDescent="0.25">
      <c r="A2016" s="1">
        <v>47306</v>
      </c>
      <c r="B2016">
        <f>YEAR(tbl_Kalender[[#This Row],[Datum]])</f>
        <v>2029</v>
      </c>
      <c r="C2016">
        <f>DAY(tbl_Kalender[[#This Row],[Datum]])</f>
        <v>7</v>
      </c>
      <c r="D2016" t="str">
        <f>TEXT(tbl_Kalender[[#This Row],[Datum]],"TTTT")</f>
        <v>Samstag</v>
      </c>
      <c r="E2016">
        <f>WEEKDAY(tbl_Kalender[[#This Row],[Datum]],2)</f>
        <v>6</v>
      </c>
      <c r="F2016">
        <f>MONTH(tbl_Kalender[[#This Row],[Datum]])</f>
        <v>7</v>
      </c>
      <c r="G2016" t="str">
        <f>TEXT(tbl_Kalender[[#This Row],[Datum]],"MMMM")</f>
        <v>Juli</v>
      </c>
      <c r="H2016">
        <f>ROUNDUP(tbl_Kalender[[#This Row],[Monat]]/3,0)</f>
        <v>3</v>
      </c>
      <c r="I2016" t="str">
        <f>"Q "&amp;tbl_Kalender[[#This Row],[Quartal]]</f>
        <v>Q 3</v>
      </c>
      <c r="J2016" t="str">
        <f>tbl_Kalender[[#This Row],[Quartal]]&amp;". Quartal"</f>
        <v>3. Quartal</v>
      </c>
      <c r="K2016">
        <f>_xlfn.ISOWEEKNUM(tbl_Kalender[[#This Row],[Datum]])</f>
        <v>27</v>
      </c>
    </row>
    <row r="2017" spans="1:11" x14ac:dyDescent="0.25">
      <c r="A2017" s="1">
        <v>47307</v>
      </c>
      <c r="B2017">
        <f>YEAR(tbl_Kalender[[#This Row],[Datum]])</f>
        <v>2029</v>
      </c>
      <c r="C2017">
        <f>DAY(tbl_Kalender[[#This Row],[Datum]])</f>
        <v>8</v>
      </c>
      <c r="D2017" t="str">
        <f>TEXT(tbl_Kalender[[#This Row],[Datum]],"TTTT")</f>
        <v>Sonntag</v>
      </c>
      <c r="E2017">
        <f>WEEKDAY(tbl_Kalender[[#This Row],[Datum]],2)</f>
        <v>7</v>
      </c>
      <c r="F2017">
        <f>MONTH(tbl_Kalender[[#This Row],[Datum]])</f>
        <v>7</v>
      </c>
      <c r="G2017" t="str">
        <f>TEXT(tbl_Kalender[[#This Row],[Datum]],"MMMM")</f>
        <v>Juli</v>
      </c>
      <c r="H2017">
        <f>ROUNDUP(tbl_Kalender[[#This Row],[Monat]]/3,0)</f>
        <v>3</v>
      </c>
      <c r="I2017" t="str">
        <f>"Q "&amp;tbl_Kalender[[#This Row],[Quartal]]</f>
        <v>Q 3</v>
      </c>
      <c r="J2017" t="str">
        <f>tbl_Kalender[[#This Row],[Quartal]]&amp;". Quartal"</f>
        <v>3. Quartal</v>
      </c>
      <c r="K2017">
        <f>_xlfn.ISOWEEKNUM(tbl_Kalender[[#This Row],[Datum]])</f>
        <v>27</v>
      </c>
    </row>
    <row r="2018" spans="1:11" x14ac:dyDescent="0.25">
      <c r="A2018" s="1">
        <v>47308</v>
      </c>
      <c r="B2018">
        <f>YEAR(tbl_Kalender[[#This Row],[Datum]])</f>
        <v>2029</v>
      </c>
      <c r="C2018">
        <f>DAY(tbl_Kalender[[#This Row],[Datum]])</f>
        <v>9</v>
      </c>
      <c r="D2018" t="str">
        <f>TEXT(tbl_Kalender[[#This Row],[Datum]],"TTTT")</f>
        <v>Montag</v>
      </c>
      <c r="E2018">
        <f>WEEKDAY(tbl_Kalender[[#This Row],[Datum]],2)</f>
        <v>1</v>
      </c>
      <c r="F2018">
        <f>MONTH(tbl_Kalender[[#This Row],[Datum]])</f>
        <v>7</v>
      </c>
      <c r="G2018" t="str">
        <f>TEXT(tbl_Kalender[[#This Row],[Datum]],"MMMM")</f>
        <v>Juli</v>
      </c>
      <c r="H2018">
        <f>ROUNDUP(tbl_Kalender[[#This Row],[Monat]]/3,0)</f>
        <v>3</v>
      </c>
      <c r="I2018" t="str">
        <f>"Q "&amp;tbl_Kalender[[#This Row],[Quartal]]</f>
        <v>Q 3</v>
      </c>
      <c r="J2018" t="str">
        <f>tbl_Kalender[[#This Row],[Quartal]]&amp;". Quartal"</f>
        <v>3. Quartal</v>
      </c>
      <c r="K2018">
        <f>_xlfn.ISOWEEKNUM(tbl_Kalender[[#This Row],[Datum]])</f>
        <v>28</v>
      </c>
    </row>
    <row r="2019" spans="1:11" x14ac:dyDescent="0.25">
      <c r="A2019" s="1">
        <v>47309</v>
      </c>
      <c r="B2019">
        <f>YEAR(tbl_Kalender[[#This Row],[Datum]])</f>
        <v>2029</v>
      </c>
      <c r="C2019">
        <f>DAY(tbl_Kalender[[#This Row],[Datum]])</f>
        <v>10</v>
      </c>
      <c r="D2019" t="str">
        <f>TEXT(tbl_Kalender[[#This Row],[Datum]],"TTTT")</f>
        <v>Dienstag</v>
      </c>
      <c r="E2019">
        <f>WEEKDAY(tbl_Kalender[[#This Row],[Datum]],2)</f>
        <v>2</v>
      </c>
      <c r="F2019">
        <f>MONTH(tbl_Kalender[[#This Row],[Datum]])</f>
        <v>7</v>
      </c>
      <c r="G2019" t="str">
        <f>TEXT(tbl_Kalender[[#This Row],[Datum]],"MMMM")</f>
        <v>Juli</v>
      </c>
      <c r="H2019">
        <f>ROUNDUP(tbl_Kalender[[#This Row],[Monat]]/3,0)</f>
        <v>3</v>
      </c>
      <c r="I2019" t="str">
        <f>"Q "&amp;tbl_Kalender[[#This Row],[Quartal]]</f>
        <v>Q 3</v>
      </c>
      <c r="J2019" t="str">
        <f>tbl_Kalender[[#This Row],[Quartal]]&amp;". Quartal"</f>
        <v>3. Quartal</v>
      </c>
      <c r="K2019">
        <f>_xlfn.ISOWEEKNUM(tbl_Kalender[[#This Row],[Datum]])</f>
        <v>28</v>
      </c>
    </row>
    <row r="2020" spans="1:11" x14ac:dyDescent="0.25">
      <c r="A2020" s="1">
        <v>47310</v>
      </c>
      <c r="B2020">
        <f>YEAR(tbl_Kalender[[#This Row],[Datum]])</f>
        <v>2029</v>
      </c>
      <c r="C2020">
        <f>DAY(tbl_Kalender[[#This Row],[Datum]])</f>
        <v>11</v>
      </c>
      <c r="D2020" t="str">
        <f>TEXT(tbl_Kalender[[#This Row],[Datum]],"TTTT")</f>
        <v>Mittwoch</v>
      </c>
      <c r="E2020">
        <f>WEEKDAY(tbl_Kalender[[#This Row],[Datum]],2)</f>
        <v>3</v>
      </c>
      <c r="F2020">
        <f>MONTH(tbl_Kalender[[#This Row],[Datum]])</f>
        <v>7</v>
      </c>
      <c r="G2020" t="str">
        <f>TEXT(tbl_Kalender[[#This Row],[Datum]],"MMMM")</f>
        <v>Juli</v>
      </c>
      <c r="H2020">
        <f>ROUNDUP(tbl_Kalender[[#This Row],[Monat]]/3,0)</f>
        <v>3</v>
      </c>
      <c r="I2020" t="str">
        <f>"Q "&amp;tbl_Kalender[[#This Row],[Quartal]]</f>
        <v>Q 3</v>
      </c>
      <c r="J2020" t="str">
        <f>tbl_Kalender[[#This Row],[Quartal]]&amp;". Quartal"</f>
        <v>3. Quartal</v>
      </c>
      <c r="K2020">
        <f>_xlfn.ISOWEEKNUM(tbl_Kalender[[#This Row],[Datum]])</f>
        <v>28</v>
      </c>
    </row>
    <row r="2021" spans="1:11" x14ac:dyDescent="0.25">
      <c r="A2021" s="1">
        <v>47311</v>
      </c>
      <c r="B2021">
        <f>YEAR(tbl_Kalender[[#This Row],[Datum]])</f>
        <v>2029</v>
      </c>
      <c r="C2021">
        <f>DAY(tbl_Kalender[[#This Row],[Datum]])</f>
        <v>12</v>
      </c>
      <c r="D2021" t="str">
        <f>TEXT(tbl_Kalender[[#This Row],[Datum]],"TTTT")</f>
        <v>Donnerstag</v>
      </c>
      <c r="E2021">
        <f>WEEKDAY(tbl_Kalender[[#This Row],[Datum]],2)</f>
        <v>4</v>
      </c>
      <c r="F2021">
        <f>MONTH(tbl_Kalender[[#This Row],[Datum]])</f>
        <v>7</v>
      </c>
      <c r="G2021" t="str">
        <f>TEXT(tbl_Kalender[[#This Row],[Datum]],"MMMM")</f>
        <v>Juli</v>
      </c>
      <c r="H2021">
        <f>ROUNDUP(tbl_Kalender[[#This Row],[Monat]]/3,0)</f>
        <v>3</v>
      </c>
      <c r="I2021" t="str">
        <f>"Q "&amp;tbl_Kalender[[#This Row],[Quartal]]</f>
        <v>Q 3</v>
      </c>
      <c r="J2021" t="str">
        <f>tbl_Kalender[[#This Row],[Quartal]]&amp;". Quartal"</f>
        <v>3. Quartal</v>
      </c>
      <c r="K2021">
        <f>_xlfn.ISOWEEKNUM(tbl_Kalender[[#This Row],[Datum]])</f>
        <v>28</v>
      </c>
    </row>
    <row r="2022" spans="1:11" x14ac:dyDescent="0.25">
      <c r="A2022" s="1">
        <v>47312</v>
      </c>
      <c r="B2022">
        <f>YEAR(tbl_Kalender[[#This Row],[Datum]])</f>
        <v>2029</v>
      </c>
      <c r="C2022">
        <f>DAY(tbl_Kalender[[#This Row],[Datum]])</f>
        <v>13</v>
      </c>
      <c r="D2022" t="str">
        <f>TEXT(tbl_Kalender[[#This Row],[Datum]],"TTTT")</f>
        <v>Freitag</v>
      </c>
      <c r="E2022">
        <f>WEEKDAY(tbl_Kalender[[#This Row],[Datum]],2)</f>
        <v>5</v>
      </c>
      <c r="F2022">
        <f>MONTH(tbl_Kalender[[#This Row],[Datum]])</f>
        <v>7</v>
      </c>
      <c r="G2022" t="str">
        <f>TEXT(tbl_Kalender[[#This Row],[Datum]],"MMMM")</f>
        <v>Juli</v>
      </c>
      <c r="H2022">
        <f>ROUNDUP(tbl_Kalender[[#This Row],[Monat]]/3,0)</f>
        <v>3</v>
      </c>
      <c r="I2022" t="str">
        <f>"Q "&amp;tbl_Kalender[[#This Row],[Quartal]]</f>
        <v>Q 3</v>
      </c>
      <c r="J2022" t="str">
        <f>tbl_Kalender[[#This Row],[Quartal]]&amp;". Quartal"</f>
        <v>3. Quartal</v>
      </c>
      <c r="K2022">
        <f>_xlfn.ISOWEEKNUM(tbl_Kalender[[#This Row],[Datum]])</f>
        <v>28</v>
      </c>
    </row>
    <row r="2023" spans="1:11" x14ac:dyDescent="0.25">
      <c r="A2023" s="1">
        <v>47313</v>
      </c>
      <c r="B2023">
        <f>YEAR(tbl_Kalender[[#This Row],[Datum]])</f>
        <v>2029</v>
      </c>
      <c r="C2023">
        <f>DAY(tbl_Kalender[[#This Row],[Datum]])</f>
        <v>14</v>
      </c>
      <c r="D2023" t="str">
        <f>TEXT(tbl_Kalender[[#This Row],[Datum]],"TTTT")</f>
        <v>Samstag</v>
      </c>
      <c r="E2023">
        <f>WEEKDAY(tbl_Kalender[[#This Row],[Datum]],2)</f>
        <v>6</v>
      </c>
      <c r="F2023">
        <f>MONTH(tbl_Kalender[[#This Row],[Datum]])</f>
        <v>7</v>
      </c>
      <c r="G2023" t="str">
        <f>TEXT(tbl_Kalender[[#This Row],[Datum]],"MMMM")</f>
        <v>Juli</v>
      </c>
      <c r="H2023">
        <f>ROUNDUP(tbl_Kalender[[#This Row],[Monat]]/3,0)</f>
        <v>3</v>
      </c>
      <c r="I2023" t="str">
        <f>"Q "&amp;tbl_Kalender[[#This Row],[Quartal]]</f>
        <v>Q 3</v>
      </c>
      <c r="J2023" t="str">
        <f>tbl_Kalender[[#This Row],[Quartal]]&amp;". Quartal"</f>
        <v>3. Quartal</v>
      </c>
      <c r="K2023">
        <f>_xlfn.ISOWEEKNUM(tbl_Kalender[[#This Row],[Datum]])</f>
        <v>28</v>
      </c>
    </row>
    <row r="2024" spans="1:11" x14ac:dyDescent="0.25">
      <c r="A2024" s="1">
        <v>47314</v>
      </c>
      <c r="B2024">
        <f>YEAR(tbl_Kalender[[#This Row],[Datum]])</f>
        <v>2029</v>
      </c>
      <c r="C2024">
        <f>DAY(tbl_Kalender[[#This Row],[Datum]])</f>
        <v>15</v>
      </c>
      <c r="D2024" t="str">
        <f>TEXT(tbl_Kalender[[#This Row],[Datum]],"TTTT")</f>
        <v>Sonntag</v>
      </c>
      <c r="E2024">
        <f>WEEKDAY(tbl_Kalender[[#This Row],[Datum]],2)</f>
        <v>7</v>
      </c>
      <c r="F2024">
        <f>MONTH(tbl_Kalender[[#This Row],[Datum]])</f>
        <v>7</v>
      </c>
      <c r="G2024" t="str">
        <f>TEXT(tbl_Kalender[[#This Row],[Datum]],"MMMM")</f>
        <v>Juli</v>
      </c>
      <c r="H2024">
        <f>ROUNDUP(tbl_Kalender[[#This Row],[Monat]]/3,0)</f>
        <v>3</v>
      </c>
      <c r="I2024" t="str">
        <f>"Q "&amp;tbl_Kalender[[#This Row],[Quartal]]</f>
        <v>Q 3</v>
      </c>
      <c r="J2024" t="str">
        <f>tbl_Kalender[[#This Row],[Quartal]]&amp;". Quartal"</f>
        <v>3. Quartal</v>
      </c>
      <c r="K2024">
        <f>_xlfn.ISOWEEKNUM(tbl_Kalender[[#This Row],[Datum]])</f>
        <v>28</v>
      </c>
    </row>
    <row r="2025" spans="1:11" x14ac:dyDescent="0.25">
      <c r="A2025" s="1">
        <v>47315</v>
      </c>
      <c r="B2025">
        <f>YEAR(tbl_Kalender[[#This Row],[Datum]])</f>
        <v>2029</v>
      </c>
      <c r="C2025">
        <f>DAY(tbl_Kalender[[#This Row],[Datum]])</f>
        <v>16</v>
      </c>
      <c r="D2025" t="str">
        <f>TEXT(tbl_Kalender[[#This Row],[Datum]],"TTTT")</f>
        <v>Montag</v>
      </c>
      <c r="E2025">
        <f>WEEKDAY(tbl_Kalender[[#This Row],[Datum]],2)</f>
        <v>1</v>
      </c>
      <c r="F2025">
        <f>MONTH(tbl_Kalender[[#This Row],[Datum]])</f>
        <v>7</v>
      </c>
      <c r="G2025" t="str">
        <f>TEXT(tbl_Kalender[[#This Row],[Datum]],"MMMM")</f>
        <v>Juli</v>
      </c>
      <c r="H2025">
        <f>ROUNDUP(tbl_Kalender[[#This Row],[Monat]]/3,0)</f>
        <v>3</v>
      </c>
      <c r="I2025" t="str">
        <f>"Q "&amp;tbl_Kalender[[#This Row],[Quartal]]</f>
        <v>Q 3</v>
      </c>
      <c r="J2025" t="str">
        <f>tbl_Kalender[[#This Row],[Quartal]]&amp;". Quartal"</f>
        <v>3. Quartal</v>
      </c>
      <c r="K2025">
        <f>_xlfn.ISOWEEKNUM(tbl_Kalender[[#This Row],[Datum]])</f>
        <v>29</v>
      </c>
    </row>
    <row r="2026" spans="1:11" x14ac:dyDescent="0.25">
      <c r="A2026" s="1">
        <v>47316</v>
      </c>
      <c r="B2026">
        <f>YEAR(tbl_Kalender[[#This Row],[Datum]])</f>
        <v>2029</v>
      </c>
      <c r="C2026">
        <f>DAY(tbl_Kalender[[#This Row],[Datum]])</f>
        <v>17</v>
      </c>
      <c r="D2026" t="str">
        <f>TEXT(tbl_Kalender[[#This Row],[Datum]],"TTTT")</f>
        <v>Dienstag</v>
      </c>
      <c r="E2026">
        <f>WEEKDAY(tbl_Kalender[[#This Row],[Datum]],2)</f>
        <v>2</v>
      </c>
      <c r="F2026">
        <f>MONTH(tbl_Kalender[[#This Row],[Datum]])</f>
        <v>7</v>
      </c>
      <c r="G2026" t="str">
        <f>TEXT(tbl_Kalender[[#This Row],[Datum]],"MMMM")</f>
        <v>Juli</v>
      </c>
      <c r="H2026">
        <f>ROUNDUP(tbl_Kalender[[#This Row],[Monat]]/3,0)</f>
        <v>3</v>
      </c>
      <c r="I2026" t="str">
        <f>"Q "&amp;tbl_Kalender[[#This Row],[Quartal]]</f>
        <v>Q 3</v>
      </c>
      <c r="J2026" t="str">
        <f>tbl_Kalender[[#This Row],[Quartal]]&amp;". Quartal"</f>
        <v>3. Quartal</v>
      </c>
      <c r="K2026">
        <f>_xlfn.ISOWEEKNUM(tbl_Kalender[[#This Row],[Datum]])</f>
        <v>29</v>
      </c>
    </row>
    <row r="2027" spans="1:11" x14ac:dyDescent="0.25">
      <c r="A2027" s="1">
        <v>47317</v>
      </c>
      <c r="B2027">
        <f>YEAR(tbl_Kalender[[#This Row],[Datum]])</f>
        <v>2029</v>
      </c>
      <c r="C2027">
        <f>DAY(tbl_Kalender[[#This Row],[Datum]])</f>
        <v>18</v>
      </c>
      <c r="D2027" t="str">
        <f>TEXT(tbl_Kalender[[#This Row],[Datum]],"TTTT")</f>
        <v>Mittwoch</v>
      </c>
      <c r="E2027">
        <f>WEEKDAY(tbl_Kalender[[#This Row],[Datum]],2)</f>
        <v>3</v>
      </c>
      <c r="F2027">
        <f>MONTH(tbl_Kalender[[#This Row],[Datum]])</f>
        <v>7</v>
      </c>
      <c r="G2027" t="str">
        <f>TEXT(tbl_Kalender[[#This Row],[Datum]],"MMMM")</f>
        <v>Juli</v>
      </c>
      <c r="H2027">
        <f>ROUNDUP(tbl_Kalender[[#This Row],[Monat]]/3,0)</f>
        <v>3</v>
      </c>
      <c r="I2027" t="str">
        <f>"Q "&amp;tbl_Kalender[[#This Row],[Quartal]]</f>
        <v>Q 3</v>
      </c>
      <c r="J2027" t="str">
        <f>tbl_Kalender[[#This Row],[Quartal]]&amp;". Quartal"</f>
        <v>3. Quartal</v>
      </c>
      <c r="K2027">
        <f>_xlfn.ISOWEEKNUM(tbl_Kalender[[#This Row],[Datum]])</f>
        <v>29</v>
      </c>
    </row>
    <row r="2028" spans="1:11" x14ac:dyDescent="0.25">
      <c r="A2028" s="1">
        <v>47318</v>
      </c>
      <c r="B2028">
        <f>YEAR(tbl_Kalender[[#This Row],[Datum]])</f>
        <v>2029</v>
      </c>
      <c r="C2028">
        <f>DAY(tbl_Kalender[[#This Row],[Datum]])</f>
        <v>19</v>
      </c>
      <c r="D2028" t="str">
        <f>TEXT(tbl_Kalender[[#This Row],[Datum]],"TTTT")</f>
        <v>Donnerstag</v>
      </c>
      <c r="E2028">
        <f>WEEKDAY(tbl_Kalender[[#This Row],[Datum]],2)</f>
        <v>4</v>
      </c>
      <c r="F2028">
        <f>MONTH(tbl_Kalender[[#This Row],[Datum]])</f>
        <v>7</v>
      </c>
      <c r="G2028" t="str">
        <f>TEXT(tbl_Kalender[[#This Row],[Datum]],"MMMM")</f>
        <v>Juli</v>
      </c>
      <c r="H2028">
        <f>ROUNDUP(tbl_Kalender[[#This Row],[Monat]]/3,0)</f>
        <v>3</v>
      </c>
      <c r="I2028" t="str">
        <f>"Q "&amp;tbl_Kalender[[#This Row],[Quartal]]</f>
        <v>Q 3</v>
      </c>
      <c r="J2028" t="str">
        <f>tbl_Kalender[[#This Row],[Quartal]]&amp;". Quartal"</f>
        <v>3. Quartal</v>
      </c>
      <c r="K2028">
        <f>_xlfn.ISOWEEKNUM(tbl_Kalender[[#This Row],[Datum]])</f>
        <v>29</v>
      </c>
    </row>
    <row r="2029" spans="1:11" x14ac:dyDescent="0.25">
      <c r="A2029" s="1">
        <v>47319</v>
      </c>
      <c r="B2029">
        <f>YEAR(tbl_Kalender[[#This Row],[Datum]])</f>
        <v>2029</v>
      </c>
      <c r="C2029">
        <f>DAY(tbl_Kalender[[#This Row],[Datum]])</f>
        <v>20</v>
      </c>
      <c r="D2029" t="str">
        <f>TEXT(tbl_Kalender[[#This Row],[Datum]],"TTTT")</f>
        <v>Freitag</v>
      </c>
      <c r="E2029">
        <f>WEEKDAY(tbl_Kalender[[#This Row],[Datum]],2)</f>
        <v>5</v>
      </c>
      <c r="F2029">
        <f>MONTH(tbl_Kalender[[#This Row],[Datum]])</f>
        <v>7</v>
      </c>
      <c r="G2029" t="str">
        <f>TEXT(tbl_Kalender[[#This Row],[Datum]],"MMMM")</f>
        <v>Juli</v>
      </c>
      <c r="H2029">
        <f>ROUNDUP(tbl_Kalender[[#This Row],[Monat]]/3,0)</f>
        <v>3</v>
      </c>
      <c r="I2029" t="str">
        <f>"Q "&amp;tbl_Kalender[[#This Row],[Quartal]]</f>
        <v>Q 3</v>
      </c>
      <c r="J2029" t="str">
        <f>tbl_Kalender[[#This Row],[Quartal]]&amp;". Quartal"</f>
        <v>3. Quartal</v>
      </c>
      <c r="K2029">
        <f>_xlfn.ISOWEEKNUM(tbl_Kalender[[#This Row],[Datum]])</f>
        <v>29</v>
      </c>
    </row>
    <row r="2030" spans="1:11" x14ac:dyDescent="0.25">
      <c r="A2030" s="1">
        <v>47320</v>
      </c>
      <c r="B2030">
        <f>YEAR(tbl_Kalender[[#This Row],[Datum]])</f>
        <v>2029</v>
      </c>
      <c r="C2030">
        <f>DAY(tbl_Kalender[[#This Row],[Datum]])</f>
        <v>21</v>
      </c>
      <c r="D2030" t="str">
        <f>TEXT(tbl_Kalender[[#This Row],[Datum]],"TTTT")</f>
        <v>Samstag</v>
      </c>
      <c r="E2030">
        <f>WEEKDAY(tbl_Kalender[[#This Row],[Datum]],2)</f>
        <v>6</v>
      </c>
      <c r="F2030">
        <f>MONTH(tbl_Kalender[[#This Row],[Datum]])</f>
        <v>7</v>
      </c>
      <c r="G2030" t="str">
        <f>TEXT(tbl_Kalender[[#This Row],[Datum]],"MMMM")</f>
        <v>Juli</v>
      </c>
      <c r="H2030">
        <f>ROUNDUP(tbl_Kalender[[#This Row],[Monat]]/3,0)</f>
        <v>3</v>
      </c>
      <c r="I2030" t="str">
        <f>"Q "&amp;tbl_Kalender[[#This Row],[Quartal]]</f>
        <v>Q 3</v>
      </c>
      <c r="J2030" t="str">
        <f>tbl_Kalender[[#This Row],[Quartal]]&amp;". Quartal"</f>
        <v>3. Quartal</v>
      </c>
      <c r="K2030">
        <f>_xlfn.ISOWEEKNUM(tbl_Kalender[[#This Row],[Datum]])</f>
        <v>29</v>
      </c>
    </row>
    <row r="2031" spans="1:11" x14ac:dyDescent="0.25">
      <c r="A2031" s="1">
        <v>47321</v>
      </c>
      <c r="B2031">
        <f>YEAR(tbl_Kalender[[#This Row],[Datum]])</f>
        <v>2029</v>
      </c>
      <c r="C2031">
        <f>DAY(tbl_Kalender[[#This Row],[Datum]])</f>
        <v>22</v>
      </c>
      <c r="D2031" t="str">
        <f>TEXT(tbl_Kalender[[#This Row],[Datum]],"TTTT")</f>
        <v>Sonntag</v>
      </c>
      <c r="E2031">
        <f>WEEKDAY(tbl_Kalender[[#This Row],[Datum]],2)</f>
        <v>7</v>
      </c>
      <c r="F2031">
        <f>MONTH(tbl_Kalender[[#This Row],[Datum]])</f>
        <v>7</v>
      </c>
      <c r="G2031" t="str">
        <f>TEXT(tbl_Kalender[[#This Row],[Datum]],"MMMM")</f>
        <v>Juli</v>
      </c>
      <c r="H2031">
        <f>ROUNDUP(tbl_Kalender[[#This Row],[Monat]]/3,0)</f>
        <v>3</v>
      </c>
      <c r="I2031" t="str">
        <f>"Q "&amp;tbl_Kalender[[#This Row],[Quartal]]</f>
        <v>Q 3</v>
      </c>
      <c r="J2031" t="str">
        <f>tbl_Kalender[[#This Row],[Quartal]]&amp;". Quartal"</f>
        <v>3. Quartal</v>
      </c>
      <c r="K2031">
        <f>_xlfn.ISOWEEKNUM(tbl_Kalender[[#This Row],[Datum]])</f>
        <v>29</v>
      </c>
    </row>
    <row r="2032" spans="1:11" x14ac:dyDescent="0.25">
      <c r="A2032" s="1">
        <v>47322</v>
      </c>
      <c r="B2032">
        <f>YEAR(tbl_Kalender[[#This Row],[Datum]])</f>
        <v>2029</v>
      </c>
      <c r="C2032">
        <f>DAY(tbl_Kalender[[#This Row],[Datum]])</f>
        <v>23</v>
      </c>
      <c r="D2032" t="str">
        <f>TEXT(tbl_Kalender[[#This Row],[Datum]],"TTTT")</f>
        <v>Montag</v>
      </c>
      <c r="E2032">
        <f>WEEKDAY(tbl_Kalender[[#This Row],[Datum]],2)</f>
        <v>1</v>
      </c>
      <c r="F2032">
        <f>MONTH(tbl_Kalender[[#This Row],[Datum]])</f>
        <v>7</v>
      </c>
      <c r="G2032" t="str">
        <f>TEXT(tbl_Kalender[[#This Row],[Datum]],"MMMM")</f>
        <v>Juli</v>
      </c>
      <c r="H2032">
        <f>ROUNDUP(tbl_Kalender[[#This Row],[Monat]]/3,0)</f>
        <v>3</v>
      </c>
      <c r="I2032" t="str">
        <f>"Q "&amp;tbl_Kalender[[#This Row],[Quartal]]</f>
        <v>Q 3</v>
      </c>
      <c r="J2032" t="str">
        <f>tbl_Kalender[[#This Row],[Quartal]]&amp;". Quartal"</f>
        <v>3. Quartal</v>
      </c>
      <c r="K2032">
        <f>_xlfn.ISOWEEKNUM(tbl_Kalender[[#This Row],[Datum]])</f>
        <v>30</v>
      </c>
    </row>
    <row r="2033" spans="1:11" x14ac:dyDescent="0.25">
      <c r="A2033" s="1">
        <v>47323</v>
      </c>
      <c r="B2033">
        <f>YEAR(tbl_Kalender[[#This Row],[Datum]])</f>
        <v>2029</v>
      </c>
      <c r="C2033">
        <f>DAY(tbl_Kalender[[#This Row],[Datum]])</f>
        <v>24</v>
      </c>
      <c r="D2033" t="str">
        <f>TEXT(tbl_Kalender[[#This Row],[Datum]],"TTTT")</f>
        <v>Dienstag</v>
      </c>
      <c r="E2033">
        <f>WEEKDAY(tbl_Kalender[[#This Row],[Datum]],2)</f>
        <v>2</v>
      </c>
      <c r="F2033">
        <f>MONTH(tbl_Kalender[[#This Row],[Datum]])</f>
        <v>7</v>
      </c>
      <c r="G2033" t="str">
        <f>TEXT(tbl_Kalender[[#This Row],[Datum]],"MMMM")</f>
        <v>Juli</v>
      </c>
      <c r="H2033">
        <f>ROUNDUP(tbl_Kalender[[#This Row],[Monat]]/3,0)</f>
        <v>3</v>
      </c>
      <c r="I2033" t="str">
        <f>"Q "&amp;tbl_Kalender[[#This Row],[Quartal]]</f>
        <v>Q 3</v>
      </c>
      <c r="J2033" t="str">
        <f>tbl_Kalender[[#This Row],[Quartal]]&amp;". Quartal"</f>
        <v>3. Quartal</v>
      </c>
      <c r="K2033">
        <f>_xlfn.ISOWEEKNUM(tbl_Kalender[[#This Row],[Datum]])</f>
        <v>30</v>
      </c>
    </row>
    <row r="2034" spans="1:11" x14ac:dyDescent="0.25">
      <c r="A2034" s="1">
        <v>47324</v>
      </c>
      <c r="B2034">
        <f>YEAR(tbl_Kalender[[#This Row],[Datum]])</f>
        <v>2029</v>
      </c>
      <c r="C2034">
        <f>DAY(tbl_Kalender[[#This Row],[Datum]])</f>
        <v>25</v>
      </c>
      <c r="D2034" t="str">
        <f>TEXT(tbl_Kalender[[#This Row],[Datum]],"TTTT")</f>
        <v>Mittwoch</v>
      </c>
      <c r="E2034">
        <f>WEEKDAY(tbl_Kalender[[#This Row],[Datum]],2)</f>
        <v>3</v>
      </c>
      <c r="F2034">
        <f>MONTH(tbl_Kalender[[#This Row],[Datum]])</f>
        <v>7</v>
      </c>
      <c r="G2034" t="str">
        <f>TEXT(tbl_Kalender[[#This Row],[Datum]],"MMMM")</f>
        <v>Juli</v>
      </c>
      <c r="H2034">
        <f>ROUNDUP(tbl_Kalender[[#This Row],[Monat]]/3,0)</f>
        <v>3</v>
      </c>
      <c r="I2034" t="str">
        <f>"Q "&amp;tbl_Kalender[[#This Row],[Quartal]]</f>
        <v>Q 3</v>
      </c>
      <c r="J2034" t="str">
        <f>tbl_Kalender[[#This Row],[Quartal]]&amp;". Quartal"</f>
        <v>3. Quartal</v>
      </c>
      <c r="K2034">
        <f>_xlfn.ISOWEEKNUM(tbl_Kalender[[#This Row],[Datum]])</f>
        <v>30</v>
      </c>
    </row>
    <row r="2035" spans="1:11" x14ac:dyDescent="0.25">
      <c r="A2035" s="1">
        <v>47325</v>
      </c>
      <c r="B2035">
        <f>YEAR(tbl_Kalender[[#This Row],[Datum]])</f>
        <v>2029</v>
      </c>
      <c r="C2035">
        <f>DAY(tbl_Kalender[[#This Row],[Datum]])</f>
        <v>26</v>
      </c>
      <c r="D2035" t="str">
        <f>TEXT(tbl_Kalender[[#This Row],[Datum]],"TTTT")</f>
        <v>Donnerstag</v>
      </c>
      <c r="E2035">
        <f>WEEKDAY(tbl_Kalender[[#This Row],[Datum]],2)</f>
        <v>4</v>
      </c>
      <c r="F2035">
        <f>MONTH(tbl_Kalender[[#This Row],[Datum]])</f>
        <v>7</v>
      </c>
      <c r="G2035" t="str">
        <f>TEXT(tbl_Kalender[[#This Row],[Datum]],"MMMM")</f>
        <v>Juli</v>
      </c>
      <c r="H2035">
        <f>ROUNDUP(tbl_Kalender[[#This Row],[Monat]]/3,0)</f>
        <v>3</v>
      </c>
      <c r="I2035" t="str">
        <f>"Q "&amp;tbl_Kalender[[#This Row],[Quartal]]</f>
        <v>Q 3</v>
      </c>
      <c r="J2035" t="str">
        <f>tbl_Kalender[[#This Row],[Quartal]]&amp;". Quartal"</f>
        <v>3. Quartal</v>
      </c>
      <c r="K2035">
        <f>_xlfn.ISOWEEKNUM(tbl_Kalender[[#This Row],[Datum]])</f>
        <v>30</v>
      </c>
    </row>
    <row r="2036" spans="1:11" x14ac:dyDescent="0.25">
      <c r="A2036" s="1">
        <v>47326</v>
      </c>
      <c r="B2036">
        <f>YEAR(tbl_Kalender[[#This Row],[Datum]])</f>
        <v>2029</v>
      </c>
      <c r="C2036">
        <f>DAY(tbl_Kalender[[#This Row],[Datum]])</f>
        <v>27</v>
      </c>
      <c r="D2036" t="str">
        <f>TEXT(tbl_Kalender[[#This Row],[Datum]],"TTTT")</f>
        <v>Freitag</v>
      </c>
      <c r="E2036">
        <f>WEEKDAY(tbl_Kalender[[#This Row],[Datum]],2)</f>
        <v>5</v>
      </c>
      <c r="F2036">
        <f>MONTH(tbl_Kalender[[#This Row],[Datum]])</f>
        <v>7</v>
      </c>
      <c r="G2036" t="str">
        <f>TEXT(tbl_Kalender[[#This Row],[Datum]],"MMMM")</f>
        <v>Juli</v>
      </c>
      <c r="H2036">
        <f>ROUNDUP(tbl_Kalender[[#This Row],[Monat]]/3,0)</f>
        <v>3</v>
      </c>
      <c r="I2036" t="str">
        <f>"Q "&amp;tbl_Kalender[[#This Row],[Quartal]]</f>
        <v>Q 3</v>
      </c>
      <c r="J2036" t="str">
        <f>tbl_Kalender[[#This Row],[Quartal]]&amp;". Quartal"</f>
        <v>3. Quartal</v>
      </c>
      <c r="K2036">
        <f>_xlfn.ISOWEEKNUM(tbl_Kalender[[#This Row],[Datum]])</f>
        <v>30</v>
      </c>
    </row>
    <row r="2037" spans="1:11" x14ac:dyDescent="0.25">
      <c r="A2037" s="1">
        <v>47327</v>
      </c>
      <c r="B2037">
        <f>YEAR(tbl_Kalender[[#This Row],[Datum]])</f>
        <v>2029</v>
      </c>
      <c r="C2037">
        <f>DAY(tbl_Kalender[[#This Row],[Datum]])</f>
        <v>28</v>
      </c>
      <c r="D2037" t="str">
        <f>TEXT(tbl_Kalender[[#This Row],[Datum]],"TTTT")</f>
        <v>Samstag</v>
      </c>
      <c r="E2037">
        <f>WEEKDAY(tbl_Kalender[[#This Row],[Datum]],2)</f>
        <v>6</v>
      </c>
      <c r="F2037">
        <f>MONTH(tbl_Kalender[[#This Row],[Datum]])</f>
        <v>7</v>
      </c>
      <c r="G2037" t="str">
        <f>TEXT(tbl_Kalender[[#This Row],[Datum]],"MMMM")</f>
        <v>Juli</v>
      </c>
      <c r="H2037">
        <f>ROUNDUP(tbl_Kalender[[#This Row],[Monat]]/3,0)</f>
        <v>3</v>
      </c>
      <c r="I2037" t="str">
        <f>"Q "&amp;tbl_Kalender[[#This Row],[Quartal]]</f>
        <v>Q 3</v>
      </c>
      <c r="J2037" t="str">
        <f>tbl_Kalender[[#This Row],[Quartal]]&amp;". Quartal"</f>
        <v>3. Quartal</v>
      </c>
      <c r="K2037">
        <f>_xlfn.ISOWEEKNUM(tbl_Kalender[[#This Row],[Datum]])</f>
        <v>30</v>
      </c>
    </row>
    <row r="2038" spans="1:11" x14ac:dyDescent="0.25">
      <c r="A2038" s="1">
        <v>47328</v>
      </c>
      <c r="B2038">
        <f>YEAR(tbl_Kalender[[#This Row],[Datum]])</f>
        <v>2029</v>
      </c>
      <c r="C2038">
        <f>DAY(tbl_Kalender[[#This Row],[Datum]])</f>
        <v>29</v>
      </c>
      <c r="D2038" t="str">
        <f>TEXT(tbl_Kalender[[#This Row],[Datum]],"TTTT")</f>
        <v>Sonntag</v>
      </c>
      <c r="E2038">
        <f>WEEKDAY(tbl_Kalender[[#This Row],[Datum]],2)</f>
        <v>7</v>
      </c>
      <c r="F2038">
        <f>MONTH(tbl_Kalender[[#This Row],[Datum]])</f>
        <v>7</v>
      </c>
      <c r="G2038" t="str">
        <f>TEXT(tbl_Kalender[[#This Row],[Datum]],"MMMM")</f>
        <v>Juli</v>
      </c>
      <c r="H2038">
        <f>ROUNDUP(tbl_Kalender[[#This Row],[Monat]]/3,0)</f>
        <v>3</v>
      </c>
      <c r="I2038" t="str">
        <f>"Q "&amp;tbl_Kalender[[#This Row],[Quartal]]</f>
        <v>Q 3</v>
      </c>
      <c r="J2038" t="str">
        <f>tbl_Kalender[[#This Row],[Quartal]]&amp;". Quartal"</f>
        <v>3. Quartal</v>
      </c>
      <c r="K2038">
        <f>_xlfn.ISOWEEKNUM(tbl_Kalender[[#This Row],[Datum]])</f>
        <v>30</v>
      </c>
    </row>
    <row r="2039" spans="1:11" x14ac:dyDescent="0.25">
      <c r="A2039" s="1">
        <v>47329</v>
      </c>
      <c r="B2039">
        <f>YEAR(tbl_Kalender[[#This Row],[Datum]])</f>
        <v>2029</v>
      </c>
      <c r="C2039">
        <f>DAY(tbl_Kalender[[#This Row],[Datum]])</f>
        <v>30</v>
      </c>
      <c r="D2039" t="str">
        <f>TEXT(tbl_Kalender[[#This Row],[Datum]],"TTTT")</f>
        <v>Montag</v>
      </c>
      <c r="E2039">
        <f>WEEKDAY(tbl_Kalender[[#This Row],[Datum]],2)</f>
        <v>1</v>
      </c>
      <c r="F2039">
        <f>MONTH(tbl_Kalender[[#This Row],[Datum]])</f>
        <v>7</v>
      </c>
      <c r="G2039" t="str">
        <f>TEXT(tbl_Kalender[[#This Row],[Datum]],"MMMM")</f>
        <v>Juli</v>
      </c>
      <c r="H2039">
        <f>ROUNDUP(tbl_Kalender[[#This Row],[Monat]]/3,0)</f>
        <v>3</v>
      </c>
      <c r="I2039" t="str">
        <f>"Q "&amp;tbl_Kalender[[#This Row],[Quartal]]</f>
        <v>Q 3</v>
      </c>
      <c r="J2039" t="str">
        <f>tbl_Kalender[[#This Row],[Quartal]]&amp;". Quartal"</f>
        <v>3. Quartal</v>
      </c>
      <c r="K2039">
        <f>_xlfn.ISOWEEKNUM(tbl_Kalender[[#This Row],[Datum]])</f>
        <v>31</v>
      </c>
    </row>
    <row r="2040" spans="1:11" x14ac:dyDescent="0.25">
      <c r="A2040" s="1">
        <v>47330</v>
      </c>
      <c r="B2040">
        <f>YEAR(tbl_Kalender[[#This Row],[Datum]])</f>
        <v>2029</v>
      </c>
      <c r="C2040">
        <f>DAY(tbl_Kalender[[#This Row],[Datum]])</f>
        <v>31</v>
      </c>
      <c r="D2040" t="str">
        <f>TEXT(tbl_Kalender[[#This Row],[Datum]],"TTTT")</f>
        <v>Dienstag</v>
      </c>
      <c r="E2040">
        <f>WEEKDAY(tbl_Kalender[[#This Row],[Datum]],2)</f>
        <v>2</v>
      </c>
      <c r="F2040">
        <f>MONTH(tbl_Kalender[[#This Row],[Datum]])</f>
        <v>7</v>
      </c>
      <c r="G2040" t="str">
        <f>TEXT(tbl_Kalender[[#This Row],[Datum]],"MMMM")</f>
        <v>Juli</v>
      </c>
      <c r="H2040">
        <f>ROUNDUP(tbl_Kalender[[#This Row],[Monat]]/3,0)</f>
        <v>3</v>
      </c>
      <c r="I2040" t="str">
        <f>"Q "&amp;tbl_Kalender[[#This Row],[Quartal]]</f>
        <v>Q 3</v>
      </c>
      <c r="J2040" t="str">
        <f>tbl_Kalender[[#This Row],[Quartal]]&amp;". Quartal"</f>
        <v>3. Quartal</v>
      </c>
      <c r="K2040">
        <f>_xlfn.ISOWEEKNUM(tbl_Kalender[[#This Row],[Datum]])</f>
        <v>31</v>
      </c>
    </row>
    <row r="2041" spans="1:11" x14ac:dyDescent="0.25">
      <c r="A2041" s="1">
        <v>47331</v>
      </c>
      <c r="B2041">
        <f>YEAR(tbl_Kalender[[#This Row],[Datum]])</f>
        <v>2029</v>
      </c>
      <c r="C2041">
        <f>DAY(tbl_Kalender[[#This Row],[Datum]])</f>
        <v>1</v>
      </c>
      <c r="D2041" t="str">
        <f>TEXT(tbl_Kalender[[#This Row],[Datum]],"TTTT")</f>
        <v>Mittwoch</v>
      </c>
      <c r="E2041">
        <f>WEEKDAY(tbl_Kalender[[#This Row],[Datum]],2)</f>
        <v>3</v>
      </c>
      <c r="F2041">
        <f>MONTH(tbl_Kalender[[#This Row],[Datum]])</f>
        <v>8</v>
      </c>
      <c r="G2041" t="str">
        <f>TEXT(tbl_Kalender[[#This Row],[Datum]],"MMMM")</f>
        <v>August</v>
      </c>
      <c r="H2041">
        <f>ROUNDUP(tbl_Kalender[[#This Row],[Monat]]/3,0)</f>
        <v>3</v>
      </c>
      <c r="I2041" t="str">
        <f>"Q "&amp;tbl_Kalender[[#This Row],[Quartal]]</f>
        <v>Q 3</v>
      </c>
      <c r="J2041" t="str">
        <f>tbl_Kalender[[#This Row],[Quartal]]&amp;". Quartal"</f>
        <v>3. Quartal</v>
      </c>
      <c r="K2041">
        <f>_xlfn.ISOWEEKNUM(tbl_Kalender[[#This Row],[Datum]])</f>
        <v>31</v>
      </c>
    </row>
    <row r="2042" spans="1:11" x14ac:dyDescent="0.25">
      <c r="A2042" s="1">
        <v>47332</v>
      </c>
      <c r="B2042">
        <f>YEAR(tbl_Kalender[[#This Row],[Datum]])</f>
        <v>2029</v>
      </c>
      <c r="C2042">
        <f>DAY(tbl_Kalender[[#This Row],[Datum]])</f>
        <v>2</v>
      </c>
      <c r="D2042" t="str">
        <f>TEXT(tbl_Kalender[[#This Row],[Datum]],"TTTT")</f>
        <v>Donnerstag</v>
      </c>
      <c r="E2042">
        <f>WEEKDAY(tbl_Kalender[[#This Row],[Datum]],2)</f>
        <v>4</v>
      </c>
      <c r="F2042">
        <f>MONTH(tbl_Kalender[[#This Row],[Datum]])</f>
        <v>8</v>
      </c>
      <c r="G2042" t="str">
        <f>TEXT(tbl_Kalender[[#This Row],[Datum]],"MMMM")</f>
        <v>August</v>
      </c>
      <c r="H2042">
        <f>ROUNDUP(tbl_Kalender[[#This Row],[Monat]]/3,0)</f>
        <v>3</v>
      </c>
      <c r="I2042" t="str">
        <f>"Q "&amp;tbl_Kalender[[#This Row],[Quartal]]</f>
        <v>Q 3</v>
      </c>
      <c r="J2042" t="str">
        <f>tbl_Kalender[[#This Row],[Quartal]]&amp;". Quartal"</f>
        <v>3. Quartal</v>
      </c>
      <c r="K2042">
        <f>_xlfn.ISOWEEKNUM(tbl_Kalender[[#This Row],[Datum]])</f>
        <v>31</v>
      </c>
    </row>
    <row r="2043" spans="1:11" x14ac:dyDescent="0.25">
      <c r="A2043" s="1">
        <v>47333</v>
      </c>
      <c r="B2043">
        <f>YEAR(tbl_Kalender[[#This Row],[Datum]])</f>
        <v>2029</v>
      </c>
      <c r="C2043">
        <f>DAY(tbl_Kalender[[#This Row],[Datum]])</f>
        <v>3</v>
      </c>
      <c r="D2043" t="str">
        <f>TEXT(tbl_Kalender[[#This Row],[Datum]],"TTTT")</f>
        <v>Freitag</v>
      </c>
      <c r="E2043">
        <f>WEEKDAY(tbl_Kalender[[#This Row],[Datum]],2)</f>
        <v>5</v>
      </c>
      <c r="F2043">
        <f>MONTH(tbl_Kalender[[#This Row],[Datum]])</f>
        <v>8</v>
      </c>
      <c r="G2043" t="str">
        <f>TEXT(tbl_Kalender[[#This Row],[Datum]],"MMMM")</f>
        <v>August</v>
      </c>
      <c r="H2043">
        <f>ROUNDUP(tbl_Kalender[[#This Row],[Monat]]/3,0)</f>
        <v>3</v>
      </c>
      <c r="I2043" t="str">
        <f>"Q "&amp;tbl_Kalender[[#This Row],[Quartal]]</f>
        <v>Q 3</v>
      </c>
      <c r="J2043" t="str">
        <f>tbl_Kalender[[#This Row],[Quartal]]&amp;". Quartal"</f>
        <v>3. Quartal</v>
      </c>
      <c r="K2043">
        <f>_xlfn.ISOWEEKNUM(tbl_Kalender[[#This Row],[Datum]])</f>
        <v>31</v>
      </c>
    </row>
    <row r="2044" spans="1:11" x14ac:dyDescent="0.25">
      <c r="A2044" s="1">
        <v>47334</v>
      </c>
      <c r="B2044">
        <f>YEAR(tbl_Kalender[[#This Row],[Datum]])</f>
        <v>2029</v>
      </c>
      <c r="C2044">
        <f>DAY(tbl_Kalender[[#This Row],[Datum]])</f>
        <v>4</v>
      </c>
      <c r="D2044" t="str">
        <f>TEXT(tbl_Kalender[[#This Row],[Datum]],"TTTT")</f>
        <v>Samstag</v>
      </c>
      <c r="E2044">
        <f>WEEKDAY(tbl_Kalender[[#This Row],[Datum]],2)</f>
        <v>6</v>
      </c>
      <c r="F2044">
        <f>MONTH(tbl_Kalender[[#This Row],[Datum]])</f>
        <v>8</v>
      </c>
      <c r="G2044" t="str">
        <f>TEXT(tbl_Kalender[[#This Row],[Datum]],"MMMM")</f>
        <v>August</v>
      </c>
      <c r="H2044">
        <f>ROUNDUP(tbl_Kalender[[#This Row],[Monat]]/3,0)</f>
        <v>3</v>
      </c>
      <c r="I2044" t="str">
        <f>"Q "&amp;tbl_Kalender[[#This Row],[Quartal]]</f>
        <v>Q 3</v>
      </c>
      <c r="J2044" t="str">
        <f>tbl_Kalender[[#This Row],[Quartal]]&amp;". Quartal"</f>
        <v>3. Quartal</v>
      </c>
      <c r="K2044">
        <f>_xlfn.ISOWEEKNUM(tbl_Kalender[[#This Row],[Datum]])</f>
        <v>31</v>
      </c>
    </row>
    <row r="2045" spans="1:11" x14ac:dyDescent="0.25">
      <c r="A2045" s="1">
        <v>47335</v>
      </c>
      <c r="B2045">
        <f>YEAR(tbl_Kalender[[#This Row],[Datum]])</f>
        <v>2029</v>
      </c>
      <c r="C2045">
        <f>DAY(tbl_Kalender[[#This Row],[Datum]])</f>
        <v>5</v>
      </c>
      <c r="D2045" t="str">
        <f>TEXT(tbl_Kalender[[#This Row],[Datum]],"TTTT")</f>
        <v>Sonntag</v>
      </c>
      <c r="E2045">
        <f>WEEKDAY(tbl_Kalender[[#This Row],[Datum]],2)</f>
        <v>7</v>
      </c>
      <c r="F2045">
        <f>MONTH(tbl_Kalender[[#This Row],[Datum]])</f>
        <v>8</v>
      </c>
      <c r="G2045" t="str">
        <f>TEXT(tbl_Kalender[[#This Row],[Datum]],"MMMM")</f>
        <v>August</v>
      </c>
      <c r="H2045">
        <f>ROUNDUP(tbl_Kalender[[#This Row],[Monat]]/3,0)</f>
        <v>3</v>
      </c>
      <c r="I2045" t="str">
        <f>"Q "&amp;tbl_Kalender[[#This Row],[Quartal]]</f>
        <v>Q 3</v>
      </c>
      <c r="J2045" t="str">
        <f>tbl_Kalender[[#This Row],[Quartal]]&amp;". Quartal"</f>
        <v>3. Quartal</v>
      </c>
      <c r="K2045">
        <f>_xlfn.ISOWEEKNUM(tbl_Kalender[[#This Row],[Datum]])</f>
        <v>31</v>
      </c>
    </row>
    <row r="2046" spans="1:11" x14ac:dyDescent="0.25">
      <c r="A2046" s="1">
        <v>47336</v>
      </c>
      <c r="B2046">
        <f>YEAR(tbl_Kalender[[#This Row],[Datum]])</f>
        <v>2029</v>
      </c>
      <c r="C2046">
        <f>DAY(tbl_Kalender[[#This Row],[Datum]])</f>
        <v>6</v>
      </c>
      <c r="D2046" t="str">
        <f>TEXT(tbl_Kalender[[#This Row],[Datum]],"TTTT")</f>
        <v>Montag</v>
      </c>
      <c r="E2046">
        <f>WEEKDAY(tbl_Kalender[[#This Row],[Datum]],2)</f>
        <v>1</v>
      </c>
      <c r="F2046">
        <f>MONTH(tbl_Kalender[[#This Row],[Datum]])</f>
        <v>8</v>
      </c>
      <c r="G2046" t="str">
        <f>TEXT(tbl_Kalender[[#This Row],[Datum]],"MMMM")</f>
        <v>August</v>
      </c>
      <c r="H2046">
        <f>ROUNDUP(tbl_Kalender[[#This Row],[Monat]]/3,0)</f>
        <v>3</v>
      </c>
      <c r="I2046" t="str">
        <f>"Q "&amp;tbl_Kalender[[#This Row],[Quartal]]</f>
        <v>Q 3</v>
      </c>
      <c r="J2046" t="str">
        <f>tbl_Kalender[[#This Row],[Quartal]]&amp;". Quartal"</f>
        <v>3. Quartal</v>
      </c>
      <c r="K2046">
        <f>_xlfn.ISOWEEKNUM(tbl_Kalender[[#This Row],[Datum]])</f>
        <v>32</v>
      </c>
    </row>
    <row r="2047" spans="1:11" x14ac:dyDescent="0.25">
      <c r="A2047" s="1">
        <v>47337</v>
      </c>
      <c r="B2047">
        <f>YEAR(tbl_Kalender[[#This Row],[Datum]])</f>
        <v>2029</v>
      </c>
      <c r="C2047">
        <f>DAY(tbl_Kalender[[#This Row],[Datum]])</f>
        <v>7</v>
      </c>
      <c r="D2047" t="str">
        <f>TEXT(tbl_Kalender[[#This Row],[Datum]],"TTTT")</f>
        <v>Dienstag</v>
      </c>
      <c r="E2047">
        <f>WEEKDAY(tbl_Kalender[[#This Row],[Datum]],2)</f>
        <v>2</v>
      </c>
      <c r="F2047">
        <f>MONTH(tbl_Kalender[[#This Row],[Datum]])</f>
        <v>8</v>
      </c>
      <c r="G2047" t="str">
        <f>TEXT(tbl_Kalender[[#This Row],[Datum]],"MMMM")</f>
        <v>August</v>
      </c>
      <c r="H2047">
        <f>ROUNDUP(tbl_Kalender[[#This Row],[Monat]]/3,0)</f>
        <v>3</v>
      </c>
      <c r="I2047" t="str">
        <f>"Q "&amp;tbl_Kalender[[#This Row],[Quartal]]</f>
        <v>Q 3</v>
      </c>
      <c r="J2047" t="str">
        <f>tbl_Kalender[[#This Row],[Quartal]]&amp;". Quartal"</f>
        <v>3. Quartal</v>
      </c>
      <c r="K2047">
        <f>_xlfn.ISOWEEKNUM(tbl_Kalender[[#This Row],[Datum]])</f>
        <v>32</v>
      </c>
    </row>
    <row r="2048" spans="1:11" x14ac:dyDescent="0.25">
      <c r="A2048" s="1">
        <v>47338</v>
      </c>
      <c r="B2048">
        <f>YEAR(tbl_Kalender[[#This Row],[Datum]])</f>
        <v>2029</v>
      </c>
      <c r="C2048">
        <f>DAY(tbl_Kalender[[#This Row],[Datum]])</f>
        <v>8</v>
      </c>
      <c r="D2048" t="str">
        <f>TEXT(tbl_Kalender[[#This Row],[Datum]],"TTTT")</f>
        <v>Mittwoch</v>
      </c>
      <c r="E2048">
        <f>WEEKDAY(tbl_Kalender[[#This Row],[Datum]],2)</f>
        <v>3</v>
      </c>
      <c r="F2048">
        <f>MONTH(tbl_Kalender[[#This Row],[Datum]])</f>
        <v>8</v>
      </c>
      <c r="G2048" t="str">
        <f>TEXT(tbl_Kalender[[#This Row],[Datum]],"MMMM")</f>
        <v>August</v>
      </c>
      <c r="H2048">
        <f>ROUNDUP(tbl_Kalender[[#This Row],[Monat]]/3,0)</f>
        <v>3</v>
      </c>
      <c r="I2048" t="str">
        <f>"Q "&amp;tbl_Kalender[[#This Row],[Quartal]]</f>
        <v>Q 3</v>
      </c>
      <c r="J2048" t="str">
        <f>tbl_Kalender[[#This Row],[Quartal]]&amp;". Quartal"</f>
        <v>3. Quartal</v>
      </c>
      <c r="K2048">
        <f>_xlfn.ISOWEEKNUM(tbl_Kalender[[#This Row],[Datum]])</f>
        <v>32</v>
      </c>
    </row>
    <row r="2049" spans="1:11" x14ac:dyDescent="0.25">
      <c r="A2049" s="1">
        <v>47339</v>
      </c>
      <c r="B2049">
        <f>YEAR(tbl_Kalender[[#This Row],[Datum]])</f>
        <v>2029</v>
      </c>
      <c r="C2049">
        <f>DAY(tbl_Kalender[[#This Row],[Datum]])</f>
        <v>9</v>
      </c>
      <c r="D2049" t="str">
        <f>TEXT(tbl_Kalender[[#This Row],[Datum]],"TTTT")</f>
        <v>Donnerstag</v>
      </c>
      <c r="E2049">
        <f>WEEKDAY(tbl_Kalender[[#This Row],[Datum]],2)</f>
        <v>4</v>
      </c>
      <c r="F2049">
        <f>MONTH(tbl_Kalender[[#This Row],[Datum]])</f>
        <v>8</v>
      </c>
      <c r="G2049" t="str">
        <f>TEXT(tbl_Kalender[[#This Row],[Datum]],"MMMM")</f>
        <v>August</v>
      </c>
      <c r="H2049">
        <f>ROUNDUP(tbl_Kalender[[#This Row],[Monat]]/3,0)</f>
        <v>3</v>
      </c>
      <c r="I2049" t="str">
        <f>"Q "&amp;tbl_Kalender[[#This Row],[Quartal]]</f>
        <v>Q 3</v>
      </c>
      <c r="J2049" t="str">
        <f>tbl_Kalender[[#This Row],[Quartal]]&amp;". Quartal"</f>
        <v>3. Quartal</v>
      </c>
      <c r="K2049">
        <f>_xlfn.ISOWEEKNUM(tbl_Kalender[[#This Row],[Datum]])</f>
        <v>32</v>
      </c>
    </row>
    <row r="2050" spans="1:11" x14ac:dyDescent="0.25">
      <c r="A2050" s="1">
        <v>47340</v>
      </c>
      <c r="B2050">
        <f>YEAR(tbl_Kalender[[#This Row],[Datum]])</f>
        <v>2029</v>
      </c>
      <c r="C2050">
        <f>DAY(tbl_Kalender[[#This Row],[Datum]])</f>
        <v>10</v>
      </c>
      <c r="D2050" t="str">
        <f>TEXT(tbl_Kalender[[#This Row],[Datum]],"TTTT")</f>
        <v>Freitag</v>
      </c>
      <c r="E2050">
        <f>WEEKDAY(tbl_Kalender[[#This Row],[Datum]],2)</f>
        <v>5</v>
      </c>
      <c r="F2050">
        <f>MONTH(tbl_Kalender[[#This Row],[Datum]])</f>
        <v>8</v>
      </c>
      <c r="G2050" t="str">
        <f>TEXT(tbl_Kalender[[#This Row],[Datum]],"MMMM")</f>
        <v>August</v>
      </c>
      <c r="H2050">
        <f>ROUNDUP(tbl_Kalender[[#This Row],[Monat]]/3,0)</f>
        <v>3</v>
      </c>
      <c r="I2050" t="str">
        <f>"Q "&amp;tbl_Kalender[[#This Row],[Quartal]]</f>
        <v>Q 3</v>
      </c>
      <c r="J2050" t="str">
        <f>tbl_Kalender[[#This Row],[Quartal]]&amp;". Quartal"</f>
        <v>3. Quartal</v>
      </c>
      <c r="K2050">
        <f>_xlfn.ISOWEEKNUM(tbl_Kalender[[#This Row],[Datum]])</f>
        <v>32</v>
      </c>
    </row>
    <row r="2051" spans="1:11" x14ac:dyDescent="0.25">
      <c r="A2051" s="1">
        <v>47341</v>
      </c>
      <c r="B2051">
        <f>YEAR(tbl_Kalender[[#This Row],[Datum]])</f>
        <v>2029</v>
      </c>
      <c r="C2051">
        <f>DAY(tbl_Kalender[[#This Row],[Datum]])</f>
        <v>11</v>
      </c>
      <c r="D2051" t="str">
        <f>TEXT(tbl_Kalender[[#This Row],[Datum]],"TTTT")</f>
        <v>Samstag</v>
      </c>
      <c r="E2051">
        <f>WEEKDAY(tbl_Kalender[[#This Row],[Datum]],2)</f>
        <v>6</v>
      </c>
      <c r="F2051">
        <f>MONTH(tbl_Kalender[[#This Row],[Datum]])</f>
        <v>8</v>
      </c>
      <c r="G2051" t="str">
        <f>TEXT(tbl_Kalender[[#This Row],[Datum]],"MMMM")</f>
        <v>August</v>
      </c>
      <c r="H2051">
        <f>ROUNDUP(tbl_Kalender[[#This Row],[Monat]]/3,0)</f>
        <v>3</v>
      </c>
      <c r="I2051" t="str">
        <f>"Q "&amp;tbl_Kalender[[#This Row],[Quartal]]</f>
        <v>Q 3</v>
      </c>
      <c r="J2051" t="str">
        <f>tbl_Kalender[[#This Row],[Quartal]]&amp;". Quartal"</f>
        <v>3. Quartal</v>
      </c>
      <c r="K2051">
        <f>_xlfn.ISOWEEKNUM(tbl_Kalender[[#This Row],[Datum]])</f>
        <v>32</v>
      </c>
    </row>
    <row r="2052" spans="1:11" x14ac:dyDescent="0.25">
      <c r="A2052" s="1">
        <v>47342</v>
      </c>
      <c r="B2052">
        <f>YEAR(tbl_Kalender[[#This Row],[Datum]])</f>
        <v>2029</v>
      </c>
      <c r="C2052">
        <f>DAY(tbl_Kalender[[#This Row],[Datum]])</f>
        <v>12</v>
      </c>
      <c r="D2052" t="str">
        <f>TEXT(tbl_Kalender[[#This Row],[Datum]],"TTTT")</f>
        <v>Sonntag</v>
      </c>
      <c r="E2052">
        <f>WEEKDAY(tbl_Kalender[[#This Row],[Datum]],2)</f>
        <v>7</v>
      </c>
      <c r="F2052">
        <f>MONTH(tbl_Kalender[[#This Row],[Datum]])</f>
        <v>8</v>
      </c>
      <c r="G2052" t="str">
        <f>TEXT(tbl_Kalender[[#This Row],[Datum]],"MMMM")</f>
        <v>August</v>
      </c>
      <c r="H2052">
        <f>ROUNDUP(tbl_Kalender[[#This Row],[Monat]]/3,0)</f>
        <v>3</v>
      </c>
      <c r="I2052" t="str">
        <f>"Q "&amp;tbl_Kalender[[#This Row],[Quartal]]</f>
        <v>Q 3</v>
      </c>
      <c r="J2052" t="str">
        <f>tbl_Kalender[[#This Row],[Quartal]]&amp;". Quartal"</f>
        <v>3. Quartal</v>
      </c>
      <c r="K2052">
        <f>_xlfn.ISOWEEKNUM(tbl_Kalender[[#This Row],[Datum]])</f>
        <v>32</v>
      </c>
    </row>
    <row r="2053" spans="1:11" x14ac:dyDescent="0.25">
      <c r="A2053" s="1">
        <v>47343</v>
      </c>
      <c r="B2053">
        <f>YEAR(tbl_Kalender[[#This Row],[Datum]])</f>
        <v>2029</v>
      </c>
      <c r="C2053">
        <f>DAY(tbl_Kalender[[#This Row],[Datum]])</f>
        <v>13</v>
      </c>
      <c r="D2053" t="str">
        <f>TEXT(tbl_Kalender[[#This Row],[Datum]],"TTTT")</f>
        <v>Montag</v>
      </c>
      <c r="E2053">
        <f>WEEKDAY(tbl_Kalender[[#This Row],[Datum]],2)</f>
        <v>1</v>
      </c>
      <c r="F2053">
        <f>MONTH(tbl_Kalender[[#This Row],[Datum]])</f>
        <v>8</v>
      </c>
      <c r="G2053" t="str">
        <f>TEXT(tbl_Kalender[[#This Row],[Datum]],"MMMM")</f>
        <v>August</v>
      </c>
      <c r="H2053">
        <f>ROUNDUP(tbl_Kalender[[#This Row],[Monat]]/3,0)</f>
        <v>3</v>
      </c>
      <c r="I2053" t="str">
        <f>"Q "&amp;tbl_Kalender[[#This Row],[Quartal]]</f>
        <v>Q 3</v>
      </c>
      <c r="J2053" t="str">
        <f>tbl_Kalender[[#This Row],[Quartal]]&amp;". Quartal"</f>
        <v>3. Quartal</v>
      </c>
      <c r="K2053">
        <f>_xlfn.ISOWEEKNUM(tbl_Kalender[[#This Row],[Datum]])</f>
        <v>33</v>
      </c>
    </row>
    <row r="2054" spans="1:11" x14ac:dyDescent="0.25">
      <c r="A2054" s="1">
        <v>47344</v>
      </c>
      <c r="B2054">
        <f>YEAR(tbl_Kalender[[#This Row],[Datum]])</f>
        <v>2029</v>
      </c>
      <c r="C2054">
        <f>DAY(tbl_Kalender[[#This Row],[Datum]])</f>
        <v>14</v>
      </c>
      <c r="D2054" t="str">
        <f>TEXT(tbl_Kalender[[#This Row],[Datum]],"TTTT")</f>
        <v>Dienstag</v>
      </c>
      <c r="E2054">
        <f>WEEKDAY(tbl_Kalender[[#This Row],[Datum]],2)</f>
        <v>2</v>
      </c>
      <c r="F2054">
        <f>MONTH(tbl_Kalender[[#This Row],[Datum]])</f>
        <v>8</v>
      </c>
      <c r="G2054" t="str">
        <f>TEXT(tbl_Kalender[[#This Row],[Datum]],"MMMM")</f>
        <v>August</v>
      </c>
      <c r="H2054">
        <f>ROUNDUP(tbl_Kalender[[#This Row],[Monat]]/3,0)</f>
        <v>3</v>
      </c>
      <c r="I2054" t="str">
        <f>"Q "&amp;tbl_Kalender[[#This Row],[Quartal]]</f>
        <v>Q 3</v>
      </c>
      <c r="J2054" t="str">
        <f>tbl_Kalender[[#This Row],[Quartal]]&amp;". Quartal"</f>
        <v>3. Quartal</v>
      </c>
      <c r="K2054">
        <f>_xlfn.ISOWEEKNUM(tbl_Kalender[[#This Row],[Datum]])</f>
        <v>33</v>
      </c>
    </row>
    <row r="2055" spans="1:11" x14ac:dyDescent="0.25">
      <c r="A2055" s="1">
        <v>47345</v>
      </c>
      <c r="B2055">
        <f>YEAR(tbl_Kalender[[#This Row],[Datum]])</f>
        <v>2029</v>
      </c>
      <c r="C2055">
        <f>DAY(tbl_Kalender[[#This Row],[Datum]])</f>
        <v>15</v>
      </c>
      <c r="D2055" t="str">
        <f>TEXT(tbl_Kalender[[#This Row],[Datum]],"TTTT")</f>
        <v>Mittwoch</v>
      </c>
      <c r="E2055">
        <f>WEEKDAY(tbl_Kalender[[#This Row],[Datum]],2)</f>
        <v>3</v>
      </c>
      <c r="F2055">
        <f>MONTH(tbl_Kalender[[#This Row],[Datum]])</f>
        <v>8</v>
      </c>
      <c r="G2055" t="str">
        <f>TEXT(tbl_Kalender[[#This Row],[Datum]],"MMMM")</f>
        <v>August</v>
      </c>
      <c r="H2055">
        <f>ROUNDUP(tbl_Kalender[[#This Row],[Monat]]/3,0)</f>
        <v>3</v>
      </c>
      <c r="I2055" t="str">
        <f>"Q "&amp;tbl_Kalender[[#This Row],[Quartal]]</f>
        <v>Q 3</v>
      </c>
      <c r="J2055" t="str">
        <f>tbl_Kalender[[#This Row],[Quartal]]&amp;". Quartal"</f>
        <v>3. Quartal</v>
      </c>
      <c r="K2055">
        <f>_xlfn.ISOWEEKNUM(tbl_Kalender[[#This Row],[Datum]])</f>
        <v>33</v>
      </c>
    </row>
    <row r="2056" spans="1:11" x14ac:dyDescent="0.25">
      <c r="A2056" s="1">
        <v>47346</v>
      </c>
      <c r="B2056">
        <f>YEAR(tbl_Kalender[[#This Row],[Datum]])</f>
        <v>2029</v>
      </c>
      <c r="C2056">
        <f>DAY(tbl_Kalender[[#This Row],[Datum]])</f>
        <v>16</v>
      </c>
      <c r="D2056" t="str">
        <f>TEXT(tbl_Kalender[[#This Row],[Datum]],"TTTT")</f>
        <v>Donnerstag</v>
      </c>
      <c r="E2056">
        <f>WEEKDAY(tbl_Kalender[[#This Row],[Datum]],2)</f>
        <v>4</v>
      </c>
      <c r="F2056">
        <f>MONTH(tbl_Kalender[[#This Row],[Datum]])</f>
        <v>8</v>
      </c>
      <c r="G2056" t="str">
        <f>TEXT(tbl_Kalender[[#This Row],[Datum]],"MMMM")</f>
        <v>August</v>
      </c>
      <c r="H2056">
        <f>ROUNDUP(tbl_Kalender[[#This Row],[Monat]]/3,0)</f>
        <v>3</v>
      </c>
      <c r="I2056" t="str">
        <f>"Q "&amp;tbl_Kalender[[#This Row],[Quartal]]</f>
        <v>Q 3</v>
      </c>
      <c r="J2056" t="str">
        <f>tbl_Kalender[[#This Row],[Quartal]]&amp;". Quartal"</f>
        <v>3. Quartal</v>
      </c>
      <c r="K2056">
        <f>_xlfn.ISOWEEKNUM(tbl_Kalender[[#This Row],[Datum]])</f>
        <v>33</v>
      </c>
    </row>
    <row r="2057" spans="1:11" x14ac:dyDescent="0.25">
      <c r="A2057" s="1">
        <v>47347</v>
      </c>
      <c r="B2057">
        <f>YEAR(tbl_Kalender[[#This Row],[Datum]])</f>
        <v>2029</v>
      </c>
      <c r="C2057">
        <f>DAY(tbl_Kalender[[#This Row],[Datum]])</f>
        <v>17</v>
      </c>
      <c r="D2057" t="str">
        <f>TEXT(tbl_Kalender[[#This Row],[Datum]],"TTTT")</f>
        <v>Freitag</v>
      </c>
      <c r="E2057">
        <f>WEEKDAY(tbl_Kalender[[#This Row],[Datum]],2)</f>
        <v>5</v>
      </c>
      <c r="F2057">
        <f>MONTH(tbl_Kalender[[#This Row],[Datum]])</f>
        <v>8</v>
      </c>
      <c r="G2057" t="str">
        <f>TEXT(tbl_Kalender[[#This Row],[Datum]],"MMMM")</f>
        <v>August</v>
      </c>
      <c r="H2057">
        <f>ROUNDUP(tbl_Kalender[[#This Row],[Monat]]/3,0)</f>
        <v>3</v>
      </c>
      <c r="I2057" t="str">
        <f>"Q "&amp;tbl_Kalender[[#This Row],[Quartal]]</f>
        <v>Q 3</v>
      </c>
      <c r="J2057" t="str">
        <f>tbl_Kalender[[#This Row],[Quartal]]&amp;". Quartal"</f>
        <v>3. Quartal</v>
      </c>
      <c r="K2057">
        <f>_xlfn.ISOWEEKNUM(tbl_Kalender[[#This Row],[Datum]])</f>
        <v>33</v>
      </c>
    </row>
    <row r="2058" spans="1:11" x14ac:dyDescent="0.25">
      <c r="A2058" s="1">
        <v>47348</v>
      </c>
      <c r="B2058">
        <f>YEAR(tbl_Kalender[[#This Row],[Datum]])</f>
        <v>2029</v>
      </c>
      <c r="C2058">
        <f>DAY(tbl_Kalender[[#This Row],[Datum]])</f>
        <v>18</v>
      </c>
      <c r="D2058" t="str">
        <f>TEXT(tbl_Kalender[[#This Row],[Datum]],"TTTT")</f>
        <v>Samstag</v>
      </c>
      <c r="E2058">
        <f>WEEKDAY(tbl_Kalender[[#This Row],[Datum]],2)</f>
        <v>6</v>
      </c>
      <c r="F2058">
        <f>MONTH(tbl_Kalender[[#This Row],[Datum]])</f>
        <v>8</v>
      </c>
      <c r="G2058" t="str">
        <f>TEXT(tbl_Kalender[[#This Row],[Datum]],"MMMM")</f>
        <v>August</v>
      </c>
      <c r="H2058">
        <f>ROUNDUP(tbl_Kalender[[#This Row],[Monat]]/3,0)</f>
        <v>3</v>
      </c>
      <c r="I2058" t="str">
        <f>"Q "&amp;tbl_Kalender[[#This Row],[Quartal]]</f>
        <v>Q 3</v>
      </c>
      <c r="J2058" t="str">
        <f>tbl_Kalender[[#This Row],[Quartal]]&amp;". Quartal"</f>
        <v>3. Quartal</v>
      </c>
      <c r="K2058">
        <f>_xlfn.ISOWEEKNUM(tbl_Kalender[[#This Row],[Datum]])</f>
        <v>33</v>
      </c>
    </row>
    <row r="2059" spans="1:11" x14ac:dyDescent="0.25">
      <c r="A2059" s="1">
        <v>47349</v>
      </c>
      <c r="B2059">
        <f>YEAR(tbl_Kalender[[#This Row],[Datum]])</f>
        <v>2029</v>
      </c>
      <c r="C2059">
        <f>DAY(tbl_Kalender[[#This Row],[Datum]])</f>
        <v>19</v>
      </c>
      <c r="D2059" t="str">
        <f>TEXT(tbl_Kalender[[#This Row],[Datum]],"TTTT")</f>
        <v>Sonntag</v>
      </c>
      <c r="E2059">
        <f>WEEKDAY(tbl_Kalender[[#This Row],[Datum]],2)</f>
        <v>7</v>
      </c>
      <c r="F2059">
        <f>MONTH(tbl_Kalender[[#This Row],[Datum]])</f>
        <v>8</v>
      </c>
      <c r="G2059" t="str">
        <f>TEXT(tbl_Kalender[[#This Row],[Datum]],"MMMM")</f>
        <v>August</v>
      </c>
      <c r="H2059">
        <f>ROUNDUP(tbl_Kalender[[#This Row],[Monat]]/3,0)</f>
        <v>3</v>
      </c>
      <c r="I2059" t="str">
        <f>"Q "&amp;tbl_Kalender[[#This Row],[Quartal]]</f>
        <v>Q 3</v>
      </c>
      <c r="J2059" t="str">
        <f>tbl_Kalender[[#This Row],[Quartal]]&amp;". Quartal"</f>
        <v>3. Quartal</v>
      </c>
      <c r="K2059">
        <f>_xlfn.ISOWEEKNUM(tbl_Kalender[[#This Row],[Datum]])</f>
        <v>33</v>
      </c>
    </row>
    <row r="2060" spans="1:11" x14ac:dyDescent="0.25">
      <c r="A2060" s="1">
        <v>47350</v>
      </c>
      <c r="B2060">
        <f>YEAR(tbl_Kalender[[#This Row],[Datum]])</f>
        <v>2029</v>
      </c>
      <c r="C2060">
        <f>DAY(tbl_Kalender[[#This Row],[Datum]])</f>
        <v>20</v>
      </c>
      <c r="D2060" t="str">
        <f>TEXT(tbl_Kalender[[#This Row],[Datum]],"TTTT")</f>
        <v>Montag</v>
      </c>
      <c r="E2060">
        <f>WEEKDAY(tbl_Kalender[[#This Row],[Datum]],2)</f>
        <v>1</v>
      </c>
      <c r="F2060">
        <f>MONTH(tbl_Kalender[[#This Row],[Datum]])</f>
        <v>8</v>
      </c>
      <c r="G2060" t="str">
        <f>TEXT(tbl_Kalender[[#This Row],[Datum]],"MMMM")</f>
        <v>August</v>
      </c>
      <c r="H2060">
        <f>ROUNDUP(tbl_Kalender[[#This Row],[Monat]]/3,0)</f>
        <v>3</v>
      </c>
      <c r="I2060" t="str">
        <f>"Q "&amp;tbl_Kalender[[#This Row],[Quartal]]</f>
        <v>Q 3</v>
      </c>
      <c r="J2060" t="str">
        <f>tbl_Kalender[[#This Row],[Quartal]]&amp;". Quartal"</f>
        <v>3. Quartal</v>
      </c>
      <c r="K2060">
        <f>_xlfn.ISOWEEKNUM(tbl_Kalender[[#This Row],[Datum]])</f>
        <v>34</v>
      </c>
    </row>
    <row r="2061" spans="1:11" x14ac:dyDescent="0.25">
      <c r="A2061" s="1">
        <v>47351</v>
      </c>
      <c r="B2061">
        <f>YEAR(tbl_Kalender[[#This Row],[Datum]])</f>
        <v>2029</v>
      </c>
      <c r="C2061">
        <f>DAY(tbl_Kalender[[#This Row],[Datum]])</f>
        <v>21</v>
      </c>
      <c r="D2061" t="str">
        <f>TEXT(tbl_Kalender[[#This Row],[Datum]],"TTTT")</f>
        <v>Dienstag</v>
      </c>
      <c r="E2061">
        <f>WEEKDAY(tbl_Kalender[[#This Row],[Datum]],2)</f>
        <v>2</v>
      </c>
      <c r="F2061">
        <f>MONTH(tbl_Kalender[[#This Row],[Datum]])</f>
        <v>8</v>
      </c>
      <c r="G2061" t="str">
        <f>TEXT(tbl_Kalender[[#This Row],[Datum]],"MMMM")</f>
        <v>August</v>
      </c>
      <c r="H2061">
        <f>ROUNDUP(tbl_Kalender[[#This Row],[Monat]]/3,0)</f>
        <v>3</v>
      </c>
      <c r="I2061" t="str">
        <f>"Q "&amp;tbl_Kalender[[#This Row],[Quartal]]</f>
        <v>Q 3</v>
      </c>
      <c r="J2061" t="str">
        <f>tbl_Kalender[[#This Row],[Quartal]]&amp;". Quartal"</f>
        <v>3. Quartal</v>
      </c>
      <c r="K2061">
        <f>_xlfn.ISOWEEKNUM(tbl_Kalender[[#This Row],[Datum]])</f>
        <v>34</v>
      </c>
    </row>
    <row r="2062" spans="1:11" x14ac:dyDescent="0.25">
      <c r="A2062" s="1">
        <v>47352</v>
      </c>
      <c r="B2062">
        <f>YEAR(tbl_Kalender[[#This Row],[Datum]])</f>
        <v>2029</v>
      </c>
      <c r="C2062">
        <f>DAY(tbl_Kalender[[#This Row],[Datum]])</f>
        <v>22</v>
      </c>
      <c r="D2062" t="str">
        <f>TEXT(tbl_Kalender[[#This Row],[Datum]],"TTTT")</f>
        <v>Mittwoch</v>
      </c>
      <c r="E2062">
        <f>WEEKDAY(tbl_Kalender[[#This Row],[Datum]],2)</f>
        <v>3</v>
      </c>
      <c r="F2062">
        <f>MONTH(tbl_Kalender[[#This Row],[Datum]])</f>
        <v>8</v>
      </c>
      <c r="G2062" t="str">
        <f>TEXT(tbl_Kalender[[#This Row],[Datum]],"MMMM")</f>
        <v>August</v>
      </c>
      <c r="H2062">
        <f>ROUNDUP(tbl_Kalender[[#This Row],[Monat]]/3,0)</f>
        <v>3</v>
      </c>
      <c r="I2062" t="str">
        <f>"Q "&amp;tbl_Kalender[[#This Row],[Quartal]]</f>
        <v>Q 3</v>
      </c>
      <c r="J2062" t="str">
        <f>tbl_Kalender[[#This Row],[Quartal]]&amp;". Quartal"</f>
        <v>3. Quartal</v>
      </c>
      <c r="K2062">
        <f>_xlfn.ISOWEEKNUM(tbl_Kalender[[#This Row],[Datum]])</f>
        <v>34</v>
      </c>
    </row>
    <row r="2063" spans="1:11" x14ac:dyDescent="0.25">
      <c r="A2063" s="1">
        <v>47353</v>
      </c>
      <c r="B2063">
        <f>YEAR(tbl_Kalender[[#This Row],[Datum]])</f>
        <v>2029</v>
      </c>
      <c r="C2063">
        <f>DAY(tbl_Kalender[[#This Row],[Datum]])</f>
        <v>23</v>
      </c>
      <c r="D2063" t="str">
        <f>TEXT(tbl_Kalender[[#This Row],[Datum]],"TTTT")</f>
        <v>Donnerstag</v>
      </c>
      <c r="E2063">
        <f>WEEKDAY(tbl_Kalender[[#This Row],[Datum]],2)</f>
        <v>4</v>
      </c>
      <c r="F2063">
        <f>MONTH(tbl_Kalender[[#This Row],[Datum]])</f>
        <v>8</v>
      </c>
      <c r="G2063" t="str">
        <f>TEXT(tbl_Kalender[[#This Row],[Datum]],"MMMM")</f>
        <v>August</v>
      </c>
      <c r="H2063">
        <f>ROUNDUP(tbl_Kalender[[#This Row],[Monat]]/3,0)</f>
        <v>3</v>
      </c>
      <c r="I2063" t="str">
        <f>"Q "&amp;tbl_Kalender[[#This Row],[Quartal]]</f>
        <v>Q 3</v>
      </c>
      <c r="J2063" t="str">
        <f>tbl_Kalender[[#This Row],[Quartal]]&amp;". Quartal"</f>
        <v>3. Quartal</v>
      </c>
      <c r="K2063">
        <f>_xlfn.ISOWEEKNUM(tbl_Kalender[[#This Row],[Datum]])</f>
        <v>34</v>
      </c>
    </row>
    <row r="2064" spans="1:11" x14ac:dyDescent="0.25">
      <c r="A2064" s="1">
        <v>47354</v>
      </c>
      <c r="B2064">
        <f>YEAR(tbl_Kalender[[#This Row],[Datum]])</f>
        <v>2029</v>
      </c>
      <c r="C2064">
        <f>DAY(tbl_Kalender[[#This Row],[Datum]])</f>
        <v>24</v>
      </c>
      <c r="D2064" t="str">
        <f>TEXT(tbl_Kalender[[#This Row],[Datum]],"TTTT")</f>
        <v>Freitag</v>
      </c>
      <c r="E2064">
        <f>WEEKDAY(tbl_Kalender[[#This Row],[Datum]],2)</f>
        <v>5</v>
      </c>
      <c r="F2064">
        <f>MONTH(tbl_Kalender[[#This Row],[Datum]])</f>
        <v>8</v>
      </c>
      <c r="G2064" t="str">
        <f>TEXT(tbl_Kalender[[#This Row],[Datum]],"MMMM")</f>
        <v>August</v>
      </c>
      <c r="H2064">
        <f>ROUNDUP(tbl_Kalender[[#This Row],[Monat]]/3,0)</f>
        <v>3</v>
      </c>
      <c r="I2064" t="str">
        <f>"Q "&amp;tbl_Kalender[[#This Row],[Quartal]]</f>
        <v>Q 3</v>
      </c>
      <c r="J2064" t="str">
        <f>tbl_Kalender[[#This Row],[Quartal]]&amp;". Quartal"</f>
        <v>3. Quartal</v>
      </c>
      <c r="K2064">
        <f>_xlfn.ISOWEEKNUM(tbl_Kalender[[#This Row],[Datum]])</f>
        <v>34</v>
      </c>
    </row>
    <row r="2065" spans="1:11" x14ac:dyDescent="0.25">
      <c r="A2065" s="1">
        <v>47355</v>
      </c>
      <c r="B2065">
        <f>YEAR(tbl_Kalender[[#This Row],[Datum]])</f>
        <v>2029</v>
      </c>
      <c r="C2065">
        <f>DAY(tbl_Kalender[[#This Row],[Datum]])</f>
        <v>25</v>
      </c>
      <c r="D2065" t="str">
        <f>TEXT(tbl_Kalender[[#This Row],[Datum]],"TTTT")</f>
        <v>Samstag</v>
      </c>
      <c r="E2065">
        <f>WEEKDAY(tbl_Kalender[[#This Row],[Datum]],2)</f>
        <v>6</v>
      </c>
      <c r="F2065">
        <f>MONTH(tbl_Kalender[[#This Row],[Datum]])</f>
        <v>8</v>
      </c>
      <c r="G2065" t="str">
        <f>TEXT(tbl_Kalender[[#This Row],[Datum]],"MMMM")</f>
        <v>August</v>
      </c>
      <c r="H2065">
        <f>ROUNDUP(tbl_Kalender[[#This Row],[Monat]]/3,0)</f>
        <v>3</v>
      </c>
      <c r="I2065" t="str">
        <f>"Q "&amp;tbl_Kalender[[#This Row],[Quartal]]</f>
        <v>Q 3</v>
      </c>
      <c r="J2065" t="str">
        <f>tbl_Kalender[[#This Row],[Quartal]]&amp;". Quartal"</f>
        <v>3. Quartal</v>
      </c>
      <c r="K2065">
        <f>_xlfn.ISOWEEKNUM(tbl_Kalender[[#This Row],[Datum]])</f>
        <v>34</v>
      </c>
    </row>
    <row r="2066" spans="1:11" x14ac:dyDescent="0.25">
      <c r="A2066" s="1">
        <v>47356</v>
      </c>
      <c r="B2066">
        <f>YEAR(tbl_Kalender[[#This Row],[Datum]])</f>
        <v>2029</v>
      </c>
      <c r="C2066">
        <f>DAY(tbl_Kalender[[#This Row],[Datum]])</f>
        <v>26</v>
      </c>
      <c r="D2066" t="str">
        <f>TEXT(tbl_Kalender[[#This Row],[Datum]],"TTTT")</f>
        <v>Sonntag</v>
      </c>
      <c r="E2066">
        <f>WEEKDAY(tbl_Kalender[[#This Row],[Datum]],2)</f>
        <v>7</v>
      </c>
      <c r="F2066">
        <f>MONTH(tbl_Kalender[[#This Row],[Datum]])</f>
        <v>8</v>
      </c>
      <c r="G2066" t="str">
        <f>TEXT(tbl_Kalender[[#This Row],[Datum]],"MMMM")</f>
        <v>August</v>
      </c>
      <c r="H2066">
        <f>ROUNDUP(tbl_Kalender[[#This Row],[Monat]]/3,0)</f>
        <v>3</v>
      </c>
      <c r="I2066" t="str">
        <f>"Q "&amp;tbl_Kalender[[#This Row],[Quartal]]</f>
        <v>Q 3</v>
      </c>
      <c r="J2066" t="str">
        <f>tbl_Kalender[[#This Row],[Quartal]]&amp;". Quartal"</f>
        <v>3. Quartal</v>
      </c>
      <c r="K2066">
        <f>_xlfn.ISOWEEKNUM(tbl_Kalender[[#This Row],[Datum]])</f>
        <v>34</v>
      </c>
    </row>
    <row r="2067" spans="1:11" x14ac:dyDescent="0.25">
      <c r="A2067" s="1">
        <v>47357</v>
      </c>
      <c r="B2067">
        <f>YEAR(tbl_Kalender[[#This Row],[Datum]])</f>
        <v>2029</v>
      </c>
      <c r="C2067">
        <f>DAY(tbl_Kalender[[#This Row],[Datum]])</f>
        <v>27</v>
      </c>
      <c r="D2067" t="str">
        <f>TEXT(tbl_Kalender[[#This Row],[Datum]],"TTTT")</f>
        <v>Montag</v>
      </c>
      <c r="E2067">
        <f>WEEKDAY(tbl_Kalender[[#This Row],[Datum]],2)</f>
        <v>1</v>
      </c>
      <c r="F2067">
        <f>MONTH(tbl_Kalender[[#This Row],[Datum]])</f>
        <v>8</v>
      </c>
      <c r="G2067" t="str">
        <f>TEXT(tbl_Kalender[[#This Row],[Datum]],"MMMM")</f>
        <v>August</v>
      </c>
      <c r="H2067">
        <f>ROUNDUP(tbl_Kalender[[#This Row],[Monat]]/3,0)</f>
        <v>3</v>
      </c>
      <c r="I2067" t="str">
        <f>"Q "&amp;tbl_Kalender[[#This Row],[Quartal]]</f>
        <v>Q 3</v>
      </c>
      <c r="J2067" t="str">
        <f>tbl_Kalender[[#This Row],[Quartal]]&amp;". Quartal"</f>
        <v>3. Quartal</v>
      </c>
      <c r="K2067">
        <f>_xlfn.ISOWEEKNUM(tbl_Kalender[[#This Row],[Datum]])</f>
        <v>35</v>
      </c>
    </row>
    <row r="2068" spans="1:11" x14ac:dyDescent="0.25">
      <c r="A2068" s="1">
        <v>47358</v>
      </c>
      <c r="B2068">
        <f>YEAR(tbl_Kalender[[#This Row],[Datum]])</f>
        <v>2029</v>
      </c>
      <c r="C2068">
        <f>DAY(tbl_Kalender[[#This Row],[Datum]])</f>
        <v>28</v>
      </c>
      <c r="D2068" t="str">
        <f>TEXT(tbl_Kalender[[#This Row],[Datum]],"TTTT")</f>
        <v>Dienstag</v>
      </c>
      <c r="E2068">
        <f>WEEKDAY(tbl_Kalender[[#This Row],[Datum]],2)</f>
        <v>2</v>
      </c>
      <c r="F2068">
        <f>MONTH(tbl_Kalender[[#This Row],[Datum]])</f>
        <v>8</v>
      </c>
      <c r="G2068" t="str">
        <f>TEXT(tbl_Kalender[[#This Row],[Datum]],"MMMM")</f>
        <v>August</v>
      </c>
      <c r="H2068">
        <f>ROUNDUP(tbl_Kalender[[#This Row],[Monat]]/3,0)</f>
        <v>3</v>
      </c>
      <c r="I2068" t="str">
        <f>"Q "&amp;tbl_Kalender[[#This Row],[Quartal]]</f>
        <v>Q 3</v>
      </c>
      <c r="J2068" t="str">
        <f>tbl_Kalender[[#This Row],[Quartal]]&amp;". Quartal"</f>
        <v>3. Quartal</v>
      </c>
      <c r="K2068">
        <f>_xlfn.ISOWEEKNUM(tbl_Kalender[[#This Row],[Datum]])</f>
        <v>35</v>
      </c>
    </row>
    <row r="2069" spans="1:11" x14ac:dyDescent="0.25">
      <c r="A2069" s="1">
        <v>47359</v>
      </c>
      <c r="B2069">
        <f>YEAR(tbl_Kalender[[#This Row],[Datum]])</f>
        <v>2029</v>
      </c>
      <c r="C2069">
        <f>DAY(tbl_Kalender[[#This Row],[Datum]])</f>
        <v>29</v>
      </c>
      <c r="D2069" t="str">
        <f>TEXT(tbl_Kalender[[#This Row],[Datum]],"TTTT")</f>
        <v>Mittwoch</v>
      </c>
      <c r="E2069">
        <f>WEEKDAY(tbl_Kalender[[#This Row],[Datum]],2)</f>
        <v>3</v>
      </c>
      <c r="F2069">
        <f>MONTH(tbl_Kalender[[#This Row],[Datum]])</f>
        <v>8</v>
      </c>
      <c r="G2069" t="str">
        <f>TEXT(tbl_Kalender[[#This Row],[Datum]],"MMMM")</f>
        <v>August</v>
      </c>
      <c r="H2069">
        <f>ROUNDUP(tbl_Kalender[[#This Row],[Monat]]/3,0)</f>
        <v>3</v>
      </c>
      <c r="I2069" t="str">
        <f>"Q "&amp;tbl_Kalender[[#This Row],[Quartal]]</f>
        <v>Q 3</v>
      </c>
      <c r="J2069" t="str">
        <f>tbl_Kalender[[#This Row],[Quartal]]&amp;". Quartal"</f>
        <v>3. Quartal</v>
      </c>
      <c r="K2069">
        <f>_xlfn.ISOWEEKNUM(tbl_Kalender[[#This Row],[Datum]])</f>
        <v>35</v>
      </c>
    </row>
    <row r="2070" spans="1:11" x14ac:dyDescent="0.25">
      <c r="A2070" s="1">
        <v>47360</v>
      </c>
      <c r="B2070">
        <f>YEAR(tbl_Kalender[[#This Row],[Datum]])</f>
        <v>2029</v>
      </c>
      <c r="C2070">
        <f>DAY(tbl_Kalender[[#This Row],[Datum]])</f>
        <v>30</v>
      </c>
      <c r="D2070" t="str">
        <f>TEXT(tbl_Kalender[[#This Row],[Datum]],"TTTT")</f>
        <v>Donnerstag</v>
      </c>
      <c r="E2070">
        <f>WEEKDAY(tbl_Kalender[[#This Row],[Datum]],2)</f>
        <v>4</v>
      </c>
      <c r="F2070">
        <f>MONTH(tbl_Kalender[[#This Row],[Datum]])</f>
        <v>8</v>
      </c>
      <c r="G2070" t="str">
        <f>TEXT(tbl_Kalender[[#This Row],[Datum]],"MMMM")</f>
        <v>August</v>
      </c>
      <c r="H2070">
        <f>ROUNDUP(tbl_Kalender[[#This Row],[Monat]]/3,0)</f>
        <v>3</v>
      </c>
      <c r="I2070" t="str">
        <f>"Q "&amp;tbl_Kalender[[#This Row],[Quartal]]</f>
        <v>Q 3</v>
      </c>
      <c r="J2070" t="str">
        <f>tbl_Kalender[[#This Row],[Quartal]]&amp;". Quartal"</f>
        <v>3. Quartal</v>
      </c>
      <c r="K2070">
        <f>_xlfn.ISOWEEKNUM(tbl_Kalender[[#This Row],[Datum]])</f>
        <v>35</v>
      </c>
    </row>
    <row r="2071" spans="1:11" x14ac:dyDescent="0.25">
      <c r="A2071" s="1">
        <v>47361</v>
      </c>
      <c r="B2071">
        <f>YEAR(tbl_Kalender[[#This Row],[Datum]])</f>
        <v>2029</v>
      </c>
      <c r="C2071">
        <f>DAY(tbl_Kalender[[#This Row],[Datum]])</f>
        <v>31</v>
      </c>
      <c r="D2071" t="str">
        <f>TEXT(tbl_Kalender[[#This Row],[Datum]],"TTTT")</f>
        <v>Freitag</v>
      </c>
      <c r="E2071">
        <f>WEEKDAY(tbl_Kalender[[#This Row],[Datum]],2)</f>
        <v>5</v>
      </c>
      <c r="F2071">
        <f>MONTH(tbl_Kalender[[#This Row],[Datum]])</f>
        <v>8</v>
      </c>
      <c r="G2071" t="str">
        <f>TEXT(tbl_Kalender[[#This Row],[Datum]],"MMMM")</f>
        <v>August</v>
      </c>
      <c r="H2071">
        <f>ROUNDUP(tbl_Kalender[[#This Row],[Monat]]/3,0)</f>
        <v>3</v>
      </c>
      <c r="I2071" t="str">
        <f>"Q "&amp;tbl_Kalender[[#This Row],[Quartal]]</f>
        <v>Q 3</v>
      </c>
      <c r="J2071" t="str">
        <f>tbl_Kalender[[#This Row],[Quartal]]&amp;". Quartal"</f>
        <v>3. Quartal</v>
      </c>
      <c r="K2071">
        <f>_xlfn.ISOWEEKNUM(tbl_Kalender[[#This Row],[Datum]])</f>
        <v>35</v>
      </c>
    </row>
    <row r="2072" spans="1:11" x14ac:dyDescent="0.25">
      <c r="A2072" s="1">
        <v>47362</v>
      </c>
      <c r="B2072">
        <f>YEAR(tbl_Kalender[[#This Row],[Datum]])</f>
        <v>2029</v>
      </c>
      <c r="C2072">
        <f>DAY(tbl_Kalender[[#This Row],[Datum]])</f>
        <v>1</v>
      </c>
      <c r="D2072" t="str">
        <f>TEXT(tbl_Kalender[[#This Row],[Datum]],"TTTT")</f>
        <v>Samstag</v>
      </c>
      <c r="E2072">
        <f>WEEKDAY(tbl_Kalender[[#This Row],[Datum]],2)</f>
        <v>6</v>
      </c>
      <c r="F2072">
        <f>MONTH(tbl_Kalender[[#This Row],[Datum]])</f>
        <v>9</v>
      </c>
      <c r="G2072" t="str">
        <f>TEXT(tbl_Kalender[[#This Row],[Datum]],"MMMM")</f>
        <v>September</v>
      </c>
      <c r="H2072">
        <f>ROUNDUP(tbl_Kalender[[#This Row],[Monat]]/3,0)</f>
        <v>3</v>
      </c>
      <c r="I2072" t="str">
        <f>"Q "&amp;tbl_Kalender[[#This Row],[Quartal]]</f>
        <v>Q 3</v>
      </c>
      <c r="J2072" t="str">
        <f>tbl_Kalender[[#This Row],[Quartal]]&amp;". Quartal"</f>
        <v>3. Quartal</v>
      </c>
      <c r="K2072">
        <f>_xlfn.ISOWEEKNUM(tbl_Kalender[[#This Row],[Datum]])</f>
        <v>35</v>
      </c>
    </row>
    <row r="2073" spans="1:11" x14ac:dyDescent="0.25">
      <c r="A2073" s="1">
        <v>47363</v>
      </c>
      <c r="B2073">
        <f>YEAR(tbl_Kalender[[#This Row],[Datum]])</f>
        <v>2029</v>
      </c>
      <c r="C2073">
        <f>DAY(tbl_Kalender[[#This Row],[Datum]])</f>
        <v>2</v>
      </c>
      <c r="D2073" t="str">
        <f>TEXT(tbl_Kalender[[#This Row],[Datum]],"TTTT")</f>
        <v>Sonntag</v>
      </c>
      <c r="E2073">
        <f>WEEKDAY(tbl_Kalender[[#This Row],[Datum]],2)</f>
        <v>7</v>
      </c>
      <c r="F2073">
        <f>MONTH(tbl_Kalender[[#This Row],[Datum]])</f>
        <v>9</v>
      </c>
      <c r="G2073" t="str">
        <f>TEXT(tbl_Kalender[[#This Row],[Datum]],"MMMM")</f>
        <v>September</v>
      </c>
      <c r="H2073">
        <f>ROUNDUP(tbl_Kalender[[#This Row],[Monat]]/3,0)</f>
        <v>3</v>
      </c>
      <c r="I2073" t="str">
        <f>"Q "&amp;tbl_Kalender[[#This Row],[Quartal]]</f>
        <v>Q 3</v>
      </c>
      <c r="J2073" t="str">
        <f>tbl_Kalender[[#This Row],[Quartal]]&amp;". Quartal"</f>
        <v>3. Quartal</v>
      </c>
      <c r="K2073">
        <f>_xlfn.ISOWEEKNUM(tbl_Kalender[[#This Row],[Datum]])</f>
        <v>35</v>
      </c>
    </row>
    <row r="2074" spans="1:11" x14ac:dyDescent="0.25">
      <c r="A2074" s="1">
        <v>47364</v>
      </c>
      <c r="B2074">
        <f>YEAR(tbl_Kalender[[#This Row],[Datum]])</f>
        <v>2029</v>
      </c>
      <c r="C2074">
        <f>DAY(tbl_Kalender[[#This Row],[Datum]])</f>
        <v>3</v>
      </c>
      <c r="D2074" t="str">
        <f>TEXT(tbl_Kalender[[#This Row],[Datum]],"TTTT")</f>
        <v>Montag</v>
      </c>
      <c r="E2074">
        <f>WEEKDAY(tbl_Kalender[[#This Row],[Datum]],2)</f>
        <v>1</v>
      </c>
      <c r="F2074">
        <f>MONTH(tbl_Kalender[[#This Row],[Datum]])</f>
        <v>9</v>
      </c>
      <c r="G2074" t="str">
        <f>TEXT(tbl_Kalender[[#This Row],[Datum]],"MMMM")</f>
        <v>September</v>
      </c>
      <c r="H2074">
        <f>ROUNDUP(tbl_Kalender[[#This Row],[Monat]]/3,0)</f>
        <v>3</v>
      </c>
      <c r="I2074" t="str">
        <f>"Q "&amp;tbl_Kalender[[#This Row],[Quartal]]</f>
        <v>Q 3</v>
      </c>
      <c r="J2074" t="str">
        <f>tbl_Kalender[[#This Row],[Quartal]]&amp;". Quartal"</f>
        <v>3. Quartal</v>
      </c>
      <c r="K2074">
        <f>_xlfn.ISOWEEKNUM(tbl_Kalender[[#This Row],[Datum]])</f>
        <v>36</v>
      </c>
    </row>
    <row r="2075" spans="1:11" x14ac:dyDescent="0.25">
      <c r="A2075" s="1">
        <v>47365</v>
      </c>
      <c r="B2075">
        <f>YEAR(tbl_Kalender[[#This Row],[Datum]])</f>
        <v>2029</v>
      </c>
      <c r="C2075">
        <f>DAY(tbl_Kalender[[#This Row],[Datum]])</f>
        <v>4</v>
      </c>
      <c r="D2075" t="str">
        <f>TEXT(tbl_Kalender[[#This Row],[Datum]],"TTTT")</f>
        <v>Dienstag</v>
      </c>
      <c r="E2075">
        <f>WEEKDAY(tbl_Kalender[[#This Row],[Datum]],2)</f>
        <v>2</v>
      </c>
      <c r="F2075">
        <f>MONTH(tbl_Kalender[[#This Row],[Datum]])</f>
        <v>9</v>
      </c>
      <c r="G2075" t="str">
        <f>TEXT(tbl_Kalender[[#This Row],[Datum]],"MMMM")</f>
        <v>September</v>
      </c>
      <c r="H2075">
        <f>ROUNDUP(tbl_Kalender[[#This Row],[Monat]]/3,0)</f>
        <v>3</v>
      </c>
      <c r="I2075" t="str">
        <f>"Q "&amp;tbl_Kalender[[#This Row],[Quartal]]</f>
        <v>Q 3</v>
      </c>
      <c r="J2075" t="str">
        <f>tbl_Kalender[[#This Row],[Quartal]]&amp;". Quartal"</f>
        <v>3. Quartal</v>
      </c>
      <c r="K2075">
        <f>_xlfn.ISOWEEKNUM(tbl_Kalender[[#This Row],[Datum]])</f>
        <v>36</v>
      </c>
    </row>
    <row r="2076" spans="1:11" x14ac:dyDescent="0.25">
      <c r="A2076" s="1">
        <v>47366</v>
      </c>
      <c r="B2076">
        <f>YEAR(tbl_Kalender[[#This Row],[Datum]])</f>
        <v>2029</v>
      </c>
      <c r="C2076">
        <f>DAY(tbl_Kalender[[#This Row],[Datum]])</f>
        <v>5</v>
      </c>
      <c r="D2076" t="str">
        <f>TEXT(tbl_Kalender[[#This Row],[Datum]],"TTTT")</f>
        <v>Mittwoch</v>
      </c>
      <c r="E2076">
        <f>WEEKDAY(tbl_Kalender[[#This Row],[Datum]],2)</f>
        <v>3</v>
      </c>
      <c r="F2076">
        <f>MONTH(tbl_Kalender[[#This Row],[Datum]])</f>
        <v>9</v>
      </c>
      <c r="G2076" t="str">
        <f>TEXT(tbl_Kalender[[#This Row],[Datum]],"MMMM")</f>
        <v>September</v>
      </c>
      <c r="H2076">
        <f>ROUNDUP(tbl_Kalender[[#This Row],[Monat]]/3,0)</f>
        <v>3</v>
      </c>
      <c r="I2076" t="str">
        <f>"Q "&amp;tbl_Kalender[[#This Row],[Quartal]]</f>
        <v>Q 3</v>
      </c>
      <c r="J2076" t="str">
        <f>tbl_Kalender[[#This Row],[Quartal]]&amp;". Quartal"</f>
        <v>3. Quartal</v>
      </c>
      <c r="K2076">
        <f>_xlfn.ISOWEEKNUM(tbl_Kalender[[#This Row],[Datum]])</f>
        <v>36</v>
      </c>
    </row>
    <row r="2077" spans="1:11" x14ac:dyDescent="0.25">
      <c r="A2077" s="1">
        <v>47367</v>
      </c>
      <c r="B2077">
        <f>YEAR(tbl_Kalender[[#This Row],[Datum]])</f>
        <v>2029</v>
      </c>
      <c r="C2077">
        <f>DAY(tbl_Kalender[[#This Row],[Datum]])</f>
        <v>6</v>
      </c>
      <c r="D2077" t="str">
        <f>TEXT(tbl_Kalender[[#This Row],[Datum]],"TTTT")</f>
        <v>Donnerstag</v>
      </c>
      <c r="E2077">
        <f>WEEKDAY(tbl_Kalender[[#This Row],[Datum]],2)</f>
        <v>4</v>
      </c>
      <c r="F2077">
        <f>MONTH(tbl_Kalender[[#This Row],[Datum]])</f>
        <v>9</v>
      </c>
      <c r="G2077" t="str">
        <f>TEXT(tbl_Kalender[[#This Row],[Datum]],"MMMM")</f>
        <v>September</v>
      </c>
      <c r="H2077">
        <f>ROUNDUP(tbl_Kalender[[#This Row],[Monat]]/3,0)</f>
        <v>3</v>
      </c>
      <c r="I2077" t="str">
        <f>"Q "&amp;tbl_Kalender[[#This Row],[Quartal]]</f>
        <v>Q 3</v>
      </c>
      <c r="J2077" t="str">
        <f>tbl_Kalender[[#This Row],[Quartal]]&amp;". Quartal"</f>
        <v>3. Quartal</v>
      </c>
      <c r="K2077">
        <f>_xlfn.ISOWEEKNUM(tbl_Kalender[[#This Row],[Datum]])</f>
        <v>36</v>
      </c>
    </row>
    <row r="2078" spans="1:11" x14ac:dyDescent="0.25">
      <c r="A2078" s="1">
        <v>47368</v>
      </c>
      <c r="B2078">
        <f>YEAR(tbl_Kalender[[#This Row],[Datum]])</f>
        <v>2029</v>
      </c>
      <c r="C2078">
        <f>DAY(tbl_Kalender[[#This Row],[Datum]])</f>
        <v>7</v>
      </c>
      <c r="D2078" t="str">
        <f>TEXT(tbl_Kalender[[#This Row],[Datum]],"TTTT")</f>
        <v>Freitag</v>
      </c>
      <c r="E2078">
        <f>WEEKDAY(tbl_Kalender[[#This Row],[Datum]],2)</f>
        <v>5</v>
      </c>
      <c r="F2078">
        <f>MONTH(tbl_Kalender[[#This Row],[Datum]])</f>
        <v>9</v>
      </c>
      <c r="G2078" t="str">
        <f>TEXT(tbl_Kalender[[#This Row],[Datum]],"MMMM")</f>
        <v>September</v>
      </c>
      <c r="H2078">
        <f>ROUNDUP(tbl_Kalender[[#This Row],[Monat]]/3,0)</f>
        <v>3</v>
      </c>
      <c r="I2078" t="str">
        <f>"Q "&amp;tbl_Kalender[[#This Row],[Quartal]]</f>
        <v>Q 3</v>
      </c>
      <c r="J2078" t="str">
        <f>tbl_Kalender[[#This Row],[Quartal]]&amp;". Quartal"</f>
        <v>3. Quartal</v>
      </c>
      <c r="K2078">
        <f>_xlfn.ISOWEEKNUM(tbl_Kalender[[#This Row],[Datum]])</f>
        <v>36</v>
      </c>
    </row>
    <row r="2079" spans="1:11" x14ac:dyDescent="0.25">
      <c r="A2079" s="1">
        <v>47369</v>
      </c>
      <c r="B2079">
        <f>YEAR(tbl_Kalender[[#This Row],[Datum]])</f>
        <v>2029</v>
      </c>
      <c r="C2079">
        <f>DAY(tbl_Kalender[[#This Row],[Datum]])</f>
        <v>8</v>
      </c>
      <c r="D2079" t="str">
        <f>TEXT(tbl_Kalender[[#This Row],[Datum]],"TTTT")</f>
        <v>Samstag</v>
      </c>
      <c r="E2079">
        <f>WEEKDAY(tbl_Kalender[[#This Row],[Datum]],2)</f>
        <v>6</v>
      </c>
      <c r="F2079">
        <f>MONTH(tbl_Kalender[[#This Row],[Datum]])</f>
        <v>9</v>
      </c>
      <c r="G2079" t="str">
        <f>TEXT(tbl_Kalender[[#This Row],[Datum]],"MMMM")</f>
        <v>September</v>
      </c>
      <c r="H2079">
        <f>ROUNDUP(tbl_Kalender[[#This Row],[Monat]]/3,0)</f>
        <v>3</v>
      </c>
      <c r="I2079" t="str">
        <f>"Q "&amp;tbl_Kalender[[#This Row],[Quartal]]</f>
        <v>Q 3</v>
      </c>
      <c r="J2079" t="str">
        <f>tbl_Kalender[[#This Row],[Quartal]]&amp;". Quartal"</f>
        <v>3. Quartal</v>
      </c>
      <c r="K2079">
        <f>_xlfn.ISOWEEKNUM(tbl_Kalender[[#This Row],[Datum]])</f>
        <v>36</v>
      </c>
    </row>
    <row r="2080" spans="1:11" x14ac:dyDescent="0.25">
      <c r="A2080" s="1">
        <v>47370</v>
      </c>
      <c r="B2080">
        <f>YEAR(tbl_Kalender[[#This Row],[Datum]])</f>
        <v>2029</v>
      </c>
      <c r="C2080">
        <f>DAY(tbl_Kalender[[#This Row],[Datum]])</f>
        <v>9</v>
      </c>
      <c r="D2080" t="str">
        <f>TEXT(tbl_Kalender[[#This Row],[Datum]],"TTTT")</f>
        <v>Sonntag</v>
      </c>
      <c r="E2080">
        <f>WEEKDAY(tbl_Kalender[[#This Row],[Datum]],2)</f>
        <v>7</v>
      </c>
      <c r="F2080">
        <f>MONTH(tbl_Kalender[[#This Row],[Datum]])</f>
        <v>9</v>
      </c>
      <c r="G2080" t="str">
        <f>TEXT(tbl_Kalender[[#This Row],[Datum]],"MMMM")</f>
        <v>September</v>
      </c>
      <c r="H2080">
        <f>ROUNDUP(tbl_Kalender[[#This Row],[Monat]]/3,0)</f>
        <v>3</v>
      </c>
      <c r="I2080" t="str">
        <f>"Q "&amp;tbl_Kalender[[#This Row],[Quartal]]</f>
        <v>Q 3</v>
      </c>
      <c r="J2080" t="str">
        <f>tbl_Kalender[[#This Row],[Quartal]]&amp;". Quartal"</f>
        <v>3. Quartal</v>
      </c>
      <c r="K2080">
        <f>_xlfn.ISOWEEKNUM(tbl_Kalender[[#This Row],[Datum]])</f>
        <v>36</v>
      </c>
    </row>
    <row r="2081" spans="1:11" x14ac:dyDescent="0.25">
      <c r="A2081" s="1">
        <v>47371</v>
      </c>
      <c r="B2081">
        <f>YEAR(tbl_Kalender[[#This Row],[Datum]])</f>
        <v>2029</v>
      </c>
      <c r="C2081">
        <f>DAY(tbl_Kalender[[#This Row],[Datum]])</f>
        <v>10</v>
      </c>
      <c r="D2081" t="str">
        <f>TEXT(tbl_Kalender[[#This Row],[Datum]],"TTTT")</f>
        <v>Montag</v>
      </c>
      <c r="E2081">
        <f>WEEKDAY(tbl_Kalender[[#This Row],[Datum]],2)</f>
        <v>1</v>
      </c>
      <c r="F2081">
        <f>MONTH(tbl_Kalender[[#This Row],[Datum]])</f>
        <v>9</v>
      </c>
      <c r="G2081" t="str">
        <f>TEXT(tbl_Kalender[[#This Row],[Datum]],"MMMM")</f>
        <v>September</v>
      </c>
      <c r="H2081">
        <f>ROUNDUP(tbl_Kalender[[#This Row],[Monat]]/3,0)</f>
        <v>3</v>
      </c>
      <c r="I2081" t="str">
        <f>"Q "&amp;tbl_Kalender[[#This Row],[Quartal]]</f>
        <v>Q 3</v>
      </c>
      <c r="J2081" t="str">
        <f>tbl_Kalender[[#This Row],[Quartal]]&amp;". Quartal"</f>
        <v>3. Quartal</v>
      </c>
      <c r="K2081">
        <f>_xlfn.ISOWEEKNUM(tbl_Kalender[[#This Row],[Datum]])</f>
        <v>37</v>
      </c>
    </row>
    <row r="2082" spans="1:11" x14ac:dyDescent="0.25">
      <c r="A2082" s="1">
        <v>47372</v>
      </c>
      <c r="B2082">
        <f>YEAR(tbl_Kalender[[#This Row],[Datum]])</f>
        <v>2029</v>
      </c>
      <c r="C2082">
        <f>DAY(tbl_Kalender[[#This Row],[Datum]])</f>
        <v>11</v>
      </c>
      <c r="D2082" t="str">
        <f>TEXT(tbl_Kalender[[#This Row],[Datum]],"TTTT")</f>
        <v>Dienstag</v>
      </c>
      <c r="E2082">
        <f>WEEKDAY(tbl_Kalender[[#This Row],[Datum]],2)</f>
        <v>2</v>
      </c>
      <c r="F2082">
        <f>MONTH(tbl_Kalender[[#This Row],[Datum]])</f>
        <v>9</v>
      </c>
      <c r="G2082" t="str">
        <f>TEXT(tbl_Kalender[[#This Row],[Datum]],"MMMM")</f>
        <v>September</v>
      </c>
      <c r="H2082">
        <f>ROUNDUP(tbl_Kalender[[#This Row],[Monat]]/3,0)</f>
        <v>3</v>
      </c>
      <c r="I2082" t="str">
        <f>"Q "&amp;tbl_Kalender[[#This Row],[Quartal]]</f>
        <v>Q 3</v>
      </c>
      <c r="J2082" t="str">
        <f>tbl_Kalender[[#This Row],[Quartal]]&amp;". Quartal"</f>
        <v>3. Quartal</v>
      </c>
      <c r="K2082">
        <f>_xlfn.ISOWEEKNUM(tbl_Kalender[[#This Row],[Datum]])</f>
        <v>37</v>
      </c>
    </row>
    <row r="2083" spans="1:11" x14ac:dyDescent="0.25">
      <c r="A2083" s="1">
        <v>47373</v>
      </c>
      <c r="B2083">
        <f>YEAR(tbl_Kalender[[#This Row],[Datum]])</f>
        <v>2029</v>
      </c>
      <c r="C2083">
        <f>DAY(tbl_Kalender[[#This Row],[Datum]])</f>
        <v>12</v>
      </c>
      <c r="D2083" t="str">
        <f>TEXT(tbl_Kalender[[#This Row],[Datum]],"TTTT")</f>
        <v>Mittwoch</v>
      </c>
      <c r="E2083">
        <f>WEEKDAY(tbl_Kalender[[#This Row],[Datum]],2)</f>
        <v>3</v>
      </c>
      <c r="F2083">
        <f>MONTH(tbl_Kalender[[#This Row],[Datum]])</f>
        <v>9</v>
      </c>
      <c r="G2083" t="str">
        <f>TEXT(tbl_Kalender[[#This Row],[Datum]],"MMMM")</f>
        <v>September</v>
      </c>
      <c r="H2083">
        <f>ROUNDUP(tbl_Kalender[[#This Row],[Monat]]/3,0)</f>
        <v>3</v>
      </c>
      <c r="I2083" t="str">
        <f>"Q "&amp;tbl_Kalender[[#This Row],[Quartal]]</f>
        <v>Q 3</v>
      </c>
      <c r="J2083" t="str">
        <f>tbl_Kalender[[#This Row],[Quartal]]&amp;". Quartal"</f>
        <v>3. Quartal</v>
      </c>
      <c r="K2083">
        <f>_xlfn.ISOWEEKNUM(tbl_Kalender[[#This Row],[Datum]])</f>
        <v>37</v>
      </c>
    </row>
    <row r="2084" spans="1:11" x14ac:dyDescent="0.25">
      <c r="A2084" s="1">
        <v>47374</v>
      </c>
      <c r="B2084">
        <f>YEAR(tbl_Kalender[[#This Row],[Datum]])</f>
        <v>2029</v>
      </c>
      <c r="C2084">
        <f>DAY(tbl_Kalender[[#This Row],[Datum]])</f>
        <v>13</v>
      </c>
      <c r="D2084" t="str">
        <f>TEXT(tbl_Kalender[[#This Row],[Datum]],"TTTT")</f>
        <v>Donnerstag</v>
      </c>
      <c r="E2084">
        <f>WEEKDAY(tbl_Kalender[[#This Row],[Datum]],2)</f>
        <v>4</v>
      </c>
      <c r="F2084">
        <f>MONTH(tbl_Kalender[[#This Row],[Datum]])</f>
        <v>9</v>
      </c>
      <c r="G2084" t="str">
        <f>TEXT(tbl_Kalender[[#This Row],[Datum]],"MMMM")</f>
        <v>September</v>
      </c>
      <c r="H2084">
        <f>ROUNDUP(tbl_Kalender[[#This Row],[Monat]]/3,0)</f>
        <v>3</v>
      </c>
      <c r="I2084" t="str">
        <f>"Q "&amp;tbl_Kalender[[#This Row],[Quartal]]</f>
        <v>Q 3</v>
      </c>
      <c r="J2084" t="str">
        <f>tbl_Kalender[[#This Row],[Quartal]]&amp;". Quartal"</f>
        <v>3. Quartal</v>
      </c>
      <c r="K2084">
        <f>_xlfn.ISOWEEKNUM(tbl_Kalender[[#This Row],[Datum]])</f>
        <v>37</v>
      </c>
    </row>
    <row r="2085" spans="1:11" x14ac:dyDescent="0.25">
      <c r="A2085" s="1">
        <v>47375</v>
      </c>
      <c r="B2085">
        <f>YEAR(tbl_Kalender[[#This Row],[Datum]])</f>
        <v>2029</v>
      </c>
      <c r="C2085">
        <f>DAY(tbl_Kalender[[#This Row],[Datum]])</f>
        <v>14</v>
      </c>
      <c r="D2085" t="str">
        <f>TEXT(tbl_Kalender[[#This Row],[Datum]],"TTTT")</f>
        <v>Freitag</v>
      </c>
      <c r="E2085">
        <f>WEEKDAY(tbl_Kalender[[#This Row],[Datum]],2)</f>
        <v>5</v>
      </c>
      <c r="F2085">
        <f>MONTH(tbl_Kalender[[#This Row],[Datum]])</f>
        <v>9</v>
      </c>
      <c r="G2085" t="str">
        <f>TEXT(tbl_Kalender[[#This Row],[Datum]],"MMMM")</f>
        <v>September</v>
      </c>
      <c r="H2085">
        <f>ROUNDUP(tbl_Kalender[[#This Row],[Monat]]/3,0)</f>
        <v>3</v>
      </c>
      <c r="I2085" t="str">
        <f>"Q "&amp;tbl_Kalender[[#This Row],[Quartal]]</f>
        <v>Q 3</v>
      </c>
      <c r="J2085" t="str">
        <f>tbl_Kalender[[#This Row],[Quartal]]&amp;". Quartal"</f>
        <v>3. Quartal</v>
      </c>
      <c r="K2085">
        <f>_xlfn.ISOWEEKNUM(tbl_Kalender[[#This Row],[Datum]])</f>
        <v>37</v>
      </c>
    </row>
    <row r="2086" spans="1:11" x14ac:dyDescent="0.25">
      <c r="A2086" s="1">
        <v>47376</v>
      </c>
      <c r="B2086">
        <f>YEAR(tbl_Kalender[[#This Row],[Datum]])</f>
        <v>2029</v>
      </c>
      <c r="C2086">
        <f>DAY(tbl_Kalender[[#This Row],[Datum]])</f>
        <v>15</v>
      </c>
      <c r="D2086" t="str">
        <f>TEXT(tbl_Kalender[[#This Row],[Datum]],"TTTT")</f>
        <v>Samstag</v>
      </c>
      <c r="E2086">
        <f>WEEKDAY(tbl_Kalender[[#This Row],[Datum]],2)</f>
        <v>6</v>
      </c>
      <c r="F2086">
        <f>MONTH(tbl_Kalender[[#This Row],[Datum]])</f>
        <v>9</v>
      </c>
      <c r="G2086" t="str">
        <f>TEXT(tbl_Kalender[[#This Row],[Datum]],"MMMM")</f>
        <v>September</v>
      </c>
      <c r="H2086">
        <f>ROUNDUP(tbl_Kalender[[#This Row],[Monat]]/3,0)</f>
        <v>3</v>
      </c>
      <c r="I2086" t="str">
        <f>"Q "&amp;tbl_Kalender[[#This Row],[Quartal]]</f>
        <v>Q 3</v>
      </c>
      <c r="J2086" t="str">
        <f>tbl_Kalender[[#This Row],[Quartal]]&amp;". Quartal"</f>
        <v>3. Quartal</v>
      </c>
      <c r="K2086">
        <f>_xlfn.ISOWEEKNUM(tbl_Kalender[[#This Row],[Datum]])</f>
        <v>37</v>
      </c>
    </row>
    <row r="2087" spans="1:11" x14ac:dyDescent="0.25">
      <c r="A2087" s="1">
        <v>47377</v>
      </c>
      <c r="B2087">
        <f>YEAR(tbl_Kalender[[#This Row],[Datum]])</f>
        <v>2029</v>
      </c>
      <c r="C2087">
        <f>DAY(tbl_Kalender[[#This Row],[Datum]])</f>
        <v>16</v>
      </c>
      <c r="D2087" t="str">
        <f>TEXT(tbl_Kalender[[#This Row],[Datum]],"TTTT")</f>
        <v>Sonntag</v>
      </c>
      <c r="E2087">
        <f>WEEKDAY(tbl_Kalender[[#This Row],[Datum]],2)</f>
        <v>7</v>
      </c>
      <c r="F2087">
        <f>MONTH(tbl_Kalender[[#This Row],[Datum]])</f>
        <v>9</v>
      </c>
      <c r="G2087" t="str">
        <f>TEXT(tbl_Kalender[[#This Row],[Datum]],"MMMM")</f>
        <v>September</v>
      </c>
      <c r="H2087">
        <f>ROUNDUP(tbl_Kalender[[#This Row],[Monat]]/3,0)</f>
        <v>3</v>
      </c>
      <c r="I2087" t="str">
        <f>"Q "&amp;tbl_Kalender[[#This Row],[Quartal]]</f>
        <v>Q 3</v>
      </c>
      <c r="J2087" t="str">
        <f>tbl_Kalender[[#This Row],[Quartal]]&amp;". Quartal"</f>
        <v>3. Quartal</v>
      </c>
      <c r="K2087">
        <f>_xlfn.ISOWEEKNUM(tbl_Kalender[[#This Row],[Datum]])</f>
        <v>37</v>
      </c>
    </row>
    <row r="2088" spans="1:11" x14ac:dyDescent="0.25">
      <c r="A2088" s="1">
        <v>47378</v>
      </c>
      <c r="B2088">
        <f>YEAR(tbl_Kalender[[#This Row],[Datum]])</f>
        <v>2029</v>
      </c>
      <c r="C2088">
        <f>DAY(tbl_Kalender[[#This Row],[Datum]])</f>
        <v>17</v>
      </c>
      <c r="D2088" t="str">
        <f>TEXT(tbl_Kalender[[#This Row],[Datum]],"TTTT")</f>
        <v>Montag</v>
      </c>
      <c r="E2088">
        <f>WEEKDAY(tbl_Kalender[[#This Row],[Datum]],2)</f>
        <v>1</v>
      </c>
      <c r="F2088">
        <f>MONTH(tbl_Kalender[[#This Row],[Datum]])</f>
        <v>9</v>
      </c>
      <c r="G2088" t="str">
        <f>TEXT(tbl_Kalender[[#This Row],[Datum]],"MMMM")</f>
        <v>September</v>
      </c>
      <c r="H2088">
        <f>ROUNDUP(tbl_Kalender[[#This Row],[Monat]]/3,0)</f>
        <v>3</v>
      </c>
      <c r="I2088" t="str">
        <f>"Q "&amp;tbl_Kalender[[#This Row],[Quartal]]</f>
        <v>Q 3</v>
      </c>
      <c r="J2088" t="str">
        <f>tbl_Kalender[[#This Row],[Quartal]]&amp;". Quartal"</f>
        <v>3. Quartal</v>
      </c>
      <c r="K2088">
        <f>_xlfn.ISOWEEKNUM(tbl_Kalender[[#This Row],[Datum]])</f>
        <v>38</v>
      </c>
    </row>
    <row r="2089" spans="1:11" x14ac:dyDescent="0.25">
      <c r="A2089" s="1">
        <v>47379</v>
      </c>
      <c r="B2089">
        <f>YEAR(tbl_Kalender[[#This Row],[Datum]])</f>
        <v>2029</v>
      </c>
      <c r="C2089">
        <f>DAY(tbl_Kalender[[#This Row],[Datum]])</f>
        <v>18</v>
      </c>
      <c r="D2089" t="str">
        <f>TEXT(tbl_Kalender[[#This Row],[Datum]],"TTTT")</f>
        <v>Dienstag</v>
      </c>
      <c r="E2089">
        <f>WEEKDAY(tbl_Kalender[[#This Row],[Datum]],2)</f>
        <v>2</v>
      </c>
      <c r="F2089">
        <f>MONTH(tbl_Kalender[[#This Row],[Datum]])</f>
        <v>9</v>
      </c>
      <c r="G2089" t="str">
        <f>TEXT(tbl_Kalender[[#This Row],[Datum]],"MMMM")</f>
        <v>September</v>
      </c>
      <c r="H2089">
        <f>ROUNDUP(tbl_Kalender[[#This Row],[Monat]]/3,0)</f>
        <v>3</v>
      </c>
      <c r="I2089" t="str">
        <f>"Q "&amp;tbl_Kalender[[#This Row],[Quartal]]</f>
        <v>Q 3</v>
      </c>
      <c r="J2089" t="str">
        <f>tbl_Kalender[[#This Row],[Quartal]]&amp;". Quartal"</f>
        <v>3. Quartal</v>
      </c>
      <c r="K2089">
        <f>_xlfn.ISOWEEKNUM(tbl_Kalender[[#This Row],[Datum]])</f>
        <v>38</v>
      </c>
    </row>
    <row r="2090" spans="1:11" x14ac:dyDescent="0.25">
      <c r="A2090" s="1">
        <v>47380</v>
      </c>
      <c r="B2090">
        <f>YEAR(tbl_Kalender[[#This Row],[Datum]])</f>
        <v>2029</v>
      </c>
      <c r="C2090">
        <f>DAY(tbl_Kalender[[#This Row],[Datum]])</f>
        <v>19</v>
      </c>
      <c r="D2090" t="str">
        <f>TEXT(tbl_Kalender[[#This Row],[Datum]],"TTTT")</f>
        <v>Mittwoch</v>
      </c>
      <c r="E2090">
        <f>WEEKDAY(tbl_Kalender[[#This Row],[Datum]],2)</f>
        <v>3</v>
      </c>
      <c r="F2090">
        <f>MONTH(tbl_Kalender[[#This Row],[Datum]])</f>
        <v>9</v>
      </c>
      <c r="G2090" t="str">
        <f>TEXT(tbl_Kalender[[#This Row],[Datum]],"MMMM")</f>
        <v>September</v>
      </c>
      <c r="H2090">
        <f>ROUNDUP(tbl_Kalender[[#This Row],[Monat]]/3,0)</f>
        <v>3</v>
      </c>
      <c r="I2090" t="str">
        <f>"Q "&amp;tbl_Kalender[[#This Row],[Quartal]]</f>
        <v>Q 3</v>
      </c>
      <c r="J2090" t="str">
        <f>tbl_Kalender[[#This Row],[Quartal]]&amp;". Quartal"</f>
        <v>3. Quartal</v>
      </c>
      <c r="K2090">
        <f>_xlfn.ISOWEEKNUM(tbl_Kalender[[#This Row],[Datum]])</f>
        <v>38</v>
      </c>
    </row>
    <row r="2091" spans="1:11" x14ac:dyDescent="0.25">
      <c r="A2091" s="1">
        <v>47381</v>
      </c>
      <c r="B2091">
        <f>YEAR(tbl_Kalender[[#This Row],[Datum]])</f>
        <v>2029</v>
      </c>
      <c r="C2091">
        <f>DAY(tbl_Kalender[[#This Row],[Datum]])</f>
        <v>20</v>
      </c>
      <c r="D2091" t="str">
        <f>TEXT(tbl_Kalender[[#This Row],[Datum]],"TTTT")</f>
        <v>Donnerstag</v>
      </c>
      <c r="E2091">
        <f>WEEKDAY(tbl_Kalender[[#This Row],[Datum]],2)</f>
        <v>4</v>
      </c>
      <c r="F2091">
        <f>MONTH(tbl_Kalender[[#This Row],[Datum]])</f>
        <v>9</v>
      </c>
      <c r="G2091" t="str">
        <f>TEXT(tbl_Kalender[[#This Row],[Datum]],"MMMM")</f>
        <v>September</v>
      </c>
      <c r="H2091">
        <f>ROUNDUP(tbl_Kalender[[#This Row],[Monat]]/3,0)</f>
        <v>3</v>
      </c>
      <c r="I2091" t="str">
        <f>"Q "&amp;tbl_Kalender[[#This Row],[Quartal]]</f>
        <v>Q 3</v>
      </c>
      <c r="J2091" t="str">
        <f>tbl_Kalender[[#This Row],[Quartal]]&amp;". Quartal"</f>
        <v>3. Quartal</v>
      </c>
      <c r="K2091">
        <f>_xlfn.ISOWEEKNUM(tbl_Kalender[[#This Row],[Datum]])</f>
        <v>38</v>
      </c>
    </row>
    <row r="2092" spans="1:11" x14ac:dyDescent="0.25">
      <c r="A2092" s="1">
        <v>47382</v>
      </c>
      <c r="B2092">
        <f>YEAR(tbl_Kalender[[#This Row],[Datum]])</f>
        <v>2029</v>
      </c>
      <c r="C2092">
        <f>DAY(tbl_Kalender[[#This Row],[Datum]])</f>
        <v>21</v>
      </c>
      <c r="D2092" t="str">
        <f>TEXT(tbl_Kalender[[#This Row],[Datum]],"TTTT")</f>
        <v>Freitag</v>
      </c>
      <c r="E2092">
        <f>WEEKDAY(tbl_Kalender[[#This Row],[Datum]],2)</f>
        <v>5</v>
      </c>
      <c r="F2092">
        <f>MONTH(tbl_Kalender[[#This Row],[Datum]])</f>
        <v>9</v>
      </c>
      <c r="G2092" t="str">
        <f>TEXT(tbl_Kalender[[#This Row],[Datum]],"MMMM")</f>
        <v>September</v>
      </c>
      <c r="H2092">
        <f>ROUNDUP(tbl_Kalender[[#This Row],[Monat]]/3,0)</f>
        <v>3</v>
      </c>
      <c r="I2092" t="str">
        <f>"Q "&amp;tbl_Kalender[[#This Row],[Quartal]]</f>
        <v>Q 3</v>
      </c>
      <c r="J2092" t="str">
        <f>tbl_Kalender[[#This Row],[Quartal]]&amp;". Quartal"</f>
        <v>3. Quartal</v>
      </c>
      <c r="K2092">
        <f>_xlfn.ISOWEEKNUM(tbl_Kalender[[#This Row],[Datum]])</f>
        <v>38</v>
      </c>
    </row>
    <row r="2093" spans="1:11" x14ac:dyDescent="0.25">
      <c r="A2093" s="1">
        <v>47383</v>
      </c>
      <c r="B2093">
        <f>YEAR(tbl_Kalender[[#This Row],[Datum]])</f>
        <v>2029</v>
      </c>
      <c r="C2093">
        <f>DAY(tbl_Kalender[[#This Row],[Datum]])</f>
        <v>22</v>
      </c>
      <c r="D2093" t="str">
        <f>TEXT(tbl_Kalender[[#This Row],[Datum]],"TTTT")</f>
        <v>Samstag</v>
      </c>
      <c r="E2093">
        <f>WEEKDAY(tbl_Kalender[[#This Row],[Datum]],2)</f>
        <v>6</v>
      </c>
      <c r="F2093">
        <f>MONTH(tbl_Kalender[[#This Row],[Datum]])</f>
        <v>9</v>
      </c>
      <c r="G2093" t="str">
        <f>TEXT(tbl_Kalender[[#This Row],[Datum]],"MMMM")</f>
        <v>September</v>
      </c>
      <c r="H2093">
        <f>ROUNDUP(tbl_Kalender[[#This Row],[Monat]]/3,0)</f>
        <v>3</v>
      </c>
      <c r="I2093" t="str">
        <f>"Q "&amp;tbl_Kalender[[#This Row],[Quartal]]</f>
        <v>Q 3</v>
      </c>
      <c r="J2093" t="str">
        <f>tbl_Kalender[[#This Row],[Quartal]]&amp;". Quartal"</f>
        <v>3. Quartal</v>
      </c>
      <c r="K2093">
        <f>_xlfn.ISOWEEKNUM(tbl_Kalender[[#This Row],[Datum]])</f>
        <v>38</v>
      </c>
    </row>
    <row r="2094" spans="1:11" x14ac:dyDescent="0.25">
      <c r="A2094" s="1">
        <v>47384</v>
      </c>
      <c r="B2094">
        <f>YEAR(tbl_Kalender[[#This Row],[Datum]])</f>
        <v>2029</v>
      </c>
      <c r="C2094">
        <f>DAY(tbl_Kalender[[#This Row],[Datum]])</f>
        <v>23</v>
      </c>
      <c r="D2094" t="str">
        <f>TEXT(tbl_Kalender[[#This Row],[Datum]],"TTTT")</f>
        <v>Sonntag</v>
      </c>
      <c r="E2094">
        <f>WEEKDAY(tbl_Kalender[[#This Row],[Datum]],2)</f>
        <v>7</v>
      </c>
      <c r="F2094">
        <f>MONTH(tbl_Kalender[[#This Row],[Datum]])</f>
        <v>9</v>
      </c>
      <c r="G2094" t="str">
        <f>TEXT(tbl_Kalender[[#This Row],[Datum]],"MMMM")</f>
        <v>September</v>
      </c>
      <c r="H2094">
        <f>ROUNDUP(tbl_Kalender[[#This Row],[Monat]]/3,0)</f>
        <v>3</v>
      </c>
      <c r="I2094" t="str">
        <f>"Q "&amp;tbl_Kalender[[#This Row],[Quartal]]</f>
        <v>Q 3</v>
      </c>
      <c r="J2094" t="str">
        <f>tbl_Kalender[[#This Row],[Quartal]]&amp;". Quartal"</f>
        <v>3. Quartal</v>
      </c>
      <c r="K2094">
        <f>_xlfn.ISOWEEKNUM(tbl_Kalender[[#This Row],[Datum]])</f>
        <v>38</v>
      </c>
    </row>
    <row r="2095" spans="1:11" x14ac:dyDescent="0.25">
      <c r="A2095" s="1">
        <v>47385</v>
      </c>
      <c r="B2095">
        <f>YEAR(tbl_Kalender[[#This Row],[Datum]])</f>
        <v>2029</v>
      </c>
      <c r="C2095">
        <f>DAY(tbl_Kalender[[#This Row],[Datum]])</f>
        <v>24</v>
      </c>
      <c r="D2095" t="str">
        <f>TEXT(tbl_Kalender[[#This Row],[Datum]],"TTTT")</f>
        <v>Montag</v>
      </c>
      <c r="E2095">
        <f>WEEKDAY(tbl_Kalender[[#This Row],[Datum]],2)</f>
        <v>1</v>
      </c>
      <c r="F2095">
        <f>MONTH(tbl_Kalender[[#This Row],[Datum]])</f>
        <v>9</v>
      </c>
      <c r="G2095" t="str">
        <f>TEXT(tbl_Kalender[[#This Row],[Datum]],"MMMM")</f>
        <v>September</v>
      </c>
      <c r="H2095">
        <f>ROUNDUP(tbl_Kalender[[#This Row],[Monat]]/3,0)</f>
        <v>3</v>
      </c>
      <c r="I2095" t="str">
        <f>"Q "&amp;tbl_Kalender[[#This Row],[Quartal]]</f>
        <v>Q 3</v>
      </c>
      <c r="J2095" t="str">
        <f>tbl_Kalender[[#This Row],[Quartal]]&amp;". Quartal"</f>
        <v>3. Quartal</v>
      </c>
      <c r="K2095">
        <f>_xlfn.ISOWEEKNUM(tbl_Kalender[[#This Row],[Datum]])</f>
        <v>39</v>
      </c>
    </row>
    <row r="2096" spans="1:11" x14ac:dyDescent="0.25">
      <c r="A2096" s="1">
        <v>47386</v>
      </c>
      <c r="B2096">
        <f>YEAR(tbl_Kalender[[#This Row],[Datum]])</f>
        <v>2029</v>
      </c>
      <c r="C2096">
        <f>DAY(tbl_Kalender[[#This Row],[Datum]])</f>
        <v>25</v>
      </c>
      <c r="D2096" t="str">
        <f>TEXT(tbl_Kalender[[#This Row],[Datum]],"TTTT")</f>
        <v>Dienstag</v>
      </c>
      <c r="E2096">
        <f>WEEKDAY(tbl_Kalender[[#This Row],[Datum]],2)</f>
        <v>2</v>
      </c>
      <c r="F2096">
        <f>MONTH(tbl_Kalender[[#This Row],[Datum]])</f>
        <v>9</v>
      </c>
      <c r="G2096" t="str">
        <f>TEXT(tbl_Kalender[[#This Row],[Datum]],"MMMM")</f>
        <v>September</v>
      </c>
      <c r="H2096">
        <f>ROUNDUP(tbl_Kalender[[#This Row],[Monat]]/3,0)</f>
        <v>3</v>
      </c>
      <c r="I2096" t="str">
        <f>"Q "&amp;tbl_Kalender[[#This Row],[Quartal]]</f>
        <v>Q 3</v>
      </c>
      <c r="J2096" t="str">
        <f>tbl_Kalender[[#This Row],[Quartal]]&amp;". Quartal"</f>
        <v>3. Quartal</v>
      </c>
      <c r="K2096">
        <f>_xlfn.ISOWEEKNUM(tbl_Kalender[[#This Row],[Datum]])</f>
        <v>39</v>
      </c>
    </row>
    <row r="2097" spans="1:11" x14ac:dyDescent="0.25">
      <c r="A2097" s="1">
        <v>47387</v>
      </c>
      <c r="B2097">
        <f>YEAR(tbl_Kalender[[#This Row],[Datum]])</f>
        <v>2029</v>
      </c>
      <c r="C2097">
        <f>DAY(tbl_Kalender[[#This Row],[Datum]])</f>
        <v>26</v>
      </c>
      <c r="D2097" t="str">
        <f>TEXT(tbl_Kalender[[#This Row],[Datum]],"TTTT")</f>
        <v>Mittwoch</v>
      </c>
      <c r="E2097">
        <f>WEEKDAY(tbl_Kalender[[#This Row],[Datum]],2)</f>
        <v>3</v>
      </c>
      <c r="F2097">
        <f>MONTH(tbl_Kalender[[#This Row],[Datum]])</f>
        <v>9</v>
      </c>
      <c r="G2097" t="str">
        <f>TEXT(tbl_Kalender[[#This Row],[Datum]],"MMMM")</f>
        <v>September</v>
      </c>
      <c r="H2097">
        <f>ROUNDUP(tbl_Kalender[[#This Row],[Monat]]/3,0)</f>
        <v>3</v>
      </c>
      <c r="I2097" t="str">
        <f>"Q "&amp;tbl_Kalender[[#This Row],[Quartal]]</f>
        <v>Q 3</v>
      </c>
      <c r="J2097" t="str">
        <f>tbl_Kalender[[#This Row],[Quartal]]&amp;". Quartal"</f>
        <v>3. Quartal</v>
      </c>
      <c r="K2097">
        <f>_xlfn.ISOWEEKNUM(tbl_Kalender[[#This Row],[Datum]])</f>
        <v>39</v>
      </c>
    </row>
    <row r="2098" spans="1:11" x14ac:dyDescent="0.25">
      <c r="A2098" s="1">
        <v>47388</v>
      </c>
      <c r="B2098">
        <f>YEAR(tbl_Kalender[[#This Row],[Datum]])</f>
        <v>2029</v>
      </c>
      <c r="C2098">
        <f>DAY(tbl_Kalender[[#This Row],[Datum]])</f>
        <v>27</v>
      </c>
      <c r="D2098" t="str">
        <f>TEXT(tbl_Kalender[[#This Row],[Datum]],"TTTT")</f>
        <v>Donnerstag</v>
      </c>
      <c r="E2098">
        <f>WEEKDAY(tbl_Kalender[[#This Row],[Datum]],2)</f>
        <v>4</v>
      </c>
      <c r="F2098">
        <f>MONTH(tbl_Kalender[[#This Row],[Datum]])</f>
        <v>9</v>
      </c>
      <c r="G2098" t="str">
        <f>TEXT(tbl_Kalender[[#This Row],[Datum]],"MMMM")</f>
        <v>September</v>
      </c>
      <c r="H2098">
        <f>ROUNDUP(tbl_Kalender[[#This Row],[Monat]]/3,0)</f>
        <v>3</v>
      </c>
      <c r="I2098" t="str">
        <f>"Q "&amp;tbl_Kalender[[#This Row],[Quartal]]</f>
        <v>Q 3</v>
      </c>
      <c r="J2098" t="str">
        <f>tbl_Kalender[[#This Row],[Quartal]]&amp;". Quartal"</f>
        <v>3. Quartal</v>
      </c>
      <c r="K2098">
        <f>_xlfn.ISOWEEKNUM(tbl_Kalender[[#This Row],[Datum]])</f>
        <v>39</v>
      </c>
    </row>
    <row r="2099" spans="1:11" x14ac:dyDescent="0.25">
      <c r="A2099" s="1">
        <v>47389</v>
      </c>
      <c r="B2099">
        <f>YEAR(tbl_Kalender[[#This Row],[Datum]])</f>
        <v>2029</v>
      </c>
      <c r="C2099">
        <f>DAY(tbl_Kalender[[#This Row],[Datum]])</f>
        <v>28</v>
      </c>
      <c r="D2099" t="str">
        <f>TEXT(tbl_Kalender[[#This Row],[Datum]],"TTTT")</f>
        <v>Freitag</v>
      </c>
      <c r="E2099">
        <f>WEEKDAY(tbl_Kalender[[#This Row],[Datum]],2)</f>
        <v>5</v>
      </c>
      <c r="F2099">
        <f>MONTH(tbl_Kalender[[#This Row],[Datum]])</f>
        <v>9</v>
      </c>
      <c r="G2099" t="str">
        <f>TEXT(tbl_Kalender[[#This Row],[Datum]],"MMMM")</f>
        <v>September</v>
      </c>
      <c r="H2099">
        <f>ROUNDUP(tbl_Kalender[[#This Row],[Monat]]/3,0)</f>
        <v>3</v>
      </c>
      <c r="I2099" t="str">
        <f>"Q "&amp;tbl_Kalender[[#This Row],[Quartal]]</f>
        <v>Q 3</v>
      </c>
      <c r="J2099" t="str">
        <f>tbl_Kalender[[#This Row],[Quartal]]&amp;". Quartal"</f>
        <v>3. Quartal</v>
      </c>
      <c r="K2099">
        <f>_xlfn.ISOWEEKNUM(tbl_Kalender[[#This Row],[Datum]])</f>
        <v>39</v>
      </c>
    </row>
    <row r="2100" spans="1:11" x14ac:dyDescent="0.25">
      <c r="A2100" s="1">
        <v>47390</v>
      </c>
      <c r="B2100">
        <f>YEAR(tbl_Kalender[[#This Row],[Datum]])</f>
        <v>2029</v>
      </c>
      <c r="C2100">
        <f>DAY(tbl_Kalender[[#This Row],[Datum]])</f>
        <v>29</v>
      </c>
      <c r="D2100" t="str">
        <f>TEXT(tbl_Kalender[[#This Row],[Datum]],"TTTT")</f>
        <v>Samstag</v>
      </c>
      <c r="E2100">
        <f>WEEKDAY(tbl_Kalender[[#This Row],[Datum]],2)</f>
        <v>6</v>
      </c>
      <c r="F2100">
        <f>MONTH(tbl_Kalender[[#This Row],[Datum]])</f>
        <v>9</v>
      </c>
      <c r="G2100" t="str">
        <f>TEXT(tbl_Kalender[[#This Row],[Datum]],"MMMM")</f>
        <v>September</v>
      </c>
      <c r="H2100">
        <f>ROUNDUP(tbl_Kalender[[#This Row],[Monat]]/3,0)</f>
        <v>3</v>
      </c>
      <c r="I2100" t="str">
        <f>"Q "&amp;tbl_Kalender[[#This Row],[Quartal]]</f>
        <v>Q 3</v>
      </c>
      <c r="J2100" t="str">
        <f>tbl_Kalender[[#This Row],[Quartal]]&amp;". Quartal"</f>
        <v>3. Quartal</v>
      </c>
      <c r="K2100">
        <f>_xlfn.ISOWEEKNUM(tbl_Kalender[[#This Row],[Datum]])</f>
        <v>39</v>
      </c>
    </row>
    <row r="2101" spans="1:11" x14ac:dyDescent="0.25">
      <c r="A2101" s="1">
        <v>47391</v>
      </c>
      <c r="B2101">
        <f>YEAR(tbl_Kalender[[#This Row],[Datum]])</f>
        <v>2029</v>
      </c>
      <c r="C2101">
        <f>DAY(tbl_Kalender[[#This Row],[Datum]])</f>
        <v>30</v>
      </c>
      <c r="D2101" t="str">
        <f>TEXT(tbl_Kalender[[#This Row],[Datum]],"TTTT")</f>
        <v>Sonntag</v>
      </c>
      <c r="E2101">
        <f>WEEKDAY(tbl_Kalender[[#This Row],[Datum]],2)</f>
        <v>7</v>
      </c>
      <c r="F2101">
        <f>MONTH(tbl_Kalender[[#This Row],[Datum]])</f>
        <v>9</v>
      </c>
      <c r="G2101" t="str">
        <f>TEXT(tbl_Kalender[[#This Row],[Datum]],"MMMM")</f>
        <v>September</v>
      </c>
      <c r="H2101">
        <f>ROUNDUP(tbl_Kalender[[#This Row],[Monat]]/3,0)</f>
        <v>3</v>
      </c>
      <c r="I2101" t="str">
        <f>"Q "&amp;tbl_Kalender[[#This Row],[Quartal]]</f>
        <v>Q 3</v>
      </c>
      <c r="J2101" t="str">
        <f>tbl_Kalender[[#This Row],[Quartal]]&amp;". Quartal"</f>
        <v>3. Quartal</v>
      </c>
      <c r="K2101">
        <f>_xlfn.ISOWEEKNUM(tbl_Kalender[[#This Row],[Datum]])</f>
        <v>39</v>
      </c>
    </row>
    <row r="2102" spans="1:11" x14ac:dyDescent="0.25">
      <c r="A2102" s="1">
        <v>47392</v>
      </c>
      <c r="B2102">
        <f>YEAR(tbl_Kalender[[#This Row],[Datum]])</f>
        <v>2029</v>
      </c>
      <c r="C2102">
        <f>DAY(tbl_Kalender[[#This Row],[Datum]])</f>
        <v>1</v>
      </c>
      <c r="D2102" t="str">
        <f>TEXT(tbl_Kalender[[#This Row],[Datum]],"TTTT")</f>
        <v>Montag</v>
      </c>
      <c r="E2102">
        <f>WEEKDAY(tbl_Kalender[[#This Row],[Datum]],2)</f>
        <v>1</v>
      </c>
      <c r="F2102">
        <f>MONTH(tbl_Kalender[[#This Row],[Datum]])</f>
        <v>10</v>
      </c>
      <c r="G2102" t="str">
        <f>TEXT(tbl_Kalender[[#This Row],[Datum]],"MMMM")</f>
        <v>Oktober</v>
      </c>
      <c r="H2102">
        <f>ROUNDUP(tbl_Kalender[[#This Row],[Monat]]/3,0)</f>
        <v>4</v>
      </c>
      <c r="I2102" t="str">
        <f>"Q "&amp;tbl_Kalender[[#This Row],[Quartal]]</f>
        <v>Q 4</v>
      </c>
      <c r="J2102" t="str">
        <f>tbl_Kalender[[#This Row],[Quartal]]&amp;". Quartal"</f>
        <v>4. Quartal</v>
      </c>
      <c r="K2102">
        <f>_xlfn.ISOWEEKNUM(tbl_Kalender[[#This Row],[Datum]])</f>
        <v>40</v>
      </c>
    </row>
    <row r="2103" spans="1:11" x14ac:dyDescent="0.25">
      <c r="A2103" s="1">
        <v>47393</v>
      </c>
      <c r="B2103">
        <f>YEAR(tbl_Kalender[[#This Row],[Datum]])</f>
        <v>2029</v>
      </c>
      <c r="C2103">
        <f>DAY(tbl_Kalender[[#This Row],[Datum]])</f>
        <v>2</v>
      </c>
      <c r="D2103" t="str">
        <f>TEXT(tbl_Kalender[[#This Row],[Datum]],"TTTT")</f>
        <v>Dienstag</v>
      </c>
      <c r="E2103">
        <f>WEEKDAY(tbl_Kalender[[#This Row],[Datum]],2)</f>
        <v>2</v>
      </c>
      <c r="F2103">
        <f>MONTH(tbl_Kalender[[#This Row],[Datum]])</f>
        <v>10</v>
      </c>
      <c r="G2103" t="str">
        <f>TEXT(tbl_Kalender[[#This Row],[Datum]],"MMMM")</f>
        <v>Oktober</v>
      </c>
      <c r="H2103">
        <f>ROUNDUP(tbl_Kalender[[#This Row],[Monat]]/3,0)</f>
        <v>4</v>
      </c>
      <c r="I2103" t="str">
        <f>"Q "&amp;tbl_Kalender[[#This Row],[Quartal]]</f>
        <v>Q 4</v>
      </c>
      <c r="J2103" t="str">
        <f>tbl_Kalender[[#This Row],[Quartal]]&amp;". Quartal"</f>
        <v>4. Quartal</v>
      </c>
      <c r="K2103">
        <f>_xlfn.ISOWEEKNUM(tbl_Kalender[[#This Row],[Datum]])</f>
        <v>40</v>
      </c>
    </row>
    <row r="2104" spans="1:11" x14ac:dyDescent="0.25">
      <c r="A2104" s="1">
        <v>47394</v>
      </c>
      <c r="B2104">
        <f>YEAR(tbl_Kalender[[#This Row],[Datum]])</f>
        <v>2029</v>
      </c>
      <c r="C2104">
        <f>DAY(tbl_Kalender[[#This Row],[Datum]])</f>
        <v>3</v>
      </c>
      <c r="D2104" t="str">
        <f>TEXT(tbl_Kalender[[#This Row],[Datum]],"TTTT")</f>
        <v>Mittwoch</v>
      </c>
      <c r="E2104">
        <f>WEEKDAY(tbl_Kalender[[#This Row],[Datum]],2)</f>
        <v>3</v>
      </c>
      <c r="F2104">
        <f>MONTH(tbl_Kalender[[#This Row],[Datum]])</f>
        <v>10</v>
      </c>
      <c r="G2104" t="str">
        <f>TEXT(tbl_Kalender[[#This Row],[Datum]],"MMMM")</f>
        <v>Oktober</v>
      </c>
      <c r="H2104">
        <f>ROUNDUP(tbl_Kalender[[#This Row],[Monat]]/3,0)</f>
        <v>4</v>
      </c>
      <c r="I2104" t="str">
        <f>"Q "&amp;tbl_Kalender[[#This Row],[Quartal]]</f>
        <v>Q 4</v>
      </c>
      <c r="J2104" t="str">
        <f>tbl_Kalender[[#This Row],[Quartal]]&amp;". Quartal"</f>
        <v>4. Quartal</v>
      </c>
      <c r="K2104">
        <f>_xlfn.ISOWEEKNUM(tbl_Kalender[[#This Row],[Datum]])</f>
        <v>40</v>
      </c>
    </row>
    <row r="2105" spans="1:11" x14ac:dyDescent="0.25">
      <c r="A2105" s="1">
        <v>47395</v>
      </c>
      <c r="B2105">
        <f>YEAR(tbl_Kalender[[#This Row],[Datum]])</f>
        <v>2029</v>
      </c>
      <c r="C2105">
        <f>DAY(tbl_Kalender[[#This Row],[Datum]])</f>
        <v>4</v>
      </c>
      <c r="D2105" t="str">
        <f>TEXT(tbl_Kalender[[#This Row],[Datum]],"TTTT")</f>
        <v>Donnerstag</v>
      </c>
      <c r="E2105">
        <f>WEEKDAY(tbl_Kalender[[#This Row],[Datum]],2)</f>
        <v>4</v>
      </c>
      <c r="F2105">
        <f>MONTH(tbl_Kalender[[#This Row],[Datum]])</f>
        <v>10</v>
      </c>
      <c r="G2105" t="str">
        <f>TEXT(tbl_Kalender[[#This Row],[Datum]],"MMMM")</f>
        <v>Oktober</v>
      </c>
      <c r="H2105">
        <f>ROUNDUP(tbl_Kalender[[#This Row],[Monat]]/3,0)</f>
        <v>4</v>
      </c>
      <c r="I2105" t="str">
        <f>"Q "&amp;tbl_Kalender[[#This Row],[Quartal]]</f>
        <v>Q 4</v>
      </c>
      <c r="J2105" t="str">
        <f>tbl_Kalender[[#This Row],[Quartal]]&amp;". Quartal"</f>
        <v>4. Quartal</v>
      </c>
      <c r="K2105">
        <f>_xlfn.ISOWEEKNUM(tbl_Kalender[[#This Row],[Datum]])</f>
        <v>40</v>
      </c>
    </row>
    <row r="2106" spans="1:11" x14ac:dyDescent="0.25">
      <c r="A2106" s="1">
        <v>47396</v>
      </c>
      <c r="B2106">
        <f>YEAR(tbl_Kalender[[#This Row],[Datum]])</f>
        <v>2029</v>
      </c>
      <c r="C2106">
        <f>DAY(tbl_Kalender[[#This Row],[Datum]])</f>
        <v>5</v>
      </c>
      <c r="D2106" t="str">
        <f>TEXT(tbl_Kalender[[#This Row],[Datum]],"TTTT")</f>
        <v>Freitag</v>
      </c>
      <c r="E2106">
        <f>WEEKDAY(tbl_Kalender[[#This Row],[Datum]],2)</f>
        <v>5</v>
      </c>
      <c r="F2106">
        <f>MONTH(tbl_Kalender[[#This Row],[Datum]])</f>
        <v>10</v>
      </c>
      <c r="G2106" t="str">
        <f>TEXT(tbl_Kalender[[#This Row],[Datum]],"MMMM")</f>
        <v>Oktober</v>
      </c>
      <c r="H2106">
        <f>ROUNDUP(tbl_Kalender[[#This Row],[Monat]]/3,0)</f>
        <v>4</v>
      </c>
      <c r="I2106" t="str">
        <f>"Q "&amp;tbl_Kalender[[#This Row],[Quartal]]</f>
        <v>Q 4</v>
      </c>
      <c r="J2106" t="str">
        <f>tbl_Kalender[[#This Row],[Quartal]]&amp;". Quartal"</f>
        <v>4. Quartal</v>
      </c>
      <c r="K2106">
        <f>_xlfn.ISOWEEKNUM(tbl_Kalender[[#This Row],[Datum]])</f>
        <v>40</v>
      </c>
    </row>
    <row r="2107" spans="1:11" x14ac:dyDescent="0.25">
      <c r="A2107" s="1">
        <v>47397</v>
      </c>
      <c r="B2107">
        <f>YEAR(tbl_Kalender[[#This Row],[Datum]])</f>
        <v>2029</v>
      </c>
      <c r="C2107">
        <f>DAY(tbl_Kalender[[#This Row],[Datum]])</f>
        <v>6</v>
      </c>
      <c r="D2107" t="str">
        <f>TEXT(tbl_Kalender[[#This Row],[Datum]],"TTTT")</f>
        <v>Samstag</v>
      </c>
      <c r="E2107">
        <f>WEEKDAY(tbl_Kalender[[#This Row],[Datum]],2)</f>
        <v>6</v>
      </c>
      <c r="F2107">
        <f>MONTH(tbl_Kalender[[#This Row],[Datum]])</f>
        <v>10</v>
      </c>
      <c r="G2107" t="str">
        <f>TEXT(tbl_Kalender[[#This Row],[Datum]],"MMMM")</f>
        <v>Oktober</v>
      </c>
      <c r="H2107">
        <f>ROUNDUP(tbl_Kalender[[#This Row],[Monat]]/3,0)</f>
        <v>4</v>
      </c>
      <c r="I2107" t="str">
        <f>"Q "&amp;tbl_Kalender[[#This Row],[Quartal]]</f>
        <v>Q 4</v>
      </c>
      <c r="J2107" t="str">
        <f>tbl_Kalender[[#This Row],[Quartal]]&amp;". Quartal"</f>
        <v>4. Quartal</v>
      </c>
      <c r="K2107">
        <f>_xlfn.ISOWEEKNUM(tbl_Kalender[[#This Row],[Datum]])</f>
        <v>40</v>
      </c>
    </row>
    <row r="2108" spans="1:11" x14ac:dyDescent="0.25">
      <c r="A2108" s="1">
        <v>47398</v>
      </c>
      <c r="B2108">
        <f>YEAR(tbl_Kalender[[#This Row],[Datum]])</f>
        <v>2029</v>
      </c>
      <c r="C2108">
        <f>DAY(tbl_Kalender[[#This Row],[Datum]])</f>
        <v>7</v>
      </c>
      <c r="D2108" t="str">
        <f>TEXT(tbl_Kalender[[#This Row],[Datum]],"TTTT")</f>
        <v>Sonntag</v>
      </c>
      <c r="E2108">
        <f>WEEKDAY(tbl_Kalender[[#This Row],[Datum]],2)</f>
        <v>7</v>
      </c>
      <c r="F2108">
        <f>MONTH(tbl_Kalender[[#This Row],[Datum]])</f>
        <v>10</v>
      </c>
      <c r="G2108" t="str">
        <f>TEXT(tbl_Kalender[[#This Row],[Datum]],"MMMM")</f>
        <v>Oktober</v>
      </c>
      <c r="H2108">
        <f>ROUNDUP(tbl_Kalender[[#This Row],[Monat]]/3,0)</f>
        <v>4</v>
      </c>
      <c r="I2108" t="str">
        <f>"Q "&amp;tbl_Kalender[[#This Row],[Quartal]]</f>
        <v>Q 4</v>
      </c>
      <c r="J2108" t="str">
        <f>tbl_Kalender[[#This Row],[Quartal]]&amp;". Quartal"</f>
        <v>4. Quartal</v>
      </c>
      <c r="K2108">
        <f>_xlfn.ISOWEEKNUM(tbl_Kalender[[#This Row],[Datum]])</f>
        <v>40</v>
      </c>
    </row>
    <row r="2109" spans="1:11" x14ac:dyDescent="0.25">
      <c r="A2109" s="1">
        <v>47399</v>
      </c>
      <c r="B2109">
        <f>YEAR(tbl_Kalender[[#This Row],[Datum]])</f>
        <v>2029</v>
      </c>
      <c r="C2109">
        <f>DAY(tbl_Kalender[[#This Row],[Datum]])</f>
        <v>8</v>
      </c>
      <c r="D2109" t="str">
        <f>TEXT(tbl_Kalender[[#This Row],[Datum]],"TTTT")</f>
        <v>Montag</v>
      </c>
      <c r="E2109">
        <f>WEEKDAY(tbl_Kalender[[#This Row],[Datum]],2)</f>
        <v>1</v>
      </c>
      <c r="F2109">
        <f>MONTH(tbl_Kalender[[#This Row],[Datum]])</f>
        <v>10</v>
      </c>
      <c r="G2109" t="str">
        <f>TEXT(tbl_Kalender[[#This Row],[Datum]],"MMMM")</f>
        <v>Oktober</v>
      </c>
      <c r="H2109">
        <f>ROUNDUP(tbl_Kalender[[#This Row],[Monat]]/3,0)</f>
        <v>4</v>
      </c>
      <c r="I2109" t="str">
        <f>"Q "&amp;tbl_Kalender[[#This Row],[Quartal]]</f>
        <v>Q 4</v>
      </c>
      <c r="J2109" t="str">
        <f>tbl_Kalender[[#This Row],[Quartal]]&amp;". Quartal"</f>
        <v>4. Quartal</v>
      </c>
      <c r="K2109">
        <f>_xlfn.ISOWEEKNUM(tbl_Kalender[[#This Row],[Datum]])</f>
        <v>41</v>
      </c>
    </row>
    <row r="2110" spans="1:11" x14ac:dyDescent="0.25">
      <c r="A2110" s="1">
        <v>47400</v>
      </c>
      <c r="B2110">
        <f>YEAR(tbl_Kalender[[#This Row],[Datum]])</f>
        <v>2029</v>
      </c>
      <c r="C2110">
        <f>DAY(tbl_Kalender[[#This Row],[Datum]])</f>
        <v>9</v>
      </c>
      <c r="D2110" t="str">
        <f>TEXT(tbl_Kalender[[#This Row],[Datum]],"TTTT")</f>
        <v>Dienstag</v>
      </c>
      <c r="E2110">
        <f>WEEKDAY(tbl_Kalender[[#This Row],[Datum]],2)</f>
        <v>2</v>
      </c>
      <c r="F2110">
        <f>MONTH(tbl_Kalender[[#This Row],[Datum]])</f>
        <v>10</v>
      </c>
      <c r="G2110" t="str">
        <f>TEXT(tbl_Kalender[[#This Row],[Datum]],"MMMM")</f>
        <v>Oktober</v>
      </c>
      <c r="H2110">
        <f>ROUNDUP(tbl_Kalender[[#This Row],[Monat]]/3,0)</f>
        <v>4</v>
      </c>
      <c r="I2110" t="str">
        <f>"Q "&amp;tbl_Kalender[[#This Row],[Quartal]]</f>
        <v>Q 4</v>
      </c>
      <c r="J2110" t="str">
        <f>tbl_Kalender[[#This Row],[Quartal]]&amp;". Quartal"</f>
        <v>4. Quartal</v>
      </c>
      <c r="K2110">
        <f>_xlfn.ISOWEEKNUM(tbl_Kalender[[#This Row],[Datum]])</f>
        <v>41</v>
      </c>
    </row>
    <row r="2111" spans="1:11" x14ac:dyDescent="0.25">
      <c r="A2111" s="1">
        <v>47401</v>
      </c>
      <c r="B2111">
        <f>YEAR(tbl_Kalender[[#This Row],[Datum]])</f>
        <v>2029</v>
      </c>
      <c r="C2111">
        <f>DAY(tbl_Kalender[[#This Row],[Datum]])</f>
        <v>10</v>
      </c>
      <c r="D2111" t="str">
        <f>TEXT(tbl_Kalender[[#This Row],[Datum]],"TTTT")</f>
        <v>Mittwoch</v>
      </c>
      <c r="E2111">
        <f>WEEKDAY(tbl_Kalender[[#This Row],[Datum]],2)</f>
        <v>3</v>
      </c>
      <c r="F2111">
        <f>MONTH(tbl_Kalender[[#This Row],[Datum]])</f>
        <v>10</v>
      </c>
      <c r="G2111" t="str">
        <f>TEXT(tbl_Kalender[[#This Row],[Datum]],"MMMM")</f>
        <v>Oktober</v>
      </c>
      <c r="H2111">
        <f>ROUNDUP(tbl_Kalender[[#This Row],[Monat]]/3,0)</f>
        <v>4</v>
      </c>
      <c r="I2111" t="str">
        <f>"Q "&amp;tbl_Kalender[[#This Row],[Quartal]]</f>
        <v>Q 4</v>
      </c>
      <c r="J2111" t="str">
        <f>tbl_Kalender[[#This Row],[Quartal]]&amp;". Quartal"</f>
        <v>4. Quartal</v>
      </c>
      <c r="K2111">
        <f>_xlfn.ISOWEEKNUM(tbl_Kalender[[#This Row],[Datum]])</f>
        <v>41</v>
      </c>
    </row>
    <row r="2112" spans="1:11" x14ac:dyDescent="0.25">
      <c r="A2112" s="1">
        <v>47402</v>
      </c>
      <c r="B2112">
        <f>YEAR(tbl_Kalender[[#This Row],[Datum]])</f>
        <v>2029</v>
      </c>
      <c r="C2112">
        <f>DAY(tbl_Kalender[[#This Row],[Datum]])</f>
        <v>11</v>
      </c>
      <c r="D2112" t="str">
        <f>TEXT(tbl_Kalender[[#This Row],[Datum]],"TTTT")</f>
        <v>Donnerstag</v>
      </c>
      <c r="E2112">
        <f>WEEKDAY(tbl_Kalender[[#This Row],[Datum]],2)</f>
        <v>4</v>
      </c>
      <c r="F2112">
        <f>MONTH(tbl_Kalender[[#This Row],[Datum]])</f>
        <v>10</v>
      </c>
      <c r="G2112" t="str">
        <f>TEXT(tbl_Kalender[[#This Row],[Datum]],"MMMM")</f>
        <v>Oktober</v>
      </c>
      <c r="H2112">
        <f>ROUNDUP(tbl_Kalender[[#This Row],[Monat]]/3,0)</f>
        <v>4</v>
      </c>
      <c r="I2112" t="str">
        <f>"Q "&amp;tbl_Kalender[[#This Row],[Quartal]]</f>
        <v>Q 4</v>
      </c>
      <c r="J2112" t="str">
        <f>tbl_Kalender[[#This Row],[Quartal]]&amp;". Quartal"</f>
        <v>4. Quartal</v>
      </c>
      <c r="K2112">
        <f>_xlfn.ISOWEEKNUM(tbl_Kalender[[#This Row],[Datum]])</f>
        <v>41</v>
      </c>
    </row>
    <row r="2113" spans="1:11" x14ac:dyDescent="0.25">
      <c r="A2113" s="1">
        <v>47403</v>
      </c>
      <c r="B2113">
        <f>YEAR(tbl_Kalender[[#This Row],[Datum]])</f>
        <v>2029</v>
      </c>
      <c r="C2113">
        <f>DAY(tbl_Kalender[[#This Row],[Datum]])</f>
        <v>12</v>
      </c>
      <c r="D2113" t="str">
        <f>TEXT(tbl_Kalender[[#This Row],[Datum]],"TTTT")</f>
        <v>Freitag</v>
      </c>
      <c r="E2113">
        <f>WEEKDAY(tbl_Kalender[[#This Row],[Datum]],2)</f>
        <v>5</v>
      </c>
      <c r="F2113">
        <f>MONTH(tbl_Kalender[[#This Row],[Datum]])</f>
        <v>10</v>
      </c>
      <c r="G2113" t="str">
        <f>TEXT(tbl_Kalender[[#This Row],[Datum]],"MMMM")</f>
        <v>Oktober</v>
      </c>
      <c r="H2113">
        <f>ROUNDUP(tbl_Kalender[[#This Row],[Monat]]/3,0)</f>
        <v>4</v>
      </c>
      <c r="I2113" t="str">
        <f>"Q "&amp;tbl_Kalender[[#This Row],[Quartal]]</f>
        <v>Q 4</v>
      </c>
      <c r="J2113" t="str">
        <f>tbl_Kalender[[#This Row],[Quartal]]&amp;". Quartal"</f>
        <v>4. Quartal</v>
      </c>
      <c r="K2113">
        <f>_xlfn.ISOWEEKNUM(tbl_Kalender[[#This Row],[Datum]])</f>
        <v>41</v>
      </c>
    </row>
    <row r="2114" spans="1:11" x14ac:dyDescent="0.25">
      <c r="A2114" s="1">
        <v>47404</v>
      </c>
      <c r="B2114">
        <f>YEAR(tbl_Kalender[[#This Row],[Datum]])</f>
        <v>2029</v>
      </c>
      <c r="C2114">
        <f>DAY(tbl_Kalender[[#This Row],[Datum]])</f>
        <v>13</v>
      </c>
      <c r="D2114" t="str">
        <f>TEXT(tbl_Kalender[[#This Row],[Datum]],"TTTT")</f>
        <v>Samstag</v>
      </c>
      <c r="E2114">
        <f>WEEKDAY(tbl_Kalender[[#This Row],[Datum]],2)</f>
        <v>6</v>
      </c>
      <c r="F2114">
        <f>MONTH(tbl_Kalender[[#This Row],[Datum]])</f>
        <v>10</v>
      </c>
      <c r="G2114" t="str">
        <f>TEXT(tbl_Kalender[[#This Row],[Datum]],"MMMM")</f>
        <v>Oktober</v>
      </c>
      <c r="H2114">
        <f>ROUNDUP(tbl_Kalender[[#This Row],[Monat]]/3,0)</f>
        <v>4</v>
      </c>
      <c r="I2114" t="str">
        <f>"Q "&amp;tbl_Kalender[[#This Row],[Quartal]]</f>
        <v>Q 4</v>
      </c>
      <c r="J2114" t="str">
        <f>tbl_Kalender[[#This Row],[Quartal]]&amp;". Quartal"</f>
        <v>4. Quartal</v>
      </c>
      <c r="K2114">
        <f>_xlfn.ISOWEEKNUM(tbl_Kalender[[#This Row],[Datum]])</f>
        <v>41</v>
      </c>
    </row>
    <row r="2115" spans="1:11" x14ac:dyDescent="0.25">
      <c r="A2115" s="1">
        <v>47405</v>
      </c>
      <c r="B2115">
        <f>YEAR(tbl_Kalender[[#This Row],[Datum]])</f>
        <v>2029</v>
      </c>
      <c r="C2115">
        <f>DAY(tbl_Kalender[[#This Row],[Datum]])</f>
        <v>14</v>
      </c>
      <c r="D2115" t="str">
        <f>TEXT(tbl_Kalender[[#This Row],[Datum]],"TTTT")</f>
        <v>Sonntag</v>
      </c>
      <c r="E2115">
        <f>WEEKDAY(tbl_Kalender[[#This Row],[Datum]],2)</f>
        <v>7</v>
      </c>
      <c r="F2115">
        <f>MONTH(tbl_Kalender[[#This Row],[Datum]])</f>
        <v>10</v>
      </c>
      <c r="G2115" t="str">
        <f>TEXT(tbl_Kalender[[#This Row],[Datum]],"MMMM")</f>
        <v>Oktober</v>
      </c>
      <c r="H2115">
        <f>ROUNDUP(tbl_Kalender[[#This Row],[Monat]]/3,0)</f>
        <v>4</v>
      </c>
      <c r="I2115" t="str">
        <f>"Q "&amp;tbl_Kalender[[#This Row],[Quartal]]</f>
        <v>Q 4</v>
      </c>
      <c r="J2115" t="str">
        <f>tbl_Kalender[[#This Row],[Quartal]]&amp;". Quartal"</f>
        <v>4. Quartal</v>
      </c>
      <c r="K2115">
        <f>_xlfn.ISOWEEKNUM(tbl_Kalender[[#This Row],[Datum]])</f>
        <v>41</v>
      </c>
    </row>
    <row r="2116" spans="1:11" x14ac:dyDescent="0.25">
      <c r="A2116" s="1">
        <v>47406</v>
      </c>
      <c r="B2116">
        <f>YEAR(tbl_Kalender[[#This Row],[Datum]])</f>
        <v>2029</v>
      </c>
      <c r="C2116">
        <f>DAY(tbl_Kalender[[#This Row],[Datum]])</f>
        <v>15</v>
      </c>
      <c r="D2116" t="str">
        <f>TEXT(tbl_Kalender[[#This Row],[Datum]],"TTTT")</f>
        <v>Montag</v>
      </c>
      <c r="E2116">
        <f>WEEKDAY(tbl_Kalender[[#This Row],[Datum]],2)</f>
        <v>1</v>
      </c>
      <c r="F2116">
        <f>MONTH(tbl_Kalender[[#This Row],[Datum]])</f>
        <v>10</v>
      </c>
      <c r="G2116" t="str">
        <f>TEXT(tbl_Kalender[[#This Row],[Datum]],"MMMM")</f>
        <v>Oktober</v>
      </c>
      <c r="H2116">
        <f>ROUNDUP(tbl_Kalender[[#This Row],[Monat]]/3,0)</f>
        <v>4</v>
      </c>
      <c r="I2116" t="str">
        <f>"Q "&amp;tbl_Kalender[[#This Row],[Quartal]]</f>
        <v>Q 4</v>
      </c>
      <c r="J2116" t="str">
        <f>tbl_Kalender[[#This Row],[Quartal]]&amp;". Quartal"</f>
        <v>4. Quartal</v>
      </c>
      <c r="K2116">
        <f>_xlfn.ISOWEEKNUM(tbl_Kalender[[#This Row],[Datum]])</f>
        <v>42</v>
      </c>
    </row>
    <row r="2117" spans="1:11" x14ac:dyDescent="0.25">
      <c r="A2117" s="1">
        <v>47407</v>
      </c>
      <c r="B2117">
        <f>YEAR(tbl_Kalender[[#This Row],[Datum]])</f>
        <v>2029</v>
      </c>
      <c r="C2117">
        <f>DAY(tbl_Kalender[[#This Row],[Datum]])</f>
        <v>16</v>
      </c>
      <c r="D2117" t="str">
        <f>TEXT(tbl_Kalender[[#This Row],[Datum]],"TTTT")</f>
        <v>Dienstag</v>
      </c>
      <c r="E2117">
        <f>WEEKDAY(tbl_Kalender[[#This Row],[Datum]],2)</f>
        <v>2</v>
      </c>
      <c r="F2117">
        <f>MONTH(tbl_Kalender[[#This Row],[Datum]])</f>
        <v>10</v>
      </c>
      <c r="G2117" t="str">
        <f>TEXT(tbl_Kalender[[#This Row],[Datum]],"MMMM")</f>
        <v>Oktober</v>
      </c>
      <c r="H2117">
        <f>ROUNDUP(tbl_Kalender[[#This Row],[Monat]]/3,0)</f>
        <v>4</v>
      </c>
      <c r="I2117" t="str">
        <f>"Q "&amp;tbl_Kalender[[#This Row],[Quartal]]</f>
        <v>Q 4</v>
      </c>
      <c r="J2117" t="str">
        <f>tbl_Kalender[[#This Row],[Quartal]]&amp;". Quartal"</f>
        <v>4. Quartal</v>
      </c>
      <c r="K2117">
        <f>_xlfn.ISOWEEKNUM(tbl_Kalender[[#This Row],[Datum]])</f>
        <v>42</v>
      </c>
    </row>
    <row r="2118" spans="1:11" x14ac:dyDescent="0.25">
      <c r="A2118" s="1">
        <v>47408</v>
      </c>
      <c r="B2118">
        <f>YEAR(tbl_Kalender[[#This Row],[Datum]])</f>
        <v>2029</v>
      </c>
      <c r="C2118">
        <f>DAY(tbl_Kalender[[#This Row],[Datum]])</f>
        <v>17</v>
      </c>
      <c r="D2118" t="str">
        <f>TEXT(tbl_Kalender[[#This Row],[Datum]],"TTTT")</f>
        <v>Mittwoch</v>
      </c>
      <c r="E2118">
        <f>WEEKDAY(tbl_Kalender[[#This Row],[Datum]],2)</f>
        <v>3</v>
      </c>
      <c r="F2118">
        <f>MONTH(tbl_Kalender[[#This Row],[Datum]])</f>
        <v>10</v>
      </c>
      <c r="G2118" t="str">
        <f>TEXT(tbl_Kalender[[#This Row],[Datum]],"MMMM")</f>
        <v>Oktober</v>
      </c>
      <c r="H2118">
        <f>ROUNDUP(tbl_Kalender[[#This Row],[Monat]]/3,0)</f>
        <v>4</v>
      </c>
      <c r="I2118" t="str">
        <f>"Q "&amp;tbl_Kalender[[#This Row],[Quartal]]</f>
        <v>Q 4</v>
      </c>
      <c r="J2118" t="str">
        <f>tbl_Kalender[[#This Row],[Quartal]]&amp;". Quartal"</f>
        <v>4. Quartal</v>
      </c>
      <c r="K2118">
        <f>_xlfn.ISOWEEKNUM(tbl_Kalender[[#This Row],[Datum]])</f>
        <v>42</v>
      </c>
    </row>
    <row r="2119" spans="1:11" x14ac:dyDescent="0.25">
      <c r="A2119" s="1">
        <v>47409</v>
      </c>
      <c r="B2119">
        <f>YEAR(tbl_Kalender[[#This Row],[Datum]])</f>
        <v>2029</v>
      </c>
      <c r="C2119">
        <f>DAY(tbl_Kalender[[#This Row],[Datum]])</f>
        <v>18</v>
      </c>
      <c r="D2119" t="str">
        <f>TEXT(tbl_Kalender[[#This Row],[Datum]],"TTTT")</f>
        <v>Donnerstag</v>
      </c>
      <c r="E2119">
        <f>WEEKDAY(tbl_Kalender[[#This Row],[Datum]],2)</f>
        <v>4</v>
      </c>
      <c r="F2119">
        <f>MONTH(tbl_Kalender[[#This Row],[Datum]])</f>
        <v>10</v>
      </c>
      <c r="G2119" t="str">
        <f>TEXT(tbl_Kalender[[#This Row],[Datum]],"MMMM")</f>
        <v>Oktober</v>
      </c>
      <c r="H2119">
        <f>ROUNDUP(tbl_Kalender[[#This Row],[Monat]]/3,0)</f>
        <v>4</v>
      </c>
      <c r="I2119" t="str">
        <f>"Q "&amp;tbl_Kalender[[#This Row],[Quartal]]</f>
        <v>Q 4</v>
      </c>
      <c r="J2119" t="str">
        <f>tbl_Kalender[[#This Row],[Quartal]]&amp;". Quartal"</f>
        <v>4. Quartal</v>
      </c>
      <c r="K2119">
        <f>_xlfn.ISOWEEKNUM(tbl_Kalender[[#This Row],[Datum]])</f>
        <v>42</v>
      </c>
    </row>
    <row r="2120" spans="1:11" x14ac:dyDescent="0.25">
      <c r="A2120" s="1">
        <v>47410</v>
      </c>
      <c r="B2120">
        <f>YEAR(tbl_Kalender[[#This Row],[Datum]])</f>
        <v>2029</v>
      </c>
      <c r="C2120">
        <f>DAY(tbl_Kalender[[#This Row],[Datum]])</f>
        <v>19</v>
      </c>
      <c r="D2120" t="str">
        <f>TEXT(tbl_Kalender[[#This Row],[Datum]],"TTTT")</f>
        <v>Freitag</v>
      </c>
      <c r="E2120">
        <f>WEEKDAY(tbl_Kalender[[#This Row],[Datum]],2)</f>
        <v>5</v>
      </c>
      <c r="F2120">
        <f>MONTH(tbl_Kalender[[#This Row],[Datum]])</f>
        <v>10</v>
      </c>
      <c r="G2120" t="str">
        <f>TEXT(tbl_Kalender[[#This Row],[Datum]],"MMMM")</f>
        <v>Oktober</v>
      </c>
      <c r="H2120">
        <f>ROUNDUP(tbl_Kalender[[#This Row],[Monat]]/3,0)</f>
        <v>4</v>
      </c>
      <c r="I2120" t="str">
        <f>"Q "&amp;tbl_Kalender[[#This Row],[Quartal]]</f>
        <v>Q 4</v>
      </c>
      <c r="J2120" t="str">
        <f>tbl_Kalender[[#This Row],[Quartal]]&amp;". Quartal"</f>
        <v>4. Quartal</v>
      </c>
      <c r="K2120">
        <f>_xlfn.ISOWEEKNUM(tbl_Kalender[[#This Row],[Datum]])</f>
        <v>42</v>
      </c>
    </row>
    <row r="2121" spans="1:11" x14ac:dyDescent="0.25">
      <c r="A2121" s="1">
        <v>47411</v>
      </c>
      <c r="B2121">
        <f>YEAR(tbl_Kalender[[#This Row],[Datum]])</f>
        <v>2029</v>
      </c>
      <c r="C2121">
        <f>DAY(tbl_Kalender[[#This Row],[Datum]])</f>
        <v>20</v>
      </c>
      <c r="D2121" t="str">
        <f>TEXT(tbl_Kalender[[#This Row],[Datum]],"TTTT")</f>
        <v>Samstag</v>
      </c>
      <c r="E2121">
        <f>WEEKDAY(tbl_Kalender[[#This Row],[Datum]],2)</f>
        <v>6</v>
      </c>
      <c r="F2121">
        <f>MONTH(tbl_Kalender[[#This Row],[Datum]])</f>
        <v>10</v>
      </c>
      <c r="G2121" t="str">
        <f>TEXT(tbl_Kalender[[#This Row],[Datum]],"MMMM")</f>
        <v>Oktober</v>
      </c>
      <c r="H2121">
        <f>ROUNDUP(tbl_Kalender[[#This Row],[Monat]]/3,0)</f>
        <v>4</v>
      </c>
      <c r="I2121" t="str">
        <f>"Q "&amp;tbl_Kalender[[#This Row],[Quartal]]</f>
        <v>Q 4</v>
      </c>
      <c r="J2121" t="str">
        <f>tbl_Kalender[[#This Row],[Quartal]]&amp;". Quartal"</f>
        <v>4. Quartal</v>
      </c>
      <c r="K2121">
        <f>_xlfn.ISOWEEKNUM(tbl_Kalender[[#This Row],[Datum]])</f>
        <v>42</v>
      </c>
    </row>
    <row r="2122" spans="1:11" x14ac:dyDescent="0.25">
      <c r="A2122" s="1">
        <v>47412</v>
      </c>
      <c r="B2122">
        <f>YEAR(tbl_Kalender[[#This Row],[Datum]])</f>
        <v>2029</v>
      </c>
      <c r="C2122">
        <f>DAY(tbl_Kalender[[#This Row],[Datum]])</f>
        <v>21</v>
      </c>
      <c r="D2122" t="str">
        <f>TEXT(tbl_Kalender[[#This Row],[Datum]],"TTTT")</f>
        <v>Sonntag</v>
      </c>
      <c r="E2122">
        <f>WEEKDAY(tbl_Kalender[[#This Row],[Datum]],2)</f>
        <v>7</v>
      </c>
      <c r="F2122">
        <f>MONTH(tbl_Kalender[[#This Row],[Datum]])</f>
        <v>10</v>
      </c>
      <c r="G2122" t="str">
        <f>TEXT(tbl_Kalender[[#This Row],[Datum]],"MMMM")</f>
        <v>Oktober</v>
      </c>
      <c r="H2122">
        <f>ROUNDUP(tbl_Kalender[[#This Row],[Monat]]/3,0)</f>
        <v>4</v>
      </c>
      <c r="I2122" t="str">
        <f>"Q "&amp;tbl_Kalender[[#This Row],[Quartal]]</f>
        <v>Q 4</v>
      </c>
      <c r="J2122" t="str">
        <f>tbl_Kalender[[#This Row],[Quartal]]&amp;". Quartal"</f>
        <v>4. Quartal</v>
      </c>
      <c r="K2122">
        <f>_xlfn.ISOWEEKNUM(tbl_Kalender[[#This Row],[Datum]])</f>
        <v>42</v>
      </c>
    </row>
    <row r="2123" spans="1:11" x14ac:dyDescent="0.25">
      <c r="A2123" s="1">
        <v>47413</v>
      </c>
      <c r="B2123">
        <f>YEAR(tbl_Kalender[[#This Row],[Datum]])</f>
        <v>2029</v>
      </c>
      <c r="C2123">
        <f>DAY(tbl_Kalender[[#This Row],[Datum]])</f>
        <v>22</v>
      </c>
      <c r="D2123" t="str">
        <f>TEXT(tbl_Kalender[[#This Row],[Datum]],"TTTT")</f>
        <v>Montag</v>
      </c>
      <c r="E2123">
        <f>WEEKDAY(tbl_Kalender[[#This Row],[Datum]],2)</f>
        <v>1</v>
      </c>
      <c r="F2123">
        <f>MONTH(tbl_Kalender[[#This Row],[Datum]])</f>
        <v>10</v>
      </c>
      <c r="G2123" t="str">
        <f>TEXT(tbl_Kalender[[#This Row],[Datum]],"MMMM")</f>
        <v>Oktober</v>
      </c>
      <c r="H2123">
        <f>ROUNDUP(tbl_Kalender[[#This Row],[Monat]]/3,0)</f>
        <v>4</v>
      </c>
      <c r="I2123" t="str">
        <f>"Q "&amp;tbl_Kalender[[#This Row],[Quartal]]</f>
        <v>Q 4</v>
      </c>
      <c r="J2123" t="str">
        <f>tbl_Kalender[[#This Row],[Quartal]]&amp;". Quartal"</f>
        <v>4. Quartal</v>
      </c>
      <c r="K2123">
        <f>_xlfn.ISOWEEKNUM(tbl_Kalender[[#This Row],[Datum]])</f>
        <v>43</v>
      </c>
    </row>
    <row r="2124" spans="1:11" x14ac:dyDescent="0.25">
      <c r="A2124" s="1">
        <v>47414</v>
      </c>
      <c r="B2124">
        <f>YEAR(tbl_Kalender[[#This Row],[Datum]])</f>
        <v>2029</v>
      </c>
      <c r="C2124">
        <f>DAY(tbl_Kalender[[#This Row],[Datum]])</f>
        <v>23</v>
      </c>
      <c r="D2124" t="str">
        <f>TEXT(tbl_Kalender[[#This Row],[Datum]],"TTTT")</f>
        <v>Dienstag</v>
      </c>
      <c r="E2124">
        <f>WEEKDAY(tbl_Kalender[[#This Row],[Datum]],2)</f>
        <v>2</v>
      </c>
      <c r="F2124">
        <f>MONTH(tbl_Kalender[[#This Row],[Datum]])</f>
        <v>10</v>
      </c>
      <c r="G2124" t="str">
        <f>TEXT(tbl_Kalender[[#This Row],[Datum]],"MMMM")</f>
        <v>Oktober</v>
      </c>
      <c r="H2124">
        <f>ROUNDUP(tbl_Kalender[[#This Row],[Monat]]/3,0)</f>
        <v>4</v>
      </c>
      <c r="I2124" t="str">
        <f>"Q "&amp;tbl_Kalender[[#This Row],[Quartal]]</f>
        <v>Q 4</v>
      </c>
      <c r="J2124" t="str">
        <f>tbl_Kalender[[#This Row],[Quartal]]&amp;". Quartal"</f>
        <v>4. Quartal</v>
      </c>
      <c r="K2124">
        <f>_xlfn.ISOWEEKNUM(tbl_Kalender[[#This Row],[Datum]])</f>
        <v>43</v>
      </c>
    </row>
    <row r="2125" spans="1:11" x14ac:dyDescent="0.25">
      <c r="A2125" s="1">
        <v>47415</v>
      </c>
      <c r="B2125">
        <f>YEAR(tbl_Kalender[[#This Row],[Datum]])</f>
        <v>2029</v>
      </c>
      <c r="C2125">
        <f>DAY(tbl_Kalender[[#This Row],[Datum]])</f>
        <v>24</v>
      </c>
      <c r="D2125" t="str">
        <f>TEXT(tbl_Kalender[[#This Row],[Datum]],"TTTT")</f>
        <v>Mittwoch</v>
      </c>
      <c r="E2125">
        <f>WEEKDAY(tbl_Kalender[[#This Row],[Datum]],2)</f>
        <v>3</v>
      </c>
      <c r="F2125">
        <f>MONTH(tbl_Kalender[[#This Row],[Datum]])</f>
        <v>10</v>
      </c>
      <c r="G2125" t="str">
        <f>TEXT(tbl_Kalender[[#This Row],[Datum]],"MMMM")</f>
        <v>Oktober</v>
      </c>
      <c r="H2125">
        <f>ROUNDUP(tbl_Kalender[[#This Row],[Monat]]/3,0)</f>
        <v>4</v>
      </c>
      <c r="I2125" t="str">
        <f>"Q "&amp;tbl_Kalender[[#This Row],[Quartal]]</f>
        <v>Q 4</v>
      </c>
      <c r="J2125" t="str">
        <f>tbl_Kalender[[#This Row],[Quartal]]&amp;". Quartal"</f>
        <v>4. Quartal</v>
      </c>
      <c r="K2125">
        <f>_xlfn.ISOWEEKNUM(tbl_Kalender[[#This Row],[Datum]])</f>
        <v>43</v>
      </c>
    </row>
    <row r="2126" spans="1:11" x14ac:dyDescent="0.25">
      <c r="A2126" s="1">
        <v>47416</v>
      </c>
      <c r="B2126">
        <f>YEAR(tbl_Kalender[[#This Row],[Datum]])</f>
        <v>2029</v>
      </c>
      <c r="C2126">
        <f>DAY(tbl_Kalender[[#This Row],[Datum]])</f>
        <v>25</v>
      </c>
      <c r="D2126" t="str">
        <f>TEXT(tbl_Kalender[[#This Row],[Datum]],"TTTT")</f>
        <v>Donnerstag</v>
      </c>
      <c r="E2126">
        <f>WEEKDAY(tbl_Kalender[[#This Row],[Datum]],2)</f>
        <v>4</v>
      </c>
      <c r="F2126">
        <f>MONTH(tbl_Kalender[[#This Row],[Datum]])</f>
        <v>10</v>
      </c>
      <c r="G2126" t="str">
        <f>TEXT(tbl_Kalender[[#This Row],[Datum]],"MMMM")</f>
        <v>Oktober</v>
      </c>
      <c r="H2126">
        <f>ROUNDUP(tbl_Kalender[[#This Row],[Monat]]/3,0)</f>
        <v>4</v>
      </c>
      <c r="I2126" t="str">
        <f>"Q "&amp;tbl_Kalender[[#This Row],[Quartal]]</f>
        <v>Q 4</v>
      </c>
      <c r="J2126" t="str">
        <f>tbl_Kalender[[#This Row],[Quartal]]&amp;". Quartal"</f>
        <v>4. Quartal</v>
      </c>
      <c r="K2126">
        <f>_xlfn.ISOWEEKNUM(tbl_Kalender[[#This Row],[Datum]])</f>
        <v>43</v>
      </c>
    </row>
    <row r="2127" spans="1:11" x14ac:dyDescent="0.25">
      <c r="A2127" s="1">
        <v>47417</v>
      </c>
      <c r="B2127">
        <f>YEAR(tbl_Kalender[[#This Row],[Datum]])</f>
        <v>2029</v>
      </c>
      <c r="C2127">
        <f>DAY(tbl_Kalender[[#This Row],[Datum]])</f>
        <v>26</v>
      </c>
      <c r="D2127" t="str">
        <f>TEXT(tbl_Kalender[[#This Row],[Datum]],"TTTT")</f>
        <v>Freitag</v>
      </c>
      <c r="E2127">
        <f>WEEKDAY(tbl_Kalender[[#This Row],[Datum]],2)</f>
        <v>5</v>
      </c>
      <c r="F2127">
        <f>MONTH(tbl_Kalender[[#This Row],[Datum]])</f>
        <v>10</v>
      </c>
      <c r="G2127" t="str">
        <f>TEXT(tbl_Kalender[[#This Row],[Datum]],"MMMM")</f>
        <v>Oktober</v>
      </c>
      <c r="H2127">
        <f>ROUNDUP(tbl_Kalender[[#This Row],[Monat]]/3,0)</f>
        <v>4</v>
      </c>
      <c r="I2127" t="str">
        <f>"Q "&amp;tbl_Kalender[[#This Row],[Quartal]]</f>
        <v>Q 4</v>
      </c>
      <c r="J2127" t="str">
        <f>tbl_Kalender[[#This Row],[Quartal]]&amp;". Quartal"</f>
        <v>4. Quartal</v>
      </c>
      <c r="K2127">
        <f>_xlfn.ISOWEEKNUM(tbl_Kalender[[#This Row],[Datum]])</f>
        <v>43</v>
      </c>
    </row>
    <row r="2128" spans="1:11" x14ac:dyDescent="0.25">
      <c r="A2128" s="1">
        <v>47418</v>
      </c>
      <c r="B2128">
        <f>YEAR(tbl_Kalender[[#This Row],[Datum]])</f>
        <v>2029</v>
      </c>
      <c r="C2128">
        <f>DAY(tbl_Kalender[[#This Row],[Datum]])</f>
        <v>27</v>
      </c>
      <c r="D2128" t="str">
        <f>TEXT(tbl_Kalender[[#This Row],[Datum]],"TTTT")</f>
        <v>Samstag</v>
      </c>
      <c r="E2128">
        <f>WEEKDAY(tbl_Kalender[[#This Row],[Datum]],2)</f>
        <v>6</v>
      </c>
      <c r="F2128">
        <f>MONTH(tbl_Kalender[[#This Row],[Datum]])</f>
        <v>10</v>
      </c>
      <c r="G2128" t="str">
        <f>TEXT(tbl_Kalender[[#This Row],[Datum]],"MMMM")</f>
        <v>Oktober</v>
      </c>
      <c r="H2128">
        <f>ROUNDUP(tbl_Kalender[[#This Row],[Monat]]/3,0)</f>
        <v>4</v>
      </c>
      <c r="I2128" t="str">
        <f>"Q "&amp;tbl_Kalender[[#This Row],[Quartal]]</f>
        <v>Q 4</v>
      </c>
      <c r="J2128" t="str">
        <f>tbl_Kalender[[#This Row],[Quartal]]&amp;". Quartal"</f>
        <v>4. Quartal</v>
      </c>
      <c r="K2128">
        <f>_xlfn.ISOWEEKNUM(tbl_Kalender[[#This Row],[Datum]])</f>
        <v>43</v>
      </c>
    </row>
    <row r="2129" spans="1:11" x14ac:dyDescent="0.25">
      <c r="A2129" s="1">
        <v>47419</v>
      </c>
      <c r="B2129">
        <f>YEAR(tbl_Kalender[[#This Row],[Datum]])</f>
        <v>2029</v>
      </c>
      <c r="C2129">
        <f>DAY(tbl_Kalender[[#This Row],[Datum]])</f>
        <v>28</v>
      </c>
      <c r="D2129" t="str">
        <f>TEXT(tbl_Kalender[[#This Row],[Datum]],"TTTT")</f>
        <v>Sonntag</v>
      </c>
      <c r="E2129">
        <f>WEEKDAY(tbl_Kalender[[#This Row],[Datum]],2)</f>
        <v>7</v>
      </c>
      <c r="F2129">
        <f>MONTH(tbl_Kalender[[#This Row],[Datum]])</f>
        <v>10</v>
      </c>
      <c r="G2129" t="str">
        <f>TEXT(tbl_Kalender[[#This Row],[Datum]],"MMMM")</f>
        <v>Oktober</v>
      </c>
      <c r="H2129">
        <f>ROUNDUP(tbl_Kalender[[#This Row],[Monat]]/3,0)</f>
        <v>4</v>
      </c>
      <c r="I2129" t="str">
        <f>"Q "&amp;tbl_Kalender[[#This Row],[Quartal]]</f>
        <v>Q 4</v>
      </c>
      <c r="J2129" t="str">
        <f>tbl_Kalender[[#This Row],[Quartal]]&amp;". Quartal"</f>
        <v>4. Quartal</v>
      </c>
      <c r="K2129">
        <f>_xlfn.ISOWEEKNUM(tbl_Kalender[[#This Row],[Datum]])</f>
        <v>43</v>
      </c>
    </row>
    <row r="2130" spans="1:11" x14ac:dyDescent="0.25">
      <c r="A2130" s="1">
        <v>47420</v>
      </c>
      <c r="B2130">
        <f>YEAR(tbl_Kalender[[#This Row],[Datum]])</f>
        <v>2029</v>
      </c>
      <c r="C2130">
        <f>DAY(tbl_Kalender[[#This Row],[Datum]])</f>
        <v>29</v>
      </c>
      <c r="D2130" t="str">
        <f>TEXT(tbl_Kalender[[#This Row],[Datum]],"TTTT")</f>
        <v>Montag</v>
      </c>
      <c r="E2130">
        <f>WEEKDAY(tbl_Kalender[[#This Row],[Datum]],2)</f>
        <v>1</v>
      </c>
      <c r="F2130">
        <f>MONTH(tbl_Kalender[[#This Row],[Datum]])</f>
        <v>10</v>
      </c>
      <c r="G2130" t="str">
        <f>TEXT(tbl_Kalender[[#This Row],[Datum]],"MMMM")</f>
        <v>Oktober</v>
      </c>
      <c r="H2130">
        <f>ROUNDUP(tbl_Kalender[[#This Row],[Monat]]/3,0)</f>
        <v>4</v>
      </c>
      <c r="I2130" t="str">
        <f>"Q "&amp;tbl_Kalender[[#This Row],[Quartal]]</f>
        <v>Q 4</v>
      </c>
      <c r="J2130" t="str">
        <f>tbl_Kalender[[#This Row],[Quartal]]&amp;". Quartal"</f>
        <v>4. Quartal</v>
      </c>
      <c r="K2130">
        <f>_xlfn.ISOWEEKNUM(tbl_Kalender[[#This Row],[Datum]])</f>
        <v>44</v>
      </c>
    </row>
    <row r="2131" spans="1:11" x14ac:dyDescent="0.25">
      <c r="A2131" s="1">
        <v>47421</v>
      </c>
      <c r="B2131">
        <f>YEAR(tbl_Kalender[[#This Row],[Datum]])</f>
        <v>2029</v>
      </c>
      <c r="C2131">
        <f>DAY(tbl_Kalender[[#This Row],[Datum]])</f>
        <v>30</v>
      </c>
      <c r="D2131" t="str">
        <f>TEXT(tbl_Kalender[[#This Row],[Datum]],"TTTT")</f>
        <v>Dienstag</v>
      </c>
      <c r="E2131">
        <f>WEEKDAY(tbl_Kalender[[#This Row],[Datum]],2)</f>
        <v>2</v>
      </c>
      <c r="F2131">
        <f>MONTH(tbl_Kalender[[#This Row],[Datum]])</f>
        <v>10</v>
      </c>
      <c r="G2131" t="str">
        <f>TEXT(tbl_Kalender[[#This Row],[Datum]],"MMMM")</f>
        <v>Oktober</v>
      </c>
      <c r="H2131">
        <f>ROUNDUP(tbl_Kalender[[#This Row],[Monat]]/3,0)</f>
        <v>4</v>
      </c>
      <c r="I2131" t="str">
        <f>"Q "&amp;tbl_Kalender[[#This Row],[Quartal]]</f>
        <v>Q 4</v>
      </c>
      <c r="J2131" t="str">
        <f>tbl_Kalender[[#This Row],[Quartal]]&amp;". Quartal"</f>
        <v>4. Quartal</v>
      </c>
      <c r="K2131">
        <f>_xlfn.ISOWEEKNUM(tbl_Kalender[[#This Row],[Datum]])</f>
        <v>44</v>
      </c>
    </row>
    <row r="2132" spans="1:11" x14ac:dyDescent="0.25">
      <c r="A2132" s="1">
        <v>47422</v>
      </c>
      <c r="B2132">
        <f>YEAR(tbl_Kalender[[#This Row],[Datum]])</f>
        <v>2029</v>
      </c>
      <c r="C2132">
        <f>DAY(tbl_Kalender[[#This Row],[Datum]])</f>
        <v>31</v>
      </c>
      <c r="D2132" t="str">
        <f>TEXT(tbl_Kalender[[#This Row],[Datum]],"TTTT")</f>
        <v>Mittwoch</v>
      </c>
      <c r="E2132">
        <f>WEEKDAY(tbl_Kalender[[#This Row],[Datum]],2)</f>
        <v>3</v>
      </c>
      <c r="F2132">
        <f>MONTH(tbl_Kalender[[#This Row],[Datum]])</f>
        <v>10</v>
      </c>
      <c r="G2132" t="str">
        <f>TEXT(tbl_Kalender[[#This Row],[Datum]],"MMMM")</f>
        <v>Oktober</v>
      </c>
      <c r="H2132">
        <f>ROUNDUP(tbl_Kalender[[#This Row],[Monat]]/3,0)</f>
        <v>4</v>
      </c>
      <c r="I2132" t="str">
        <f>"Q "&amp;tbl_Kalender[[#This Row],[Quartal]]</f>
        <v>Q 4</v>
      </c>
      <c r="J2132" t="str">
        <f>tbl_Kalender[[#This Row],[Quartal]]&amp;". Quartal"</f>
        <v>4. Quartal</v>
      </c>
      <c r="K2132">
        <f>_xlfn.ISOWEEKNUM(tbl_Kalender[[#This Row],[Datum]])</f>
        <v>44</v>
      </c>
    </row>
    <row r="2133" spans="1:11" x14ac:dyDescent="0.25">
      <c r="A2133" s="1">
        <v>47423</v>
      </c>
      <c r="B2133">
        <f>YEAR(tbl_Kalender[[#This Row],[Datum]])</f>
        <v>2029</v>
      </c>
      <c r="C2133">
        <f>DAY(tbl_Kalender[[#This Row],[Datum]])</f>
        <v>1</v>
      </c>
      <c r="D2133" t="str">
        <f>TEXT(tbl_Kalender[[#This Row],[Datum]],"TTTT")</f>
        <v>Donnerstag</v>
      </c>
      <c r="E2133">
        <f>WEEKDAY(tbl_Kalender[[#This Row],[Datum]],2)</f>
        <v>4</v>
      </c>
      <c r="F2133">
        <f>MONTH(tbl_Kalender[[#This Row],[Datum]])</f>
        <v>11</v>
      </c>
      <c r="G2133" t="str">
        <f>TEXT(tbl_Kalender[[#This Row],[Datum]],"MMMM")</f>
        <v>November</v>
      </c>
      <c r="H2133">
        <f>ROUNDUP(tbl_Kalender[[#This Row],[Monat]]/3,0)</f>
        <v>4</v>
      </c>
      <c r="I2133" t="str">
        <f>"Q "&amp;tbl_Kalender[[#This Row],[Quartal]]</f>
        <v>Q 4</v>
      </c>
      <c r="J2133" t="str">
        <f>tbl_Kalender[[#This Row],[Quartal]]&amp;". Quartal"</f>
        <v>4. Quartal</v>
      </c>
      <c r="K2133">
        <f>_xlfn.ISOWEEKNUM(tbl_Kalender[[#This Row],[Datum]])</f>
        <v>44</v>
      </c>
    </row>
    <row r="2134" spans="1:11" x14ac:dyDescent="0.25">
      <c r="A2134" s="1">
        <v>47424</v>
      </c>
      <c r="B2134">
        <f>YEAR(tbl_Kalender[[#This Row],[Datum]])</f>
        <v>2029</v>
      </c>
      <c r="C2134">
        <f>DAY(tbl_Kalender[[#This Row],[Datum]])</f>
        <v>2</v>
      </c>
      <c r="D2134" t="str">
        <f>TEXT(tbl_Kalender[[#This Row],[Datum]],"TTTT")</f>
        <v>Freitag</v>
      </c>
      <c r="E2134">
        <f>WEEKDAY(tbl_Kalender[[#This Row],[Datum]],2)</f>
        <v>5</v>
      </c>
      <c r="F2134">
        <f>MONTH(tbl_Kalender[[#This Row],[Datum]])</f>
        <v>11</v>
      </c>
      <c r="G2134" t="str">
        <f>TEXT(tbl_Kalender[[#This Row],[Datum]],"MMMM")</f>
        <v>November</v>
      </c>
      <c r="H2134">
        <f>ROUNDUP(tbl_Kalender[[#This Row],[Monat]]/3,0)</f>
        <v>4</v>
      </c>
      <c r="I2134" t="str">
        <f>"Q "&amp;tbl_Kalender[[#This Row],[Quartal]]</f>
        <v>Q 4</v>
      </c>
      <c r="J2134" t="str">
        <f>tbl_Kalender[[#This Row],[Quartal]]&amp;". Quartal"</f>
        <v>4. Quartal</v>
      </c>
      <c r="K2134">
        <f>_xlfn.ISOWEEKNUM(tbl_Kalender[[#This Row],[Datum]])</f>
        <v>44</v>
      </c>
    </row>
    <row r="2135" spans="1:11" x14ac:dyDescent="0.25">
      <c r="A2135" s="1">
        <v>47425</v>
      </c>
      <c r="B2135">
        <f>YEAR(tbl_Kalender[[#This Row],[Datum]])</f>
        <v>2029</v>
      </c>
      <c r="C2135">
        <f>DAY(tbl_Kalender[[#This Row],[Datum]])</f>
        <v>3</v>
      </c>
      <c r="D2135" t="str">
        <f>TEXT(tbl_Kalender[[#This Row],[Datum]],"TTTT")</f>
        <v>Samstag</v>
      </c>
      <c r="E2135">
        <f>WEEKDAY(tbl_Kalender[[#This Row],[Datum]],2)</f>
        <v>6</v>
      </c>
      <c r="F2135">
        <f>MONTH(tbl_Kalender[[#This Row],[Datum]])</f>
        <v>11</v>
      </c>
      <c r="G2135" t="str">
        <f>TEXT(tbl_Kalender[[#This Row],[Datum]],"MMMM")</f>
        <v>November</v>
      </c>
      <c r="H2135">
        <f>ROUNDUP(tbl_Kalender[[#This Row],[Monat]]/3,0)</f>
        <v>4</v>
      </c>
      <c r="I2135" t="str">
        <f>"Q "&amp;tbl_Kalender[[#This Row],[Quartal]]</f>
        <v>Q 4</v>
      </c>
      <c r="J2135" t="str">
        <f>tbl_Kalender[[#This Row],[Quartal]]&amp;". Quartal"</f>
        <v>4. Quartal</v>
      </c>
      <c r="K2135">
        <f>_xlfn.ISOWEEKNUM(tbl_Kalender[[#This Row],[Datum]])</f>
        <v>44</v>
      </c>
    </row>
    <row r="2136" spans="1:11" x14ac:dyDescent="0.25">
      <c r="A2136" s="1">
        <v>47426</v>
      </c>
      <c r="B2136">
        <f>YEAR(tbl_Kalender[[#This Row],[Datum]])</f>
        <v>2029</v>
      </c>
      <c r="C2136">
        <f>DAY(tbl_Kalender[[#This Row],[Datum]])</f>
        <v>4</v>
      </c>
      <c r="D2136" t="str">
        <f>TEXT(tbl_Kalender[[#This Row],[Datum]],"TTTT")</f>
        <v>Sonntag</v>
      </c>
      <c r="E2136">
        <f>WEEKDAY(tbl_Kalender[[#This Row],[Datum]],2)</f>
        <v>7</v>
      </c>
      <c r="F2136">
        <f>MONTH(tbl_Kalender[[#This Row],[Datum]])</f>
        <v>11</v>
      </c>
      <c r="G2136" t="str">
        <f>TEXT(tbl_Kalender[[#This Row],[Datum]],"MMMM")</f>
        <v>November</v>
      </c>
      <c r="H2136">
        <f>ROUNDUP(tbl_Kalender[[#This Row],[Monat]]/3,0)</f>
        <v>4</v>
      </c>
      <c r="I2136" t="str">
        <f>"Q "&amp;tbl_Kalender[[#This Row],[Quartal]]</f>
        <v>Q 4</v>
      </c>
      <c r="J2136" t="str">
        <f>tbl_Kalender[[#This Row],[Quartal]]&amp;". Quartal"</f>
        <v>4. Quartal</v>
      </c>
      <c r="K2136">
        <f>_xlfn.ISOWEEKNUM(tbl_Kalender[[#This Row],[Datum]])</f>
        <v>44</v>
      </c>
    </row>
    <row r="2137" spans="1:11" x14ac:dyDescent="0.25">
      <c r="A2137" s="1">
        <v>47427</v>
      </c>
      <c r="B2137">
        <f>YEAR(tbl_Kalender[[#This Row],[Datum]])</f>
        <v>2029</v>
      </c>
      <c r="C2137">
        <f>DAY(tbl_Kalender[[#This Row],[Datum]])</f>
        <v>5</v>
      </c>
      <c r="D2137" t="str">
        <f>TEXT(tbl_Kalender[[#This Row],[Datum]],"TTTT")</f>
        <v>Montag</v>
      </c>
      <c r="E2137">
        <f>WEEKDAY(tbl_Kalender[[#This Row],[Datum]],2)</f>
        <v>1</v>
      </c>
      <c r="F2137">
        <f>MONTH(tbl_Kalender[[#This Row],[Datum]])</f>
        <v>11</v>
      </c>
      <c r="G2137" t="str">
        <f>TEXT(tbl_Kalender[[#This Row],[Datum]],"MMMM")</f>
        <v>November</v>
      </c>
      <c r="H2137">
        <f>ROUNDUP(tbl_Kalender[[#This Row],[Monat]]/3,0)</f>
        <v>4</v>
      </c>
      <c r="I2137" t="str">
        <f>"Q "&amp;tbl_Kalender[[#This Row],[Quartal]]</f>
        <v>Q 4</v>
      </c>
      <c r="J2137" t="str">
        <f>tbl_Kalender[[#This Row],[Quartal]]&amp;". Quartal"</f>
        <v>4. Quartal</v>
      </c>
      <c r="K2137">
        <f>_xlfn.ISOWEEKNUM(tbl_Kalender[[#This Row],[Datum]])</f>
        <v>45</v>
      </c>
    </row>
    <row r="2138" spans="1:11" x14ac:dyDescent="0.25">
      <c r="A2138" s="1">
        <v>47428</v>
      </c>
      <c r="B2138">
        <f>YEAR(tbl_Kalender[[#This Row],[Datum]])</f>
        <v>2029</v>
      </c>
      <c r="C2138">
        <f>DAY(tbl_Kalender[[#This Row],[Datum]])</f>
        <v>6</v>
      </c>
      <c r="D2138" t="str">
        <f>TEXT(tbl_Kalender[[#This Row],[Datum]],"TTTT")</f>
        <v>Dienstag</v>
      </c>
      <c r="E2138">
        <f>WEEKDAY(tbl_Kalender[[#This Row],[Datum]],2)</f>
        <v>2</v>
      </c>
      <c r="F2138">
        <f>MONTH(tbl_Kalender[[#This Row],[Datum]])</f>
        <v>11</v>
      </c>
      <c r="G2138" t="str">
        <f>TEXT(tbl_Kalender[[#This Row],[Datum]],"MMMM")</f>
        <v>November</v>
      </c>
      <c r="H2138">
        <f>ROUNDUP(tbl_Kalender[[#This Row],[Monat]]/3,0)</f>
        <v>4</v>
      </c>
      <c r="I2138" t="str">
        <f>"Q "&amp;tbl_Kalender[[#This Row],[Quartal]]</f>
        <v>Q 4</v>
      </c>
      <c r="J2138" t="str">
        <f>tbl_Kalender[[#This Row],[Quartal]]&amp;". Quartal"</f>
        <v>4. Quartal</v>
      </c>
      <c r="K2138">
        <f>_xlfn.ISOWEEKNUM(tbl_Kalender[[#This Row],[Datum]])</f>
        <v>45</v>
      </c>
    </row>
    <row r="2139" spans="1:11" x14ac:dyDescent="0.25">
      <c r="A2139" s="1">
        <v>47429</v>
      </c>
      <c r="B2139">
        <f>YEAR(tbl_Kalender[[#This Row],[Datum]])</f>
        <v>2029</v>
      </c>
      <c r="C2139">
        <f>DAY(tbl_Kalender[[#This Row],[Datum]])</f>
        <v>7</v>
      </c>
      <c r="D2139" t="str">
        <f>TEXT(tbl_Kalender[[#This Row],[Datum]],"TTTT")</f>
        <v>Mittwoch</v>
      </c>
      <c r="E2139">
        <f>WEEKDAY(tbl_Kalender[[#This Row],[Datum]],2)</f>
        <v>3</v>
      </c>
      <c r="F2139">
        <f>MONTH(tbl_Kalender[[#This Row],[Datum]])</f>
        <v>11</v>
      </c>
      <c r="G2139" t="str">
        <f>TEXT(tbl_Kalender[[#This Row],[Datum]],"MMMM")</f>
        <v>November</v>
      </c>
      <c r="H2139">
        <f>ROUNDUP(tbl_Kalender[[#This Row],[Monat]]/3,0)</f>
        <v>4</v>
      </c>
      <c r="I2139" t="str">
        <f>"Q "&amp;tbl_Kalender[[#This Row],[Quartal]]</f>
        <v>Q 4</v>
      </c>
      <c r="J2139" t="str">
        <f>tbl_Kalender[[#This Row],[Quartal]]&amp;". Quartal"</f>
        <v>4. Quartal</v>
      </c>
      <c r="K2139">
        <f>_xlfn.ISOWEEKNUM(tbl_Kalender[[#This Row],[Datum]])</f>
        <v>45</v>
      </c>
    </row>
    <row r="2140" spans="1:11" x14ac:dyDescent="0.25">
      <c r="A2140" s="1">
        <v>47430</v>
      </c>
      <c r="B2140">
        <f>YEAR(tbl_Kalender[[#This Row],[Datum]])</f>
        <v>2029</v>
      </c>
      <c r="C2140">
        <f>DAY(tbl_Kalender[[#This Row],[Datum]])</f>
        <v>8</v>
      </c>
      <c r="D2140" t="str">
        <f>TEXT(tbl_Kalender[[#This Row],[Datum]],"TTTT")</f>
        <v>Donnerstag</v>
      </c>
      <c r="E2140">
        <f>WEEKDAY(tbl_Kalender[[#This Row],[Datum]],2)</f>
        <v>4</v>
      </c>
      <c r="F2140">
        <f>MONTH(tbl_Kalender[[#This Row],[Datum]])</f>
        <v>11</v>
      </c>
      <c r="G2140" t="str">
        <f>TEXT(tbl_Kalender[[#This Row],[Datum]],"MMMM")</f>
        <v>November</v>
      </c>
      <c r="H2140">
        <f>ROUNDUP(tbl_Kalender[[#This Row],[Monat]]/3,0)</f>
        <v>4</v>
      </c>
      <c r="I2140" t="str">
        <f>"Q "&amp;tbl_Kalender[[#This Row],[Quartal]]</f>
        <v>Q 4</v>
      </c>
      <c r="J2140" t="str">
        <f>tbl_Kalender[[#This Row],[Quartal]]&amp;". Quartal"</f>
        <v>4. Quartal</v>
      </c>
      <c r="K2140">
        <f>_xlfn.ISOWEEKNUM(tbl_Kalender[[#This Row],[Datum]])</f>
        <v>45</v>
      </c>
    </row>
    <row r="2141" spans="1:11" x14ac:dyDescent="0.25">
      <c r="A2141" s="1">
        <v>47431</v>
      </c>
      <c r="B2141">
        <f>YEAR(tbl_Kalender[[#This Row],[Datum]])</f>
        <v>2029</v>
      </c>
      <c r="C2141">
        <f>DAY(tbl_Kalender[[#This Row],[Datum]])</f>
        <v>9</v>
      </c>
      <c r="D2141" t="str">
        <f>TEXT(tbl_Kalender[[#This Row],[Datum]],"TTTT")</f>
        <v>Freitag</v>
      </c>
      <c r="E2141">
        <f>WEEKDAY(tbl_Kalender[[#This Row],[Datum]],2)</f>
        <v>5</v>
      </c>
      <c r="F2141">
        <f>MONTH(tbl_Kalender[[#This Row],[Datum]])</f>
        <v>11</v>
      </c>
      <c r="G2141" t="str">
        <f>TEXT(tbl_Kalender[[#This Row],[Datum]],"MMMM")</f>
        <v>November</v>
      </c>
      <c r="H2141">
        <f>ROUNDUP(tbl_Kalender[[#This Row],[Monat]]/3,0)</f>
        <v>4</v>
      </c>
      <c r="I2141" t="str">
        <f>"Q "&amp;tbl_Kalender[[#This Row],[Quartal]]</f>
        <v>Q 4</v>
      </c>
      <c r="J2141" t="str">
        <f>tbl_Kalender[[#This Row],[Quartal]]&amp;". Quartal"</f>
        <v>4. Quartal</v>
      </c>
      <c r="K2141">
        <f>_xlfn.ISOWEEKNUM(tbl_Kalender[[#This Row],[Datum]])</f>
        <v>45</v>
      </c>
    </row>
    <row r="2142" spans="1:11" x14ac:dyDescent="0.25">
      <c r="A2142" s="1">
        <v>47432</v>
      </c>
      <c r="B2142">
        <f>YEAR(tbl_Kalender[[#This Row],[Datum]])</f>
        <v>2029</v>
      </c>
      <c r="C2142">
        <f>DAY(tbl_Kalender[[#This Row],[Datum]])</f>
        <v>10</v>
      </c>
      <c r="D2142" t="str">
        <f>TEXT(tbl_Kalender[[#This Row],[Datum]],"TTTT")</f>
        <v>Samstag</v>
      </c>
      <c r="E2142">
        <f>WEEKDAY(tbl_Kalender[[#This Row],[Datum]],2)</f>
        <v>6</v>
      </c>
      <c r="F2142">
        <f>MONTH(tbl_Kalender[[#This Row],[Datum]])</f>
        <v>11</v>
      </c>
      <c r="G2142" t="str">
        <f>TEXT(tbl_Kalender[[#This Row],[Datum]],"MMMM")</f>
        <v>November</v>
      </c>
      <c r="H2142">
        <f>ROUNDUP(tbl_Kalender[[#This Row],[Monat]]/3,0)</f>
        <v>4</v>
      </c>
      <c r="I2142" t="str">
        <f>"Q "&amp;tbl_Kalender[[#This Row],[Quartal]]</f>
        <v>Q 4</v>
      </c>
      <c r="J2142" t="str">
        <f>tbl_Kalender[[#This Row],[Quartal]]&amp;". Quartal"</f>
        <v>4. Quartal</v>
      </c>
      <c r="K2142">
        <f>_xlfn.ISOWEEKNUM(tbl_Kalender[[#This Row],[Datum]])</f>
        <v>45</v>
      </c>
    </row>
    <row r="2143" spans="1:11" x14ac:dyDescent="0.25">
      <c r="A2143" s="1">
        <v>47433</v>
      </c>
      <c r="B2143">
        <f>YEAR(tbl_Kalender[[#This Row],[Datum]])</f>
        <v>2029</v>
      </c>
      <c r="C2143">
        <f>DAY(tbl_Kalender[[#This Row],[Datum]])</f>
        <v>11</v>
      </c>
      <c r="D2143" t="str">
        <f>TEXT(tbl_Kalender[[#This Row],[Datum]],"TTTT")</f>
        <v>Sonntag</v>
      </c>
      <c r="E2143">
        <f>WEEKDAY(tbl_Kalender[[#This Row],[Datum]],2)</f>
        <v>7</v>
      </c>
      <c r="F2143">
        <f>MONTH(tbl_Kalender[[#This Row],[Datum]])</f>
        <v>11</v>
      </c>
      <c r="G2143" t="str">
        <f>TEXT(tbl_Kalender[[#This Row],[Datum]],"MMMM")</f>
        <v>November</v>
      </c>
      <c r="H2143">
        <f>ROUNDUP(tbl_Kalender[[#This Row],[Monat]]/3,0)</f>
        <v>4</v>
      </c>
      <c r="I2143" t="str">
        <f>"Q "&amp;tbl_Kalender[[#This Row],[Quartal]]</f>
        <v>Q 4</v>
      </c>
      <c r="J2143" t="str">
        <f>tbl_Kalender[[#This Row],[Quartal]]&amp;". Quartal"</f>
        <v>4. Quartal</v>
      </c>
      <c r="K2143">
        <f>_xlfn.ISOWEEKNUM(tbl_Kalender[[#This Row],[Datum]])</f>
        <v>45</v>
      </c>
    </row>
    <row r="2144" spans="1:11" x14ac:dyDescent="0.25">
      <c r="A2144" s="1">
        <v>47434</v>
      </c>
      <c r="B2144">
        <f>YEAR(tbl_Kalender[[#This Row],[Datum]])</f>
        <v>2029</v>
      </c>
      <c r="C2144">
        <f>DAY(tbl_Kalender[[#This Row],[Datum]])</f>
        <v>12</v>
      </c>
      <c r="D2144" t="str">
        <f>TEXT(tbl_Kalender[[#This Row],[Datum]],"TTTT")</f>
        <v>Montag</v>
      </c>
      <c r="E2144">
        <f>WEEKDAY(tbl_Kalender[[#This Row],[Datum]],2)</f>
        <v>1</v>
      </c>
      <c r="F2144">
        <f>MONTH(tbl_Kalender[[#This Row],[Datum]])</f>
        <v>11</v>
      </c>
      <c r="G2144" t="str">
        <f>TEXT(tbl_Kalender[[#This Row],[Datum]],"MMMM")</f>
        <v>November</v>
      </c>
      <c r="H2144">
        <f>ROUNDUP(tbl_Kalender[[#This Row],[Monat]]/3,0)</f>
        <v>4</v>
      </c>
      <c r="I2144" t="str">
        <f>"Q "&amp;tbl_Kalender[[#This Row],[Quartal]]</f>
        <v>Q 4</v>
      </c>
      <c r="J2144" t="str">
        <f>tbl_Kalender[[#This Row],[Quartal]]&amp;". Quartal"</f>
        <v>4. Quartal</v>
      </c>
      <c r="K2144">
        <f>_xlfn.ISOWEEKNUM(tbl_Kalender[[#This Row],[Datum]])</f>
        <v>46</v>
      </c>
    </row>
    <row r="2145" spans="1:11" x14ac:dyDescent="0.25">
      <c r="A2145" s="1">
        <v>47435</v>
      </c>
      <c r="B2145">
        <f>YEAR(tbl_Kalender[[#This Row],[Datum]])</f>
        <v>2029</v>
      </c>
      <c r="C2145">
        <f>DAY(tbl_Kalender[[#This Row],[Datum]])</f>
        <v>13</v>
      </c>
      <c r="D2145" t="str">
        <f>TEXT(tbl_Kalender[[#This Row],[Datum]],"TTTT")</f>
        <v>Dienstag</v>
      </c>
      <c r="E2145">
        <f>WEEKDAY(tbl_Kalender[[#This Row],[Datum]],2)</f>
        <v>2</v>
      </c>
      <c r="F2145">
        <f>MONTH(tbl_Kalender[[#This Row],[Datum]])</f>
        <v>11</v>
      </c>
      <c r="G2145" t="str">
        <f>TEXT(tbl_Kalender[[#This Row],[Datum]],"MMMM")</f>
        <v>November</v>
      </c>
      <c r="H2145">
        <f>ROUNDUP(tbl_Kalender[[#This Row],[Monat]]/3,0)</f>
        <v>4</v>
      </c>
      <c r="I2145" t="str">
        <f>"Q "&amp;tbl_Kalender[[#This Row],[Quartal]]</f>
        <v>Q 4</v>
      </c>
      <c r="J2145" t="str">
        <f>tbl_Kalender[[#This Row],[Quartal]]&amp;". Quartal"</f>
        <v>4. Quartal</v>
      </c>
      <c r="K2145">
        <f>_xlfn.ISOWEEKNUM(tbl_Kalender[[#This Row],[Datum]])</f>
        <v>46</v>
      </c>
    </row>
    <row r="2146" spans="1:11" x14ac:dyDescent="0.25">
      <c r="A2146" s="1">
        <v>47436</v>
      </c>
      <c r="B2146">
        <f>YEAR(tbl_Kalender[[#This Row],[Datum]])</f>
        <v>2029</v>
      </c>
      <c r="C2146">
        <f>DAY(tbl_Kalender[[#This Row],[Datum]])</f>
        <v>14</v>
      </c>
      <c r="D2146" t="str">
        <f>TEXT(tbl_Kalender[[#This Row],[Datum]],"TTTT")</f>
        <v>Mittwoch</v>
      </c>
      <c r="E2146">
        <f>WEEKDAY(tbl_Kalender[[#This Row],[Datum]],2)</f>
        <v>3</v>
      </c>
      <c r="F2146">
        <f>MONTH(tbl_Kalender[[#This Row],[Datum]])</f>
        <v>11</v>
      </c>
      <c r="G2146" t="str">
        <f>TEXT(tbl_Kalender[[#This Row],[Datum]],"MMMM")</f>
        <v>November</v>
      </c>
      <c r="H2146">
        <f>ROUNDUP(tbl_Kalender[[#This Row],[Monat]]/3,0)</f>
        <v>4</v>
      </c>
      <c r="I2146" t="str">
        <f>"Q "&amp;tbl_Kalender[[#This Row],[Quartal]]</f>
        <v>Q 4</v>
      </c>
      <c r="J2146" t="str">
        <f>tbl_Kalender[[#This Row],[Quartal]]&amp;". Quartal"</f>
        <v>4. Quartal</v>
      </c>
      <c r="K2146">
        <f>_xlfn.ISOWEEKNUM(tbl_Kalender[[#This Row],[Datum]])</f>
        <v>46</v>
      </c>
    </row>
    <row r="2147" spans="1:11" x14ac:dyDescent="0.25">
      <c r="A2147" s="1">
        <v>47437</v>
      </c>
      <c r="B2147">
        <f>YEAR(tbl_Kalender[[#This Row],[Datum]])</f>
        <v>2029</v>
      </c>
      <c r="C2147">
        <f>DAY(tbl_Kalender[[#This Row],[Datum]])</f>
        <v>15</v>
      </c>
      <c r="D2147" t="str">
        <f>TEXT(tbl_Kalender[[#This Row],[Datum]],"TTTT")</f>
        <v>Donnerstag</v>
      </c>
      <c r="E2147">
        <f>WEEKDAY(tbl_Kalender[[#This Row],[Datum]],2)</f>
        <v>4</v>
      </c>
      <c r="F2147">
        <f>MONTH(tbl_Kalender[[#This Row],[Datum]])</f>
        <v>11</v>
      </c>
      <c r="G2147" t="str">
        <f>TEXT(tbl_Kalender[[#This Row],[Datum]],"MMMM")</f>
        <v>November</v>
      </c>
      <c r="H2147">
        <f>ROUNDUP(tbl_Kalender[[#This Row],[Monat]]/3,0)</f>
        <v>4</v>
      </c>
      <c r="I2147" t="str">
        <f>"Q "&amp;tbl_Kalender[[#This Row],[Quartal]]</f>
        <v>Q 4</v>
      </c>
      <c r="J2147" t="str">
        <f>tbl_Kalender[[#This Row],[Quartal]]&amp;". Quartal"</f>
        <v>4. Quartal</v>
      </c>
      <c r="K2147">
        <f>_xlfn.ISOWEEKNUM(tbl_Kalender[[#This Row],[Datum]])</f>
        <v>46</v>
      </c>
    </row>
    <row r="2148" spans="1:11" x14ac:dyDescent="0.25">
      <c r="A2148" s="1">
        <v>47438</v>
      </c>
      <c r="B2148">
        <f>YEAR(tbl_Kalender[[#This Row],[Datum]])</f>
        <v>2029</v>
      </c>
      <c r="C2148">
        <f>DAY(tbl_Kalender[[#This Row],[Datum]])</f>
        <v>16</v>
      </c>
      <c r="D2148" t="str">
        <f>TEXT(tbl_Kalender[[#This Row],[Datum]],"TTTT")</f>
        <v>Freitag</v>
      </c>
      <c r="E2148">
        <f>WEEKDAY(tbl_Kalender[[#This Row],[Datum]],2)</f>
        <v>5</v>
      </c>
      <c r="F2148">
        <f>MONTH(tbl_Kalender[[#This Row],[Datum]])</f>
        <v>11</v>
      </c>
      <c r="G2148" t="str">
        <f>TEXT(tbl_Kalender[[#This Row],[Datum]],"MMMM")</f>
        <v>November</v>
      </c>
      <c r="H2148">
        <f>ROUNDUP(tbl_Kalender[[#This Row],[Monat]]/3,0)</f>
        <v>4</v>
      </c>
      <c r="I2148" t="str">
        <f>"Q "&amp;tbl_Kalender[[#This Row],[Quartal]]</f>
        <v>Q 4</v>
      </c>
      <c r="J2148" t="str">
        <f>tbl_Kalender[[#This Row],[Quartal]]&amp;". Quartal"</f>
        <v>4. Quartal</v>
      </c>
      <c r="K2148">
        <f>_xlfn.ISOWEEKNUM(tbl_Kalender[[#This Row],[Datum]])</f>
        <v>46</v>
      </c>
    </row>
    <row r="2149" spans="1:11" x14ac:dyDescent="0.25">
      <c r="A2149" s="1">
        <v>47439</v>
      </c>
      <c r="B2149">
        <f>YEAR(tbl_Kalender[[#This Row],[Datum]])</f>
        <v>2029</v>
      </c>
      <c r="C2149">
        <f>DAY(tbl_Kalender[[#This Row],[Datum]])</f>
        <v>17</v>
      </c>
      <c r="D2149" t="str">
        <f>TEXT(tbl_Kalender[[#This Row],[Datum]],"TTTT")</f>
        <v>Samstag</v>
      </c>
      <c r="E2149">
        <f>WEEKDAY(tbl_Kalender[[#This Row],[Datum]],2)</f>
        <v>6</v>
      </c>
      <c r="F2149">
        <f>MONTH(tbl_Kalender[[#This Row],[Datum]])</f>
        <v>11</v>
      </c>
      <c r="G2149" t="str">
        <f>TEXT(tbl_Kalender[[#This Row],[Datum]],"MMMM")</f>
        <v>November</v>
      </c>
      <c r="H2149">
        <f>ROUNDUP(tbl_Kalender[[#This Row],[Monat]]/3,0)</f>
        <v>4</v>
      </c>
      <c r="I2149" t="str">
        <f>"Q "&amp;tbl_Kalender[[#This Row],[Quartal]]</f>
        <v>Q 4</v>
      </c>
      <c r="J2149" t="str">
        <f>tbl_Kalender[[#This Row],[Quartal]]&amp;". Quartal"</f>
        <v>4. Quartal</v>
      </c>
      <c r="K2149">
        <f>_xlfn.ISOWEEKNUM(tbl_Kalender[[#This Row],[Datum]])</f>
        <v>46</v>
      </c>
    </row>
    <row r="2150" spans="1:11" x14ac:dyDescent="0.25">
      <c r="A2150" s="1">
        <v>47440</v>
      </c>
      <c r="B2150">
        <f>YEAR(tbl_Kalender[[#This Row],[Datum]])</f>
        <v>2029</v>
      </c>
      <c r="C2150">
        <f>DAY(tbl_Kalender[[#This Row],[Datum]])</f>
        <v>18</v>
      </c>
      <c r="D2150" t="str">
        <f>TEXT(tbl_Kalender[[#This Row],[Datum]],"TTTT")</f>
        <v>Sonntag</v>
      </c>
      <c r="E2150">
        <f>WEEKDAY(tbl_Kalender[[#This Row],[Datum]],2)</f>
        <v>7</v>
      </c>
      <c r="F2150">
        <f>MONTH(tbl_Kalender[[#This Row],[Datum]])</f>
        <v>11</v>
      </c>
      <c r="G2150" t="str">
        <f>TEXT(tbl_Kalender[[#This Row],[Datum]],"MMMM")</f>
        <v>November</v>
      </c>
      <c r="H2150">
        <f>ROUNDUP(tbl_Kalender[[#This Row],[Monat]]/3,0)</f>
        <v>4</v>
      </c>
      <c r="I2150" t="str">
        <f>"Q "&amp;tbl_Kalender[[#This Row],[Quartal]]</f>
        <v>Q 4</v>
      </c>
      <c r="J2150" t="str">
        <f>tbl_Kalender[[#This Row],[Quartal]]&amp;". Quartal"</f>
        <v>4. Quartal</v>
      </c>
      <c r="K2150">
        <f>_xlfn.ISOWEEKNUM(tbl_Kalender[[#This Row],[Datum]])</f>
        <v>46</v>
      </c>
    </row>
    <row r="2151" spans="1:11" x14ac:dyDescent="0.25">
      <c r="A2151" s="1">
        <v>47441</v>
      </c>
      <c r="B2151">
        <f>YEAR(tbl_Kalender[[#This Row],[Datum]])</f>
        <v>2029</v>
      </c>
      <c r="C2151">
        <f>DAY(tbl_Kalender[[#This Row],[Datum]])</f>
        <v>19</v>
      </c>
      <c r="D2151" t="str">
        <f>TEXT(tbl_Kalender[[#This Row],[Datum]],"TTTT")</f>
        <v>Montag</v>
      </c>
      <c r="E2151">
        <f>WEEKDAY(tbl_Kalender[[#This Row],[Datum]],2)</f>
        <v>1</v>
      </c>
      <c r="F2151">
        <f>MONTH(tbl_Kalender[[#This Row],[Datum]])</f>
        <v>11</v>
      </c>
      <c r="G2151" t="str">
        <f>TEXT(tbl_Kalender[[#This Row],[Datum]],"MMMM")</f>
        <v>November</v>
      </c>
      <c r="H2151">
        <f>ROUNDUP(tbl_Kalender[[#This Row],[Monat]]/3,0)</f>
        <v>4</v>
      </c>
      <c r="I2151" t="str">
        <f>"Q "&amp;tbl_Kalender[[#This Row],[Quartal]]</f>
        <v>Q 4</v>
      </c>
      <c r="J2151" t="str">
        <f>tbl_Kalender[[#This Row],[Quartal]]&amp;". Quartal"</f>
        <v>4. Quartal</v>
      </c>
      <c r="K2151">
        <f>_xlfn.ISOWEEKNUM(tbl_Kalender[[#This Row],[Datum]])</f>
        <v>47</v>
      </c>
    </row>
    <row r="2152" spans="1:11" x14ac:dyDescent="0.25">
      <c r="A2152" s="1">
        <v>47442</v>
      </c>
      <c r="B2152">
        <f>YEAR(tbl_Kalender[[#This Row],[Datum]])</f>
        <v>2029</v>
      </c>
      <c r="C2152">
        <f>DAY(tbl_Kalender[[#This Row],[Datum]])</f>
        <v>20</v>
      </c>
      <c r="D2152" t="str">
        <f>TEXT(tbl_Kalender[[#This Row],[Datum]],"TTTT")</f>
        <v>Dienstag</v>
      </c>
      <c r="E2152">
        <f>WEEKDAY(tbl_Kalender[[#This Row],[Datum]],2)</f>
        <v>2</v>
      </c>
      <c r="F2152">
        <f>MONTH(tbl_Kalender[[#This Row],[Datum]])</f>
        <v>11</v>
      </c>
      <c r="G2152" t="str">
        <f>TEXT(tbl_Kalender[[#This Row],[Datum]],"MMMM")</f>
        <v>November</v>
      </c>
      <c r="H2152">
        <f>ROUNDUP(tbl_Kalender[[#This Row],[Monat]]/3,0)</f>
        <v>4</v>
      </c>
      <c r="I2152" t="str">
        <f>"Q "&amp;tbl_Kalender[[#This Row],[Quartal]]</f>
        <v>Q 4</v>
      </c>
      <c r="J2152" t="str">
        <f>tbl_Kalender[[#This Row],[Quartal]]&amp;". Quartal"</f>
        <v>4. Quartal</v>
      </c>
      <c r="K2152">
        <f>_xlfn.ISOWEEKNUM(tbl_Kalender[[#This Row],[Datum]])</f>
        <v>47</v>
      </c>
    </row>
    <row r="2153" spans="1:11" x14ac:dyDescent="0.25">
      <c r="A2153" s="1">
        <v>47443</v>
      </c>
      <c r="B2153">
        <f>YEAR(tbl_Kalender[[#This Row],[Datum]])</f>
        <v>2029</v>
      </c>
      <c r="C2153">
        <f>DAY(tbl_Kalender[[#This Row],[Datum]])</f>
        <v>21</v>
      </c>
      <c r="D2153" t="str">
        <f>TEXT(tbl_Kalender[[#This Row],[Datum]],"TTTT")</f>
        <v>Mittwoch</v>
      </c>
      <c r="E2153">
        <f>WEEKDAY(tbl_Kalender[[#This Row],[Datum]],2)</f>
        <v>3</v>
      </c>
      <c r="F2153">
        <f>MONTH(tbl_Kalender[[#This Row],[Datum]])</f>
        <v>11</v>
      </c>
      <c r="G2153" t="str">
        <f>TEXT(tbl_Kalender[[#This Row],[Datum]],"MMMM")</f>
        <v>November</v>
      </c>
      <c r="H2153">
        <f>ROUNDUP(tbl_Kalender[[#This Row],[Monat]]/3,0)</f>
        <v>4</v>
      </c>
      <c r="I2153" t="str">
        <f>"Q "&amp;tbl_Kalender[[#This Row],[Quartal]]</f>
        <v>Q 4</v>
      </c>
      <c r="J2153" t="str">
        <f>tbl_Kalender[[#This Row],[Quartal]]&amp;". Quartal"</f>
        <v>4. Quartal</v>
      </c>
      <c r="K2153">
        <f>_xlfn.ISOWEEKNUM(tbl_Kalender[[#This Row],[Datum]])</f>
        <v>47</v>
      </c>
    </row>
    <row r="2154" spans="1:11" x14ac:dyDescent="0.25">
      <c r="A2154" s="1">
        <v>47444</v>
      </c>
      <c r="B2154">
        <f>YEAR(tbl_Kalender[[#This Row],[Datum]])</f>
        <v>2029</v>
      </c>
      <c r="C2154">
        <f>DAY(tbl_Kalender[[#This Row],[Datum]])</f>
        <v>22</v>
      </c>
      <c r="D2154" t="str">
        <f>TEXT(tbl_Kalender[[#This Row],[Datum]],"TTTT")</f>
        <v>Donnerstag</v>
      </c>
      <c r="E2154">
        <f>WEEKDAY(tbl_Kalender[[#This Row],[Datum]],2)</f>
        <v>4</v>
      </c>
      <c r="F2154">
        <f>MONTH(tbl_Kalender[[#This Row],[Datum]])</f>
        <v>11</v>
      </c>
      <c r="G2154" t="str">
        <f>TEXT(tbl_Kalender[[#This Row],[Datum]],"MMMM")</f>
        <v>November</v>
      </c>
      <c r="H2154">
        <f>ROUNDUP(tbl_Kalender[[#This Row],[Monat]]/3,0)</f>
        <v>4</v>
      </c>
      <c r="I2154" t="str">
        <f>"Q "&amp;tbl_Kalender[[#This Row],[Quartal]]</f>
        <v>Q 4</v>
      </c>
      <c r="J2154" t="str">
        <f>tbl_Kalender[[#This Row],[Quartal]]&amp;". Quartal"</f>
        <v>4. Quartal</v>
      </c>
      <c r="K2154">
        <f>_xlfn.ISOWEEKNUM(tbl_Kalender[[#This Row],[Datum]])</f>
        <v>47</v>
      </c>
    </row>
    <row r="2155" spans="1:11" x14ac:dyDescent="0.25">
      <c r="A2155" s="1">
        <v>47445</v>
      </c>
      <c r="B2155">
        <f>YEAR(tbl_Kalender[[#This Row],[Datum]])</f>
        <v>2029</v>
      </c>
      <c r="C2155">
        <f>DAY(tbl_Kalender[[#This Row],[Datum]])</f>
        <v>23</v>
      </c>
      <c r="D2155" t="str">
        <f>TEXT(tbl_Kalender[[#This Row],[Datum]],"TTTT")</f>
        <v>Freitag</v>
      </c>
      <c r="E2155">
        <f>WEEKDAY(tbl_Kalender[[#This Row],[Datum]],2)</f>
        <v>5</v>
      </c>
      <c r="F2155">
        <f>MONTH(tbl_Kalender[[#This Row],[Datum]])</f>
        <v>11</v>
      </c>
      <c r="G2155" t="str">
        <f>TEXT(tbl_Kalender[[#This Row],[Datum]],"MMMM")</f>
        <v>November</v>
      </c>
      <c r="H2155">
        <f>ROUNDUP(tbl_Kalender[[#This Row],[Monat]]/3,0)</f>
        <v>4</v>
      </c>
      <c r="I2155" t="str">
        <f>"Q "&amp;tbl_Kalender[[#This Row],[Quartal]]</f>
        <v>Q 4</v>
      </c>
      <c r="J2155" t="str">
        <f>tbl_Kalender[[#This Row],[Quartal]]&amp;". Quartal"</f>
        <v>4. Quartal</v>
      </c>
      <c r="K2155">
        <f>_xlfn.ISOWEEKNUM(tbl_Kalender[[#This Row],[Datum]])</f>
        <v>47</v>
      </c>
    </row>
    <row r="2156" spans="1:11" x14ac:dyDescent="0.25">
      <c r="A2156" s="1">
        <v>47446</v>
      </c>
      <c r="B2156">
        <f>YEAR(tbl_Kalender[[#This Row],[Datum]])</f>
        <v>2029</v>
      </c>
      <c r="C2156">
        <f>DAY(tbl_Kalender[[#This Row],[Datum]])</f>
        <v>24</v>
      </c>
      <c r="D2156" t="str">
        <f>TEXT(tbl_Kalender[[#This Row],[Datum]],"TTTT")</f>
        <v>Samstag</v>
      </c>
      <c r="E2156">
        <f>WEEKDAY(tbl_Kalender[[#This Row],[Datum]],2)</f>
        <v>6</v>
      </c>
      <c r="F2156">
        <f>MONTH(tbl_Kalender[[#This Row],[Datum]])</f>
        <v>11</v>
      </c>
      <c r="G2156" t="str">
        <f>TEXT(tbl_Kalender[[#This Row],[Datum]],"MMMM")</f>
        <v>November</v>
      </c>
      <c r="H2156">
        <f>ROUNDUP(tbl_Kalender[[#This Row],[Monat]]/3,0)</f>
        <v>4</v>
      </c>
      <c r="I2156" t="str">
        <f>"Q "&amp;tbl_Kalender[[#This Row],[Quartal]]</f>
        <v>Q 4</v>
      </c>
      <c r="J2156" t="str">
        <f>tbl_Kalender[[#This Row],[Quartal]]&amp;". Quartal"</f>
        <v>4. Quartal</v>
      </c>
      <c r="K2156">
        <f>_xlfn.ISOWEEKNUM(tbl_Kalender[[#This Row],[Datum]])</f>
        <v>47</v>
      </c>
    </row>
    <row r="2157" spans="1:11" x14ac:dyDescent="0.25">
      <c r="A2157" s="1">
        <v>47447</v>
      </c>
      <c r="B2157">
        <f>YEAR(tbl_Kalender[[#This Row],[Datum]])</f>
        <v>2029</v>
      </c>
      <c r="C2157">
        <f>DAY(tbl_Kalender[[#This Row],[Datum]])</f>
        <v>25</v>
      </c>
      <c r="D2157" t="str">
        <f>TEXT(tbl_Kalender[[#This Row],[Datum]],"TTTT")</f>
        <v>Sonntag</v>
      </c>
      <c r="E2157">
        <f>WEEKDAY(tbl_Kalender[[#This Row],[Datum]],2)</f>
        <v>7</v>
      </c>
      <c r="F2157">
        <f>MONTH(tbl_Kalender[[#This Row],[Datum]])</f>
        <v>11</v>
      </c>
      <c r="G2157" t="str">
        <f>TEXT(tbl_Kalender[[#This Row],[Datum]],"MMMM")</f>
        <v>November</v>
      </c>
      <c r="H2157">
        <f>ROUNDUP(tbl_Kalender[[#This Row],[Monat]]/3,0)</f>
        <v>4</v>
      </c>
      <c r="I2157" t="str">
        <f>"Q "&amp;tbl_Kalender[[#This Row],[Quartal]]</f>
        <v>Q 4</v>
      </c>
      <c r="J2157" t="str">
        <f>tbl_Kalender[[#This Row],[Quartal]]&amp;". Quartal"</f>
        <v>4. Quartal</v>
      </c>
      <c r="K2157">
        <f>_xlfn.ISOWEEKNUM(tbl_Kalender[[#This Row],[Datum]])</f>
        <v>47</v>
      </c>
    </row>
    <row r="2158" spans="1:11" x14ac:dyDescent="0.25">
      <c r="A2158" s="1">
        <v>47448</v>
      </c>
      <c r="B2158">
        <f>YEAR(tbl_Kalender[[#This Row],[Datum]])</f>
        <v>2029</v>
      </c>
      <c r="C2158">
        <f>DAY(tbl_Kalender[[#This Row],[Datum]])</f>
        <v>26</v>
      </c>
      <c r="D2158" t="str">
        <f>TEXT(tbl_Kalender[[#This Row],[Datum]],"TTTT")</f>
        <v>Montag</v>
      </c>
      <c r="E2158">
        <f>WEEKDAY(tbl_Kalender[[#This Row],[Datum]],2)</f>
        <v>1</v>
      </c>
      <c r="F2158">
        <f>MONTH(tbl_Kalender[[#This Row],[Datum]])</f>
        <v>11</v>
      </c>
      <c r="G2158" t="str">
        <f>TEXT(tbl_Kalender[[#This Row],[Datum]],"MMMM")</f>
        <v>November</v>
      </c>
      <c r="H2158">
        <f>ROUNDUP(tbl_Kalender[[#This Row],[Monat]]/3,0)</f>
        <v>4</v>
      </c>
      <c r="I2158" t="str">
        <f>"Q "&amp;tbl_Kalender[[#This Row],[Quartal]]</f>
        <v>Q 4</v>
      </c>
      <c r="J2158" t="str">
        <f>tbl_Kalender[[#This Row],[Quartal]]&amp;". Quartal"</f>
        <v>4. Quartal</v>
      </c>
      <c r="K2158">
        <f>_xlfn.ISOWEEKNUM(tbl_Kalender[[#This Row],[Datum]])</f>
        <v>48</v>
      </c>
    </row>
    <row r="2159" spans="1:11" x14ac:dyDescent="0.25">
      <c r="A2159" s="1">
        <v>47449</v>
      </c>
      <c r="B2159">
        <f>YEAR(tbl_Kalender[[#This Row],[Datum]])</f>
        <v>2029</v>
      </c>
      <c r="C2159">
        <f>DAY(tbl_Kalender[[#This Row],[Datum]])</f>
        <v>27</v>
      </c>
      <c r="D2159" t="str">
        <f>TEXT(tbl_Kalender[[#This Row],[Datum]],"TTTT")</f>
        <v>Dienstag</v>
      </c>
      <c r="E2159">
        <f>WEEKDAY(tbl_Kalender[[#This Row],[Datum]],2)</f>
        <v>2</v>
      </c>
      <c r="F2159">
        <f>MONTH(tbl_Kalender[[#This Row],[Datum]])</f>
        <v>11</v>
      </c>
      <c r="G2159" t="str">
        <f>TEXT(tbl_Kalender[[#This Row],[Datum]],"MMMM")</f>
        <v>November</v>
      </c>
      <c r="H2159">
        <f>ROUNDUP(tbl_Kalender[[#This Row],[Monat]]/3,0)</f>
        <v>4</v>
      </c>
      <c r="I2159" t="str">
        <f>"Q "&amp;tbl_Kalender[[#This Row],[Quartal]]</f>
        <v>Q 4</v>
      </c>
      <c r="J2159" t="str">
        <f>tbl_Kalender[[#This Row],[Quartal]]&amp;". Quartal"</f>
        <v>4. Quartal</v>
      </c>
      <c r="K2159">
        <f>_xlfn.ISOWEEKNUM(tbl_Kalender[[#This Row],[Datum]])</f>
        <v>48</v>
      </c>
    </row>
    <row r="2160" spans="1:11" x14ac:dyDescent="0.25">
      <c r="A2160" s="1">
        <v>47450</v>
      </c>
      <c r="B2160">
        <f>YEAR(tbl_Kalender[[#This Row],[Datum]])</f>
        <v>2029</v>
      </c>
      <c r="C2160">
        <f>DAY(tbl_Kalender[[#This Row],[Datum]])</f>
        <v>28</v>
      </c>
      <c r="D2160" t="str">
        <f>TEXT(tbl_Kalender[[#This Row],[Datum]],"TTTT")</f>
        <v>Mittwoch</v>
      </c>
      <c r="E2160">
        <f>WEEKDAY(tbl_Kalender[[#This Row],[Datum]],2)</f>
        <v>3</v>
      </c>
      <c r="F2160">
        <f>MONTH(tbl_Kalender[[#This Row],[Datum]])</f>
        <v>11</v>
      </c>
      <c r="G2160" t="str">
        <f>TEXT(tbl_Kalender[[#This Row],[Datum]],"MMMM")</f>
        <v>November</v>
      </c>
      <c r="H2160">
        <f>ROUNDUP(tbl_Kalender[[#This Row],[Monat]]/3,0)</f>
        <v>4</v>
      </c>
      <c r="I2160" t="str">
        <f>"Q "&amp;tbl_Kalender[[#This Row],[Quartal]]</f>
        <v>Q 4</v>
      </c>
      <c r="J2160" t="str">
        <f>tbl_Kalender[[#This Row],[Quartal]]&amp;". Quartal"</f>
        <v>4. Quartal</v>
      </c>
      <c r="K2160">
        <f>_xlfn.ISOWEEKNUM(tbl_Kalender[[#This Row],[Datum]])</f>
        <v>48</v>
      </c>
    </row>
    <row r="2161" spans="1:11" x14ac:dyDescent="0.25">
      <c r="A2161" s="1">
        <v>47451</v>
      </c>
      <c r="B2161">
        <f>YEAR(tbl_Kalender[[#This Row],[Datum]])</f>
        <v>2029</v>
      </c>
      <c r="C2161">
        <f>DAY(tbl_Kalender[[#This Row],[Datum]])</f>
        <v>29</v>
      </c>
      <c r="D2161" t="str">
        <f>TEXT(tbl_Kalender[[#This Row],[Datum]],"TTTT")</f>
        <v>Donnerstag</v>
      </c>
      <c r="E2161">
        <f>WEEKDAY(tbl_Kalender[[#This Row],[Datum]],2)</f>
        <v>4</v>
      </c>
      <c r="F2161">
        <f>MONTH(tbl_Kalender[[#This Row],[Datum]])</f>
        <v>11</v>
      </c>
      <c r="G2161" t="str">
        <f>TEXT(tbl_Kalender[[#This Row],[Datum]],"MMMM")</f>
        <v>November</v>
      </c>
      <c r="H2161">
        <f>ROUNDUP(tbl_Kalender[[#This Row],[Monat]]/3,0)</f>
        <v>4</v>
      </c>
      <c r="I2161" t="str">
        <f>"Q "&amp;tbl_Kalender[[#This Row],[Quartal]]</f>
        <v>Q 4</v>
      </c>
      <c r="J2161" t="str">
        <f>tbl_Kalender[[#This Row],[Quartal]]&amp;". Quartal"</f>
        <v>4. Quartal</v>
      </c>
      <c r="K2161">
        <f>_xlfn.ISOWEEKNUM(tbl_Kalender[[#This Row],[Datum]])</f>
        <v>48</v>
      </c>
    </row>
    <row r="2162" spans="1:11" x14ac:dyDescent="0.25">
      <c r="A2162" s="1">
        <v>47452</v>
      </c>
      <c r="B2162">
        <f>YEAR(tbl_Kalender[[#This Row],[Datum]])</f>
        <v>2029</v>
      </c>
      <c r="C2162">
        <f>DAY(tbl_Kalender[[#This Row],[Datum]])</f>
        <v>30</v>
      </c>
      <c r="D2162" t="str">
        <f>TEXT(tbl_Kalender[[#This Row],[Datum]],"TTTT")</f>
        <v>Freitag</v>
      </c>
      <c r="E2162">
        <f>WEEKDAY(tbl_Kalender[[#This Row],[Datum]],2)</f>
        <v>5</v>
      </c>
      <c r="F2162">
        <f>MONTH(tbl_Kalender[[#This Row],[Datum]])</f>
        <v>11</v>
      </c>
      <c r="G2162" t="str">
        <f>TEXT(tbl_Kalender[[#This Row],[Datum]],"MMMM")</f>
        <v>November</v>
      </c>
      <c r="H2162">
        <f>ROUNDUP(tbl_Kalender[[#This Row],[Monat]]/3,0)</f>
        <v>4</v>
      </c>
      <c r="I2162" t="str">
        <f>"Q "&amp;tbl_Kalender[[#This Row],[Quartal]]</f>
        <v>Q 4</v>
      </c>
      <c r="J2162" t="str">
        <f>tbl_Kalender[[#This Row],[Quartal]]&amp;". Quartal"</f>
        <v>4. Quartal</v>
      </c>
      <c r="K2162">
        <f>_xlfn.ISOWEEKNUM(tbl_Kalender[[#This Row],[Datum]])</f>
        <v>48</v>
      </c>
    </row>
    <row r="2163" spans="1:11" x14ac:dyDescent="0.25">
      <c r="A2163" s="1">
        <v>47453</v>
      </c>
      <c r="B2163">
        <f>YEAR(tbl_Kalender[[#This Row],[Datum]])</f>
        <v>2029</v>
      </c>
      <c r="C2163">
        <f>DAY(tbl_Kalender[[#This Row],[Datum]])</f>
        <v>1</v>
      </c>
      <c r="D2163" t="str">
        <f>TEXT(tbl_Kalender[[#This Row],[Datum]],"TTTT")</f>
        <v>Samstag</v>
      </c>
      <c r="E2163">
        <f>WEEKDAY(tbl_Kalender[[#This Row],[Datum]],2)</f>
        <v>6</v>
      </c>
      <c r="F2163">
        <f>MONTH(tbl_Kalender[[#This Row],[Datum]])</f>
        <v>12</v>
      </c>
      <c r="G2163" t="str">
        <f>TEXT(tbl_Kalender[[#This Row],[Datum]],"MMMM")</f>
        <v>Dezember</v>
      </c>
      <c r="H2163">
        <f>ROUNDUP(tbl_Kalender[[#This Row],[Monat]]/3,0)</f>
        <v>4</v>
      </c>
      <c r="I2163" t="str">
        <f>"Q "&amp;tbl_Kalender[[#This Row],[Quartal]]</f>
        <v>Q 4</v>
      </c>
      <c r="J2163" t="str">
        <f>tbl_Kalender[[#This Row],[Quartal]]&amp;". Quartal"</f>
        <v>4. Quartal</v>
      </c>
      <c r="K2163">
        <f>_xlfn.ISOWEEKNUM(tbl_Kalender[[#This Row],[Datum]])</f>
        <v>48</v>
      </c>
    </row>
    <row r="2164" spans="1:11" x14ac:dyDescent="0.25">
      <c r="A2164" s="1">
        <v>47454</v>
      </c>
      <c r="B2164">
        <f>YEAR(tbl_Kalender[[#This Row],[Datum]])</f>
        <v>2029</v>
      </c>
      <c r="C2164">
        <f>DAY(tbl_Kalender[[#This Row],[Datum]])</f>
        <v>2</v>
      </c>
      <c r="D2164" t="str">
        <f>TEXT(tbl_Kalender[[#This Row],[Datum]],"TTTT")</f>
        <v>Sonntag</v>
      </c>
      <c r="E2164">
        <f>WEEKDAY(tbl_Kalender[[#This Row],[Datum]],2)</f>
        <v>7</v>
      </c>
      <c r="F2164">
        <f>MONTH(tbl_Kalender[[#This Row],[Datum]])</f>
        <v>12</v>
      </c>
      <c r="G2164" t="str">
        <f>TEXT(tbl_Kalender[[#This Row],[Datum]],"MMMM")</f>
        <v>Dezember</v>
      </c>
      <c r="H2164">
        <f>ROUNDUP(tbl_Kalender[[#This Row],[Monat]]/3,0)</f>
        <v>4</v>
      </c>
      <c r="I2164" t="str">
        <f>"Q "&amp;tbl_Kalender[[#This Row],[Quartal]]</f>
        <v>Q 4</v>
      </c>
      <c r="J2164" t="str">
        <f>tbl_Kalender[[#This Row],[Quartal]]&amp;". Quartal"</f>
        <v>4. Quartal</v>
      </c>
      <c r="K2164">
        <f>_xlfn.ISOWEEKNUM(tbl_Kalender[[#This Row],[Datum]])</f>
        <v>48</v>
      </c>
    </row>
    <row r="2165" spans="1:11" x14ac:dyDescent="0.25">
      <c r="A2165" s="1">
        <v>47455</v>
      </c>
      <c r="B2165">
        <f>YEAR(tbl_Kalender[[#This Row],[Datum]])</f>
        <v>2029</v>
      </c>
      <c r="C2165">
        <f>DAY(tbl_Kalender[[#This Row],[Datum]])</f>
        <v>3</v>
      </c>
      <c r="D2165" t="str">
        <f>TEXT(tbl_Kalender[[#This Row],[Datum]],"TTTT")</f>
        <v>Montag</v>
      </c>
      <c r="E2165">
        <f>WEEKDAY(tbl_Kalender[[#This Row],[Datum]],2)</f>
        <v>1</v>
      </c>
      <c r="F2165">
        <f>MONTH(tbl_Kalender[[#This Row],[Datum]])</f>
        <v>12</v>
      </c>
      <c r="G2165" t="str">
        <f>TEXT(tbl_Kalender[[#This Row],[Datum]],"MMMM")</f>
        <v>Dezember</v>
      </c>
      <c r="H2165">
        <f>ROUNDUP(tbl_Kalender[[#This Row],[Monat]]/3,0)</f>
        <v>4</v>
      </c>
      <c r="I2165" t="str">
        <f>"Q "&amp;tbl_Kalender[[#This Row],[Quartal]]</f>
        <v>Q 4</v>
      </c>
      <c r="J2165" t="str">
        <f>tbl_Kalender[[#This Row],[Quartal]]&amp;". Quartal"</f>
        <v>4. Quartal</v>
      </c>
      <c r="K2165">
        <f>_xlfn.ISOWEEKNUM(tbl_Kalender[[#This Row],[Datum]])</f>
        <v>49</v>
      </c>
    </row>
    <row r="2166" spans="1:11" x14ac:dyDescent="0.25">
      <c r="A2166" s="1">
        <v>47456</v>
      </c>
      <c r="B2166">
        <f>YEAR(tbl_Kalender[[#This Row],[Datum]])</f>
        <v>2029</v>
      </c>
      <c r="C2166">
        <f>DAY(tbl_Kalender[[#This Row],[Datum]])</f>
        <v>4</v>
      </c>
      <c r="D2166" t="str">
        <f>TEXT(tbl_Kalender[[#This Row],[Datum]],"TTTT")</f>
        <v>Dienstag</v>
      </c>
      <c r="E2166">
        <f>WEEKDAY(tbl_Kalender[[#This Row],[Datum]],2)</f>
        <v>2</v>
      </c>
      <c r="F2166">
        <f>MONTH(tbl_Kalender[[#This Row],[Datum]])</f>
        <v>12</v>
      </c>
      <c r="G2166" t="str">
        <f>TEXT(tbl_Kalender[[#This Row],[Datum]],"MMMM")</f>
        <v>Dezember</v>
      </c>
      <c r="H2166">
        <f>ROUNDUP(tbl_Kalender[[#This Row],[Monat]]/3,0)</f>
        <v>4</v>
      </c>
      <c r="I2166" t="str">
        <f>"Q "&amp;tbl_Kalender[[#This Row],[Quartal]]</f>
        <v>Q 4</v>
      </c>
      <c r="J2166" t="str">
        <f>tbl_Kalender[[#This Row],[Quartal]]&amp;". Quartal"</f>
        <v>4. Quartal</v>
      </c>
      <c r="K2166">
        <f>_xlfn.ISOWEEKNUM(tbl_Kalender[[#This Row],[Datum]])</f>
        <v>49</v>
      </c>
    </row>
    <row r="2167" spans="1:11" x14ac:dyDescent="0.25">
      <c r="A2167" s="1">
        <v>47457</v>
      </c>
      <c r="B2167">
        <f>YEAR(tbl_Kalender[[#This Row],[Datum]])</f>
        <v>2029</v>
      </c>
      <c r="C2167">
        <f>DAY(tbl_Kalender[[#This Row],[Datum]])</f>
        <v>5</v>
      </c>
      <c r="D2167" t="str">
        <f>TEXT(tbl_Kalender[[#This Row],[Datum]],"TTTT")</f>
        <v>Mittwoch</v>
      </c>
      <c r="E2167">
        <f>WEEKDAY(tbl_Kalender[[#This Row],[Datum]],2)</f>
        <v>3</v>
      </c>
      <c r="F2167">
        <f>MONTH(tbl_Kalender[[#This Row],[Datum]])</f>
        <v>12</v>
      </c>
      <c r="G2167" t="str">
        <f>TEXT(tbl_Kalender[[#This Row],[Datum]],"MMMM")</f>
        <v>Dezember</v>
      </c>
      <c r="H2167">
        <f>ROUNDUP(tbl_Kalender[[#This Row],[Monat]]/3,0)</f>
        <v>4</v>
      </c>
      <c r="I2167" t="str">
        <f>"Q "&amp;tbl_Kalender[[#This Row],[Quartal]]</f>
        <v>Q 4</v>
      </c>
      <c r="J2167" t="str">
        <f>tbl_Kalender[[#This Row],[Quartal]]&amp;". Quartal"</f>
        <v>4. Quartal</v>
      </c>
      <c r="K2167">
        <f>_xlfn.ISOWEEKNUM(tbl_Kalender[[#This Row],[Datum]])</f>
        <v>49</v>
      </c>
    </row>
    <row r="2168" spans="1:11" x14ac:dyDescent="0.25">
      <c r="A2168" s="1">
        <v>47458</v>
      </c>
      <c r="B2168">
        <f>YEAR(tbl_Kalender[[#This Row],[Datum]])</f>
        <v>2029</v>
      </c>
      <c r="C2168">
        <f>DAY(tbl_Kalender[[#This Row],[Datum]])</f>
        <v>6</v>
      </c>
      <c r="D2168" t="str">
        <f>TEXT(tbl_Kalender[[#This Row],[Datum]],"TTTT")</f>
        <v>Donnerstag</v>
      </c>
      <c r="E2168">
        <f>WEEKDAY(tbl_Kalender[[#This Row],[Datum]],2)</f>
        <v>4</v>
      </c>
      <c r="F2168">
        <f>MONTH(tbl_Kalender[[#This Row],[Datum]])</f>
        <v>12</v>
      </c>
      <c r="G2168" t="str">
        <f>TEXT(tbl_Kalender[[#This Row],[Datum]],"MMMM")</f>
        <v>Dezember</v>
      </c>
      <c r="H2168">
        <f>ROUNDUP(tbl_Kalender[[#This Row],[Monat]]/3,0)</f>
        <v>4</v>
      </c>
      <c r="I2168" t="str">
        <f>"Q "&amp;tbl_Kalender[[#This Row],[Quartal]]</f>
        <v>Q 4</v>
      </c>
      <c r="J2168" t="str">
        <f>tbl_Kalender[[#This Row],[Quartal]]&amp;". Quartal"</f>
        <v>4. Quartal</v>
      </c>
      <c r="K2168">
        <f>_xlfn.ISOWEEKNUM(tbl_Kalender[[#This Row],[Datum]])</f>
        <v>49</v>
      </c>
    </row>
    <row r="2169" spans="1:11" x14ac:dyDescent="0.25">
      <c r="A2169" s="1">
        <v>47459</v>
      </c>
      <c r="B2169">
        <f>YEAR(tbl_Kalender[[#This Row],[Datum]])</f>
        <v>2029</v>
      </c>
      <c r="C2169">
        <f>DAY(tbl_Kalender[[#This Row],[Datum]])</f>
        <v>7</v>
      </c>
      <c r="D2169" t="str">
        <f>TEXT(tbl_Kalender[[#This Row],[Datum]],"TTTT")</f>
        <v>Freitag</v>
      </c>
      <c r="E2169">
        <f>WEEKDAY(tbl_Kalender[[#This Row],[Datum]],2)</f>
        <v>5</v>
      </c>
      <c r="F2169">
        <f>MONTH(tbl_Kalender[[#This Row],[Datum]])</f>
        <v>12</v>
      </c>
      <c r="G2169" t="str">
        <f>TEXT(tbl_Kalender[[#This Row],[Datum]],"MMMM")</f>
        <v>Dezember</v>
      </c>
      <c r="H2169">
        <f>ROUNDUP(tbl_Kalender[[#This Row],[Monat]]/3,0)</f>
        <v>4</v>
      </c>
      <c r="I2169" t="str">
        <f>"Q "&amp;tbl_Kalender[[#This Row],[Quartal]]</f>
        <v>Q 4</v>
      </c>
      <c r="J2169" t="str">
        <f>tbl_Kalender[[#This Row],[Quartal]]&amp;". Quartal"</f>
        <v>4. Quartal</v>
      </c>
      <c r="K2169">
        <f>_xlfn.ISOWEEKNUM(tbl_Kalender[[#This Row],[Datum]])</f>
        <v>49</v>
      </c>
    </row>
    <row r="2170" spans="1:11" x14ac:dyDescent="0.25">
      <c r="A2170" s="1">
        <v>47460</v>
      </c>
      <c r="B2170">
        <f>YEAR(tbl_Kalender[[#This Row],[Datum]])</f>
        <v>2029</v>
      </c>
      <c r="C2170">
        <f>DAY(tbl_Kalender[[#This Row],[Datum]])</f>
        <v>8</v>
      </c>
      <c r="D2170" t="str">
        <f>TEXT(tbl_Kalender[[#This Row],[Datum]],"TTTT")</f>
        <v>Samstag</v>
      </c>
      <c r="E2170">
        <f>WEEKDAY(tbl_Kalender[[#This Row],[Datum]],2)</f>
        <v>6</v>
      </c>
      <c r="F2170">
        <f>MONTH(tbl_Kalender[[#This Row],[Datum]])</f>
        <v>12</v>
      </c>
      <c r="G2170" t="str">
        <f>TEXT(tbl_Kalender[[#This Row],[Datum]],"MMMM")</f>
        <v>Dezember</v>
      </c>
      <c r="H2170">
        <f>ROUNDUP(tbl_Kalender[[#This Row],[Monat]]/3,0)</f>
        <v>4</v>
      </c>
      <c r="I2170" t="str">
        <f>"Q "&amp;tbl_Kalender[[#This Row],[Quartal]]</f>
        <v>Q 4</v>
      </c>
      <c r="J2170" t="str">
        <f>tbl_Kalender[[#This Row],[Quartal]]&amp;". Quartal"</f>
        <v>4. Quartal</v>
      </c>
      <c r="K2170">
        <f>_xlfn.ISOWEEKNUM(tbl_Kalender[[#This Row],[Datum]])</f>
        <v>49</v>
      </c>
    </row>
    <row r="2171" spans="1:11" x14ac:dyDescent="0.25">
      <c r="A2171" s="1">
        <v>47461</v>
      </c>
      <c r="B2171">
        <f>YEAR(tbl_Kalender[[#This Row],[Datum]])</f>
        <v>2029</v>
      </c>
      <c r="C2171">
        <f>DAY(tbl_Kalender[[#This Row],[Datum]])</f>
        <v>9</v>
      </c>
      <c r="D2171" t="str">
        <f>TEXT(tbl_Kalender[[#This Row],[Datum]],"TTTT")</f>
        <v>Sonntag</v>
      </c>
      <c r="E2171">
        <f>WEEKDAY(tbl_Kalender[[#This Row],[Datum]],2)</f>
        <v>7</v>
      </c>
      <c r="F2171">
        <f>MONTH(tbl_Kalender[[#This Row],[Datum]])</f>
        <v>12</v>
      </c>
      <c r="G2171" t="str">
        <f>TEXT(tbl_Kalender[[#This Row],[Datum]],"MMMM")</f>
        <v>Dezember</v>
      </c>
      <c r="H2171">
        <f>ROUNDUP(tbl_Kalender[[#This Row],[Monat]]/3,0)</f>
        <v>4</v>
      </c>
      <c r="I2171" t="str">
        <f>"Q "&amp;tbl_Kalender[[#This Row],[Quartal]]</f>
        <v>Q 4</v>
      </c>
      <c r="J2171" t="str">
        <f>tbl_Kalender[[#This Row],[Quartal]]&amp;". Quartal"</f>
        <v>4. Quartal</v>
      </c>
      <c r="K2171">
        <f>_xlfn.ISOWEEKNUM(tbl_Kalender[[#This Row],[Datum]])</f>
        <v>49</v>
      </c>
    </row>
    <row r="2172" spans="1:11" x14ac:dyDescent="0.25">
      <c r="A2172" s="1">
        <v>47462</v>
      </c>
      <c r="B2172">
        <f>YEAR(tbl_Kalender[[#This Row],[Datum]])</f>
        <v>2029</v>
      </c>
      <c r="C2172">
        <f>DAY(tbl_Kalender[[#This Row],[Datum]])</f>
        <v>10</v>
      </c>
      <c r="D2172" t="str">
        <f>TEXT(tbl_Kalender[[#This Row],[Datum]],"TTTT")</f>
        <v>Montag</v>
      </c>
      <c r="E2172">
        <f>WEEKDAY(tbl_Kalender[[#This Row],[Datum]],2)</f>
        <v>1</v>
      </c>
      <c r="F2172">
        <f>MONTH(tbl_Kalender[[#This Row],[Datum]])</f>
        <v>12</v>
      </c>
      <c r="G2172" t="str">
        <f>TEXT(tbl_Kalender[[#This Row],[Datum]],"MMMM")</f>
        <v>Dezember</v>
      </c>
      <c r="H2172">
        <f>ROUNDUP(tbl_Kalender[[#This Row],[Monat]]/3,0)</f>
        <v>4</v>
      </c>
      <c r="I2172" t="str">
        <f>"Q "&amp;tbl_Kalender[[#This Row],[Quartal]]</f>
        <v>Q 4</v>
      </c>
      <c r="J2172" t="str">
        <f>tbl_Kalender[[#This Row],[Quartal]]&amp;". Quartal"</f>
        <v>4. Quartal</v>
      </c>
      <c r="K2172">
        <f>_xlfn.ISOWEEKNUM(tbl_Kalender[[#This Row],[Datum]])</f>
        <v>50</v>
      </c>
    </row>
    <row r="2173" spans="1:11" x14ac:dyDescent="0.25">
      <c r="A2173" s="1">
        <v>47463</v>
      </c>
      <c r="B2173">
        <f>YEAR(tbl_Kalender[[#This Row],[Datum]])</f>
        <v>2029</v>
      </c>
      <c r="C2173">
        <f>DAY(tbl_Kalender[[#This Row],[Datum]])</f>
        <v>11</v>
      </c>
      <c r="D2173" t="str">
        <f>TEXT(tbl_Kalender[[#This Row],[Datum]],"TTTT")</f>
        <v>Dienstag</v>
      </c>
      <c r="E2173">
        <f>WEEKDAY(tbl_Kalender[[#This Row],[Datum]],2)</f>
        <v>2</v>
      </c>
      <c r="F2173">
        <f>MONTH(tbl_Kalender[[#This Row],[Datum]])</f>
        <v>12</v>
      </c>
      <c r="G2173" t="str">
        <f>TEXT(tbl_Kalender[[#This Row],[Datum]],"MMMM")</f>
        <v>Dezember</v>
      </c>
      <c r="H2173">
        <f>ROUNDUP(tbl_Kalender[[#This Row],[Monat]]/3,0)</f>
        <v>4</v>
      </c>
      <c r="I2173" t="str">
        <f>"Q "&amp;tbl_Kalender[[#This Row],[Quartal]]</f>
        <v>Q 4</v>
      </c>
      <c r="J2173" t="str">
        <f>tbl_Kalender[[#This Row],[Quartal]]&amp;". Quartal"</f>
        <v>4. Quartal</v>
      </c>
      <c r="K2173">
        <f>_xlfn.ISOWEEKNUM(tbl_Kalender[[#This Row],[Datum]])</f>
        <v>50</v>
      </c>
    </row>
    <row r="2174" spans="1:11" x14ac:dyDescent="0.25">
      <c r="A2174" s="1">
        <v>47464</v>
      </c>
      <c r="B2174">
        <f>YEAR(tbl_Kalender[[#This Row],[Datum]])</f>
        <v>2029</v>
      </c>
      <c r="C2174">
        <f>DAY(tbl_Kalender[[#This Row],[Datum]])</f>
        <v>12</v>
      </c>
      <c r="D2174" t="str">
        <f>TEXT(tbl_Kalender[[#This Row],[Datum]],"TTTT")</f>
        <v>Mittwoch</v>
      </c>
      <c r="E2174">
        <f>WEEKDAY(tbl_Kalender[[#This Row],[Datum]],2)</f>
        <v>3</v>
      </c>
      <c r="F2174">
        <f>MONTH(tbl_Kalender[[#This Row],[Datum]])</f>
        <v>12</v>
      </c>
      <c r="G2174" t="str">
        <f>TEXT(tbl_Kalender[[#This Row],[Datum]],"MMMM")</f>
        <v>Dezember</v>
      </c>
      <c r="H2174">
        <f>ROUNDUP(tbl_Kalender[[#This Row],[Monat]]/3,0)</f>
        <v>4</v>
      </c>
      <c r="I2174" t="str">
        <f>"Q "&amp;tbl_Kalender[[#This Row],[Quartal]]</f>
        <v>Q 4</v>
      </c>
      <c r="J2174" t="str">
        <f>tbl_Kalender[[#This Row],[Quartal]]&amp;". Quartal"</f>
        <v>4. Quartal</v>
      </c>
      <c r="K2174">
        <f>_xlfn.ISOWEEKNUM(tbl_Kalender[[#This Row],[Datum]])</f>
        <v>50</v>
      </c>
    </row>
    <row r="2175" spans="1:11" x14ac:dyDescent="0.25">
      <c r="A2175" s="1">
        <v>47465</v>
      </c>
      <c r="B2175">
        <f>YEAR(tbl_Kalender[[#This Row],[Datum]])</f>
        <v>2029</v>
      </c>
      <c r="C2175">
        <f>DAY(tbl_Kalender[[#This Row],[Datum]])</f>
        <v>13</v>
      </c>
      <c r="D2175" t="str">
        <f>TEXT(tbl_Kalender[[#This Row],[Datum]],"TTTT")</f>
        <v>Donnerstag</v>
      </c>
      <c r="E2175">
        <f>WEEKDAY(tbl_Kalender[[#This Row],[Datum]],2)</f>
        <v>4</v>
      </c>
      <c r="F2175">
        <f>MONTH(tbl_Kalender[[#This Row],[Datum]])</f>
        <v>12</v>
      </c>
      <c r="G2175" t="str">
        <f>TEXT(tbl_Kalender[[#This Row],[Datum]],"MMMM")</f>
        <v>Dezember</v>
      </c>
      <c r="H2175">
        <f>ROUNDUP(tbl_Kalender[[#This Row],[Monat]]/3,0)</f>
        <v>4</v>
      </c>
      <c r="I2175" t="str">
        <f>"Q "&amp;tbl_Kalender[[#This Row],[Quartal]]</f>
        <v>Q 4</v>
      </c>
      <c r="J2175" t="str">
        <f>tbl_Kalender[[#This Row],[Quartal]]&amp;". Quartal"</f>
        <v>4. Quartal</v>
      </c>
      <c r="K2175">
        <f>_xlfn.ISOWEEKNUM(tbl_Kalender[[#This Row],[Datum]])</f>
        <v>50</v>
      </c>
    </row>
    <row r="2176" spans="1:11" x14ac:dyDescent="0.25">
      <c r="A2176" s="1">
        <v>47466</v>
      </c>
      <c r="B2176">
        <f>YEAR(tbl_Kalender[[#This Row],[Datum]])</f>
        <v>2029</v>
      </c>
      <c r="C2176">
        <f>DAY(tbl_Kalender[[#This Row],[Datum]])</f>
        <v>14</v>
      </c>
      <c r="D2176" t="str">
        <f>TEXT(tbl_Kalender[[#This Row],[Datum]],"TTTT")</f>
        <v>Freitag</v>
      </c>
      <c r="E2176">
        <f>WEEKDAY(tbl_Kalender[[#This Row],[Datum]],2)</f>
        <v>5</v>
      </c>
      <c r="F2176">
        <f>MONTH(tbl_Kalender[[#This Row],[Datum]])</f>
        <v>12</v>
      </c>
      <c r="G2176" t="str">
        <f>TEXT(tbl_Kalender[[#This Row],[Datum]],"MMMM")</f>
        <v>Dezember</v>
      </c>
      <c r="H2176">
        <f>ROUNDUP(tbl_Kalender[[#This Row],[Monat]]/3,0)</f>
        <v>4</v>
      </c>
      <c r="I2176" t="str">
        <f>"Q "&amp;tbl_Kalender[[#This Row],[Quartal]]</f>
        <v>Q 4</v>
      </c>
      <c r="J2176" t="str">
        <f>tbl_Kalender[[#This Row],[Quartal]]&amp;". Quartal"</f>
        <v>4. Quartal</v>
      </c>
      <c r="K2176">
        <f>_xlfn.ISOWEEKNUM(tbl_Kalender[[#This Row],[Datum]])</f>
        <v>50</v>
      </c>
    </row>
    <row r="2177" spans="1:11" x14ac:dyDescent="0.25">
      <c r="A2177" s="1">
        <v>47467</v>
      </c>
      <c r="B2177">
        <f>YEAR(tbl_Kalender[[#This Row],[Datum]])</f>
        <v>2029</v>
      </c>
      <c r="C2177">
        <f>DAY(tbl_Kalender[[#This Row],[Datum]])</f>
        <v>15</v>
      </c>
      <c r="D2177" t="str">
        <f>TEXT(tbl_Kalender[[#This Row],[Datum]],"TTTT")</f>
        <v>Samstag</v>
      </c>
      <c r="E2177">
        <f>WEEKDAY(tbl_Kalender[[#This Row],[Datum]],2)</f>
        <v>6</v>
      </c>
      <c r="F2177">
        <f>MONTH(tbl_Kalender[[#This Row],[Datum]])</f>
        <v>12</v>
      </c>
      <c r="G2177" t="str">
        <f>TEXT(tbl_Kalender[[#This Row],[Datum]],"MMMM")</f>
        <v>Dezember</v>
      </c>
      <c r="H2177">
        <f>ROUNDUP(tbl_Kalender[[#This Row],[Monat]]/3,0)</f>
        <v>4</v>
      </c>
      <c r="I2177" t="str">
        <f>"Q "&amp;tbl_Kalender[[#This Row],[Quartal]]</f>
        <v>Q 4</v>
      </c>
      <c r="J2177" t="str">
        <f>tbl_Kalender[[#This Row],[Quartal]]&amp;". Quartal"</f>
        <v>4. Quartal</v>
      </c>
      <c r="K2177">
        <f>_xlfn.ISOWEEKNUM(tbl_Kalender[[#This Row],[Datum]])</f>
        <v>50</v>
      </c>
    </row>
    <row r="2178" spans="1:11" x14ac:dyDescent="0.25">
      <c r="A2178" s="1">
        <v>47468</v>
      </c>
      <c r="B2178">
        <f>YEAR(tbl_Kalender[[#This Row],[Datum]])</f>
        <v>2029</v>
      </c>
      <c r="C2178">
        <f>DAY(tbl_Kalender[[#This Row],[Datum]])</f>
        <v>16</v>
      </c>
      <c r="D2178" t="str">
        <f>TEXT(tbl_Kalender[[#This Row],[Datum]],"TTTT")</f>
        <v>Sonntag</v>
      </c>
      <c r="E2178">
        <f>WEEKDAY(tbl_Kalender[[#This Row],[Datum]],2)</f>
        <v>7</v>
      </c>
      <c r="F2178">
        <f>MONTH(tbl_Kalender[[#This Row],[Datum]])</f>
        <v>12</v>
      </c>
      <c r="G2178" t="str">
        <f>TEXT(tbl_Kalender[[#This Row],[Datum]],"MMMM")</f>
        <v>Dezember</v>
      </c>
      <c r="H2178">
        <f>ROUNDUP(tbl_Kalender[[#This Row],[Monat]]/3,0)</f>
        <v>4</v>
      </c>
      <c r="I2178" t="str">
        <f>"Q "&amp;tbl_Kalender[[#This Row],[Quartal]]</f>
        <v>Q 4</v>
      </c>
      <c r="J2178" t="str">
        <f>tbl_Kalender[[#This Row],[Quartal]]&amp;". Quartal"</f>
        <v>4. Quartal</v>
      </c>
      <c r="K2178">
        <f>_xlfn.ISOWEEKNUM(tbl_Kalender[[#This Row],[Datum]])</f>
        <v>50</v>
      </c>
    </row>
    <row r="2179" spans="1:11" x14ac:dyDescent="0.25">
      <c r="A2179" s="1">
        <v>47469</v>
      </c>
      <c r="B2179">
        <f>YEAR(tbl_Kalender[[#This Row],[Datum]])</f>
        <v>2029</v>
      </c>
      <c r="C2179">
        <f>DAY(tbl_Kalender[[#This Row],[Datum]])</f>
        <v>17</v>
      </c>
      <c r="D2179" t="str">
        <f>TEXT(tbl_Kalender[[#This Row],[Datum]],"TTTT")</f>
        <v>Montag</v>
      </c>
      <c r="E2179">
        <f>WEEKDAY(tbl_Kalender[[#This Row],[Datum]],2)</f>
        <v>1</v>
      </c>
      <c r="F2179">
        <f>MONTH(tbl_Kalender[[#This Row],[Datum]])</f>
        <v>12</v>
      </c>
      <c r="G2179" t="str">
        <f>TEXT(tbl_Kalender[[#This Row],[Datum]],"MMMM")</f>
        <v>Dezember</v>
      </c>
      <c r="H2179">
        <f>ROUNDUP(tbl_Kalender[[#This Row],[Monat]]/3,0)</f>
        <v>4</v>
      </c>
      <c r="I2179" t="str">
        <f>"Q "&amp;tbl_Kalender[[#This Row],[Quartal]]</f>
        <v>Q 4</v>
      </c>
      <c r="J2179" t="str">
        <f>tbl_Kalender[[#This Row],[Quartal]]&amp;". Quartal"</f>
        <v>4. Quartal</v>
      </c>
      <c r="K2179">
        <f>_xlfn.ISOWEEKNUM(tbl_Kalender[[#This Row],[Datum]])</f>
        <v>51</v>
      </c>
    </row>
    <row r="2180" spans="1:11" x14ac:dyDescent="0.25">
      <c r="A2180" s="1">
        <v>47470</v>
      </c>
      <c r="B2180">
        <f>YEAR(tbl_Kalender[[#This Row],[Datum]])</f>
        <v>2029</v>
      </c>
      <c r="C2180">
        <f>DAY(tbl_Kalender[[#This Row],[Datum]])</f>
        <v>18</v>
      </c>
      <c r="D2180" t="str">
        <f>TEXT(tbl_Kalender[[#This Row],[Datum]],"TTTT")</f>
        <v>Dienstag</v>
      </c>
      <c r="E2180">
        <f>WEEKDAY(tbl_Kalender[[#This Row],[Datum]],2)</f>
        <v>2</v>
      </c>
      <c r="F2180">
        <f>MONTH(tbl_Kalender[[#This Row],[Datum]])</f>
        <v>12</v>
      </c>
      <c r="G2180" t="str">
        <f>TEXT(tbl_Kalender[[#This Row],[Datum]],"MMMM")</f>
        <v>Dezember</v>
      </c>
      <c r="H2180">
        <f>ROUNDUP(tbl_Kalender[[#This Row],[Monat]]/3,0)</f>
        <v>4</v>
      </c>
      <c r="I2180" t="str">
        <f>"Q "&amp;tbl_Kalender[[#This Row],[Quartal]]</f>
        <v>Q 4</v>
      </c>
      <c r="J2180" t="str">
        <f>tbl_Kalender[[#This Row],[Quartal]]&amp;". Quartal"</f>
        <v>4. Quartal</v>
      </c>
      <c r="K2180">
        <f>_xlfn.ISOWEEKNUM(tbl_Kalender[[#This Row],[Datum]])</f>
        <v>51</v>
      </c>
    </row>
    <row r="2181" spans="1:11" x14ac:dyDescent="0.25">
      <c r="A2181" s="1">
        <v>47471</v>
      </c>
      <c r="B2181">
        <f>YEAR(tbl_Kalender[[#This Row],[Datum]])</f>
        <v>2029</v>
      </c>
      <c r="C2181">
        <f>DAY(tbl_Kalender[[#This Row],[Datum]])</f>
        <v>19</v>
      </c>
      <c r="D2181" t="str">
        <f>TEXT(tbl_Kalender[[#This Row],[Datum]],"TTTT")</f>
        <v>Mittwoch</v>
      </c>
      <c r="E2181">
        <f>WEEKDAY(tbl_Kalender[[#This Row],[Datum]],2)</f>
        <v>3</v>
      </c>
      <c r="F2181">
        <f>MONTH(tbl_Kalender[[#This Row],[Datum]])</f>
        <v>12</v>
      </c>
      <c r="G2181" t="str">
        <f>TEXT(tbl_Kalender[[#This Row],[Datum]],"MMMM")</f>
        <v>Dezember</v>
      </c>
      <c r="H2181">
        <f>ROUNDUP(tbl_Kalender[[#This Row],[Monat]]/3,0)</f>
        <v>4</v>
      </c>
      <c r="I2181" t="str">
        <f>"Q "&amp;tbl_Kalender[[#This Row],[Quartal]]</f>
        <v>Q 4</v>
      </c>
      <c r="J2181" t="str">
        <f>tbl_Kalender[[#This Row],[Quartal]]&amp;". Quartal"</f>
        <v>4. Quartal</v>
      </c>
      <c r="K2181">
        <f>_xlfn.ISOWEEKNUM(tbl_Kalender[[#This Row],[Datum]])</f>
        <v>51</v>
      </c>
    </row>
    <row r="2182" spans="1:11" x14ac:dyDescent="0.25">
      <c r="A2182" s="1">
        <v>47472</v>
      </c>
      <c r="B2182">
        <f>YEAR(tbl_Kalender[[#This Row],[Datum]])</f>
        <v>2029</v>
      </c>
      <c r="C2182">
        <f>DAY(tbl_Kalender[[#This Row],[Datum]])</f>
        <v>20</v>
      </c>
      <c r="D2182" t="str">
        <f>TEXT(tbl_Kalender[[#This Row],[Datum]],"TTTT")</f>
        <v>Donnerstag</v>
      </c>
      <c r="E2182">
        <f>WEEKDAY(tbl_Kalender[[#This Row],[Datum]],2)</f>
        <v>4</v>
      </c>
      <c r="F2182">
        <f>MONTH(tbl_Kalender[[#This Row],[Datum]])</f>
        <v>12</v>
      </c>
      <c r="G2182" t="str">
        <f>TEXT(tbl_Kalender[[#This Row],[Datum]],"MMMM")</f>
        <v>Dezember</v>
      </c>
      <c r="H2182">
        <f>ROUNDUP(tbl_Kalender[[#This Row],[Monat]]/3,0)</f>
        <v>4</v>
      </c>
      <c r="I2182" t="str">
        <f>"Q "&amp;tbl_Kalender[[#This Row],[Quartal]]</f>
        <v>Q 4</v>
      </c>
      <c r="J2182" t="str">
        <f>tbl_Kalender[[#This Row],[Quartal]]&amp;". Quartal"</f>
        <v>4. Quartal</v>
      </c>
      <c r="K2182">
        <f>_xlfn.ISOWEEKNUM(tbl_Kalender[[#This Row],[Datum]])</f>
        <v>51</v>
      </c>
    </row>
    <row r="2183" spans="1:11" x14ac:dyDescent="0.25">
      <c r="A2183" s="1">
        <v>47473</v>
      </c>
      <c r="B2183">
        <f>YEAR(tbl_Kalender[[#This Row],[Datum]])</f>
        <v>2029</v>
      </c>
      <c r="C2183">
        <f>DAY(tbl_Kalender[[#This Row],[Datum]])</f>
        <v>21</v>
      </c>
      <c r="D2183" t="str">
        <f>TEXT(tbl_Kalender[[#This Row],[Datum]],"TTTT")</f>
        <v>Freitag</v>
      </c>
      <c r="E2183">
        <f>WEEKDAY(tbl_Kalender[[#This Row],[Datum]],2)</f>
        <v>5</v>
      </c>
      <c r="F2183">
        <f>MONTH(tbl_Kalender[[#This Row],[Datum]])</f>
        <v>12</v>
      </c>
      <c r="G2183" t="str">
        <f>TEXT(tbl_Kalender[[#This Row],[Datum]],"MMMM")</f>
        <v>Dezember</v>
      </c>
      <c r="H2183">
        <f>ROUNDUP(tbl_Kalender[[#This Row],[Monat]]/3,0)</f>
        <v>4</v>
      </c>
      <c r="I2183" t="str">
        <f>"Q "&amp;tbl_Kalender[[#This Row],[Quartal]]</f>
        <v>Q 4</v>
      </c>
      <c r="J2183" t="str">
        <f>tbl_Kalender[[#This Row],[Quartal]]&amp;". Quartal"</f>
        <v>4. Quartal</v>
      </c>
      <c r="K2183">
        <f>_xlfn.ISOWEEKNUM(tbl_Kalender[[#This Row],[Datum]])</f>
        <v>51</v>
      </c>
    </row>
    <row r="2184" spans="1:11" x14ac:dyDescent="0.25">
      <c r="A2184" s="1">
        <v>47474</v>
      </c>
      <c r="B2184">
        <f>YEAR(tbl_Kalender[[#This Row],[Datum]])</f>
        <v>2029</v>
      </c>
      <c r="C2184">
        <f>DAY(tbl_Kalender[[#This Row],[Datum]])</f>
        <v>22</v>
      </c>
      <c r="D2184" t="str">
        <f>TEXT(tbl_Kalender[[#This Row],[Datum]],"TTTT")</f>
        <v>Samstag</v>
      </c>
      <c r="E2184">
        <f>WEEKDAY(tbl_Kalender[[#This Row],[Datum]],2)</f>
        <v>6</v>
      </c>
      <c r="F2184">
        <f>MONTH(tbl_Kalender[[#This Row],[Datum]])</f>
        <v>12</v>
      </c>
      <c r="G2184" t="str">
        <f>TEXT(tbl_Kalender[[#This Row],[Datum]],"MMMM")</f>
        <v>Dezember</v>
      </c>
      <c r="H2184">
        <f>ROUNDUP(tbl_Kalender[[#This Row],[Monat]]/3,0)</f>
        <v>4</v>
      </c>
      <c r="I2184" t="str">
        <f>"Q "&amp;tbl_Kalender[[#This Row],[Quartal]]</f>
        <v>Q 4</v>
      </c>
      <c r="J2184" t="str">
        <f>tbl_Kalender[[#This Row],[Quartal]]&amp;". Quartal"</f>
        <v>4. Quartal</v>
      </c>
      <c r="K2184">
        <f>_xlfn.ISOWEEKNUM(tbl_Kalender[[#This Row],[Datum]])</f>
        <v>51</v>
      </c>
    </row>
    <row r="2185" spans="1:11" x14ac:dyDescent="0.25">
      <c r="A2185" s="1">
        <v>47475</v>
      </c>
      <c r="B2185">
        <f>YEAR(tbl_Kalender[[#This Row],[Datum]])</f>
        <v>2029</v>
      </c>
      <c r="C2185">
        <f>DAY(tbl_Kalender[[#This Row],[Datum]])</f>
        <v>23</v>
      </c>
      <c r="D2185" t="str">
        <f>TEXT(tbl_Kalender[[#This Row],[Datum]],"TTTT")</f>
        <v>Sonntag</v>
      </c>
      <c r="E2185">
        <f>WEEKDAY(tbl_Kalender[[#This Row],[Datum]],2)</f>
        <v>7</v>
      </c>
      <c r="F2185">
        <f>MONTH(tbl_Kalender[[#This Row],[Datum]])</f>
        <v>12</v>
      </c>
      <c r="G2185" t="str">
        <f>TEXT(tbl_Kalender[[#This Row],[Datum]],"MMMM")</f>
        <v>Dezember</v>
      </c>
      <c r="H2185">
        <f>ROUNDUP(tbl_Kalender[[#This Row],[Monat]]/3,0)</f>
        <v>4</v>
      </c>
      <c r="I2185" t="str">
        <f>"Q "&amp;tbl_Kalender[[#This Row],[Quartal]]</f>
        <v>Q 4</v>
      </c>
      <c r="J2185" t="str">
        <f>tbl_Kalender[[#This Row],[Quartal]]&amp;". Quartal"</f>
        <v>4. Quartal</v>
      </c>
      <c r="K2185">
        <f>_xlfn.ISOWEEKNUM(tbl_Kalender[[#This Row],[Datum]])</f>
        <v>51</v>
      </c>
    </row>
    <row r="2186" spans="1:11" x14ac:dyDescent="0.25">
      <c r="A2186" s="1">
        <v>47476</v>
      </c>
      <c r="B2186">
        <f>YEAR(tbl_Kalender[[#This Row],[Datum]])</f>
        <v>2029</v>
      </c>
      <c r="C2186">
        <f>DAY(tbl_Kalender[[#This Row],[Datum]])</f>
        <v>24</v>
      </c>
      <c r="D2186" t="str">
        <f>TEXT(tbl_Kalender[[#This Row],[Datum]],"TTTT")</f>
        <v>Montag</v>
      </c>
      <c r="E2186">
        <f>WEEKDAY(tbl_Kalender[[#This Row],[Datum]],2)</f>
        <v>1</v>
      </c>
      <c r="F2186">
        <f>MONTH(tbl_Kalender[[#This Row],[Datum]])</f>
        <v>12</v>
      </c>
      <c r="G2186" t="str">
        <f>TEXT(tbl_Kalender[[#This Row],[Datum]],"MMMM")</f>
        <v>Dezember</v>
      </c>
      <c r="H2186">
        <f>ROUNDUP(tbl_Kalender[[#This Row],[Monat]]/3,0)</f>
        <v>4</v>
      </c>
      <c r="I2186" t="str">
        <f>"Q "&amp;tbl_Kalender[[#This Row],[Quartal]]</f>
        <v>Q 4</v>
      </c>
      <c r="J2186" t="str">
        <f>tbl_Kalender[[#This Row],[Quartal]]&amp;". Quartal"</f>
        <v>4. Quartal</v>
      </c>
      <c r="K2186">
        <f>_xlfn.ISOWEEKNUM(tbl_Kalender[[#This Row],[Datum]])</f>
        <v>52</v>
      </c>
    </row>
    <row r="2187" spans="1:11" x14ac:dyDescent="0.25">
      <c r="A2187" s="1">
        <v>47477</v>
      </c>
      <c r="B2187">
        <f>YEAR(tbl_Kalender[[#This Row],[Datum]])</f>
        <v>2029</v>
      </c>
      <c r="C2187">
        <f>DAY(tbl_Kalender[[#This Row],[Datum]])</f>
        <v>25</v>
      </c>
      <c r="D2187" t="str">
        <f>TEXT(tbl_Kalender[[#This Row],[Datum]],"TTTT")</f>
        <v>Dienstag</v>
      </c>
      <c r="E2187">
        <f>WEEKDAY(tbl_Kalender[[#This Row],[Datum]],2)</f>
        <v>2</v>
      </c>
      <c r="F2187">
        <f>MONTH(tbl_Kalender[[#This Row],[Datum]])</f>
        <v>12</v>
      </c>
      <c r="G2187" t="str">
        <f>TEXT(tbl_Kalender[[#This Row],[Datum]],"MMMM")</f>
        <v>Dezember</v>
      </c>
      <c r="H2187">
        <f>ROUNDUP(tbl_Kalender[[#This Row],[Monat]]/3,0)</f>
        <v>4</v>
      </c>
      <c r="I2187" t="str">
        <f>"Q "&amp;tbl_Kalender[[#This Row],[Quartal]]</f>
        <v>Q 4</v>
      </c>
      <c r="J2187" t="str">
        <f>tbl_Kalender[[#This Row],[Quartal]]&amp;". Quartal"</f>
        <v>4. Quartal</v>
      </c>
      <c r="K2187">
        <f>_xlfn.ISOWEEKNUM(tbl_Kalender[[#This Row],[Datum]])</f>
        <v>52</v>
      </c>
    </row>
    <row r="2188" spans="1:11" x14ac:dyDescent="0.25">
      <c r="A2188" s="1">
        <v>47478</v>
      </c>
      <c r="B2188">
        <f>YEAR(tbl_Kalender[[#This Row],[Datum]])</f>
        <v>2029</v>
      </c>
      <c r="C2188">
        <f>DAY(tbl_Kalender[[#This Row],[Datum]])</f>
        <v>26</v>
      </c>
      <c r="D2188" t="str">
        <f>TEXT(tbl_Kalender[[#This Row],[Datum]],"TTTT")</f>
        <v>Mittwoch</v>
      </c>
      <c r="E2188">
        <f>WEEKDAY(tbl_Kalender[[#This Row],[Datum]],2)</f>
        <v>3</v>
      </c>
      <c r="F2188">
        <f>MONTH(tbl_Kalender[[#This Row],[Datum]])</f>
        <v>12</v>
      </c>
      <c r="G2188" t="str">
        <f>TEXT(tbl_Kalender[[#This Row],[Datum]],"MMMM")</f>
        <v>Dezember</v>
      </c>
      <c r="H2188">
        <f>ROUNDUP(tbl_Kalender[[#This Row],[Monat]]/3,0)</f>
        <v>4</v>
      </c>
      <c r="I2188" t="str">
        <f>"Q "&amp;tbl_Kalender[[#This Row],[Quartal]]</f>
        <v>Q 4</v>
      </c>
      <c r="J2188" t="str">
        <f>tbl_Kalender[[#This Row],[Quartal]]&amp;". Quartal"</f>
        <v>4. Quartal</v>
      </c>
      <c r="K2188">
        <f>_xlfn.ISOWEEKNUM(tbl_Kalender[[#This Row],[Datum]])</f>
        <v>52</v>
      </c>
    </row>
    <row r="2189" spans="1:11" x14ac:dyDescent="0.25">
      <c r="A2189" s="1">
        <v>47479</v>
      </c>
      <c r="B2189">
        <f>YEAR(tbl_Kalender[[#This Row],[Datum]])</f>
        <v>2029</v>
      </c>
      <c r="C2189">
        <f>DAY(tbl_Kalender[[#This Row],[Datum]])</f>
        <v>27</v>
      </c>
      <c r="D2189" t="str">
        <f>TEXT(tbl_Kalender[[#This Row],[Datum]],"TTTT")</f>
        <v>Donnerstag</v>
      </c>
      <c r="E2189">
        <f>WEEKDAY(tbl_Kalender[[#This Row],[Datum]],2)</f>
        <v>4</v>
      </c>
      <c r="F2189">
        <f>MONTH(tbl_Kalender[[#This Row],[Datum]])</f>
        <v>12</v>
      </c>
      <c r="G2189" t="str">
        <f>TEXT(tbl_Kalender[[#This Row],[Datum]],"MMMM")</f>
        <v>Dezember</v>
      </c>
      <c r="H2189">
        <f>ROUNDUP(tbl_Kalender[[#This Row],[Monat]]/3,0)</f>
        <v>4</v>
      </c>
      <c r="I2189" t="str">
        <f>"Q "&amp;tbl_Kalender[[#This Row],[Quartal]]</f>
        <v>Q 4</v>
      </c>
      <c r="J2189" t="str">
        <f>tbl_Kalender[[#This Row],[Quartal]]&amp;". Quartal"</f>
        <v>4. Quartal</v>
      </c>
      <c r="K2189">
        <f>_xlfn.ISOWEEKNUM(tbl_Kalender[[#This Row],[Datum]])</f>
        <v>52</v>
      </c>
    </row>
    <row r="2190" spans="1:11" x14ac:dyDescent="0.25">
      <c r="A2190" s="1">
        <v>47480</v>
      </c>
      <c r="B2190">
        <f>YEAR(tbl_Kalender[[#This Row],[Datum]])</f>
        <v>2029</v>
      </c>
      <c r="C2190">
        <f>DAY(tbl_Kalender[[#This Row],[Datum]])</f>
        <v>28</v>
      </c>
      <c r="D2190" t="str">
        <f>TEXT(tbl_Kalender[[#This Row],[Datum]],"TTTT")</f>
        <v>Freitag</v>
      </c>
      <c r="E2190">
        <f>WEEKDAY(tbl_Kalender[[#This Row],[Datum]],2)</f>
        <v>5</v>
      </c>
      <c r="F2190">
        <f>MONTH(tbl_Kalender[[#This Row],[Datum]])</f>
        <v>12</v>
      </c>
      <c r="G2190" t="str">
        <f>TEXT(tbl_Kalender[[#This Row],[Datum]],"MMMM")</f>
        <v>Dezember</v>
      </c>
      <c r="H2190">
        <f>ROUNDUP(tbl_Kalender[[#This Row],[Monat]]/3,0)</f>
        <v>4</v>
      </c>
      <c r="I2190" t="str">
        <f>"Q "&amp;tbl_Kalender[[#This Row],[Quartal]]</f>
        <v>Q 4</v>
      </c>
      <c r="J2190" t="str">
        <f>tbl_Kalender[[#This Row],[Quartal]]&amp;". Quartal"</f>
        <v>4. Quartal</v>
      </c>
      <c r="K2190">
        <f>_xlfn.ISOWEEKNUM(tbl_Kalender[[#This Row],[Datum]])</f>
        <v>52</v>
      </c>
    </row>
    <row r="2191" spans="1:11" x14ac:dyDescent="0.25">
      <c r="A2191" s="1">
        <v>47481</v>
      </c>
      <c r="B2191">
        <f>YEAR(tbl_Kalender[[#This Row],[Datum]])</f>
        <v>2029</v>
      </c>
      <c r="C2191">
        <f>DAY(tbl_Kalender[[#This Row],[Datum]])</f>
        <v>29</v>
      </c>
      <c r="D2191" t="str">
        <f>TEXT(tbl_Kalender[[#This Row],[Datum]],"TTTT")</f>
        <v>Samstag</v>
      </c>
      <c r="E2191">
        <f>WEEKDAY(tbl_Kalender[[#This Row],[Datum]],2)</f>
        <v>6</v>
      </c>
      <c r="F2191">
        <f>MONTH(tbl_Kalender[[#This Row],[Datum]])</f>
        <v>12</v>
      </c>
      <c r="G2191" t="str">
        <f>TEXT(tbl_Kalender[[#This Row],[Datum]],"MMMM")</f>
        <v>Dezember</v>
      </c>
      <c r="H2191">
        <f>ROUNDUP(tbl_Kalender[[#This Row],[Monat]]/3,0)</f>
        <v>4</v>
      </c>
      <c r="I2191" t="str">
        <f>"Q "&amp;tbl_Kalender[[#This Row],[Quartal]]</f>
        <v>Q 4</v>
      </c>
      <c r="J2191" t="str">
        <f>tbl_Kalender[[#This Row],[Quartal]]&amp;". Quartal"</f>
        <v>4. Quartal</v>
      </c>
      <c r="K2191">
        <f>_xlfn.ISOWEEKNUM(tbl_Kalender[[#This Row],[Datum]])</f>
        <v>52</v>
      </c>
    </row>
    <row r="2192" spans="1:11" x14ac:dyDescent="0.25">
      <c r="A2192" s="1">
        <v>47482</v>
      </c>
      <c r="B2192">
        <f>YEAR(tbl_Kalender[[#This Row],[Datum]])</f>
        <v>2029</v>
      </c>
      <c r="C2192">
        <f>DAY(tbl_Kalender[[#This Row],[Datum]])</f>
        <v>30</v>
      </c>
      <c r="D2192" t="str">
        <f>TEXT(tbl_Kalender[[#This Row],[Datum]],"TTTT")</f>
        <v>Sonntag</v>
      </c>
      <c r="E2192">
        <f>WEEKDAY(tbl_Kalender[[#This Row],[Datum]],2)</f>
        <v>7</v>
      </c>
      <c r="F2192">
        <f>MONTH(tbl_Kalender[[#This Row],[Datum]])</f>
        <v>12</v>
      </c>
      <c r="G2192" t="str">
        <f>TEXT(tbl_Kalender[[#This Row],[Datum]],"MMMM")</f>
        <v>Dezember</v>
      </c>
      <c r="H2192">
        <f>ROUNDUP(tbl_Kalender[[#This Row],[Monat]]/3,0)</f>
        <v>4</v>
      </c>
      <c r="I2192" t="str">
        <f>"Q "&amp;tbl_Kalender[[#This Row],[Quartal]]</f>
        <v>Q 4</v>
      </c>
      <c r="J2192" t="str">
        <f>tbl_Kalender[[#This Row],[Quartal]]&amp;". Quartal"</f>
        <v>4. Quartal</v>
      </c>
      <c r="K2192">
        <f>_xlfn.ISOWEEKNUM(tbl_Kalender[[#This Row],[Datum]])</f>
        <v>52</v>
      </c>
    </row>
    <row r="2193" spans="1:11" x14ac:dyDescent="0.25">
      <c r="A2193" s="1">
        <v>47483</v>
      </c>
      <c r="B2193">
        <f>YEAR(tbl_Kalender[[#This Row],[Datum]])</f>
        <v>2029</v>
      </c>
      <c r="C2193">
        <f>DAY(tbl_Kalender[[#This Row],[Datum]])</f>
        <v>31</v>
      </c>
      <c r="D2193" t="str">
        <f>TEXT(tbl_Kalender[[#This Row],[Datum]],"TTTT")</f>
        <v>Montag</v>
      </c>
      <c r="E2193">
        <f>WEEKDAY(tbl_Kalender[[#This Row],[Datum]],2)</f>
        <v>1</v>
      </c>
      <c r="F2193">
        <f>MONTH(tbl_Kalender[[#This Row],[Datum]])</f>
        <v>12</v>
      </c>
      <c r="G2193" t="str">
        <f>TEXT(tbl_Kalender[[#This Row],[Datum]],"MMMM")</f>
        <v>Dezember</v>
      </c>
      <c r="H2193">
        <f>ROUNDUP(tbl_Kalender[[#This Row],[Monat]]/3,0)</f>
        <v>4</v>
      </c>
      <c r="I2193" t="str">
        <f>"Q "&amp;tbl_Kalender[[#This Row],[Quartal]]</f>
        <v>Q 4</v>
      </c>
      <c r="J2193" t="str">
        <f>tbl_Kalender[[#This Row],[Quartal]]&amp;". Quartal"</f>
        <v>4. Quartal</v>
      </c>
      <c r="K2193">
        <f>_xlfn.ISOWEEKNUM(tbl_Kalender[[#This Row],[Datum]])</f>
        <v>1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DCD1-6B05-4D39-ABE7-F410A47CD823}">
  <sheetPr>
    <tabColor rgb="FFFFFFCC"/>
  </sheetPr>
  <dimension ref="A1:E8400"/>
  <sheetViews>
    <sheetView tabSelected="1" topLeftCell="A8157" workbookViewId="0">
      <selection activeCell="C8173" sqref="C8173"/>
    </sheetView>
  </sheetViews>
  <sheetFormatPr baseColWidth="10" defaultRowHeight="15" x14ac:dyDescent="0.25"/>
  <cols>
    <col min="1" max="1" width="11" style="3" bestFit="1" customWidth="1"/>
    <col min="2" max="2" width="15.85546875" style="3" customWidth="1"/>
    <col min="3" max="3" width="10.140625" style="3" bestFit="1" customWidth="1"/>
    <col min="4" max="5" width="10.140625" style="3" customWidth="1"/>
    <col min="6" max="6" width="17.42578125" style="3" bestFit="1" customWidth="1"/>
    <col min="7" max="7" width="5.28515625" style="3" bestFit="1" customWidth="1"/>
    <col min="8" max="8" width="39.140625" style="3" bestFit="1" customWidth="1"/>
    <col min="9" max="9" width="80.5703125" style="3" bestFit="1" customWidth="1"/>
    <col min="10" max="10" width="39.140625" style="3" bestFit="1" customWidth="1"/>
    <col min="11" max="11" width="13" style="3" bestFit="1" customWidth="1"/>
    <col min="12" max="13" width="12" style="3" bestFit="1" customWidth="1"/>
    <col min="14" max="14" width="15.5703125" style="3" bestFit="1" customWidth="1"/>
    <col min="15" max="15" width="16.7109375" style="3" bestFit="1" customWidth="1"/>
    <col min="16" max="16" width="6.28515625" style="3" bestFit="1" customWidth="1"/>
    <col min="17" max="17" width="20.28515625" style="3" bestFit="1" customWidth="1"/>
    <col min="18" max="18" width="7.42578125" style="3" bestFit="1" customWidth="1"/>
    <col min="19" max="19" width="5.7109375" style="3" bestFit="1" customWidth="1"/>
    <col min="20" max="20" width="6.28515625" style="3" bestFit="1" customWidth="1"/>
    <col min="21" max="16384" width="11.42578125" style="3"/>
  </cols>
  <sheetData>
    <row r="1" spans="1:5" x14ac:dyDescent="0.25">
      <c r="A1" s="2" t="s">
        <v>11</v>
      </c>
      <c r="B1" s="2" t="s">
        <v>12</v>
      </c>
      <c r="C1" s="2" t="s">
        <v>0</v>
      </c>
      <c r="D1" s="2" t="s">
        <v>13</v>
      </c>
      <c r="E1" s="2" t="s">
        <v>14</v>
      </c>
    </row>
    <row r="2" spans="1:5" x14ac:dyDescent="0.25">
      <c r="A2" s="4">
        <v>24810</v>
      </c>
      <c r="B2" s="4" t="s">
        <v>15</v>
      </c>
      <c r="C2" s="5">
        <v>45276</v>
      </c>
      <c r="D2" s="4">
        <v>24.1</v>
      </c>
      <c r="E2" s="4">
        <v>7.77</v>
      </c>
    </row>
    <row r="3" spans="1:5" x14ac:dyDescent="0.25">
      <c r="A3" s="4">
        <v>24810</v>
      </c>
      <c r="B3" s="4" t="s">
        <v>15</v>
      </c>
      <c r="C3" s="5">
        <v>45276</v>
      </c>
      <c r="D3" s="4">
        <v>24.1</v>
      </c>
      <c r="E3" s="4">
        <v>7.77</v>
      </c>
    </row>
    <row r="4" spans="1:5" x14ac:dyDescent="0.25">
      <c r="A4" s="4">
        <v>24810</v>
      </c>
      <c r="B4" s="4" t="s">
        <v>16</v>
      </c>
      <c r="C4" s="5">
        <v>45276</v>
      </c>
      <c r="D4" s="4">
        <v>9.6999999999999993</v>
      </c>
      <c r="E4" s="4">
        <v>3.44</v>
      </c>
    </row>
    <row r="5" spans="1:5" x14ac:dyDescent="0.25">
      <c r="A5" s="4">
        <v>24810</v>
      </c>
      <c r="B5" s="4" t="s">
        <v>16</v>
      </c>
      <c r="C5" s="5">
        <v>45276</v>
      </c>
      <c r="D5" s="4">
        <v>14</v>
      </c>
      <c r="E5" s="4">
        <v>4.97</v>
      </c>
    </row>
    <row r="6" spans="1:5" x14ac:dyDescent="0.25">
      <c r="A6" s="4">
        <v>24810</v>
      </c>
      <c r="B6" s="4" t="s">
        <v>17</v>
      </c>
      <c r="C6" s="5">
        <v>45278</v>
      </c>
      <c r="D6" s="4">
        <v>2.4</v>
      </c>
      <c r="E6" s="4">
        <v>0.75</v>
      </c>
    </row>
    <row r="7" spans="1:5" x14ac:dyDescent="0.25">
      <c r="A7" s="4">
        <v>24810</v>
      </c>
      <c r="B7" s="4" t="s">
        <v>17</v>
      </c>
      <c r="C7" s="5">
        <v>45278</v>
      </c>
      <c r="D7" s="4">
        <v>0.8</v>
      </c>
      <c r="E7" s="4">
        <v>0.26</v>
      </c>
    </row>
    <row r="8" spans="1:5" x14ac:dyDescent="0.25">
      <c r="A8" s="4">
        <v>24810</v>
      </c>
      <c r="B8" s="4" t="s">
        <v>17</v>
      </c>
      <c r="C8" s="5">
        <v>45278</v>
      </c>
      <c r="D8" s="4">
        <v>1.3</v>
      </c>
      <c r="E8" s="4">
        <v>0.41</v>
      </c>
    </row>
    <row r="9" spans="1:5" x14ac:dyDescent="0.25">
      <c r="A9" s="4">
        <v>24810</v>
      </c>
      <c r="B9" s="4" t="s">
        <v>17</v>
      </c>
      <c r="C9" s="5">
        <v>45278</v>
      </c>
      <c r="D9" s="4">
        <v>1.6</v>
      </c>
      <c r="E9" s="4">
        <v>0.5</v>
      </c>
    </row>
    <row r="10" spans="1:5" x14ac:dyDescent="0.25">
      <c r="A10" s="4">
        <v>24810</v>
      </c>
      <c r="B10" s="4" t="s">
        <v>17</v>
      </c>
      <c r="C10" s="5">
        <v>45278</v>
      </c>
      <c r="D10" s="4">
        <v>0.5</v>
      </c>
      <c r="E10" s="4">
        <v>0.16</v>
      </c>
    </row>
    <row r="11" spans="1:5" x14ac:dyDescent="0.25">
      <c r="A11" s="4">
        <v>24810</v>
      </c>
      <c r="B11" s="4" t="s">
        <v>17</v>
      </c>
      <c r="C11" s="5">
        <v>45278</v>
      </c>
      <c r="D11" s="4">
        <v>11.7</v>
      </c>
      <c r="E11" s="4">
        <v>3.79</v>
      </c>
    </row>
    <row r="12" spans="1:5" x14ac:dyDescent="0.25">
      <c r="A12" s="4">
        <v>24810</v>
      </c>
      <c r="B12" s="4" t="s">
        <v>17</v>
      </c>
      <c r="C12" s="5">
        <v>45278</v>
      </c>
      <c r="D12" s="4">
        <v>10.9</v>
      </c>
      <c r="E12" s="4">
        <v>3.53</v>
      </c>
    </row>
    <row r="13" spans="1:5" x14ac:dyDescent="0.25">
      <c r="A13" s="4">
        <v>24810</v>
      </c>
      <c r="B13" s="4" t="s">
        <v>17</v>
      </c>
      <c r="C13" s="5">
        <v>45278</v>
      </c>
      <c r="D13" s="4">
        <v>0.7</v>
      </c>
      <c r="E13" s="4">
        <v>0.23</v>
      </c>
    </row>
    <row r="14" spans="1:5" x14ac:dyDescent="0.25">
      <c r="A14" s="4">
        <v>24810</v>
      </c>
      <c r="B14" s="4" t="s">
        <v>17</v>
      </c>
      <c r="C14" s="5">
        <v>45278</v>
      </c>
      <c r="D14" s="4">
        <v>0.5</v>
      </c>
      <c r="E14" s="4">
        <v>0.16</v>
      </c>
    </row>
    <row r="15" spans="1:5" x14ac:dyDescent="0.25">
      <c r="A15" s="4">
        <v>24810</v>
      </c>
      <c r="B15" s="4" t="s">
        <v>17</v>
      </c>
      <c r="C15" s="5">
        <v>45278</v>
      </c>
      <c r="D15" s="4">
        <v>11.7</v>
      </c>
      <c r="E15" s="4">
        <v>3.79</v>
      </c>
    </row>
    <row r="16" spans="1:5" x14ac:dyDescent="0.25">
      <c r="A16" s="4">
        <v>24810</v>
      </c>
      <c r="B16" s="4" t="s">
        <v>17</v>
      </c>
      <c r="C16" s="5">
        <v>45278</v>
      </c>
      <c r="D16" s="4">
        <v>10.9</v>
      </c>
      <c r="E16" s="4">
        <v>3.53</v>
      </c>
    </row>
    <row r="17" spans="1:5" x14ac:dyDescent="0.25">
      <c r="A17" s="4">
        <v>24810</v>
      </c>
      <c r="B17" s="4" t="s">
        <v>17</v>
      </c>
      <c r="C17" s="5">
        <v>45278</v>
      </c>
      <c r="D17" s="4">
        <v>0.7</v>
      </c>
      <c r="E17" s="4">
        <v>0.23</v>
      </c>
    </row>
    <row r="18" spans="1:5" x14ac:dyDescent="0.25">
      <c r="A18" s="4">
        <v>24810</v>
      </c>
      <c r="B18" s="4" t="s">
        <v>17</v>
      </c>
      <c r="C18" s="5">
        <v>45278</v>
      </c>
      <c r="D18" s="4">
        <v>0.5</v>
      </c>
      <c r="E18" s="4">
        <v>0.16</v>
      </c>
    </row>
    <row r="19" spans="1:5" x14ac:dyDescent="0.25">
      <c r="A19" s="4">
        <v>24810</v>
      </c>
      <c r="B19" s="4" t="s">
        <v>17</v>
      </c>
      <c r="C19" s="5">
        <v>45278</v>
      </c>
      <c r="D19" s="4">
        <v>11.7</v>
      </c>
      <c r="E19" s="4">
        <v>3.79</v>
      </c>
    </row>
    <row r="20" spans="1:5" x14ac:dyDescent="0.25">
      <c r="A20" s="4">
        <v>24810</v>
      </c>
      <c r="B20" s="4" t="s">
        <v>17</v>
      </c>
      <c r="C20" s="5">
        <v>45278</v>
      </c>
      <c r="D20" s="4">
        <v>10.9</v>
      </c>
      <c r="E20" s="4">
        <v>3.53</v>
      </c>
    </row>
    <row r="21" spans="1:5" x14ac:dyDescent="0.25">
      <c r="A21" s="4">
        <v>24810</v>
      </c>
      <c r="B21" s="4" t="s">
        <v>17</v>
      </c>
      <c r="C21" s="5">
        <v>45278</v>
      </c>
      <c r="D21" s="4">
        <v>0.8</v>
      </c>
      <c r="E21" s="4">
        <v>0.25</v>
      </c>
    </row>
    <row r="22" spans="1:5" x14ac:dyDescent="0.25">
      <c r="A22" s="4">
        <v>24810</v>
      </c>
      <c r="B22" s="4" t="s">
        <v>15</v>
      </c>
      <c r="C22" s="5">
        <v>45278</v>
      </c>
      <c r="D22" s="4">
        <v>27.9</v>
      </c>
      <c r="E22" s="4">
        <v>9.0299999999999994</v>
      </c>
    </row>
    <row r="23" spans="1:5" x14ac:dyDescent="0.25">
      <c r="A23" s="4">
        <v>24810</v>
      </c>
      <c r="B23" s="4" t="s">
        <v>15</v>
      </c>
      <c r="C23" s="5">
        <v>45278</v>
      </c>
      <c r="D23" s="4">
        <v>37.200000000000003</v>
      </c>
      <c r="E23" s="4">
        <v>12.02</v>
      </c>
    </row>
    <row r="24" spans="1:5" x14ac:dyDescent="0.25">
      <c r="A24" s="4">
        <v>24810</v>
      </c>
      <c r="B24" s="4" t="s">
        <v>15</v>
      </c>
      <c r="C24" s="5">
        <v>45278</v>
      </c>
      <c r="D24" s="4">
        <v>69.3</v>
      </c>
      <c r="E24" s="4">
        <v>22.38</v>
      </c>
    </row>
    <row r="25" spans="1:5" x14ac:dyDescent="0.25">
      <c r="A25" s="4">
        <v>24810</v>
      </c>
      <c r="B25" s="4" t="s">
        <v>15</v>
      </c>
      <c r="C25" s="5">
        <v>45278</v>
      </c>
      <c r="D25" s="4">
        <v>17.7</v>
      </c>
      <c r="E25" s="4">
        <v>5.74</v>
      </c>
    </row>
    <row r="26" spans="1:5" x14ac:dyDescent="0.25">
      <c r="A26" s="4">
        <v>24810</v>
      </c>
      <c r="B26" s="4" t="s">
        <v>15</v>
      </c>
      <c r="C26" s="5">
        <v>45278</v>
      </c>
      <c r="D26" s="4">
        <v>19</v>
      </c>
      <c r="E26" s="4">
        <v>6.14</v>
      </c>
    </row>
    <row r="27" spans="1:5" x14ac:dyDescent="0.25">
      <c r="A27" s="4">
        <v>24810</v>
      </c>
      <c r="B27" s="4" t="s">
        <v>15</v>
      </c>
      <c r="C27" s="5">
        <v>45278</v>
      </c>
      <c r="D27" s="4">
        <v>40.200000000000003</v>
      </c>
      <c r="E27" s="4">
        <v>13</v>
      </c>
    </row>
    <row r="28" spans="1:5" x14ac:dyDescent="0.25">
      <c r="A28" s="4">
        <v>24810</v>
      </c>
      <c r="B28" s="4" t="s">
        <v>15</v>
      </c>
      <c r="C28" s="5">
        <v>45278</v>
      </c>
      <c r="D28" s="4">
        <v>15.4</v>
      </c>
      <c r="E28" s="4">
        <v>5</v>
      </c>
    </row>
    <row r="29" spans="1:5" x14ac:dyDescent="0.25">
      <c r="A29" s="4">
        <v>24810</v>
      </c>
      <c r="B29" s="4" t="s">
        <v>18</v>
      </c>
      <c r="C29" s="5">
        <v>45278</v>
      </c>
      <c r="D29" s="4">
        <v>8.8000000000000007</v>
      </c>
      <c r="E29" s="4">
        <v>2.85</v>
      </c>
    </row>
    <row r="30" spans="1:5" x14ac:dyDescent="0.25">
      <c r="A30" s="4">
        <v>24810</v>
      </c>
      <c r="B30" s="4" t="s">
        <v>18</v>
      </c>
      <c r="C30" s="5">
        <v>45278</v>
      </c>
      <c r="D30" s="4">
        <v>8.8000000000000007</v>
      </c>
      <c r="E30" s="4">
        <v>2.85</v>
      </c>
    </row>
    <row r="31" spans="1:5" x14ac:dyDescent="0.25">
      <c r="A31" s="4">
        <v>24810</v>
      </c>
      <c r="B31" s="4" t="s">
        <v>18</v>
      </c>
      <c r="C31" s="5">
        <v>45278</v>
      </c>
      <c r="D31" s="4">
        <v>8.8000000000000007</v>
      </c>
      <c r="E31" s="4">
        <v>2.85</v>
      </c>
    </row>
    <row r="32" spans="1:5" x14ac:dyDescent="0.25">
      <c r="A32" s="4">
        <v>24810</v>
      </c>
      <c r="B32" s="4" t="s">
        <v>18</v>
      </c>
      <c r="C32" s="5">
        <v>45278</v>
      </c>
      <c r="D32" s="4">
        <v>8.8000000000000007</v>
      </c>
      <c r="E32" s="4">
        <v>2.85</v>
      </c>
    </row>
    <row r="33" spans="1:5" x14ac:dyDescent="0.25">
      <c r="A33" s="4">
        <v>24810</v>
      </c>
      <c r="B33" s="4" t="s">
        <v>18</v>
      </c>
      <c r="C33" s="5">
        <v>45278</v>
      </c>
      <c r="D33" s="4">
        <v>8.8000000000000007</v>
      </c>
      <c r="E33" s="4">
        <v>2.85</v>
      </c>
    </row>
    <row r="34" spans="1:5" x14ac:dyDescent="0.25">
      <c r="A34" s="4">
        <v>24810</v>
      </c>
      <c r="B34" s="4" t="s">
        <v>18</v>
      </c>
      <c r="C34" s="5">
        <v>45278</v>
      </c>
      <c r="D34" s="4">
        <v>8.8000000000000007</v>
      </c>
      <c r="E34" s="4">
        <v>2.85</v>
      </c>
    </row>
    <row r="35" spans="1:5" x14ac:dyDescent="0.25">
      <c r="A35" s="4">
        <v>24810</v>
      </c>
      <c r="B35" s="4" t="s">
        <v>18</v>
      </c>
      <c r="C35" s="5">
        <v>45278</v>
      </c>
      <c r="D35" s="4">
        <v>8.8000000000000007</v>
      </c>
      <c r="E35" s="4">
        <v>2.85</v>
      </c>
    </row>
    <row r="36" spans="1:5" x14ac:dyDescent="0.25">
      <c r="A36" s="4">
        <v>24810</v>
      </c>
      <c r="B36" s="4" t="s">
        <v>19</v>
      </c>
      <c r="C36" s="5">
        <v>45278</v>
      </c>
      <c r="D36" s="4">
        <v>24.8</v>
      </c>
      <c r="E36" s="4">
        <v>8</v>
      </c>
    </row>
    <row r="37" spans="1:5" x14ac:dyDescent="0.25">
      <c r="A37" s="4">
        <v>24810</v>
      </c>
      <c r="B37" s="4" t="s">
        <v>19</v>
      </c>
      <c r="C37" s="5">
        <v>45278</v>
      </c>
      <c r="D37" s="4">
        <v>23.8</v>
      </c>
      <c r="E37" s="4">
        <v>7.67</v>
      </c>
    </row>
    <row r="38" spans="1:5" x14ac:dyDescent="0.25">
      <c r="A38" s="4">
        <v>24810</v>
      </c>
      <c r="B38" s="4" t="s">
        <v>19</v>
      </c>
      <c r="C38" s="5">
        <v>45278</v>
      </c>
      <c r="D38" s="4">
        <v>8.5</v>
      </c>
      <c r="E38" s="4">
        <v>2.75</v>
      </c>
    </row>
    <row r="39" spans="1:5" x14ac:dyDescent="0.25">
      <c r="A39" s="4">
        <v>24810</v>
      </c>
      <c r="B39" s="4" t="s">
        <v>19</v>
      </c>
      <c r="C39" s="5">
        <v>45278</v>
      </c>
      <c r="D39" s="4">
        <v>7.7</v>
      </c>
      <c r="E39" s="4">
        <v>2.4900000000000002</v>
      </c>
    </row>
    <row r="40" spans="1:5" x14ac:dyDescent="0.25">
      <c r="A40" s="4">
        <v>24810</v>
      </c>
      <c r="B40" s="4" t="s">
        <v>19</v>
      </c>
      <c r="C40" s="5">
        <v>45278</v>
      </c>
      <c r="D40" s="4">
        <v>8.5</v>
      </c>
      <c r="E40" s="4">
        <v>2.75</v>
      </c>
    </row>
    <row r="41" spans="1:5" x14ac:dyDescent="0.25">
      <c r="A41" s="4">
        <v>24810</v>
      </c>
      <c r="B41" s="4" t="s">
        <v>19</v>
      </c>
      <c r="C41" s="5">
        <v>45278</v>
      </c>
      <c r="D41" s="4">
        <v>21.9</v>
      </c>
      <c r="E41" s="4">
        <v>7.06</v>
      </c>
    </row>
    <row r="42" spans="1:5" x14ac:dyDescent="0.25">
      <c r="A42" s="4">
        <v>24810</v>
      </c>
      <c r="B42" s="4" t="s">
        <v>19</v>
      </c>
      <c r="C42" s="5">
        <v>45278</v>
      </c>
      <c r="D42" s="4">
        <v>23.8</v>
      </c>
      <c r="E42" s="4">
        <v>7.67</v>
      </c>
    </row>
    <row r="43" spans="1:5" x14ac:dyDescent="0.25">
      <c r="A43" s="4">
        <v>24810</v>
      </c>
      <c r="B43" s="4" t="s">
        <v>19</v>
      </c>
      <c r="C43" s="5">
        <v>45278</v>
      </c>
      <c r="D43" s="4">
        <v>10.6</v>
      </c>
      <c r="E43" s="4">
        <v>3.43</v>
      </c>
    </row>
    <row r="44" spans="1:5" x14ac:dyDescent="0.25">
      <c r="A44" s="4">
        <v>24810</v>
      </c>
      <c r="B44" s="4" t="s">
        <v>19</v>
      </c>
      <c r="C44" s="5">
        <v>45278</v>
      </c>
      <c r="D44" s="4">
        <v>15.4</v>
      </c>
      <c r="E44" s="4">
        <v>5</v>
      </c>
    </row>
    <row r="45" spans="1:5" x14ac:dyDescent="0.25">
      <c r="A45" s="4">
        <v>24810</v>
      </c>
      <c r="B45" s="4" t="s">
        <v>19</v>
      </c>
      <c r="C45" s="5">
        <v>45278</v>
      </c>
      <c r="D45" s="4">
        <v>26</v>
      </c>
      <c r="E45" s="4">
        <v>8.43</v>
      </c>
    </row>
    <row r="46" spans="1:5" x14ac:dyDescent="0.25">
      <c r="A46" s="4">
        <v>24810</v>
      </c>
      <c r="B46" s="4" t="s">
        <v>19</v>
      </c>
      <c r="C46" s="5">
        <v>45278</v>
      </c>
      <c r="D46" s="4">
        <v>8.5</v>
      </c>
      <c r="E46" s="4">
        <v>2.75</v>
      </c>
    </row>
    <row r="47" spans="1:5" x14ac:dyDescent="0.25">
      <c r="A47" s="4">
        <v>24810</v>
      </c>
      <c r="B47" s="4" t="s">
        <v>19</v>
      </c>
      <c r="C47" s="5">
        <v>45278</v>
      </c>
      <c r="D47" s="4">
        <v>8.6999999999999993</v>
      </c>
      <c r="E47" s="4">
        <v>2.82</v>
      </c>
    </row>
    <row r="48" spans="1:5" x14ac:dyDescent="0.25">
      <c r="A48" s="4">
        <v>24810</v>
      </c>
      <c r="B48" s="4" t="s">
        <v>20</v>
      </c>
      <c r="C48" s="5">
        <v>45278</v>
      </c>
      <c r="D48" s="4">
        <v>18.7</v>
      </c>
      <c r="E48" s="4">
        <v>6.06</v>
      </c>
    </row>
    <row r="49" spans="1:5" x14ac:dyDescent="0.25">
      <c r="A49" s="4">
        <v>24810</v>
      </c>
      <c r="B49" s="4" t="s">
        <v>20</v>
      </c>
      <c r="C49" s="5">
        <v>45278</v>
      </c>
      <c r="D49" s="4">
        <v>1.4</v>
      </c>
      <c r="E49" s="4">
        <v>0.44</v>
      </c>
    </row>
    <row r="50" spans="1:5" x14ac:dyDescent="0.25">
      <c r="A50" s="4">
        <v>24810</v>
      </c>
      <c r="B50" s="4" t="s">
        <v>20</v>
      </c>
      <c r="C50" s="5">
        <v>45278</v>
      </c>
      <c r="D50" s="4">
        <v>1.4</v>
      </c>
      <c r="E50" s="4">
        <v>0.44</v>
      </c>
    </row>
    <row r="51" spans="1:5" x14ac:dyDescent="0.25">
      <c r="A51" s="4">
        <v>24810</v>
      </c>
      <c r="B51" s="4" t="s">
        <v>20</v>
      </c>
      <c r="C51" s="5">
        <v>45278</v>
      </c>
      <c r="D51" s="4">
        <v>1.4</v>
      </c>
      <c r="E51" s="4">
        <v>0.44</v>
      </c>
    </row>
    <row r="52" spans="1:5" x14ac:dyDescent="0.25">
      <c r="A52" s="4">
        <v>24810</v>
      </c>
      <c r="B52" s="4" t="s">
        <v>20</v>
      </c>
      <c r="C52" s="5">
        <v>45278</v>
      </c>
      <c r="D52" s="4">
        <v>1.4</v>
      </c>
      <c r="E52" s="4">
        <v>0.44</v>
      </c>
    </row>
    <row r="53" spans="1:5" x14ac:dyDescent="0.25">
      <c r="A53" s="4">
        <v>24810</v>
      </c>
      <c r="B53" s="4" t="s">
        <v>20</v>
      </c>
      <c r="C53" s="5">
        <v>45278</v>
      </c>
      <c r="D53" s="4">
        <v>1.4</v>
      </c>
      <c r="E53" s="4">
        <v>0.44</v>
      </c>
    </row>
    <row r="54" spans="1:5" x14ac:dyDescent="0.25">
      <c r="A54" s="4">
        <v>24810</v>
      </c>
      <c r="B54" s="4" t="s">
        <v>20</v>
      </c>
      <c r="C54" s="5">
        <v>45278</v>
      </c>
      <c r="D54" s="4">
        <v>1.4</v>
      </c>
      <c r="E54" s="4">
        <v>0.44</v>
      </c>
    </row>
    <row r="55" spans="1:5" x14ac:dyDescent="0.25">
      <c r="A55" s="4">
        <v>24810</v>
      </c>
      <c r="B55" s="4" t="s">
        <v>20</v>
      </c>
      <c r="C55" s="5">
        <v>45278</v>
      </c>
      <c r="D55" s="4">
        <v>1.4</v>
      </c>
      <c r="E55" s="4">
        <v>0.44</v>
      </c>
    </row>
    <row r="56" spans="1:5" x14ac:dyDescent="0.25">
      <c r="A56" s="4">
        <v>24810</v>
      </c>
      <c r="B56" s="4" t="s">
        <v>20</v>
      </c>
      <c r="C56" s="5">
        <v>45278</v>
      </c>
      <c r="D56" s="4">
        <v>1.4</v>
      </c>
      <c r="E56" s="4">
        <v>0.44</v>
      </c>
    </row>
    <row r="57" spans="1:5" x14ac:dyDescent="0.25">
      <c r="A57" s="4">
        <v>24810</v>
      </c>
      <c r="B57" s="4" t="s">
        <v>20</v>
      </c>
      <c r="C57" s="5">
        <v>45278</v>
      </c>
      <c r="D57" s="4">
        <v>1.4</v>
      </c>
      <c r="E57" s="4">
        <v>0.44</v>
      </c>
    </row>
    <row r="58" spans="1:5" x14ac:dyDescent="0.25">
      <c r="A58" s="4">
        <v>24810</v>
      </c>
      <c r="B58" s="4" t="s">
        <v>20</v>
      </c>
      <c r="C58" s="5">
        <v>45278</v>
      </c>
      <c r="D58" s="4">
        <v>1.4</v>
      </c>
      <c r="E58" s="4">
        <v>0.44</v>
      </c>
    </row>
    <row r="59" spans="1:5" x14ac:dyDescent="0.25">
      <c r="A59" s="4">
        <v>24810</v>
      </c>
      <c r="B59" s="4" t="s">
        <v>20</v>
      </c>
      <c r="C59" s="5">
        <v>45278</v>
      </c>
      <c r="D59" s="4">
        <v>1.4</v>
      </c>
      <c r="E59" s="4">
        <v>0.44</v>
      </c>
    </row>
    <row r="60" spans="1:5" x14ac:dyDescent="0.25">
      <c r="A60" s="4">
        <v>24810</v>
      </c>
      <c r="B60" s="4" t="s">
        <v>20</v>
      </c>
      <c r="C60" s="5">
        <v>45278</v>
      </c>
      <c r="D60" s="4">
        <v>1.4</v>
      </c>
      <c r="E60" s="4">
        <v>0.44</v>
      </c>
    </row>
    <row r="61" spans="1:5" x14ac:dyDescent="0.25">
      <c r="A61" s="4">
        <v>24810</v>
      </c>
      <c r="B61" s="4" t="s">
        <v>20</v>
      </c>
      <c r="C61" s="5">
        <v>45278</v>
      </c>
      <c r="D61" s="4">
        <v>1.4</v>
      </c>
      <c r="E61" s="4">
        <v>0.44</v>
      </c>
    </row>
    <row r="62" spans="1:5" x14ac:dyDescent="0.25">
      <c r="A62" s="4">
        <v>24810</v>
      </c>
      <c r="B62" s="4" t="s">
        <v>20</v>
      </c>
      <c r="C62" s="5">
        <v>45278</v>
      </c>
      <c r="D62" s="4">
        <v>1.4</v>
      </c>
      <c r="E62" s="4">
        <v>0.44</v>
      </c>
    </row>
    <row r="63" spans="1:5" x14ac:dyDescent="0.25">
      <c r="A63" s="4">
        <v>24810</v>
      </c>
      <c r="B63" s="4" t="s">
        <v>20</v>
      </c>
      <c r="C63" s="5">
        <v>45278</v>
      </c>
      <c r="D63" s="4">
        <v>1.4</v>
      </c>
      <c r="E63" s="4">
        <v>0.44</v>
      </c>
    </row>
    <row r="64" spans="1:5" x14ac:dyDescent="0.25">
      <c r="A64" s="4">
        <v>24810</v>
      </c>
      <c r="B64" s="4" t="s">
        <v>20</v>
      </c>
      <c r="C64" s="5">
        <v>45278</v>
      </c>
      <c r="D64" s="4">
        <v>20.100000000000001</v>
      </c>
      <c r="E64" s="4">
        <v>6.5</v>
      </c>
    </row>
    <row r="65" spans="1:5" x14ac:dyDescent="0.25">
      <c r="A65" s="4">
        <v>24810</v>
      </c>
      <c r="B65" s="4" t="s">
        <v>21</v>
      </c>
      <c r="C65" s="5">
        <v>45278</v>
      </c>
      <c r="D65" s="4">
        <v>28.9</v>
      </c>
      <c r="E65" s="4">
        <v>9.32</v>
      </c>
    </row>
    <row r="66" spans="1:5" x14ac:dyDescent="0.25">
      <c r="A66" s="4">
        <v>24810</v>
      </c>
      <c r="B66" s="4" t="s">
        <v>21</v>
      </c>
      <c r="C66" s="5">
        <v>45278</v>
      </c>
      <c r="D66" s="4">
        <v>28.9</v>
      </c>
      <c r="E66" s="4">
        <v>9.32</v>
      </c>
    </row>
    <row r="67" spans="1:5" x14ac:dyDescent="0.25">
      <c r="A67" s="4">
        <v>24810</v>
      </c>
      <c r="B67" s="4" t="s">
        <v>22</v>
      </c>
      <c r="C67" s="5">
        <v>45278</v>
      </c>
      <c r="D67" s="4">
        <v>42.5</v>
      </c>
      <c r="E67" s="4">
        <v>13.78</v>
      </c>
    </row>
    <row r="68" spans="1:5" x14ac:dyDescent="0.25">
      <c r="A68" s="4">
        <v>24810</v>
      </c>
      <c r="B68" s="4" t="s">
        <v>22</v>
      </c>
      <c r="C68" s="5">
        <v>45278</v>
      </c>
      <c r="D68" s="4">
        <v>3.6</v>
      </c>
      <c r="E68" s="4">
        <v>1.1599999999999999</v>
      </c>
    </row>
    <row r="69" spans="1:5" x14ac:dyDescent="0.25">
      <c r="A69" s="4">
        <v>24810</v>
      </c>
      <c r="B69" s="4" t="s">
        <v>22</v>
      </c>
      <c r="C69" s="5">
        <v>45278</v>
      </c>
      <c r="D69" s="4">
        <v>0.1</v>
      </c>
      <c r="E69" s="4">
        <v>0.03</v>
      </c>
    </row>
    <row r="70" spans="1:5" x14ac:dyDescent="0.25">
      <c r="A70" s="4">
        <v>24810</v>
      </c>
      <c r="B70" s="4" t="s">
        <v>22</v>
      </c>
      <c r="C70" s="5">
        <v>45278</v>
      </c>
      <c r="D70" s="4">
        <v>1.4</v>
      </c>
      <c r="E70" s="4">
        <v>0.45</v>
      </c>
    </row>
    <row r="71" spans="1:5" x14ac:dyDescent="0.25">
      <c r="A71" s="4">
        <v>24810</v>
      </c>
      <c r="B71" s="4" t="s">
        <v>22</v>
      </c>
      <c r="C71" s="5">
        <v>45278</v>
      </c>
      <c r="D71" s="4">
        <v>0.6</v>
      </c>
      <c r="E71" s="4">
        <v>0.19</v>
      </c>
    </row>
    <row r="72" spans="1:5" x14ac:dyDescent="0.25">
      <c r="A72" s="4">
        <v>24810</v>
      </c>
      <c r="B72" s="4" t="s">
        <v>22</v>
      </c>
      <c r="C72" s="5">
        <v>45278</v>
      </c>
      <c r="D72" s="4">
        <v>3.2</v>
      </c>
      <c r="E72" s="4">
        <v>1.02</v>
      </c>
    </row>
    <row r="73" spans="1:5" x14ac:dyDescent="0.25">
      <c r="A73" s="4">
        <v>24810</v>
      </c>
      <c r="B73" s="4" t="s">
        <v>22</v>
      </c>
      <c r="C73" s="5">
        <v>45278</v>
      </c>
      <c r="D73" s="4">
        <v>2.9</v>
      </c>
      <c r="E73" s="4">
        <v>0.93</v>
      </c>
    </row>
    <row r="74" spans="1:5" x14ac:dyDescent="0.25">
      <c r="A74" s="4">
        <v>24810</v>
      </c>
      <c r="B74" s="4" t="s">
        <v>22</v>
      </c>
      <c r="C74" s="5">
        <v>45278</v>
      </c>
      <c r="D74" s="4">
        <v>42.5</v>
      </c>
      <c r="E74" s="4">
        <v>13.78</v>
      </c>
    </row>
    <row r="75" spans="1:5" x14ac:dyDescent="0.25">
      <c r="A75" s="4">
        <v>24810</v>
      </c>
      <c r="B75" s="4" t="s">
        <v>23</v>
      </c>
      <c r="C75" s="5">
        <v>45278</v>
      </c>
      <c r="D75" s="4">
        <v>30.6</v>
      </c>
      <c r="E75" s="4">
        <v>9.92</v>
      </c>
    </row>
    <row r="76" spans="1:5" x14ac:dyDescent="0.25">
      <c r="A76" s="4">
        <v>24810</v>
      </c>
      <c r="B76" s="4" t="s">
        <v>23</v>
      </c>
      <c r="C76" s="5">
        <v>45278</v>
      </c>
      <c r="D76" s="4">
        <v>19.600000000000001</v>
      </c>
      <c r="E76" s="4">
        <v>6.35</v>
      </c>
    </row>
    <row r="77" spans="1:5" x14ac:dyDescent="0.25">
      <c r="A77" s="4">
        <v>24810</v>
      </c>
      <c r="B77" s="4" t="s">
        <v>23</v>
      </c>
      <c r="C77" s="5">
        <v>45278</v>
      </c>
      <c r="D77" s="4">
        <v>19.600000000000001</v>
      </c>
      <c r="E77" s="4">
        <v>6.35</v>
      </c>
    </row>
    <row r="78" spans="1:5" x14ac:dyDescent="0.25">
      <c r="A78" s="4">
        <v>24810</v>
      </c>
      <c r="B78" s="4" t="s">
        <v>23</v>
      </c>
      <c r="C78" s="5">
        <v>45278</v>
      </c>
      <c r="D78" s="4">
        <v>20.100000000000001</v>
      </c>
      <c r="E78" s="4">
        <v>6.52</v>
      </c>
    </row>
    <row r="79" spans="1:5" x14ac:dyDescent="0.25">
      <c r="A79" s="4">
        <v>24810</v>
      </c>
      <c r="B79" s="4" t="s">
        <v>23</v>
      </c>
      <c r="C79" s="5">
        <v>45278</v>
      </c>
      <c r="D79" s="4">
        <v>15</v>
      </c>
      <c r="E79" s="4">
        <v>4.8099999999999996</v>
      </c>
    </row>
    <row r="80" spans="1:5" x14ac:dyDescent="0.25">
      <c r="A80" s="4">
        <v>24810</v>
      </c>
      <c r="B80" s="4" t="s">
        <v>23</v>
      </c>
      <c r="C80" s="5">
        <v>45278</v>
      </c>
      <c r="D80" s="4">
        <v>2.4</v>
      </c>
      <c r="E80" s="4">
        <v>0.78</v>
      </c>
    </row>
    <row r="81" spans="1:5" x14ac:dyDescent="0.25">
      <c r="A81" s="4">
        <v>24810</v>
      </c>
      <c r="B81" s="4" t="s">
        <v>23</v>
      </c>
      <c r="C81" s="5">
        <v>45278</v>
      </c>
      <c r="D81" s="4">
        <v>30.6</v>
      </c>
      <c r="E81" s="4">
        <v>9.92</v>
      </c>
    </row>
    <row r="82" spans="1:5" x14ac:dyDescent="0.25">
      <c r="A82" s="4">
        <v>24810</v>
      </c>
      <c r="B82" s="4" t="s">
        <v>24</v>
      </c>
      <c r="C82" s="5">
        <v>45278</v>
      </c>
      <c r="D82" s="4">
        <v>37.4</v>
      </c>
      <c r="E82" s="4">
        <v>12.13</v>
      </c>
    </row>
    <row r="83" spans="1:5" x14ac:dyDescent="0.25">
      <c r="A83" s="4">
        <v>24810</v>
      </c>
      <c r="B83" s="4" t="s">
        <v>24</v>
      </c>
      <c r="C83" s="5">
        <v>45278</v>
      </c>
      <c r="D83" s="4">
        <v>0.7</v>
      </c>
      <c r="E83" s="4">
        <v>0.23</v>
      </c>
    </row>
    <row r="84" spans="1:5" x14ac:dyDescent="0.25">
      <c r="A84" s="4">
        <v>24810</v>
      </c>
      <c r="B84" s="4" t="s">
        <v>24</v>
      </c>
      <c r="C84" s="5">
        <v>45278</v>
      </c>
      <c r="D84" s="4">
        <v>1</v>
      </c>
      <c r="E84" s="4">
        <v>0.31</v>
      </c>
    </row>
    <row r="85" spans="1:5" x14ac:dyDescent="0.25">
      <c r="A85" s="4">
        <v>24810</v>
      </c>
      <c r="B85" s="4" t="s">
        <v>24</v>
      </c>
      <c r="C85" s="5">
        <v>45278</v>
      </c>
      <c r="D85" s="4">
        <v>1.6</v>
      </c>
      <c r="E85" s="4">
        <v>0.5</v>
      </c>
    </row>
    <row r="86" spans="1:5" x14ac:dyDescent="0.25">
      <c r="A86" s="4">
        <v>24810</v>
      </c>
      <c r="B86" s="4" t="s">
        <v>24</v>
      </c>
      <c r="C86" s="5">
        <v>45278</v>
      </c>
      <c r="D86" s="4">
        <v>1.3</v>
      </c>
      <c r="E86" s="4">
        <v>0.41</v>
      </c>
    </row>
    <row r="87" spans="1:5" x14ac:dyDescent="0.25">
      <c r="A87" s="4">
        <v>24810</v>
      </c>
      <c r="B87" s="4" t="s">
        <v>24</v>
      </c>
      <c r="C87" s="5">
        <v>45278</v>
      </c>
      <c r="D87" s="4">
        <v>1.6</v>
      </c>
      <c r="E87" s="4">
        <v>0.5</v>
      </c>
    </row>
    <row r="88" spans="1:5" x14ac:dyDescent="0.25">
      <c r="A88" s="4">
        <v>24810</v>
      </c>
      <c r="B88" s="4" t="s">
        <v>24</v>
      </c>
      <c r="C88" s="5">
        <v>45278</v>
      </c>
      <c r="D88" s="4">
        <v>6.9</v>
      </c>
      <c r="E88" s="4">
        <v>2.2000000000000002</v>
      </c>
    </row>
    <row r="89" spans="1:5" x14ac:dyDescent="0.25">
      <c r="A89" s="4">
        <v>24810</v>
      </c>
      <c r="B89" s="4" t="s">
        <v>24</v>
      </c>
      <c r="C89" s="5">
        <v>45278</v>
      </c>
      <c r="D89" s="4">
        <v>8.4</v>
      </c>
      <c r="E89" s="4">
        <v>2.65</v>
      </c>
    </row>
    <row r="90" spans="1:5" x14ac:dyDescent="0.25">
      <c r="A90" s="4">
        <v>24810</v>
      </c>
      <c r="B90" s="4" t="s">
        <v>24</v>
      </c>
      <c r="C90" s="5">
        <v>45278</v>
      </c>
      <c r="D90" s="4">
        <v>1.3</v>
      </c>
      <c r="E90" s="4">
        <v>0.41</v>
      </c>
    </row>
    <row r="91" spans="1:5" x14ac:dyDescent="0.25">
      <c r="A91" s="4">
        <v>24810</v>
      </c>
      <c r="B91" s="4" t="s">
        <v>24</v>
      </c>
      <c r="C91" s="5">
        <v>45278</v>
      </c>
      <c r="D91" s="4">
        <v>1.6</v>
      </c>
      <c r="E91" s="4">
        <v>0.5</v>
      </c>
    </row>
    <row r="92" spans="1:5" x14ac:dyDescent="0.25">
      <c r="A92" s="4">
        <v>24810</v>
      </c>
      <c r="B92" s="4" t="s">
        <v>24</v>
      </c>
      <c r="C92" s="5">
        <v>45278</v>
      </c>
      <c r="D92" s="4">
        <v>0.5</v>
      </c>
      <c r="E92" s="4">
        <v>0.16</v>
      </c>
    </row>
    <row r="93" spans="1:5" x14ac:dyDescent="0.25">
      <c r="A93" s="4">
        <v>24810</v>
      </c>
      <c r="B93" s="4" t="s">
        <v>24</v>
      </c>
      <c r="C93" s="5">
        <v>45278</v>
      </c>
      <c r="D93" s="4">
        <v>12.4</v>
      </c>
      <c r="E93" s="4">
        <v>4.01</v>
      </c>
    </row>
    <row r="94" spans="1:5" x14ac:dyDescent="0.25">
      <c r="A94" s="4">
        <v>24810</v>
      </c>
      <c r="B94" s="4" t="s">
        <v>24</v>
      </c>
      <c r="C94" s="5">
        <v>45278</v>
      </c>
      <c r="D94" s="4">
        <v>10.9</v>
      </c>
      <c r="E94" s="4">
        <v>3.53</v>
      </c>
    </row>
    <row r="95" spans="1:5" x14ac:dyDescent="0.25">
      <c r="A95" s="4">
        <v>24810</v>
      </c>
      <c r="B95" s="4" t="s">
        <v>24</v>
      </c>
      <c r="C95" s="5">
        <v>45278</v>
      </c>
      <c r="D95" s="4">
        <v>0.7</v>
      </c>
      <c r="E95" s="4">
        <v>0.23</v>
      </c>
    </row>
    <row r="96" spans="1:5" x14ac:dyDescent="0.25">
      <c r="A96" s="4">
        <v>24810</v>
      </c>
      <c r="B96" s="4" t="s">
        <v>24</v>
      </c>
      <c r="C96" s="5">
        <v>45278</v>
      </c>
      <c r="D96" s="4">
        <v>6.7</v>
      </c>
      <c r="E96" s="4">
        <v>2.14</v>
      </c>
    </row>
    <row r="97" spans="1:5" x14ac:dyDescent="0.25">
      <c r="A97" s="4">
        <v>24810</v>
      </c>
      <c r="B97" s="4" t="s">
        <v>24</v>
      </c>
      <c r="C97" s="5">
        <v>45278</v>
      </c>
      <c r="D97" s="4">
        <v>7.4</v>
      </c>
      <c r="E97" s="4">
        <v>2.35</v>
      </c>
    </row>
    <row r="98" spans="1:5" x14ac:dyDescent="0.25">
      <c r="A98" s="4">
        <v>24810</v>
      </c>
      <c r="B98" s="4" t="s">
        <v>24</v>
      </c>
      <c r="C98" s="5">
        <v>45278</v>
      </c>
      <c r="D98" s="4">
        <v>5.2</v>
      </c>
      <c r="E98" s="4">
        <v>1.66</v>
      </c>
    </row>
    <row r="99" spans="1:5" x14ac:dyDescent="0.25">
      <c r="A99" s="4">
        <v>24810</v>
      </c>
      <c r="B99" s="4" t="s">
        <v>25</v>
      </c>
      <c r="C99" s="5">
        <v>45278</v>
      </c>
      <c r="D99" s="4">
        <v>35.1</v>
      </c>
      <c r="E99" s="4">
        <v>12.19</v>
      </c>
    </row>
    <row r="100" spans="1:5" x14ac:dyDescent="0.25">
      <c r="A100" s="4">
        <v>24810</v>
      </c>
      <c r="B100" s="4" t="s">
        <v>25</v>
      </c>
      <c r="C100" s="5">
        <v>45278</v>
      </c>
      <c r="D100" s="4">
        <v>33</v>
      </c>
      <c r="E100" s="4">
        <v>11.46</v>
      </c>
    </row>
    <row r="101" spans="1:5" x14ac:dyDescent="0.25">
      <c r="A101" s="4">
        <v>24810</v>
      </c>
      <c r="B101" s="4" t="s">
        <v>25</v>
      </c>
      <c r="C101" s="5">
        <v>45278</v>
      </c>
      <c r="D101" s="4">
        <v>1.3</v>
      </c>
      <c r="E101" s="4">
        <v>0.45</v>
      </c>
    </row>
    <row r="102" spans="1:5" x14ac:dyDescent="0.25">
      <c r="A102" s="4">
        <v>24810</v>
      </c>
      <c r="B102" s="4" t="s">
        <v>25</v>
      </c>
      <c r="C102" s="5">
        <v>45278</v>
      </c>
      <c r="D102" s="4">
        <v>30.9</v>
      </c>
      <c r="E102" s="4">
        <v>10.73</v>
      </c>
    </row>
    <row r="103" spans="1:5" x14ac:dyDescent="0.25">
      <c r="A103" s="4">
        <v>24810</v>
      </c>
      <c r="B103" s="4" t="s">
        <v>25</v>
      </c>
      <c r="C103" s="5">
        <v>45278</v>
      </c>
      <c r="D103" s="4">
        <v>33</v>
      </c>
      <c r="E103" s="4">
        <v>11.46</v>
      </c>
    </row>
    <row r="104" spans="1:5" x14ac:dyDescent="0.25">
      <c r="A104" s="4">
        <v>24810</v>
      </c>
      <c r="B104" s="4" t="s">
        <v>25</v>
      </c>
      <c r="C104" s="5">
        <v>45278</v>
      </c>
      <c r="D104" s="4">
        <v>1.3</v>
      </c>
      <c r="E104" s="4">
        <v>0.45</v>
      </c>
    </row>
    <row r="105" spans="1:5" x14ac:dyDescent="0.25">
      <c r="A105" s="4">
        <v>24810</v>
      </c>
      <c r="B105" s="4" t="s">
        <v>25</v>
      </c>
      <c r="C105" s="5">
        <v>45278</v>
      </c>
      <c r="D105" s="4">
        <v>14.2</v>
      </c>
      <c r="E105" s="4">
        <v>4.95</v>
      </c>
    </row>
    <row r="106" spans="1:5" x14ac:dyDescent="0.25">
      <c r="A106" s="4">
        <v>24810</v>
      </c>
      <c r="B106" s="4" t="s">
        <v>25</v>
      </c>
      <c r="C106" s="5">
        <v>45278</v>
      </c>
      <c r="D106" s="4">
        <v>4</v>
      </c>
      <c r="E106" s="4">
        <v>1.39</v>
      </c>
    </row>
    <row r="107" spans="1:5" x14ac:dyDescent="0.25">
      <c r="A107" s="4">
        <v>24810</v>
      </c>
      <c r="B107" s="4" t="s">
        <v>25</v>
      </c>
      <c r="C107" s="5">
        <v>45278</v>
      </c>
      <c r="D107" s="4">
        <v>49.1</v>
      </c>
      <c r="E107" s="4">
        <v>17.059999999999999</v>
      </c>
    </row>
    <row r="108" spans="1:5" x14ac:dyDescent="0.25">
      <c r="A108" s="4">
        <v>24810</v>
      </c>
      <c r="B108" s="4" t="s">
        <v>25</v>
      </c>
      <c r="C108" s="5">
        <v>45278</v>
      </c>
      <c r="D108" s="4">
        <v>33.1</v>
      </c>
      <c r="E108" s="4">
        <v>11.49</v>
      </c>
    </row>
    <row r="109" spans="1:5" x14ac:dyDescent="0.25">
      <c r="A109" s="4">
        <v>24810</v>
      </c>
      <c r="B109" s="4" t="s">
        <v>25</v>
      </c>
      <c r="C109" s="5">
        <v>45278</v>
      </c>
      <c r="D109" s="4">
        <v>7.4</v>
      </c>
      <c r="E109" s="4">
        <v>2.58</v>
      </c>
    </row>
    <row r="110" spans="1:5" x14ac:dyDescent="0.25">
      <c r="A110" s="4">
        <v>24810</v>
      </c>
      <c r="B110" s="4" t="s">
        <v>26</v>
      </c>
      <c r="C110" s="5">
        <v>45278</v>
      </c>
      <c r="D110" s="4">
        <v>35.1</v>
      </c>
      <c r="E110" s="4">
        <v>12.19</v>
      </c>
    </row>
    <row r="111" spans="1:5" x14ac:dyDescent="0.25">
      <c r="A111" s="4">
        <v>24810</v>
      </c>
      <c r="B111" s="4" t="s">
        <v>26</v>
      </c>
      <c r="C111" s="5">
        <v>45278</v>
      </c>
      <c r="D111" s="4">
        <v>33.1</v>
      </c>
      <c r="E111" s="4">
        <v>11.49</v>
      </c>
    </row>
    <row r="112" spans="1:5" x14ac:dyDescent="0.25">
      <c r="A112" s="4">
        <v>24810</v>
      </c>
      <c r="B112" s="4" t="s">
        <v>26</v>
      </c>
      <c r="C112" s="5">
        <v>45278</v>
      </c>
      <c r="D112" s="4">
        <v>30.9</v>
      </c>
      <c r="E112" s="4">
        <v>10.73</v>
      </c>
    </row>
    <row r="113" spans="1:5" x14ac:dyDescent="0.25">
      <c r="A113" s="4">
        <v>24810</v>
      </c>
      <c r="B113" s="4" t="s">
        <v>26</v>
      </c>
      <c r="C113" s="5">
        <v>45278</v>
      </c>
      <c r="D113" s="4">
        <v>33.1</v>
      </c>
      <c r="E113" s="4">
        <v>11.49</v>
      </c>
    </row>
    <row r="114" spans="1:5" x14ac:dyDescent="0.25">
      <c r="A114" s="4">
        <v>24810</v>
      </c>
      <c r="B114" s="4" t="s">
        <v>26</v>
      </c>
      <c r="C114" s="5">
        <v>45278</v>
      </c>
      <c r="D114" s="4">
        <v>32.200000000000003</v>
      </c>
      <c r="E114" s="4">
        <v>11.14</v>
      </c>
    </row>
    <row r="115" spans="1:5" x14ac:dyDescent="0.25">
      <c r="A115" s="4">
        <v>24810</v>
      </c>
      <c r="B115" s="4" t="s">
        <v>26</v>
      </c>
      <c r="C115" s="5">
        <v>45278</v>
      </c>
      <c r="D115" s="4">
        <v>2</v>
      </c>
      <c r="E115" s="4">
        <v>0.69</v>
      </c>
    </row>
    <row r="116" spans="1:5" x14ac:dyDescent="0.25">
      <c r="A116" s="4">
        <v>24810</v>
      </c>
      <c r="B116" s="4" t="s">
        <v>26</v>
      </c>
      <c r="C116" s="5">
        <v>45278</v>
      </c>
      <c r="D116" s="4">
        <v>32</v>
      </c>
      <c r="E116" s="4">
        <v>11.07</v>
      </c>
    </row>
    <row r="117" spans="1:5" x14ac:dyDescent="0.25">
      <c r="A117" s="4">
        <v>24810</v>
      </c>
      <c r="B117" s="4" t="s">
        <v>26</v>
      </c>
      <c r="C117" s="5">
        <v>45278</v>
      </c>
      <c r="D117" s="4">
        <v>32.200000000000003</v>
      </c>
      <c r="E117" s="4">
        <v>11.14</v>
      </c>
    </row>
    <row r="118" spans="1:5" x14ac:dyDescent="0.25">
      <c r="A118" s="4">
        <v>24810</v>
      </c>
      <c r="B118" s="4" t="s">
        <v>26</v>
      </c>
      <c r="C118" s="5">
        <v>45278</v>
      </c>
      <c r="D118" s="4">
        <v>34.4</v>
      </c>
      <c r="E118" s="4">
        <v>11.9</v>
      </c>
    </row>
    <row r="119" spans="1:5" x14ac:dyDescent="0.25">
      <c r="A119" s="4">
        <v>24810</v>
      </c>
      <c r="B119" s="4" t="s">
        <v>26</v>
      </c>
      <c r="C119" s="5">
        <v>45278</v>
      </c>
      <c r="D119" s="4">
        <v>7.4</v>
      </c>
      <c r="E119" s="4">
        <v>2.58</v>
      </c>
    </row>
    <row r="120" spans="1:5" x14ac:dyDescent="0.25">
      <c r="A120" s="4">
        <v>24810</v>
      </c>
      <c r="B120" s="4" t="s">
        <v>27</v>
      </c>
      <c r="C120" s="5">
        <v>45278</v>
      </c>
      <c r="D120" s="4">
        <v>15.4</v>
      </c>
      <c r="E120" s="4">
        <v>5.35</v>
      </c>
    </row>
    <row r="121" spans="1:5" x14ac:dyDescent="0.25">
      <c r="A121" s="4">
        <v>24810</v>
      </c>
      <c r="B121" s="4" t="s">
        <v>27</v>
      </c>
      <c r="C121" s="5">
        <v>45278</v>
      </c>
      <c r="D121" s="4">
        <v>15.4</v>
      </c>
      <c r="E121" s="4">
        <v>5.35</v>
      </c>
    </row>
    <row r="122" spans="1:5" x14ac:dyDescent="0.25">
      <c r="A122" s="4">
        <v>24810</v>
      </c>
      <c r="B122" s="4" t="s">
        <v>27</v>
      </c>
      <c r="C122" s="5">
        <v>45278</v>
      </c>
      <c r="D122" s="4">
        <v>15.4</v>
      </c>
      <c r="E122" s="4">
        <v>5.35</v>
      </c>
    </row>
    <row r="123" spans="1:5" x14ac:dyDescent="0.25">
      <c r="A123" s="4">
        <v>24810</v>
      </c>
      <c r="B123" s="4" t="s">
        <v>27</v>
      </c>
      <c r="C123" s="5">
        <v>45278</v>
      </c>
      <c r="D123" s="4">
        <v>3.6</v>
      </c>
      <c r="E123" s="4">
        <v>1.25</v>
      </c>
    </row>
    <row r="124" spans="1:5" x14ac:dyDescent="0.25">
      <c r="A124" s="4">
        <v>24810</v>
      </c>
      <c r="B124" s="4" t="s">
        <v>27</v>
      </c>
      <c r="C124" s="5">
        <v>45278</v>
      </c>
      <c r="D124" s="4">
        <v>15.4</v>
      </c>
      <c r="E124" s="4">
        <v>5.35</v>
      </c>
    </row>
    <row r="125" spans="1:5" x14ac:dyDescent="0.25">
      <c r="A125" s="4">
        <v>24810</v>
      </c>
      <c r="B125" s="4" t="s">
        <v>27</v>
      </c>
      <c r="C125" s="5">
        <v>45278</v>
      </c>
      <c r="D125" s="4">
        <v>15.4</v>
      </c>
      <c r="E125" s="4">
        <v>5.35</v>
      </c>
    </row>
    <row r="126" spans="1:5" x14ac:dyDescent="0.25">
      <c r="A126" s="4">
        <v>24810</v>
      </c>
      <c r="B126" s="4" t="s">
        <v>27</v>
      </c>
      <c r="C126" s="5">
        <v>45278</v>
      </c>
      <c r="D126" s="4">
        <v>15.4</v>
      </c>
      <c r="E126" s="4">
        <v>5.35</v>
      </c>
    </row>
    <row r="127" spans="1:5" x14ac:dyDescent="0.25">
      <c r="A127" s="4">
        <v>24810</v>
      </c>
      <c r="B127" s="4" t="s">
        <v>27</v>
      </c>
      <c r="C127" s="5">
        <v>45278</v>
      </c>
      <c r="D127" s="4">
        <v>15.4</v>
      </c>
      <c r="E127" s="4">
        <v>5.35</v>
      </c>
    </row>
    <row r="128" spans="1:5" x14ac:dyDescent="0.25">
      <c r="A128" s="4">
        <v>24810</v>
      </c>
      <c r="B128" s="4" t="s">
        <v>27</v>
      </c>
      <c r="C128" s="5">
        <v>45278</v>
      </c>
      <c r="D128" s="4">
        <v>15.4</v>
      </c>
      <c r="E128" s="4">
        <v>5.35</v>
      </c>
    </row>
    <row r="129" spans="1:5" x14ac:dyDescent="0.25">
      <c r="A129" s="4">
        <v>24810</v>
      </c>
      <c r="B129" s="4" t="s">
        <v>28</v>
      </c>
      <c r="C129" s="5">
        <v>45278</v>
      </c>
      <c r="D129" s="4">
        <v>27.4</v>
      </c>
      <c r="E129" s="4">
        <v>8.89</v>
      </c>
    </row>
    <row r="130" spans="1:5" x14ac:dyDescent="0.25">
      <c r="A130" s="4">
        <v>24810</v>
      </c>
      <c r="B130" s="4" t="s">
        <v>28</v>
      </c>
      <c r="C130" s="5">
        <v>45278</v>
      </c>
      <c r="D130" s="4">
        <v>16.399999999999999</v>
      </c>
      <c r="E130" s="4">
        <v>5.32</v>
      </c>
    </row>
    <row r="131" spans="1:5" x14ac:dyDescent="0.25">
      <c r="A131" s="4">
        <v>24810</v>
      </c>
      <c r="B131" s="4" t="s">
        <v>28</v>
      </c>
      <c r="C131" s="5">
        <v>45278</v>
      </c>
      <c r="D131" s="4">
        <v>40.200000000000003</v>
      </c>
      <c r="E131" s="4">
        <v>13.02</v>
      </c>
    </row>
    <row r="132" spans="1:5" x14ac:dyDescent="0.25">
      <c r="A132" s="4">
        <v>24810</v>
      </c>
      <c r="B132" s="4" t="s">
        <v>28</v>
      </c>
      <c r="C132" s="5">
        <v>45278</v>
      </c>
      <c r="D132" s="4">
        <v>24.2</v>
      </c>
      <c r="E132" s="4">
        <v>7.8</v>
      </c>
    </row>
    <row r="133" spans="1:5" x14ac:dyDescent="0.25">
      <c r="A133" s="4">
        <v>24810</v>
      </c>
      <c r="B133" s="4" t="s">
        <v>28</v>
      </c>
      <c r="C133" s="5">
        <v>45278</v>
      </c>
      <c r="D133" s="4">
        <v>27.4</v>
      </c>
      <c r="E133" s="4">
        <v>8.89</v>
      </c>
    </row>
    <row r="134" spans="1:5" x14ac:dyDescent="0.25">
      <c r="A134" s="4">
        <v>24810</v>
      </c>
      <c r="B134" s="4" t="s">
        <v>28</v>
      </c>
      <c r="C134" s="5">
        <v>45278</v>
      </c>
      <c r="D134" s="4">
        <v>0.8</v>
      </c>
      <c r="E134" s="4">
        <v>0.26</v>
      </c>
    </row>
    <row r="135" spans="1:5" x14ac:dyDescent="0.25">
      <c r="A135" s="4">
        <v>24810</v>
      </c>
      <c r="B135" s="4" t="s">
        <v>28</v>
      </c>
      <c r="C135" s="5">
        <v>45278</v>
      </c>
      <c r="D135" s="4">
        <v>0.8</v>
      </c>
      <c r="E135" s="4">
        <v>0.26</v>
      </c>
    </row>
    <row r="136" spans="1:5" x14ac:dyDescent="0.25">
      <c r="A136" s="4">
        <v>24810</v>
      </c>
      <c r="B136" s="4" t="s">
        <v>28</v>
      </c>
      <c r="C136" s="5">
        <v>45278</v>
      </c>
      <c r="D136" s="4">
        <v>0.6</v>
      </c>
      <c r="E136" s="4">
        <v>0.2</v>
      </c>
    </row>
    <row r="137" spans="1:5" x14ac:dyDescent="0.25">
      <c r="A137" s="4">
        <v>24810</v>
      </c>
      <c r="B137" s="4" t="s">
        <v>28</v>
      </c>
      <c r="C137" s="5">
        <v>45278</v>
      </c>
      <c r="D137" s="4">
        <v>0.8</v>
      </c>
      <c r="E137" s="4">
        <v>0.26</v>
      </c>
    </row>
    <row r="138" spans="1:5" x14ac:dyDescent="0.25">
      <c r="A138" s="4">
        <v>24810</v>
      </c>
      <c r="B138" s="4" t="s">
        <v>28</v>
      </c>
      <c r="C138" s="5">
        <v>45278</v>
      </c>
      <c r="D138" s="4">
        <v>0.8</v>
      </c>
      <c r="E138" s="4">
        <v>0.26</v>
      </c>
    </row>
    <row r="139" spans="1:5" x14ac:dyDescent="0.25">
      <c r="A139" s="4">
        <v>24810</v>
      </c>
      <c r="B139" s="4" t="s">
        <v>28</v>
      </c>
      <c r="C139" s="5">
        <v>45278</v>
      </c>
      <c r="D139" s="4">
        <v>0.6</v>
      </c>
      <c r="E139" s="4">
        <v>0.2</v>
      </c>
    </row>
    <row r="140" spans="1:5" x14ac:dyDescent="0.25">
      <c r="A140" s="4">
        <v>24810</v>
      </c>
      <c r="B140" s="4" t="s">
        <v>28</v>
      </c>
      <c r="C140" s="5">
        <v>45278</v>
      </c>
      <c r="D140" s="4">
        <v>1.2</v>
      </c>
      <c r="E140" s="4">
        <v>0.38</v>
      </c>
    </row>
    <row r="141" spans="1:5" x14ac:dyDescent="0.25">
      <c r="A141" s="4">
        <v>24810</v>
      </c>
      <c r="B141" s="4" t="s">
        <v>29</v>
      </c>
      <c r="C141" s="5">
        <v>45278</v>
      </c>
      <c r="D141" s="4">
        <v>35.1</v>
      </c>
      <c r="E141" s="4">
        <v>12.19</v>
      </c>
    </row>
    <row r="142" spans="1:5" x14ac:dyDescent="0.25">
      <c r="A142" s="4">
        <v>24810</v>
      </c>
      <c r="B142" s="4" t="s">
        <v>29</v>
      </c>
      <c r="C142" s="5">
        <v>45278</v>
      </c>
      <c r="D142" s="4">
        <v>33</v>
      </c>
      <c r="E142" s="4">
        <v>11.46</v>
      </c>
    </row>
    <row r="143" spans="1:5" x14ac:dyDescent="0.25">
      <c r="A143" s="4">
        <v>24810</v>
      </c>
      <c r="B143" s="4" t="s">
        <v>29</v>
      </c>
      <c r="C143" s="5">
        <v>45278</v>
      </c>
      <c r="D143" s="4">
        <v>1.3</v>
      </c>
      <c r="E143" s="4">
        <v>0.45</v>
      </c>
    </row>
    <row r="144" spans="1:5" x14ac:dyDescent="0.25">
      <c r="A144" s="4">
        <v>24810</v>
      </c>
      <c r="B144" s="4" t="s">
        <v>29</v>
      </c>
      <c r="C144" s="5">
        <v>45278</v>
      </c>
      <c r="D144" s="4">
        <v>30.9</v>
      </c>
      <c r="E144" s="4">
        <v>10.73</v>
      </c>
    </row>
    <row r="145" spans="1:5" x14ac:dyDescent="0.25">
      <c r="A145" s="4">
        <v>24810</v>
      </c>
      <c r="B145" s="4" t="s">
        <v>29</v>
      </c>
      <c r="C145" s="5">
        <v>45278</v>
      </c>
      <c r="D145" s="4">
        <v>33</v>
      </c>
      <c r="E145" s="4">
        <v>11.46</v>
      </c>
    </row>
    <row r="146" spans="1:5" x14ac:dyDescent="0.25">
      <c r="A146" s="4">
        <v>24810</v>
      </c>
      <c r="B146" s="4" t="s">
        <v>29</v>
      </c>
      <c r="C146" s="5">
        <v>45278</v>
      </c>
      <c r="D146" s="4">
        <v>1.3</v>
      </c>
      <c r="E146" s="4">
        <v>0.45</v>
      </c>
    </row>
    <row r="147" spans="1:5" x14ac:dyDescent="0.25">
      <c r="A147" s="4">
        <v>24810</v>
      </c>
      <c r="B147" s="4" t="s">
        <v>29</v>
      </c>
      <c r="C147" s="5">
        <v>45278</v>
      </c>
      <c r="D147" s="4">
        <v>30.9</v>
      </c>
      <c r="E147" s="4">
        <v>10.73</v>
      </c>
    </row>
    <row r="148" spans="1:5" x14ac:dyDescent="0.25">
      <c r="A148" s="4">
        <v>24810</v>
      </c>
      <c r="B148" s="4" t="s">
        <v>29</v>
      </c>
      <c r="C148" s="5">
        <v>45278</v>
      </c>
      <c r="D148" s="4">
        <v>33</v>
      </c>
      <c r="E148" s="4">
        <v>11.46</v>
      </c>
    </row>
    <row r="149" spans="1:5" x14ac:dyDescent="0.25">
      <c r="A149" s="4">
        <v>24810</v>
      </c>
      <c r="B149" s="4" t="s">
        <v>29</v>
      </c>
      <c r="C149" s="5">
        <v>45278</v>
      </c>
      <c r="D149" s="4">
        <v>1.3</v>
      </c>
      <c r="E149" s="4">
        <v>0.45</v>
      </c>
    </row>
    <row r="150" spans="1:5" x14ac:dyDescent="0.25">
      <c r="A150" s="4">
        <v>24810</v>
      </c>
      <c r="B150" s="4" t="s">
        <v>29</v>
      </c>
      <c r="C150" s="5">
        <v>45278</v>
      </c>
      <c r="D150" s="4">
        <v>50.7</v>
      </c>
      <c r="E150" s="4">
        <v>17.670000000000002</v>
      </c>
    </row>
    <row r="151" spans="1:5" x14ac:dyDescent="0.25">
      <c r="A151" s="4">
        <v>24810</v>
      </c>
      <c r="B151" s="4" t="s">
        <v>29</v>
      </c>
      <c r="C151" s="5">
        <v>45278</v>
      </c>
      <c r="D151" s="4">
        <v>1.5</v>
      </c>
      <c r="E151" s="4">
        <v>0.52</v>
      </c>
    </row>
    <row r="152" spans="1:5" x14ac:dyDescent="0.25">
      <c r="A152" s="4">
        <v>24810</v>
      </c>
      <c r="B152" s="4" t="s">
        <v>29</v>
      </c>
      <c r="C152" s="5">
        <v>45278</v>
      </c>
      <c r="D152" s="4">
        <v>51.3</v>
      </c>
      <c r="E152" s="4">
        <v>17.88</v>
      </c>
    </row>
    <row r="153" spans="1:5" x14ac:dyDescent="0.25">
      <c r="A153" s="4">
        <v>24810</v>
      </c>
      <c r="B153" s="4" t="s">
        <v>29</v>
      </c>
      <c r="C153" s="5">
        <v>45278</v>
      </c>
      <c r="D153" s="4">
        <v>1.3</v>
      </c>
      <c r="E153" s="4">
        <v>0.45</v>
      </c>
    </row>
    <row r="154" spans="1:5" x14ac:dyDescent="0.25">
      <c r="A154" s="4">
        <v>24810</v>
      </c>
      <c r="B154" s="4" t="s">
        <v>29</v>
      </c>
      <c r="C154" s="5">
        <v>45278</v>
      </c>
      <c r="D154" s="4">
        <v>7.4</v>
      </c>
      <c r="E154" s="4">
        <v>2.58</v>
      </c>
    </row>
    <row r="155" spans="1:5" x14ac:dyDescent="0.25">
      <c r="A155" s="4">
        <v>24810</v>
      </c>
      <c r="B155" s="4" t="s">
        <v>30</v>
      </c>
      <c r="C155" s="5">
        <v>45278</v>
      </c>
      <c r="D155" s="4">
        <v>9.5</v>
      </c>
      <c r="E155" s="4">
        <v>3.31</v>
      </c>
    </row>
    <row r="156" spans="1:5" x14ac:dyDescent="0.25">
      <c r="A156" s="4">
        <v>24810</v>
      </c>
      <c r="B156" s="4" t="s">
        <v>30</v>
      </c>
      <c r="C156" s="5">
        <v>45278</v>
      </c>
      <c r="D156" s="4">
        <v>1.3</v>
      </c>
      <c r="E156" s="4">
        <v>0.45</v>
      </c>
    </row>
    <row r="157" spans="1:5" x14ac:dyDescent="0.25">
      <c r="A157" s="4">
        <v>24810</v>
      </c>
      <c r="B157" s="4" t="s">
        <v>30</v>
      </c>
      <c r="C157" s="5">
        <v>45278</v>
      </c>
      <c r="D157" s="4">
        <v>7.4</v>
      </c>
      <c r="E157" s="4">
        <v>2.58</v>
      </c>
    </row>
    <row r="158" spans="1:5" x14ac:dyDescent="0.25">
      <c r="A158" s="4">
        <v>24810</v>
      </c>
      <c r="B158" s="4" t="s">
        <v>30</v>
      </c>
      <c r="C158" s="5">
        <v>45278</v>
      </c>
      <c r="D158" s="4">
        <v>11.6</v>
      </c>
      <c r="E158" s="4">
        <v>4.05</v>
      </c>
    </row>
    <row r="159" spans="1:5" x14ac:dyDescent="0.25">
      <c r="A159" s="4">
        <v>24810</v>
      </c>
      <c r="B159" s="4" t="s">
        <v>30</v>
      </c>
      <c r="C159" s="5">
        <v>45278</v>
      </c>
      <c r="D159" s="4">
        <v>20.7</v>
      </c>
      <c r="E159" s="4">
        <v>7.21</v>
      </c>
    </row>
    <row r="160" spans="1:5" x14ac:dyDescent="0.25">
      <c r="A160" s="4">
        <v>24810</v>
      </c>
      <c r="B160" s="4" t="s">
        <v>30</v>
      </c>
      <c r="C160" s="5">
        <v>45278</v>
      </c>
      <c r="D160" s="4">
        <v>33</v>
      </c>
      <c r="E160" s="4">
        <v>11.46</v>
      </c>
    </row>
    <row r="161" spans="1:5" x14ac:dyDescent="0.25">
      <c r="A161" s="4">
        <v>24810</v>
      </c>
      <c r="B161" s="4" t="s">
        <v>30</v>
      </c>
      <c r="C161" s="5">
        <v>45278</v>
      </c>
      <c r="D161" s="4">
        <v>1.3</v>
      </c>
      <c r="E161" s="4">
        <v>0.45</v>
      </c>
    </row>
    <row r="162" spans="1:5" x14ac:dyDescent="0.25">
      <c r="A162" s="4">
        <v>24810</v>
      </c>
      <c r="B162" s="4" t="s">
        <v>30</v>
      </c>
      <c r="C162" s="5">
        <v>45278</v>
      </c>
      <c r="D162" s="4">
        <v>30</v>
      </c>
      <c r="E162" s="4">
        <v>10.46</v>
      </c>
    </row>
    <row r="163" spans="1:5" x14ac:dyDescent="0.25">
      <c r="A163" s="4">
        <v>24810</v>
      </c>
      <c r="B163" s="4" t="s">
        <v>30</v>
      </c>
      <c r="C163" s="5">
        <v>45278</v>
      </c>
      <c r="D163" s="4">
        <v>20.7</v>
      </c>
      <c r="E163" s="4">
        <v>7.21</v>
      </c>
    </row>
    <row r="164" spans="1:5" x14ac:dyDescent="0.25">
      <c r="A164" s="4">
        <v>24810</v>
      </c>
      <c r="B164" s="4" t="s">
        <v>30</v>
      </c>
      <c r="C164" s="5">
        <v>45278</v>
      </c>
      <c r="D164" s="4">
        <v>2</v>
      </c>
      <c r="E164" s="4">
        <v>0.69</v>
      </c>
    </row>
    <row r="165" spans="1:5" x14ac:dyDescent="0.25">
      <c r="A165" s="4">
        <v>24810</v>
      </c>
      <c r="B165" s="4" t="s">
        <v>30</v>
      </c>
      <c r="C165" s="5">
        <v>45278</v>
      </c>
      <c r="D165" s="4">
        <v>31.9</v>
      </c>
      <c r="E165" s="4">
        <v>11.04</v>
      </c>
    </row>
    <row r="166" spans="1:5" x14ac:dyDescent="0.25">
      <c r="A166" s="4">
        <v>24810</v>
      </c>
      <c r="B166" s="4" t="s">
        <v>30</v>
      </c>
      <c r="C166" s="5">
        <v>45278</v>
      </c>
      <c r="D166" s="4">
        <v>1.3</v>
      </c>
      <c r="E166" s="4">
        <v>0.45</v>
      </c>
    </row>
    <row r="167" spans="1:5" x14ac:dyDescent="0.25">
      <c r="A167" s="4">
        <v>24810</v>
      </c>
      <c r="B167" s="4" t="s">
        <v>30</v>
      </c>
      <c r="C167" s="5">
        <v>45278</v>
      </c>
      <c r="D167" s="4">
        <v>30</v>
      </c>
      <c r="E167" s="4">
        <v>10.46</v>
      </c>
    </row>
    <row r="168" spans="1:5" x14ac:dyDescent="0.25">
      <c r="A168" s="4">
        <v>24810</v>
      </c>
      <c r="B168" s="4" t="s">
        <v>30</v>
      </c>
      <c r="C168" s="5">
        <v>45278</v>
      </c>
      <c r="D168" s="4">
        <v>20.7</v>
      </c>
      <c r="E168" s="4">
        <v>7.21</v>
      </c>
    </row>
    <row r="169" spans="1:5" x14ac:dyDescent="0.25">
      <c r="A169" s="4">
        <v>24810</v>
      </c>
      <c r="B169" s="4" t="s">
        <v>30</v>
      </c>
      <c r="C169" s="5">
        <v>45278</v>
      </c>
      <c r="D169" s="4">
        <v>34.299999999999997</v>
      </c>
      <c r="E169" s="4">
        <v>11.87</v>
      </c>
    </row>
    <row r="170" spans="1:5" x14ac:dyDescent="0.25">
      <c r="A170" s="4">
        <v>24810</v>
      </c>
      <c r="B170" s="4" t="s">
        <v>30</v>
      </c>
      <c r="C170" s="5">
        <v>45278</v>
      </c>
      <c r="D170" s="4">
        <v>1.3</v>
      </c>
      <c r="E170" s="4">
        <v>0.45</v>
      </c>
    </row>
    <row r="171" spans="1:5" x14ac:dyDescent="0.25">
      <c r="A171" s="4">
        <v>24810</v>
      </c>
      <c r="B171" s="4" t="s">
        <v>30</v>
      </c>
      <c r="C171" s="5">
        <v>45278</v>
      </c>
      <c r="D171" s="4">
        <v>7.4</v>
      </c>
      <c r="E171" s="4">
        <v>2.58</v>
      </c>
    </row>
    <row r="172" spans="1:5" x14ac:dyDescent="0.25">
      <c r="A172" s="4">
        <v>24810</v>
      </c>
      <c r="B172" s="4" t="s">
        <v>31</v>
      </c>
      <c r="C172" s="5">
        <v>45278</v>
      </c>
      <c r="D172" s="4">
        <v>9.6</v>
      </c>
      <c r="E172" s="4">
        <v>2.2999999999999998</v>
      </c>
    </row>
    <row r="173" spans="1:5" x14ac:dyDescent="0.25">
      <c r="A173" s="4">
        <v>24810</v>
      </c>
      <c r="B173" s="4" t="s">
        <v>31</v>
      </c>
      <c r="C173" s="5">
        <v>45278</v>
      </c>
      <c r="D173" s="4">
        <v>30</v>
      </c>
      <c r="E173" s="4">
        <v>7.2</v>
      </c>
    </row>
    <row r="174" spans="1:5" x14ac:dyDescent="0.25">
      <c r="A174" s="4">
        <v>24810</v>
      </c>
      <c r="B174" s="4" t="s">
        <v>25</v>
      </c>
      <c r="C174" s="5">
        <v>45279</v>
      </c>
      <c r="D174" s="4">
        <v>19.399999999999999</v>
      </c>
      <c r="E174" s="4">
        <v>6.72</v>
      </c>
    </row>
    <row r="175" spans="1:5" x14ac:dyDescent="0.25">
      <c r="A175" s="4">
        <v>24810</v>
      </c>
      <c r="B175" s="4" t="s">
        <v>25</v>
      </c>
      <c r="C175" s="5">
        <v>45279</v>
      </c>
      <c r="D175" s="4">
        <v>30.9</v>
      </c>
      <c r="E175" s="4">
        <v>10.73</v>
      </c>
    </row>
    <row r="176" spans="1:5" x14ac:dyDescent="0.25">
      <c r="A176" s="4">
        <v>24810</v>
      </c>
      <c r="B176" s="4" t="s">
        <v>25</v>
      </c>
      <c r="C176" s="5">
        <v>45279</v>
      </c>
      <c r="D176" s="4">
        <v>33.1</v>
      </c>
      <c r="E176" s="4">
        <v>11.49</v>
      </c>
    </row>
    <row r="177" spans="1:5" x14ac:dyDescent="0.25">
      <c r="A177" s="4">
        <v>24810</v>
      </c>
      <c r="B177" s="4" t="s">
        <v>25</v>
      </c>
      <c r="C177" s="5">
        <v>45279</v>
      </c>
      <c r="D177" s="4">
        <v>7.4</v>
      </c>
      <c r="E177" s="4">
        <v>2.58</v>
      </c>
    </row>
    <row r="178" spans="1:5" x14ac:dyDescent="0.25">
      <c r="A178" s="4">
        <v>24810</v>
      </c>
      <c r="B178" s="4" t="s">
        <v>26</v>
      </c>
      <c r="C178" s="5">
        <v>45279</v>
      </c>
      <c r="D178" s="4">
        <v>3.8</v>
      </c>
      <c r="E178" s="4">
        <v>1.28</v>
      </c>
    </row>
    <row r="179" spans="1:5" x14ac:dyDescent="0.25">
      <c r="A179" s="4">
        <v>24810</v>
      </c>
      <c r="B179" s="4" t="s">
        <v>26</v>
      </c>
      <c r="C179" s="5">
        <v>45279</v>
      </c>
      <c r="D179" s="4">
        <v>23</v>
      </c>
      <c r="E179" s="4">
        <v>7.99</v>
      </c>
    </row>
    <row r="180" spans="1:5" x14ac:dyDescent="0.25">
      <c r="A180" s="4">
        <v>24810</v>
      </c>
      <c r="B180" s="4" t="s">
        <v>26</v>
      </c>
      <c r="C180" s="5">
        <v>45279</v>
      </c>
      <c r="D180" s="4">
        <v>3.8</v>
      </c>
      <c r="E180" s="4">
        <v>1.28</v>
      </c>
    </row>
    <row r="181" spans="1:5" x14ac:dyDescent="0.25">
      <c r="A181" s="4">
        <v>24810</v>
      </c>
      <c r="B181" s="4" t="s">
        <v>26</v>
      </c>
      <c r="C181" s="5">
        <v>45279</v>
      </c>
      <c r="D181" s="4">
        <v>23</v>
      </c>
      <c r="E181" s="4">
        <v>7.99</v>
      </c>
    </row>
    <row r="182" spans="1:5" x14ac:dyDescent="0.25">
      <c r="A182" s="4">
        <v>24810</v>
      </c>
      <c r="B182" s="4" t="s">
        <v>26</v>
      </c>
      <c r="C182" s="5">
        <v>45279</v>
      </c>
      <c r="D182" s="4">
        <v>3.8</v>
      </c>
      <c r="E182" s="4">
        <v>1.28</v>
      </c>
    </row>
    <row r="183" spans="1:5" x14ac:dyDescent="0.25">
      <c r="A183" s="4">
        <v>24810</v>
      </c>
      <c r="B183" s="4" t="s">
        <v>26</v>
      </c>
      <c r="C183" s="5">
        <v>45279</v>
      </c>
      <c r="D183" s="4">
        <v>23</v>
      </c>
      <c r="E183" s="4">
        <v>7.99</v>
      </c>
    </row>
    <row r="184" spans="1:5" x14ac:dyDescent="0.25">
      <c r="A184" s="4">
        <v>24810</v>
      </c>
      <c r="B184" s="4" t="s">
        <v>26</v>
      </c>
      <c r="C184" s="5">
        <v>45279</v>
      </c>
      <c r="D184" s="4">
        <v>3.8</v>
      </c>
      <c r="E184" s="4">
        <v>1.28</v>
      </c>
    </row>
    <row r="185" spans="1:5" x14ac:dyDescent="0.25">
      <c r="A185" s="4">
        <v>24810</v>
      </c>
      <c r="B185" s="4" t="s">
        <v>26</v>
      </c>
      <c r="C185" s="5">
        <v>45279</v>
      </c>
      <c r="D185" s="4">
        <v>0.4</v>
      </c>
      <c r="E185" s="4">
        <v>0.13</v>
      </c>
    </row>
    <row r="186" spans="1:5" x14ac:dyDescent="0.25">
      <c r="A186" s="4">
        <v>24810</v>
      </c>
      <c r="B186" s="4" t="s">
        <v>26</v>
      </c>
      <c r="C186" s="5">
        <v>45279</v>
      </c>
      <c r="D186" s="4">
        <v>1.2</v>
      </c>
      <c r="E186" s="4">
        <v>0.41</v>
      </c>
    </row>
    <row r="187" spans="1:5" x14ac:dyDescent="0.25">
      <c r="A187" s="4">
        <v>24810</v>
      </c>
      <c r="B187" s="4" t="s">
        <v>27</v>
      </c>
      <c r="C187" s="5">
        <v>45279</v>
      </c>
      <c r="D187" s="4">
        <v>15.4</v>
      </c>
      <c r="E187" s="4">
        <v>5.35</v>
      </c>
    </row>
    <row r="188" spans="1:5" x14ac:dyDescent="0.25">
      <c r="A188" s="4">
        <v>24810</v>
      </c>
      <c r="B188" s="4" t="s">
        <v>27</v>
      </c>
      <c r="C188" s="5">
        <v>45279</v>
      </c>
      <c r="D188" s="4">
        <v>24.9</v>
      </c>
      <c r="E188" s="4">
        <v>8.66</v>
      </c>
    </row>
    <row r="189" spans="1:5" x14ac:dyDescent="0.25">
      <c r="A189" s="4">
        <v>24810</v>
      </c>
      <c r="B189" s="4" t="s">
        <v>27</v>
      </c>
      <c r="C189" s="5">
        <v>45279</v>
      </c>
      <c r="D189" s="4">
        <v>1.3</v>
      </c>
      <c r="E189" s="4">
        <v>0.45</v>
      </c>
    </row>
    <row r="190" spans="1:5" x14ac:dyDescent="0.25">
      <c r="A190" s="4">
        <v>24810</v>
      </c>
      <c r="B190" s="4" t="s">
        <v>27</v>
      </c>
      <c r="C190" s="5">
        <v>45279</v>
      </c>
      <c r="D190" s="4">
        <v>3.6</v>
      </c>
      <c r="E190" s="4">
        <v>1.25</v>
      </c>
    </row>
    <row r="191" spans="1:5" x14ac:dyDescent="0.25">
      <c r="A191" s="4">
        <v>24810</v>
      </c>
      <c r="B191" s="4" t="s">
        <v>27</v>
      </c>
      <c r="C191" s="5">
        <v>45279</v>
      </c>
      <c r="D191" s="4">
        <v>24.1</v>
      </c>
      <c r="E191" s="4">
        <v>8.3800000000000008</v>
      </c>
    </row>
    <row r="192" spans="1:5" x14ac:dyDescent="0.25">
      <c r="A192" s="4">
        <v>24810</v>
      </c>
      <c r="B192" s="4" t="s">
        <v>27</v>
      </c>
      <c r="C192" s="5">
        <v>45279</v>
      </c>
      <c r="D192" s="4">
        <v>24.9</v>
      </c>
      <c r="E192" s="4">
        <v>8.66</v>
      </c>
    </row>
    <row r="193" spans="1:5" x14ac:dyDescent="0.25">
      <c r="A193" s="4">
        <v>24810</v>
      </c>
      <c r="B193" s="4" t="s">
        <v>27</v>
      </c>
      <c r="C193" s="5">
        <v>45279</v>
      </c>
      <c r="D193" s="4">
        <v>1.3</v>
      </c>
      <c r="E193" s="4">
        <v>0.45</v>
      </c>
    </row>
    <row r="194" spans="1:5" x14ac:dyDescent="0.25">
      <c r="A194" s="4">
        <v>24810</v>
      </c>
      <c r="B194" s="4" t="s">
        <v>27</v>
      </c>
      <c r="C194" s="5">
        <v>45279</v>
      </c>
      <c r="D194" s="4">
        <v>3.6</v>
      </c>
      <c r="E194" s="4">
        <v>1.25</v>
      </c>
    </row>
    <row r="195" spans="1:5" x14ac:dyDescent="0.25">
      <c r="A195" s="4">
        <v>24810</v>
      </c>
      <c r="B195" s="4" t="s">
        <v>27</v>
      </c>
      <c r="C195" s="5">
        <v>45279</v>
      </c>
      <c r="D195" s="4">
        <v>24.1</v>
      </c>
      <c r="E195" s="4">
        <v>8.3800000000000008</v>
      </c>
    </row>
    <row r="196" spans="1:5" x14ac:dyDescent="0.25">
      <c r="A196" s="4">
        <v>24810</v>
      </c>
      <c r="B196" s="4" t="s">
        <v>27</v>
      </c>
      <c r="C196" s="5">
        <v>45279</v>
      </c>
      <c r="D196" s="4">
        <v>24.9</v>
      </c>
      <c r="E196" s="4">
        <v>8.66</v>
      </c>
    </row>
    <row r="197" spans="1:5" x14ac:dyDescent="0.25">
      <c r="A197" s="4">
        <v>24810</v>
      </c>
      <c r="B197" s="4" t="s">
        <v>27</v>
      </c>
      <c r="C197" s="5">
        <v>45279</v>
      </c>
      <c r="D197" s="4">
        <v>1.3</v>
      </c>
      <c r="E197" s="4">
        <v>0.45</v>
      </c>
    </row>
    <row r="198" spans="1:5" x14ac:dyDescent="0.25">
      <c r="A198" s="4">
        <v>24810</v>
      </c>
      <c r="B198" s="4" t="s">
        <v>27</v>
      </c>
      <c r="C198" s="5">
        <v>45279</v>
      </c>
      <c r="D198" s="4">
        <v>3.6</v>
      </c>
      <c r="E198" s="4">
        <v>1.25</v>
      </c>
    </row>
    <row r="199" spans="1:5" x14ac:dyDescent="0.25">
      <c r="A199" s="4">
        <v>24810</v>
      </c>
      <c r="B199" s="4" t="s">
        <v>27</v>
      </c>
      <c r="C199" s="5">
        <v>45279</v>
      </c>
      <c r="D199" s="4">
        <v>24.1</v>
      </c>
      <c r="E199" s="4">
        <v>8.3800000000000008</v>
      </c>
    </row>
    <row r="200" spans="1:5" x14ac:dyDescent="0.25">
      <c r="A200" s="4">
        <v>24810</v>
      </c>
      <c r="B200" s="4" t="s">
        <v>27</v>
      </c>
      <c r="C200" s="5">
        <v>45279</v>
      </c>
      <c r="D200" s="4">
        <v>24.9</v>
      </c>
      <c r="E200" s="4">
        <v>8.66</v>
      </c>
    </row>
    <row r="201" spans="1:5" x14ac:dyDescent="0.25">
      <c r="A201" s="4">
        <v>24810</v>
      </c>
      <c r="B201" s="4" t="s">
        <v>27</v>
      </c>
      <c r="C201" s="5">
        <v>45279</v>
      </c>
      <c r="D201" s="4">
        <v>1.3</v>
      </c>
      <c r="E201" s="4">
        <v>0.45</v>
      </c>
    </row>
    <row r="202" spans="1:5" x14ac:dyDescent="0.25">
      <c r="A202" s="4">
        <v>24810</v>
      </c>
      <c r="B202" s="4" t="s">
        <v>27</v>
      </c>
      <c r="C202" s="5">
        <v>45279</v>
      </c>
      <c r="D202" s="4">
        <v>3.6</v>
      </c>
      <c r="E202" s="4">
        <v>1.25</v>
      </c>
    </row>
    <row r="203" spans="1:5" x14ac:dyDescent="0.25">
      <c r="A203" s="4">
        <v>24810</v>
      </c>
      <c r="B203" s="4" t="s">
        <v>27</v>
      </c>
      <c r="C203" s="5">
        <v>45279</v>
      </c>
      <c r="D203" s="4">
        <v>24.1</v>
      </c>
      <c r="E203" s="4">
        <v>8.3800000000000008</v>
      </c>
    </row>
    <row r="204" spans="1:5" x14ac:dyDescent="0.25">
      <c r="A204" s="4">
        <v>24810</v>
      </c>
      <c r="B204" s="4" t="s">
        <v>27</v>
      </c>
      <c r="C204" s="5">
        <v>45279</v>
      </c>
      <c r="D204" s="4">
        <v>24.9</v>
      </c>
      <c r="E204" s="4">
        <v>8.66</v>
      </c>
    </row>
    <row r="205" spans="1:5" x14ac:dyDescent="0.25">
      <c r="A205" s="4">
        <v>24810</v>
      </c>
      <c r="B205" s="4" t="s">
        <v>27</v>
      </c>
      <c r="C205" s="5">
        <v>45279</v>
      </c>
      <c r="D205" s="4">
        <v>1.3</v>
      </c>
      <c r="E205" s="4">
        <v>0.45</v>
      </c>
    </row>
    <row r="206" spans="1:5" x14ac:dyDescent="0.25">
      <c r="A206" s="4">
        <v>24810</v>
      </c>
      <c r="B206" s="4" t="s">
        <v>27</v>
      </c>
      <c r="C206" s="5">
        <v>45279</v>
      </c>
      <c r="D206" s="4">
        <v>3.6</v>
      </c>
      <c r="E206" s="4">
        <v>1.25</v>
      </c>
    </row>
    <row r="207" spans="1:5" x14ac:dyDescent="0.25">
      <c r="A207" s="4">
        <v>24810</v>
      </c>
      <c r="B207" s="4" t="s">
        <v>27</v>
      </c>
      <c r="C207" s="5">
        <v>45279</v>
      </c>
      <c r="D207" s="4">
        <v>8.6999999999999993</v>
      </c>
      <c r="E207" s="4">
        <v>3.03</v>
      </c>
    </row>
    <row r="208" spans="1:5" x14ac:dyDescent="0.25">
      <c r="A208" s="4">
        <v>24810</v>
      </c>
      <c r="B208" s="4" t="s">
        <v>28</v>
      </c>
      <c r="C208" s="5">
        <v>45279</v>
      </c>
      <c r="D208" s="4">
        <v>5.4</v>
      </c>
      <c r="E208" s="4">
        <v>1.69</v>
      </c>
    </row>
    <row r="209" spans="1:5" x14ac:dyDescent="0.25">
      <c r="A209" s="4">
        <v>24810</v>
      </c>
      <c r="B209" s="4" t="s">
        <v>28</v>
      </c>
      <c r="C209" s="5">
        <v>45279</v>
      </c>
      <c r="D209" s="4">
        <v>1.3</v>
      </c>
      <c r="E209" s="4">
        <v>0.41</v>
      </c>
    </row>
    <row r="210" spans="1:5" x14ac:dyDescent="0.25">
      <c r="A210" s="4">
        <v>24810</v>
      </c>
      <c r="B210" s="4" t="s">
        <v>28</v>
      </c>
      <c r="C210" s="5">
        <v>45279</v>
      </c>
      <c r="D210" s="4">
        <v>1.6</v>
      </c>
      <c r="E210" s="4">
        <v>0.5</v>
      </c>
    </row>
    <row r="211" spans="1:5" x14ac:dyDescent="0.25">
      <c r="A211" s="4">
        <v>24810</v>
      </c>
      <c r="B211" s="4" t="s">
        <v>28</v>
      </c>
      <c r="C211" s="5">
        <v>45279</v>
      </c>
      <c r="D211" s="4">
        <v>1.3</v>
      </c>
      <c r="E211" s="4">
        <v>0.41</v>
      </c>
    </row>
    <row r="212" spans="1:5" x14ac:dyDescent="0.25">
      <c r="A212" s="4">
        <v>24810</v>
      </c>
      <c r="B212" s="4" t="s">
        <v>28</v>
      </c>
      <c r="C212" s="5">
        <v>45279</v>
      </c>
      <c r="D212" s="4">
        <v>1.6</v>
      </c>
      <c r="E212" s="4">
        <v>0.5</v>
      </c>
    </row>
    <row r="213" spans="1:5" x14ac:dyDescent="0.25">
      <c r="A213" s="4">
        <v>24810</v>
      </c>
      <c r="B213" s="4" t="s">
        <v>28</v>
      </c>
      <c r="C213" s="5">
        <v>45279</v>
      </c>
      <c r="D213" s="4">
        <v>1.3</v>
      </c>
      <c r="E213" s="4">
        <v>0.41</v>
      </c>
    </row>
    <row r="214" spans="1:5" x14ac:dyDescent="0.25">
      <c r="A214" s="4">
        <v>24810</v>
      </c>
      <c r="B214" s="4" t="s">
        <v>28</v>
      </c>
      <c r="C214" s="5">
        <v>45279</v>
      </c>
      <c r="D214" s="4">
        <v>1.6</v>
      </c>
      <c r="E214" s="4">
        <v>0.5</v>
      </c>
    </row>
    <row r="215" spans="1:5" x14ac:dyDescent="0.25">
      <c r="A215" s="4">
        <v>24810</v>
      </c>
      <c r="B215" s="4" t="s">
        <v>28</v>
      </c>
      <c r="C215" s="5">
        <v>45279</v>
      </c>
      <c r="D215" s="4">
        <v>1.3</v>
      </c>
      <c r="E215" s="4">
        <v>0.41</v>
      </c>
    </row>
    <row r="216" spans="1:5" x14ac:dyDescent="0.25">
      <c r="A216" s="4">
        <v>24810</v>
      </c>
      <c r="B216" s="4" t="s">
        <v>28</v>
      </c>
      <c r="C216" s="5">
        <v>45279</v>
      </c>
      <c r="D216" s="4">
        <v>1.6</v>
      </c>
      <c r="E216" s="4">
        <v>0.5</v>
      </c>
    </row>
    <row r="217" spans="1:5" x14ac:dyDescent="0.25">
      <c r="A217" s="4">
        <v>24810</v>
      </c>
      <c r="B217" s="4" t="s">
        <v>28</v>
      </c>
      <c r="C217" s="5">
        <v>45279</v>
      </c>
      <c r="D217" s="4">
        <v>1.3</v>
      </c>
      <c r="E217" s="4">
        <v>0.41</v>
      </c>
    </row>
    <row r="218" spans="1:5" x14ac:dyDescent="0.25">
      <c r="A218" s="4">
        <v>24810</v>
      </c>
      <c r="B218" s="4" t="s">
        <v>28</v>
      </c>
      <c r="C218" s="5">
        <v>45279</v>
      </c>
      <c r="D218" s="4">
        <v>1.6</v>
      </c>
      <c r="E218" s="4">
        <v>0.5</v>
      </c>
    </row>
    <row r="219" spans="1:5" x14ac:dyDescent="0.25">
      <c r="A219" s="4">
        <v>24810</v>
      </c>
      <c r="B219" s="4" t="s">
        <v>28</v>
      </c>
      <c r="C219" s="5">
        <v>45279</v>
      </c>
      <c r="D219" s="4">
        <v>1.3</v>
      </c>
      <c r="E219" s="4">
        <v>0.41</v>
      </c>
    </row>
    <row r="220" spans="1:5" x14ac:dyDescent="0.25">
      <c r="A220" s="4">
        <v>24810</v>
      </c>
      <c r="B220" s="4" t="s">
        <v>28</v>
      </c>
      <c r="C220" s="5">
        <v>45279</v>
      </c>
      <c r="D220" s="4">
        <v>1.6</v>
      </c>
      <c r="E220" s="4">
        <v>0.5</v>
      </c>
    </row>
    <row r="221" spans="1:5" x14ac:dyDescent="0.25">
      <c r="A221" s="4">
        <v>24810</v>
      </c>
      <c r="B221" s="4" t="s">
        <v>28</v>
      </c>
      <c r="C221" s="5">
        <v>45279</v>
      </c>
      <c r="D221" s="4">
        <v>1.3</v>
      </c>
      <c r="E221" s="4">
        <v>0.41</v>
      </c>
    </row>
    <row r="222" spans="1:5" x14ac:dyDescent="0.25">
      <c r="A222" s="4">
        <v>24810</v>
      </c>
      <c r="B222" s="4" t="s">
        <v>28</v>
      </c>
      <c r="C222" s="5">
        <v>45279</v>
      </c>
      <c r="D222" s="4">
        <v>1.6</v>
      </c>
      <c r="E222" s="4">
        <v>0.5</v>
      </c>
    </row>
    <row r="223" spans="1:5" x14ac:dyDescent="0.25">
      <c r="A223" s="4">
        <v>24810</v>
      </c>
      <c r="B223" s="4" t="s">
        <v>28</v>
      </c>
      <c r="C223" s="5">
        <v>45279</v>
      </c>
      <c r="D223" s="4">
        <v>0.4</v>
      </c>
      <c r="E223" s="4">
        <v>0.12</v>
      </c>
    </row>
    <row r="224" spans="1:5" x14ac:dyDescent="0.25">
      <c r="A224" s="4">
        <v>24810</v>
      </c>
      <c r="B224" s="4" t="s">
        <v>28</v>
      </c>
      <c r="C224" s="5">
        <v>45279</v>
      </c>
      <c r="D224" s="4">
        <v>11.7</v>
      </c>
      <c r="E224" s="4">
        <v>3.79</v>
      </c>
    </row>
    <row r="225" spans="1:5" x14ac:dyDescent="0.25">
      <c r="A225" s="4">
        <v>24810</v>
      </c>
      <c r="B225" s="4" t="s">
        <v>28</v>
      </c>
      <c r="C225" s="5">
        <v>45279</v>
      </c>
      <c r="D225" s="4">
        <v>8.6999999999999993</v>
      </c>
      <c r="E225" s="4">
        <v>2.82</v>
      </c>
    </row>
    <row r="226" spans="1:5" x14ac:dyDescent="0.25">
      <c r="A226" s="4">
        <v>24810</v>
      </c>
      <c r="B226" s="4" t="s">
        <v>29</v>
      </c>
      <c r="C226" s="5">
        <v>45279</v>
      </c>
      <c r="D226" s="4">
        <v>15.4</v>
      </c>
      <c r="E226" s="4">
        <v>5.35</v>
      </c>
    </row>
    <row r="227" spans="1:5" x14ac:dyDescent="0.25">
      <c r="A227" s="4">
        <v>24810</v>
      </c>
      <c r="B227" s="4" t="s">
        <v>32</v>
      </c>
      <c r="C227" s="5">
        <v>45280</v>
      </c>
      <c r="D227" s="4">
        <v>0.4</v>
      </c>
      <c r="E227" s="4">
        <v>0.14000000000000001</v>
      </c>
    </row>
    <row r="228" spans="1:5" x14ac:dyDescent="0.25">
      <c r="A228" s="4">
        <v>24810</v>
      </c>
      <c r="B228" s="4" t="s">
        <v>32</v>
      </c>
      <c r="C228" s="5">
        <v>45280</v>
      </c>
      <c r="D228" s="4">
        <v>0.4</v>
      </c>
      <c r="E228" s="4">
        <v>0.14000000000000001</v>
      </c>
    </row>
    <row r="229" spans="1:5" x14ac:dyDescent="0.25">
      <c r="A229" s="4">
        <v>24810</v>
      </c>
      <c r="B229" s="4" t="s">
        <v>32</v>
      </c>
      <c r="C229" s="5">
        <v>45280</v>
      </c>
      <c r="D229" s="4">
        <v>0.4</v>
      </c>
      <c r="E229" s="4">
        <v>0.14000000000000001</v>
      </c>
    </row>
    <row r="230" spans="1:5" x14ac:dyDescent="0.25">
      <c r="A230" s="4">
        <v>24810</v>
      </c>
      <c r="B230" s="4" t="s">
        <v>32</v>
      </c>
      <c r="C230" s="5">
        <v>45280</v>
      </c>
      <c r="D230" s="4">
        <v>0.4</v>
      </c>
      <c r="E230" s="4">
        <v>0.14000000000000001</v>
      </c>
    </row>
    <row r="231" spans="1:5" x14ac:dyDescent="0.25">
      <c r="A231" s="4">
        <v>24810</v>
      </c>
      <c r="B231" s="4" t="s">
        <v>32</v>
      </c>
      <c r="C231" s="5">
        <v>45280</v>
      </c>
      <c r="D231" s="4">
        <v>0.4</v>
      </c>
      <c r="E231" s="4">
        <v>0.14000000000000001</v>
      </c>
    </row>
    <row r="232" spans="1:5" x14ac:dyDescent="0.25">
      <c r="A232" s="4">
        <v>24810</v>
      </c>
      <c r="B232" s="4" t="s">
        <v>32</v>
      </c>
      <c r="C232" s="5">
        <v>45280</v>
      </c>
      <c r="D232" s="4">
        <v>0.4</v>
      </c>
      <c r="E232" s="4">
        <v>0.14000000000000001</v>
      </c>
    </row>
    <row r="233" spans="1:5" x14ac:dyDescent="0.25">
      <c r="A233" s="4">
        <v>24810</v>
      </c>
      <c r="B233" s="4" t="s">
        <v>32</v>
      </c>
      <c r="C233" s="5">
        <v>45280</v>
      </c>
      <c r="D233" s="4">
        <v>0.4</v>
      </c>
      <c r="E233" s="4">
        <v>0.14000000000000001</v>
      </c>
    </row>
    <row r="234" spans="1:5" x14ac:dyDescent="0.25">
      <c r="A234" s="4">
        <v>24810</v>
      </c>
      <c r="B234" s="4" t="s">
        <v>32</v>
      </c>
      <c r="C234" s="5">
        <v>45280</v>
      </c>
      <c r="D234" s="4">
        <v>0.4</v>
      </c>
      <c r="E234" s="4">
        <v>0.14000000000000001</v>
      </c>
    </row>
    <row r="235" spans="1:5" x14ac:dyDescent="0.25">
      <c r="A235" s="4">
        <v>24810</v>
      </c>
      <c r="B235" s="4" t="s">
        <v>32</v>
      </c>
      <c r="C235" s="5">
        <v>45280</v>
      </c>
      <c r="D235" s="4">
        <v>0.4</v>
      </c>
      <c r="E235" s="4">
        <v>0.14000000000000001</v>
      </c>
    </row>
    <row r="236" spans="1:5" x14ac:dyDescent="0.25">
      <c r="A236" s="4">
        <v>24810</v>
      </c>
      <c r="B236" s="4" t="s">
        <v>15</v>
      </c>
      <c r="C236" s="5">
        <v>45280</v>
      </c>
      <c r="D236" s="4">
        <v>56.4</v>
      </c>
      <c r="E236" s="4">
        <v>18.22</v>
      </c>
    </row>
    <row r="237" spans="1:5" x14ac:dyDescent="0.25">
      <c r="A237" s="4">
        <v>24810</v>
      </c>
      <c r="B237" s="4" t="s">
        <v>15</v>
      </c>
      <c r="C237" s="5">
        <v>45280</v>
      </c>
      <c r="D237" s="4">
        <v>36.6</v>
      </c>
      <c r="E237" s="4">
        <v>11.84</v>
      </c>
    </row>
    <row r="238" spans="1:5" x14ac:dyDescent="0.25">
      <c r="A238" s="4">
        <v>24810</v>
      </c>
      <c r="B238" s="4" t="s">
        <v>15</v>
      </c>
      <c r="C238" s="5">
        <v>45280</v>
      </c>
      <c r="D238" s="4">
        <v>33.5</v>
      </c>
      <c r="E238" s="4">
        <v>10.81</v>
      </c>
    </row>
    <row r="239" spans="1:5" x14ac:dyDescent="0.25">
      <c r="A239" s="4">
        <v>24810</v>
      </c>
      <c r="B239" s="4" t="s">
        <v>15</v>
      </c>
      <c r="C239" s="5">
        <v>45280</v>
      </c>
      <c r="D239" s="4">
        <v>24.8</v>
      </c>
      <c r="E239" s="4">
        <v>8</v>
      </c>
    </row>
    <row r="240" spans="1:5" x14ac:dyDescent="0.25">
      <c r="A240" s="4">
        <v>24810</v>
      </c>
      <c r="B240" s="4" t="s">
        <v>18</v>
      </c>
      <c r="C240" s="5">
        <v>45280</v>
      </c>
      <c r="D240" s="4">
        <v>8.8000000000000007</v>
      </c>
      <c r="E240" s="4">
        <v>2.85</v>
      </c>
    </row>
    <row r="241" spans="1:5" x14ac:dyDescent="0.25">
      <c r="A241" s="4">
        <v>24810</v>
      </c>
      <c r="B241" s="4" t="s">
        <v>18</v>
      </c>
      <c r="C241" s="5">
        <v>45280</v>
      </c>
      <c r="D241" s="4">
        <v>8.8000000000000007</v>
      </c>
      <c r="E241" s="4">
        <v>2.85</v>
      </c>
    </row>
    <row r="242" spans="1:5" x14ac:dyDescent="0.25">
      <c r="A242" s="4">
        <v>24810</v>
      </c>
      <c r="B242" s="4" t="s">
        <v>18</v>
      </c>
      <c r="C242" s="5">
        <v>45280</v>
      </c>
      <c r="D242" s="4">
        <v>15.4</v>
      </c>
      <c r="E242" s="4">
        <v>5</v>
      </c>
    </row>
    <row r="243" spans="1:5" x14ac:dyDescent="0.25">
      <c r="A243" s="4">
        <v>24810</v>
      </c>
      <c r="B243" s="4" t="s">
        <v>18</v>
      </c>
      <c r="C243" s="5">
        <v>45280</v>
      </c>
      <c r="D243" s="4">
        <v>15.8</v>
      </c>
      <c r="E243" s="4">
        <v>5.13</v>
      </c>
    </row>
    <row r="244" spans="1:5" x14ac:dyDescent="0.25">
      <c r="A244" s="4">
        <v>24810</v>
      </c>
      <c r="B244" s="4" t="s">
        <v>18</v>
      </c>
      <c r="C244" s="5">
        <v>45280</v>
      </c>
      <c r="D244" s="4">
        <v>15.8</v>
      </c>
      <c r="E244" s="4">
        <v>5.13</v>
      </c>
    </row>
    <row r="245" spans="1:5" x14ac:dyDescent="0.25">
      <c r="A245" s="4">
        <v>24810</v>
      </c>
      <c r="B245" s="4" t="s">
        <v>18</v>
      </c>
      <c r="C245" s="5">
        <v>45280</v>
      </c>
      <c r="D245" s="4">
        <v>15.8</v>
      </c>
      <c r="E245" s="4">
        <v>5.13</v>
      </c>
    </row>
    <row r="246" spans="1:5" x14ac:dyDescent="0.25">
      <c r="A246" s="4">
        <v>24810</v>
      </c>
      <c r="B246" s="4" t="s">
        <v>18</v>
      </c>
      <c r="C246" s="5">
        <v>45280</v>
      </c>
      <c r="D246" s="4">
        <v>17.600000000000001</v>
      </c>
      <c r="E246" s="4">
        <v>5.71</v>
      </c>
    </row>
    <row r="247" spans="1:5" x14ac:dyDescent="0.25">
      <c r="A247" s="4">
        <v>24810</v>
      </c>
      <c r="B247" s="4" t="s">
        <v>19</v>
      </c>
      <c r="C247" s="5">
        <v>45280</v>
      </c>
      <c r="D247" s="4">
        <v>13.8</v>
      </c>
      <c r="E247" s="4">
        <v>4.47</v>
      </c>
    </row>
    <row r="248" spans="1:5" x14ac:dyDescent="0.25">
      <c r="A248" s="4">
        <v>24810</v>
      </c>
      <c r="B248" s="4" t="s">
        <v>19</v>
      </c>
      <c r="C248" s="5">
        <v>45280</v>
      </c>
      <c r="D248" s="4">
        <v>0.4</v>
      </c>
      <c r="E248" s="4">
        <v>0.13</v>
      </c>
    </row>
    <row r="249" spans="1:5" x14ac:dyDescent="0.25">
      <c r="A249" s="4">
        <v>24810</v>
      </c>
      <c r="B249" s="4" t="s">
        <v>19</v>
      </c>
      <c r="C249" s="5">
        <v>45280</v>
      </c>
      <c r="D249" s="4">
        <v>0.7</v>
      </c>
      <c r="E249" s="4">
        <v>0.22</v>
      </c>
    </row>
    <row r="250" spans="1:5" x14ac:dyDescent="0.25">
      <c r="A250" s="4">
        <v>24810</v>
      </c>
      <c r="B250" s="4" t="s">
        <v>19</v>
      </c>
      <c r="C250" s="5">
        <v>45280</v>
      </c>
      <c r="D250" s="4">
        <v>12.8</v>
      </c>
      <c r="E250" s="4">
        <v>4.12</v>
      </c>
    </row>
    <row r="251" spans="1:5" x14ac:dyDescent="0.25">
      <c r="A251" s="4">
        <v>24810</v>
      </c>
      <c r="B251" s="4" t="s">
        <v>19</v>
      </c>
      <c r="C251" s="5">
        <v>45280</v>
      </c>
      <c r="D251" s="4">
        <v>54.2</v>
      </c>
      <c r="E251" s="4">
        <v>17.579999999999998</v>
      </c>
    </row>
    <row r="252" spans="1:5" x14ac:dyDescent="0.25">
      <c r="A252" s="4">
        <v>24810</v>
      </c>
      <c r="B252" s="4" t="s">
        <v>19</v>
      </c>
      <c r="C252" s="5">
        <v>45280</v>
      </c>
      <c r="D252" s="4">
        <v>9.6999999999999993</v>
      </c>
      <c r="E252" s="4">
        <v>3.15</v>
      </c>
    </row>
    <row r="253" spans="1:5" x14ac:dyDescent="0.25">
      <c r="A253" s="4">
        <v>24810</v>
      </c>
      <c r="B253" s="4" t="s">
        <v>19</v>
      </c>
      <c r="C253" s="5">
        <v>45280</v>
      </c>
      <c r="D253" s="4">
        <v>9.6999999999999993</v>
      </c>
      <c r="E253" s="4">
        <v>3.15</v>
      </c>
    </row>
    <row r="254" spans="1:5" x14ac:dyDescent="0.25">
      <c r="A254" s="4">
        <v>24810</v>
      </c>
      <c r="B254" s="4" t="s">
        <v>19</v>
      </c>
      <c r="C254" s="5">
        <v>45280</v>
      </c>
      <c r="D254" s="4">
        <v>9.6999999999999993</v>
      </c>
      <c r="E254" s="4">
        <v>3.15</v>
      </c>
    </row>
    <row r="255" spans="1:5" x14ac:dyDescent="0.25">
      <c r="A255" s="4">
        <v>24810</v>
      </c>
      <c r="B255" s="4" t="s">
        <v>19</v>
      </c>
      <c r="C255" s="5">
        <v>45280</v>
      </c>
      <c r="D255" s="4">
        <v>9.6999999999999993</v>
      </c>
      <c r="E255" s="4">
        <v>3.15</v>
      </c>
    </row>
    <row r="256" spans="1:5" x14ac:dyDescent="0.25">
      <c r="A256" s="4">
        <v>24810</v>
      </c>
      <c r="B256" s="4" t="s">
        <v>19</v>
      </c>
      <c r="C256" s="5">
        <v>45280</v>
      </c>
      <c r="D256" s="4">
        <v>9.6999999999999993</v>
      </c>
      <c r="E256" s="4">
        <v>3.15</v>
      </c>
    </row>
    <row r="257" spans="1:5" x14ac:dyDescent="0.25">
      <c r="A257" s="4">
        <v>24810</v>
      </c>
      <c r="B257" s="4" t="s">
        <v>19</v>
      </c>
      <c r="C257" s="5">
        <v>45280</v>
      </c>
      <c r="D257" s="4">
        <v>9.6999999999999993</v>
      </c>
      <c r="E257" s="4">
        <v>3.15</v>
      </c>
    </row>
    <row r="258" spans="1:5" x14ac:dyDescent="0.25">
      <c r="A258" s="4">
        <v>24810</v>
      </c>
      <c r="B258" s="4" t="s">
        <v>19</v>
      </c>
      <c r="C258" s="5">
        <v>45280</v>
      </c>
      <c r="D258" s="4">
        <v>9.6999999999999993</v>
      </c>
      <c r="E258" s="4">
        <v>3.15</v>
      </c>
    </row>
    <row r="259" spans="1:5" x14ac:dyDescent="0.25">
      <c r="A259" s="4">
        <v>24810</v>
      </c>
      <c r="B259" s="4" t="s">
        <v>22</v>
      </c>
      <c r="C259" s="5">
        <v>45280</v>
      </c>
      <c r="D259" s="4">
        <v>13.8</v>
      </c>
      <c r="E259" s="4">
        <v>4.47</v>
      </c>
    </row>
    <row r="260" spans="1:5" x14ac:dyDescent="0.25">
      <c r="A260" s="4">
        <v>24810</v>
      </c>
      <c r="B260" s="4" t="s">
        <v>22</v>
      </c>
      <c r="C260" s="5">
        <v>45280</v>
      </c>
      <c r="D260" s="4">
        <v>11.7</v>
      </c>
      <c r="E260" s="4">
        <v>3.79</v>
      </c>
    </row>
    <row r="261" spans="1:5" x14ac:dyDescent="0.25">
      <c r="A261" s="4">
        <v>24810</v>
      </c>
      <c r="B261" s="4" t="s">
        <v>22</v>
      </c>
      <c r="C261" s="5">
        <v>45280</v>
      </c>
      <c r="D261" s="4">
        <v>10.9</v>
      </c>
      <c r="E261" s="4">
        <v>3.53</v>
      </c>
    </row>
    <row r="262" spans="1:5" x14ac:dyDescent="0.25">
      <c r="A262" s="4">
        <v>24810</v>
      </c>
      <c r="B262" s="4" t="s">
        <v>22</v>
      </c>
      <c r="C262" s="5">
        <v>45280</v>
      </c>
      <c r="D262" s="4">
        <v>11.7</v>
      </c>
      <c r="E262" s="4">
        <v>3.79</v>
      </c>
    </row>
    <row r="263" spans="1:5" x14ac:dyDescent="0.25">
      <c r="A263" s="4">
        <v>24810</v>
      </c>
      <c r="B263" s="4" t="s">
        <v>22</v>
      </c>
      <c r="C263" s="5">
        <v>45280</v>
      </c>
      <c r="D263" s="4">
        <v>10.9</v>
      </c>
      <c r="E263" s="4">
        <v>3.53</v>
      </c>
    </row>
    <row r="264" spans="1:5" x14ac:dyDescent="0.25">
      <c r="A264" s="4">
        <v>24810</v>
      </c>
      <c r="B264" s="4" t="s">
        <v>22</v>
      </c>
      <c r="C264" s="5">
        <v>45280</v>
      </c>
      <c r="D264" s="4">
        <v>11.7</v>
      </c>
      <c r="E264" s="4">
        <v>3.79</v>
      </c>
    </row>
    <row r="265" spans="1:5" x14ac:dyDescent="0.25">
      <c r="A265" s="4">
        <v>24810</v>
      </c>
      <c r="B265" s="4" t="s">
        <v>22</v>
      </c>
      <c r="C265" s="5">
        <v>45280</v>
      </c>
      <c r="D265" s="4">
        <v>10.9</v>
      </c>
      <c r="E265" s="4">
        <v>3.53</v>
      </c>
    </row>
    <row r="266" spans="1:5" x14ac:dyDescent="0.25">
      <c r="A266" s="4">
        <v>24810</v>
      </c>
      <c r="B266" s="4" t="s">
        <v>22</v>
      </c>
      <c r="C266" s="5">
        <v>45280</v>
      </c>
      <c r="D266" s="4">
        <v>11.7</v>
      </c>
      <c r="E266" s="4">
        <v>3.79</v>
      </c>
    </row>
    <row r="267" spans="1:5" x14ac:dyDescent="0.25">
      <c r="A267" s="4">
        <v>24810</v>
      </c>
      <c r="B267" s="4" t="s">
        <v>22</v>
      </c>
      <c r="C267" s="5">
        <v>45280</v>
      </c>
      <c r="D267" s="4">
        <v>10.9</v>
      </c>
      <c r="E267" s="4">
        <v>3.53</v>
      </c>
    </row>
    <row r="268" spans="1:5" x14ac:dyDescent="0.25">
      <c r="A268" s="4">
        <v>24810</v>
      </c>
      <c r="B268" s="4" t="s">
        <v>22</v>
      </c>
      <c r="C268" s="5">
        <v>45280</v>
      </c>
      <c r="D268" s="4">
        <v>11.7</v>
      </c>
      <c r="E268" s="4">
        <v>3.79</v>
      </c>
    </row>
    <row r="269" spans="1:5" x14ac:dyDescent="0.25">
      <c r="A269" s="4">
        <v>24810</v>
      </c>
      <c r="B269" s="4" t="s">
        <v>22</v>
      </c>
      <c r="C269" s="5">
        <v>45280</v>
      </c>
      <c r="D269" s="4">
        <v>10.9</v>
      </c>
      <c r="E269" s="4">
        <v>3.53</v>
      </c>
    </row>
    <row r="270" spans="1:5" x14ac:dyDescent="0.25">
      <c r="A270" s="4">
        <v>24810</v>
      </c>
      <c r="B270" s="4" t="s">
        <v>22</v>
      </c>
      <c r="C270" s="5">
        <v>45280</v>
      </c>
      <c r="D270" s="4">
        <v>11.7</v>
      </c>
      <c r="E270" s="4">
        <v>3.79</v>
      </c>
    </row>
    <row r="271" spans="1:5" x14ac:dyDescent="0.25">
      <c r="A271" s="4">
        <v>24810</v>
      </c>
      <c r="B271" s="4" t="s">
        <v>22</v>
      </c>
      <c r="C271" s="5">
        <v>45280</v>
      </c>
      <c r="D271" s="4">
        <v>10.9</v>
      </c>
      <c r="E271" s="4">
        <v>3.53</v>
      </c>
    </row>
    <row r="272" spans="1:5" x14ac:dyDescent="0.25">
      <c r="A272" s="4">
        <v>24810</v>
      </c>
      <c r="B272" s="4" t="s">
        <v>22</v>
      </c>
      <c r="C272" s="5">
        <v>45280</v>
      </c>
      <c r="D272" s="4">
        <v>11.7</v>
      </c>
      <c r="E272" s="4">
        <v>3.79</v>
      </c>
    </row>
    <row r="273" spans="1:5" x14ac:dyDescent="0.25">
      <c r="A273" s="4">
        <v>24810</v>
      </c>
      <c r="B273" s="4" t="s">
        <v>22</v>
      </c>
      <c r="C273" s="5">
        <v>45280</v>
      </c>
      <c r="D273" s="4">
        <v>8.6999999999999993</v>
      </c>
      <c r="E273" s="4">
        <v>2.82</v>
      </c>
    </row>
    <row r="274" spans="1:5" x14ac:dyDescent="0.25">
      <c r="A274" s="4">
        <v>24810</v>
      </c>
      <c r="B274" s="4" t="s">
        <v>23</v>
      </c>
      <c r="C274" s="5">
        <v>45280</v>
      </c>
      <c r="D274" s="4">
        <v>3.8</v>
      </c>
      <c r="E274" s="4">
        <v>1.19</v>
      </c>
    </row>
    <row r="275" spans="1:5" x14ac:dyDescent="0.25">
      <c r="A275" s="4">
        <v>24810</v>
      </c>
      <c r="B275" s="4" t="s">
        <v>23</v>
      </c>
      <c r="C275" s="5">
        <v>45280</v>
      </c>
      <c r="D275" s="4">
        <v>1.7</v>
      </c>
      <c r="E275" s="4">
        <v>0.52</v>
      </c>
    </row>
    <row r="276" spans="1:5" x14ac:dyDescent="0.25">
      <c r="A276" s="4">
        <v>24810</v>
      </c>
      <c r="B276" s="4" t="s">
        <v>23</v>
      </c>
      <c r="C276" s="5">
        <v>45280</v>
      </c>
      <c r="D276" s="4">
        <v>28.4</v>
      </c>
      <c r="E276" s="4">
        <v>9.1999999999999993</v>
      </c>
    </row>
    <row r="277" spans="1:5" x14ac:dyDescent="0.25">
      <c r="A277" s="4">
        <v>24810</v>
      </c>
      <c r="B277" s="4" t="s">
        <v>23</v>
      </c>
      <c r="C277" s="5">
        <v>45280</v>
      </c>
      <c r="D277" s="4">
        <v>1.1000000000000001</v>
      </c>
      <c r="E277" s="4">
        <v>0.36</v>
      </c>
    </row>
    <row r="278" spans="1:5" x14ac:dyDescent="0.25">
      <c r="A278" s="4">
        <v>24810</v>
      </c>
      <c r="B278" s="4" t="s">
        <v>23</v>
      </c>
      <c r="C278" s="5">
        <v>45280</v>
      </c>
      <c r="D278" s="4">
        <v>31</v>
      </c>
      <c r="E278" s="4">
        <v>9.98</v>
      </c>
    </row>
    <row r="279" spans="1:5" x14ac:dyDescent="0.25">
      <c r="A279" s="4">
        <v>24810</v>
      </c>
      <c r="B279" s="4" t="s">
        <v>23</v>
      </c>
      <c r="C279" s="5">
        <v>45280</v>
      </c>
      <c r="D279" s="4">
        <v>0.8</v>
      </c>
      <c r="E279" s="4">
        <v>0.25</v>
      </c>
    </row>
    <row r="280" spans="1:5" x14ac:dyDescent="0.25">
      <c r="A280" s="4">
        <v>24810</v>
      </c>
      <c r="B280" s="4" t="s">
        <v>23</v>
      </c>
      <c r="C280" s="5">
        <v>45280</v>
      </c>
      <c r="D280" s="4">
        <v>12.8</v>
      </c>
      <c r="E280" s="4">
        <v>4.12</v>
      </c>
    </row>
    <row r="281" spans="1:5" x14ac:dyDescent="0.25">
      <c r="A281" s="4">
        <v>24810</v>
      </c>
      <c r="B281" s="4" t="s">
        <v>23</v>
      </c>
      <c r="C281" s="5">
        <v>45280</v>
      </c>
      <c r="D281" s="4">
        <v>19.600000000000001</v>
      </c>
      <c r="E281" s="4">
        <v>6.35</v>
      </c>
    </row>
    <row r="282" spans="1:5" x14ac:dyDescent="0.25">
      <c r="A282" s="4">
        <v>24810</v>
      </c>
      <c r="B282" s="4" t="s">
        <v>23</v>
      </c>
      <c r="C282" s="5">
        <v>45280</v>
      </c>
      <c r="D282" s="4">
        <v>46.4</v>
      </c>
      <c r="E282" s="4">
        <v>15.04</v>
      </c>
    </row>
    <row r="283" spans="1:5" x14ac:dyDescent="0.25">
      <c r="A283" s="4">
        <v>24810</v>
      </c>
      <c r="B283" s="4" t="s">
        <v>23</v>
      </c>
      <c r="C283" s="5">
        <v>45280</v>
      </c>
      <c r="D283" s="4">
        <v>47.1</v>
      </c>
      <c r="E283" s="4">
        <v>15.26</v>
      </c>
    </row>
    <row r="284" spans="1:5" x14ac:dyDescent="0.25">
      <c r="A284" s="4">
        <v>24810</v>
      </c>
      <c r="B284" s="4" t="s">
        <v>23</v>
      </c>
      <c r="C284" s="5">
        <v>45280</v>
      </c>
      <c r="D284" s="4">
        <v>11</v>
      </c>
      <c r="E284" s="4">
        <v>3.57</v>
      </c>
    </row>
    <row r="285" spans="1:5" x14ac:dyDescent="0.25">
      <c r="A285" s="4">
        <v>24810</v>
      </c>
      <c r="B285" s="4" t="s">
        <v>24</v>
      </c>
      <c r="C285" s="5">
        <v>45280</v>
      </c>
      <c r="D285" s="4">
        <v>13.8</v>
      </c>
      <c r="E285" s="4">
        <v>4.47</v>
      </c>
    </row>
    <row r="286" spans="1:5" x14ac:dyDescent="0.25">
      <c r="A286" s="4">
        <v>24810</v>
      </c>
      <c r="B286" s="4" t="s">
        <v>24</v>
      </c>
      <c r="C286" s="5">
        <v>45280</v>
      </c>
      <c r="D286" s="4">
        <v>11.7</v>
      </c>
      <c r="E286" s="4">
        <v>3.79</v>
      </c>
    </row>
    <row r="287" spans="1:5" x14ac:dyDescent="0.25">
      <c r="A287" s="4">
        <v>24810</v>
      </c>
      <c r="B287" s="4" t="s">
        <v>24</v>
      </c>
      <c r="C287" s="5">
        <v>45280</v>
      </c>
      <c r="D287" s="4">
        <v>10.9</v>
      </c>
      <c r="E287" s="4">
        <v>3.53</v>
      </c>
    </row>
    <row r="288" spans="1:5" x14ac:dyDescent="0.25">
      <c r="A288" s="4">
        <v>24810</v>
      </c>
      <c r="B288" s="4" t="s">
        <v>24</v>
      </c>
      <c r="C288" s="5">
        <v>45280</v>
      </c>
      <c r="D288" s="4">
        <v>11.7</v>
      </c>
      <c r="E288" s="4">
        <v>3.79</v>
      </c>
    </row>
    <row r="289" spans="1:5" x14ac:dyDescent="0.25">
      <c r="A289" s="4">
        <v>24810</v>
      </c>
      <c r="B289" s="4" t="s">
        <v>24</v>
      </c>
      <c r="C289" s="5">
        <v>45280</v>
      </c>
      <c r="D289" s="4">
        <v>10.9</v>
      </c>
      <c r="E289" s="4">
        <v>3.53</v>
      </c>
    </row>
    <row r="290" spans="1:5" x14ac:dyDescent="0.25">
      <c r="A290" s="4">
        <v>24810</v>
      </c>
      <c r="B290" s="4" t="s">
        <v>24</v>
      </c>
      <c r="C290" s="5">
        <v>45280</v>
      </c>
      <c r="D290" s="4">
        <v>11.7</v>
      </c>
      <c r="E290" s="4">
        <v>3.79</v>
      </c>
    </row>
    <row r="291" spans="1:5" x14ac:dyDescent="0.25">
      <c r="A291" s="4">
        <v>24810</v>
      </c>
      <c r="B291" s="4" t="s">
        <v>24</v>
      </c>
      <c r="C291" s="5">
        <v>45280</v>
      </c>
      <c r="D291" s="4">
        <v>10.9</v>
      </c>
      <c r="E291" s="4">
        <v>3.53</v>
      </c>
    </row>
    <row r="292" spans="1:5" x14ac:dyDescent="0.25">
      <c r="A292" s="4">
        <v>24810</v>
      </c>
      <c r="B292" s="4" t="s">
        <v>24</v>
      </c>
      <c r="C292" s="5">
        <v>45280</v>
      </c>
      <c r="D292" s="4">
        <v>11.7</v>
      </c>
      <c r="E292" s="4">
        <v>3.79</v>
      </c>
    </row>
    <row r="293" spans="1:5" x14ac:dyDescent="0.25">
      <c r="A293" s="4">
        <v>24810</v>
      </c>
      <c r="B293" s="4" t="s">
        <v>27</v>
      </c>
      <c r="C293" s="5">
        <v>45280</v>
      </c>
      <c r="D293" s="4">
        <v>9.5</v>
      </c>
      <c r="E293" s="4">
        <v>3.31</v>
      </c>
    </row>
    <row r="294" spans="1:5" x14ac:dyDescent="0.25">
      <c r="A294" s="4">
        <v>24810</v>
      </c>
      <c r="B294" s="4" t="s">
        <v>27</v>
      </c>
      <c r="C294" s="5">
        <v>45280</v>
      </c>
      <c r="D294" s="4">
        <v>1.3</v>
      </c>
      <c r="E294" s="4">
        <v>0.45</v>
      </c>
    </row>
    <row r="295" spans="1:5" x14ac:dyDescent="0.25">
      <c r="A295" s="4">
        <v>24810</v>
      </c>
      <c r="B295" s="4" t="s">
        <v>27</v>
      </c>
      <c r="C295" s="5">
        <v>45280</v>
      </c>
      <c r="D295" s="4">
        <v>7.4</v>
      </c>
      <c r="E295" s="4">
        <v>2.58</v>
      </c>
    </row>
    <row r="296" spans="1:5" x14ac:dyDescent="0.25">
      <c r="A296" s="4">
        <v>24810</v>
      </c>
      <c r="B296" s="4" t="s">
        <v>27</v>
      </c>
      <c r="C296" s="5">
        <v>45280</v>
      </c>
      <c r="D296" s="4">
        <v>9.5</v>
      </c>
      <c r="E296" s="4">
        <v>3.31</v>
      </c>
    </row>
    <row r="297" spans="1:5" x14ac:dyDescent="0.25">
      <c r="A297" s="4">
        <v>24810</v>
      </c>
      <c r="B297" s="4" t="s">
        <v>27</v>
      </c>
      <c r="C297" s="5">
        <v>45280</v>
      </c>
      <c r="D297" s="4">
        <v>1.3</v>
      </c>
      <c r="E297" s="4">
        <v>0.45</v>
      </c>
    </row>
    <row r="298" spans="1:5" x14ac:dyDescent="0.25">
      <c r="A298" s="4">
        <v>24810</v>
      </c>
      <c r="B298" s="4" t="s">
        <v>27</v>
      </c>
      <c r="C298" s="5">
        <v>45280</v>
      </c>
      <c r="D298" s="4">
        <v>7.4</v>
      </c>
      <c r="E298" s="4">
        <v>2.58</v>
      </c>
    </row>
    <row r="299" spans="1:5" x14ac:dyDescent="0.25">
      <c r="A299" s="4">
        <v>24810</v>
      </c>
      <c r="B299" s="4" t="s">
        <v>27</v>
      </c>
      <c r="C299" s="5">
        <v>45280</v>
      </c>
      <c r="D299" s="4">
        <v>9.5</v>
      </c>
      <c r="E299" s="4">
        <v>3.31</v>
      </c>
    </row>
    <row r="300" spans="1:5" x14ac:dyDescent="0.25">
      <c r="A300" s="4">
        <v>24810</v>
      </c>
      <c r="B300" s="4" t="s">
        <v>27</v>
      </c>
      <c r="C300" s="5">
        <v>45280</v>
      </c>
      <c r="D300" s="4">
        <v>1.3</v>
      </c>
      <c r="E300" s="4">
        <v>0.45</v>
      </c>
    </row>
    <row r="301" spans="1:5" x14ac:dyDescent="0.25">
      <c r="A301" s="4">
        <v>24810</v>
      </c>
      <c r="B301" s="4" t="s">
        <v>27</v>
      </c>
      <c r="C301" s="5">
        <v>45280</v>
      </c>
      <c r="D301" s="4">
        <v>7.4</v>
      </c>
      <c r="E301" s="4">
        <v>2.58</v>
      </c>
    </row>
    <row r="302" spans="1:5" x14ac:dyDescent="0.25">
      <c r="A302" s="4">
        <v>24810</v>
      </c>
      <c r="B302" s="4" t="s">
        <v>27</v>
      </c>
      <c r="C302" s="5">
        <v>45280</v>
      </c>
      <c r="D302" s="4">
        <v>9.5</v>
      </c>
      <c r="E302" s="4">
        <v>3.31</v>
      </c>
    </row>
    <row r="303" spans="1:5" x14ac:dyDescent="0.25">
      <c r="A303" s="4">
        <v>24810</v>
      </c>
      <c r="B303" s="4" t="s">
        <v>27</v>
      </c>
      <c r="C303" s="5">
        <v>45280</v>
      </c>
      <c r="D303" s="4">
        <v>1.3</v>
      </c>
      <c r="E303" s="4">
        <v>0.45</v>
      </c>
    </row>
    <row r="304" spans="1:5" x14ac:dyDescent="0.25">
      <c r="A304" s="4">
        <v>24810</v>
      </c>
      <c r="B304" s="4" t="s">
        <v>27</v>
      </c>
      <c r="C304" s="5">
        <v>45280</v>
      </c>
      <c r="D304" s="4">
        <v>7.4</v>
      </c>
      <c r="E304" s="4">
        <v>2.58</v>
      </c>
    </row>
    <row r="305" spans="1:5" x14ac:dyDescent="0.25">
      <c r="A305" s="4">
        <v>24810</v>
      </c>
      <c r="B305" s="4" t="s">
        <v>27</v>
      </c>
      <c r="C305" s="5">
        <v>45280</v>
      </c>
      <c r="D305" s="4">
        <v>9.5</v>
      </c>
      <c r="E305" s="4">
        <v>3.31</v>
      </c>
    </row>
    <row r="306" spans="1:5" x14ac:dyDescent="0.25">
      <c r="A306" s="4">
        <v>24810</v>
      </c>
      <c r="B306" s="4" t="s">
        <v>27</v>
      </c>
      <c r="C306" s="5">
        <v>45280</v>
      </c>
      <c r="D306" s="4">
        <v>1.3</v>
      </c>
      <c r="E306" s="4">
        <v>0.45</v>
      </c>
    </row>
    <row r="307" spans="1:5" x14ac:dyDescent="0.25">
      <c r="A307" s="4">
        <v>24810</v>
      </c>
      <c r="B307" s="4" t="s">
        <v>27</v>
      </c>
      <c r="C307" s="5">
        <v>45280</v>
      </c>
      <c r="D307" s="4">
        <v>7.4</v>
      </c>
      <c r="E307" s="4">
        <v>2.58</v>
      </c>
    </row>
    <row r="308" spans="1:5" x14ac:dyDescent="0.25">
      <c r="A308" s="4">
        <v>24810</v>
      </c>
      <c r="B308" s="4" t="s">
        <v>27</v>
      </c>
      <c r="C308" s="5">
        <v>45280</v>
      </c>
      <c r="D308" s="4">
        <v>9.5</v>
      </c>
      <c r="E308" s="4">
        <v>3.31</v>
      </c>
    </row>
    <row r="309" spans="1:5" x14ac:dyDescent="0.25">
      <c r="A309" s="4">
        <v>24810</v>
      </c>
      <c r="B309" s="4" t="s">
        <v>27</v>
      </c>
      <c r="C309" s="5">
        <v>45280</v>
      </c>
      <c r="D309" s="4">
        <v>1.3</v>
      </c>
      <c r="E309" s="4">
        <v>0.45</v>
      </c>
    </row>
    <row r="310" spans="1:5" x14ac:dyDescent="0.25">
      <c r="A310" s="4">
        <v>24810</v>
      </c>
      <c r="B310" s="4" t="s">
        <v>27</v>
      </c>
      <c r="C310" s="5">
        <v>45280</v>
      </c>
      <c r="D310" s="4">
        <v>7.4</v>
      </c>
      <c r="E310" s="4">
        <v>2.58</v>
      </c>
    </row>
    <row r="311" spans="1:5" x14ac:dyDescent="0.25">
      <c r="A311" s="4">
        <v>24810</v>
      </c>
      <c r="B311" s="4" t="s">
        <v>28</v>
      </c>
      <c r="C311" s="5">
        <v>45280</v>
      </c>
      <c r="D311" s="4">
        <v>13.8</v>
      </c>
      <c r="E311" s="4">
        <v>4.47</v>
      </c>
    </row>
    <row r="312" spans="1:5" x14ac:dyDescent="0.25">
      <c r="A312" s="4">
        <v>24810</v>
      </c>
      <c r="B312" s="4" t="s">
        <v>28</v>
      </c>
      <c r="C312" s="5">
        <v>45280</v>
      </c>
      <c r="D312" s="4">
        <v>11.7</v>
      </c>
      <c r="E312" s="4">
        <v>3.79</v>
      </c>
    </row>
    <row r="313" spans="1:5" x14ac:dyDescent="0.25">
      <c r="A313" s="4">
        <v>24810</v>
      </c>
      <c r="B313" s="4" t="s">
        <v>28</v>
      </c>
      <c r="C313" s="5">
        <v>45280</v>
      </c>
      <c r="D313" s="4">
        <v>10.9</v>
      </c>
      <c r="E313" s="4">
        <v>3.53</v>
      </c>
    </row>
    <row r="314" spans="1:5" x14ac:dyDescent="0.25">
      <c r="A314" s="4">
        <v>24810</v>
      </c>
      <c r="B314" s="4" t="s">
        <v>28</v>
      </c>
      <c r="C314" s="5">
        <v>45280</v>
      </c>
      <c r="D314" s="4">
        <v>11.7</v>
      </c>
      <c r="E314" s="4">
        <v>3.79</v>
      </c>
    </row>
    <row r="315" spans="1:5" x14ac:dyDescent="0.25">
      <c r="A315" s="4">
        <v>24810</v>
      </c>
      <c r="B315" s="4" t="s">
        <v>28</v>
      </c>
      <c r="C315" s="5">
        <v>45280</v>
      </c>
      <c r="D315" s="4">
        <v>10.9</v>
      </c>
      <c r="E315" s="4">
        <v>3.53</v>
      </c>
    </row>
    <row r="316" spans="1:5" x14ac:dyDescent="0.25">
      <c r="A316" s="4">
        <v>24810</v>
      </c>
      <c r="B316" s="4" t="s">
        <v>28</v>
      </c>
      <c r="C316" s="5">
        <v>45280</v>
      </c>
      <c r="D316" s="4">
        <v>11.7</v>
      </c>
      <c r="E316" s="4">
        <v>3.79</v>
      </c>
    </row>
    <row r="317" spans="1:5" x14ac:dyDescent="0.25">
      <c r="A317" s="4">
        <v>24810</v>
      </c>
      <c r="B317" s="4" t="s">
        <v>28</v>
      </c>
      <c r="C317" s="5">
        <v>45280</v>
      </c>
      <c r="D317" s="4">
        <v>10.9</v>
      </c>
      <c r="E317" s="4">
        <v>3.53</v>
      </c>
    </row>
    <row r="318" spans="1:5" x14ac:dyDescent="0.25">
      <c r="A318" s="4">
        <v>24810</v>
      </c>
      <c r="B318" s="4" t="s">
        <v>28</v>
      </c>
      <c r="C318" s="5">
        <v>45280</v>
      </c>
      <c r="D318" s="4">
        <v>11.7</v>
      </c>
      <c r="E318" s="4">
        <v>3.79</v>
      </c>
    </row>
    <row r="319" spans="1:5" x14ac:dyDescent="0.25">
      <c r="A319" s="4">
        <v>24810</v>
      </c>
      <c r="B319" s="4" t="s">
        <v>33</v>
      </c>
      <c r="C319" s="5">
        <v>45281</v>
      </c>
      <c r="D319" s="4">
        <v>12.8</v>
      </c>
      <c r="E319" s="4">
        <v>4.4400000000000004</v>
      </c>
    </row>
    <row r="320" spans="1:5" x14ac:dyDescent="0.25">
      <c r="A320" s="4">
        <v>24810</v>
      </c>
      <c r="B320" s="4" t="s">
        <v>33</v>
      </c>
      <c r="C320" s="5">
        <v>45281</v>
      </c>
      <c r="D320" s="4">
        <v>12.8</v>
      </c>
      <c r="E320" s="4">
        <v>4.42</v>
      </c>
    </row>
    <row r="321" spans="1:5" x14ac:dyDescent="0.25">
      <c r="A321" s="4">
        <v>24810</v>
      </c>
      <c r="B321" s="4" t="s">
        <v>33</v>
      </c>
      <c r="C321" s="5">
        <v>45281</v>
      </c>
      <c r="D321" s="4">
        <v>12.8</v>
      </c>
      <c r="E321" s="4">
        <v>4.4400000000000004</v>
      </c>
    </row>
    <row r="322" spans="1:5" x14ac:dyDescent="0.25">
      <c r="A322" s="4">
        <v>24810</v>
      </c>
      <c r="B322" s="4" t="s">
        <v>33</v>
      </c>
      <c r="C322" s="5">
        <v>45281</v>
      </c>
      <c r="D322" s="4">
        <v>30.6</v>
      </c>
      <c r="E322" s="4">
        <v>10.67</v>
      </c>
    </row>
    <row r="323" spans="1:5" x14ac:dyDescent="0.25">
      <c r="A323" s="4">
        <v>24810</v>
      </c>
      <c r="B323" s="4" t="s">
        <v>34</v>
      </c>
      <c r="C323" s="5">
        <v>45281</v>
      </c>
      <c r="D323" s="4">
        <v>3.8</v>
      </c>
      <c r="E323" s="4">
        <v>1.28</v>
      </c>
    </row>
    <row r="324" spans="1:5" x14ac:dyDescent="0.25">
      <c r="A324" s="4">
        <v>24810</v>
      </c>
      <c r="B324" s="4" t="s">
        <v>34</v>
      </c>
      <c r="C324" s="5">
        <v>45281</v>
      </c>
      <c r="D324" s="4">
        <v>11.3</v>
      </c>
      <c r="E324" s="4">
        <v>3.91</v>
      </c>
    </row>
    <row r="325" spans="1:5" x14ac:dyDescent="0.25">
      <c r="A325" s="4">
        <v>24810</v>
      </c>
      <c r="B325" s="4" t="s">
        <v>34</v>
      </c>
      <c r="C325" s="5">
        <v>45281</v>
      </c>
      <c r="D325" s="4">
        <v>17.100000000000001</v>
      </c>
      <c r="E325" s="4">
        <v>5.91</v>
      </c>
    </row>
    <row r="326" spans="1:5" x14ac:dyDescent="0.25">
      <c r="A326" s="4">
        <v>24810</v>
      </c>
      <c r="B326" s="4" t="s">
        <v>34</v>
      </c>
      <c r="C326" s="5">
        <v>45281</v>
      </c>
      <c r="D326" s="4">
        <v>12.8</v>
      </c>
      <c r="E326" s="4">
        <v>4.4400000000000004</v>
      </c>
    </row>
    <row r="327" spans="1:5" x14ac:dyDescent="0.25">
      <c r="A327" s="4">
        <v>24810</v>
      </c>
      <c r="B327" s="4" t="s">
        <v>34</v>
      </c>
      <c r="C327" s="5">
        <v>45281</v>
      </c>
      <c r="D327" s="4">
        <v>12.8</v>
      </c>
      <c r="E327" s="4">
        <v>4.42</v>
      </c>
    </row>
    <row r="328" spans="1:5" x14ac:dyDescent="0.25">
      <c r="A328" s="4">
        <v>24810</v>
      </c>
      <c r="B328" s="4" t="s">
        <v>34</v>
      </c>
      <c r="C328" s="5">
        <v>45281</v>
      </c>
      <c r="D328" s="4">
        <v>12.8</v>
      </c>
      <c r="E328" s="4">
        <v>4.4400000000000004</v>
      </c>
    </row>
    <row r="329" spans="1:5" x14ac:dyDescent="0.25">
      <c r="A329" s="4">
        <v>24810</v>
      </c>
      <c r="B329" s="4" t="s">
        <v>34</v>
      </c>
      <c r="C329" s="5">
        <v>45281</v>
      </c>
      <c r="D329" s="4">
        <v>12.8</v>
      </c>
      <c r="E329" s="4">
        <v>4.42</v>
      </c>
    </row>
    <row r="330" spans="1:5" x14ac:dyDescent="0.25">
      <c r="A330" s="4">
        <v>24810</v>
      </c>
      <c r="B330" s="4" t="s">
        <v>34</v>
      </c>
      <c r="C330" s="5">
        <v>45281</v>
      </c>
      <c r="D330" s="4">
        <v>12.8</v>
      </c>
      <c r="E330" s="4">
        <v>4.4400000000000004</v>
      </c>
    </row>
    <row r="331" spans="1:5" x14ac:dyDescent="0.25">
      <c r="A331" s="4">
        <v>24810</v>
      </c>
      <c r="B331" s="4" t="s">
        <v>34</v>
      </c>
      <c r="C331" s="5">
        <v>45281</v>
      </c>
      <c r="D331" s="4">
        <v>30.6</v>
      </c>
      <c r="E331" s="4">
        <v>10.67</v>
      </c>
    </row>
    <row r="332" spans="1:5" x14ac:dyDescent="0.25">
      <c r="A332" s="4">
        <v>24810</v>
      </c>
      <c r="B332" s="4" t="s">
        <v>35</v>
      </c>
      <c r="C332" s="5">
        <v>45281</v>
      </c>
      <c r="D332" s="4">
        <v>27.9</v>
      </c>
      <c r="E332" s="4">
        <v>8.5</v>
      </c>
    </row>
    <row r="333" spans="1:5" x14ac:dyDescent="0.25">
      <c r="A333" s="4">
        <v>24810</v>
      </c>
      <c r="B333" s="4" t="s">
        <v>35</v>
      </c>
      <c r="C333" s="5">
        <v>45281</v>
      </c>
      <c r="D333" s="4">
        <v>7.9</v>
      </c>
      <c r="E333" s="4">
        <v>2.38</v>
      </c>
    </row>
    <row r="334" spans="1:5" x14ac:dyDescent="0.25">
      <c r="A334" s="4">
        <v>24810</v>
      </c>
      <c r="B334" s="4" t="s">
        <v>35</v>
      </c>
      <c r="C334" s="5">
        <v>45281</v>
      </c>
      <c r="D334" s="4">
        <v>1.6</v>
      </c>
      <c r="E334" s="4">
        <v>0.49</v>
      </c>
    </row>
    <row r="335" spans="1:5" x14ac:dyDescent="0.25">
      <c r="A335" s="4">
        <v>24810</v>
      </c>
      <c r="B335" s="4" t="s">
        <v>35</v>
      </c>
      <c r="C335" s="5">
        <v>45281</v>
      </c>
      <c r="D335" s="4">
        <v>5.9</v>
      </c>
      <c r="E335" s="4">
        <v>1.81</v>
      </c>
    </row>
    <row r="336" spans="1:5" x14ac:dyDescent="0.25">
      <c r="A336" s="4">
        <v>24810</v>
      </c>
      <c r="B336" s="4" t="s">
        <v>35</v>
      </c>
      <c r="C336" s="5">
        <v>45281</v>
      </c>
      <c r="D336" s="4">
        <v>6.7</v>
      </c>
      <c r="E336" s="4">
        <v>2.0499999999999998</v>
      </c>
    </row>
    <row r="337" spans="1:5" x14ac:dyDescent="0.25">
      <c r="A337" s="4">
        <v>24810</v>
      </c>
      <c r="B337" s="4" t="s">
        <v>35</v>
      </c>
      <c r="C337" s="5">
        <v>45281</v>
      </c>
      <c r="D337" s="4">
        <v>25</v>
      </c>
      <c r="E337" s="4">
        <v>7.62</v>
      </c>
    </row>
    <row r="338" spans="1:5" x14ac:dyDescent="0.25">
      <c r="A338" s="4">
        <v>24810</v>
      </c>
      <c r="B338" s="4" t="s">
        <v>35</v>
      </c>
      <c r="C338" s="5">
        <v>45281</v>
      </c>
      <c r="D338" s="4">
        <v>22</v>
      </c>
      <c r="E338" s="4">
        <v>6.67</v>
      </c>
    </row>
    <row r="339" spans="1:5" x14ac:dyDescent="0.25">
      <c r="A339" s="4">
        <v>24810</v>
      </c>
      <c r="B339" s="4" t="s">
        <v>35</v>
      </c>
      <c r="C339" s="5">
        <v>45281</v>
      </c>
      <c r="D339" s="4">
        <v>8.8000000000000007</v>
      </c>
      <c r="E339" s="4">
        <v>2.69</v>
      </c>
    </row>
    <row r="340" spans="1:5" x14ac:dyDescent="0.25">
      <c r="A340" s="4">
        <v>24810</v>
      </c>
      <c r="B340" s="4" t="s">
        <v>18</v>
      </c>
      <c r="C340" s="5">
        <v>45282</v>
      </c>
      <c r="D340" s="4">
        <v>15.4</v>
      </c>
      <c r="E340" s="4">
        <v>5</v>
      </c>
    </row>
    <row r="341" spans="1:5" x14ac:dyDescent="0.25">
      <c r="A341" s="4">
        <v>24810</v>
      </c>
      <c r="B341" s="4" t="s">
        <v>18</v>
      </c>
      <c r="C341" s="5">
        <v>45282</v>
      </c>
      <c r="D341" s="4">
        <v>15.4</v>
      </c>
      <c r="E341" s="4">
        <v>5</v>
      </c>
    </row>
    <row r="342" spans="1:5" x14ac:dyDescent="0.25">
      <c r="A342" s="4">
        <v>24810</v>
      </c>
      <c r="B342" s="4" t="s">
        <v>18</v>
      </c>
      <c r="C342" s="5">
        <v>45282</v>
      </c>
      <c r="D342" s="4">
        <v>8.8000000000000007</v>
      </c>
      <c r="E342" s="4">
        <v>2.85</v>
      </c>
    </row>
    <row r="343" spans="1:5" x14ac:dyDescent="0.25">
      <c r="A343" s="4">
        <v>24810</v>
      </c>
      <c r="B343" s="4" t="s">
        <v>18</v>
      </c>
      <c r="C343" s="5">
        <v>45282</v>
      </c>
      <c r="D343" s="4">
        <v>8.8000000000000007</v>
      </c>
      <c r="E343" s="4">
        <v>2.85</v>
      </c>
    </row>
    <row r="344" spans="1:5" x14ac:dyDescent="0.25">
      <c r="A344" s="4">
        <v>24810</v>
      </c>
      <c r="B344" s="4" t="s">
        <v>18</v>
      </c>
      <c r="C344" s="5">
        <v>45282</v>
      </c>
      <c r="D344" s="4">
        <v>13.8</v>
      </c>
      <c r="E344" s="4">
        <v>4.47</v>
      </c>
    </row>
    <row r="345" spans="1:5" x14ac:dyDescent="0.25">
      <c r="A345" s="4">
        <v>24810</v>
      </c>
      <c r="B345" s="4" t="s">
        <v>18</v>
      </c>
      <c r="C345" s="5">
        <v>45282</v>
      </c>
      <c r="D345" s="4">
        <v>0.4</v>
      </c>
      <c r="E345" s="4">
        <v>0.13</v>
      </c>
    </row>
    <row r="346" spans="1:5" x14ac:dyDescent="0.25">
      <c r="A346" s="4">
        <v>24810</v>
      </c>
      <c r="B346" s="4" t="s">
        <v>18</v>
      </c>
      <c r="C346" s="5">
        <v>45282</v>
      </c>
      <c r="D346" s="4">
        <v>0.5</v>
      </c>
      <c r="E346" s="4">
        <v>0.16</v>
      </c>
    </row>
    <row r="347" spans="1:5" x14ac:dyDescent="0.25">
      <c r="A347" s="4">
        <v>24810</v>
      </c>
      <c r="B347" s="4" t="s">
        <v>18</v>
      </c>
      <c r="C347" s="5">
        <v>45282</v>
      </c>
      <c r="D347" s="4">
        <v>29.3</v>
      </c>
      <c r="E347" s="4">
        <v>9.5</v>
      </c>
    </row>
    <row r="348" spans="1:5" x14ac:dyDescent="0.25">
      <c r="A348" s="4">
        <v>24810</v>
      </c>
      <c r="B348" s="4" t="s">
        <v>18</v>
      </c>
      <c r="C348" s="5">
        <v>45282</v>
      </c>
      <c r="D348" s="4">
        <v>29.3</v>
      </c>
      <c r="E348" s="4">
        <v>9.5</v>
      </c>
    </row>
    <row r="349" spans="1:5" x14ac:dyDescent="0.25">
      <c r="A349" s="4">
        <v>24810</v>
      </c>
      <c r="B349" s="4" t="s">
        <v>18</v>
      </c>
      <c r="C349" s="5">
        <v>45282</v>
      </c>
      <c r="D349" s="4">
        <v>29.3</v>
      </c>
      <c r="E349" s="4">
        <v>9.5</v>
      </c>
    </row>
    <row r="350" spans="1:5" x14ac:dyDescent="0.25">
      <c r="A350" s="4">
        <v>24810</v>
      </c>
      <c r="B350" s="4" t="s">
        <v>35</v>
      </c>
      <c r="C350" s="5">
        <v>45282</v>
      </c>
      <c r="D350" s="4">
        <v>3.8</v>
      </c>
      <c r="E350" s="4">
        <v>1.1399999999999999</v>
      </c>
    </row>
    <row r="351" spans="1:5" x14ac:dyDescent="0.25">
      <c r="A351" s="4">
        <v>24810</v>
      </c>
      <c r="B351" s="4" t="s">
        <v>35</v>
      </c>
      <c r="C351" s="5">
        <v>45282</v>
      </c>
      <c r="D351" s="4">
        <v>3.9</v>
      </c>
      <c r="E351" s="4">
        <v>1.17</v>
      </c>
    </row>
    <row r="352" spans="1:5" x14ac:dyDescent="0.25">
      <c r="A352" s="4">
        <v>24810</v>
      </c>
      <c r="B352" s="4" t="s">
        <v>16</v>
      </c>
      <c r="C352" s="5">
        <v>45282</v>
      </c>
      <c r="D352" s="4">
        <v>27.9</v>
      </c>
      <c r="E352" s="4">
        <v>9.91</v>
      </c>
    </row>
    <row r="353" spans="1:5" x14ac:dyDescent="0.25">
      <c r="A353" s="4">
        <v>24810</v>
      </c>
      <c r="B353" s="4" t="s">
        <v>16</v>
      </c>
      <c r="C353" s="5">
        <v>45282</v>
      </c>
      <c r="D353" s="4">
        <v>12.2</v>
      </c>
      <c r="E353" s="4">
        <v>4.38</v>
      </c>
    </row>
    <row r="354" spans="1:5" x14ac:dyDescent="0.25">
      <c r="A354" s="4">
        <v>24810</v>
      </c>
      <c r="B354" s="4" t="s">
        <v>16</v>
      </c>
      <c r="C354" s="5">
        <v>45282</v>
      </c>
      <c r="D354" s="4">
        <v>1.6</v>
      </c>
      <c r="E354" s="4">
        <v>0.56999999999999995</v>
      </c>
    </row>
    <row r="355" spans="1:5" x14ac:dyDescent="0.25">
      <c r="A355" s="4">
        <v>24810</v>
      </c>
      <c r="B355" s="4" t="s">
        <v>16</v>
      </c>
      <c r="C355" s="5">
        <v>45282</v>
      </c>
      <c r="D355" s="4">
        <v>26.9</v>
      </c>
      <c r="E355" s="4">
        <v>9.56</v>
      </c>
    </row>
    <row r="356" spans="1:5" x14ac:dyDescent="0.25">
      <c r="A356" s="4">
        <v>24810</v>
      </c>
      <c r="B356" s="4" t="s">
        <v>16</v>
      </c>
      <c r="C356" s="5">
        <v>45282</v>
      </c>
      <c r="D356" s="4">
        <v>22</v>
      </c>
      <c r="E356" s="4">
        <v>7.82</v>
      </c>
    </row>
    <row r="357" spans="1:5" x14ac:dyDescent="0.25">
      <c r="A357" s="4">
        <v>24810</v>
      </c>
      <c r="B357" s="4" t="s">
        <v>16</v>
      </c>
      <c r="C357" s="5">
        <v>45282</v>
      </c>
      <c r="D357" s="4">
        <v>10.6</v>
      </c>
      <c r="E357" s="4">
        <v>3.77</v>
      </c>
    </row>
    <row r="358" spans="1:5" x14ac:dyDescent="0.25">
      <c r="A358" s="4">
        <v>24810</v>
      </c>
      <c r="B358" s="4" t="s">
        <v>33</v>
      </c>
      <c r="C358" s="5">
        <v>45293</v>
      </c>
      <c r="D358" s="4">
        <v>18.3</v>
      </c>
      <c r="E358" s="4">
        <v>6.37</v>
      </c>
    </row>
    <row r="359" spans="1:5" x14ac:dyDescent="0.25">
      <c r="A359" s="4">
        <v>24810</v>
      </c>
      <c r="B359" s="4" t="s">
        <v>33</v>
      </c>
      <c r="C359" s="5">
        <v>45293</v>
      </c>
      <c r="D359" s="4">
        <v>18.3</v>
      </c>
      <c r="E359" s="4">
        <v>6.37</v>
      </c>
    </row>
    <row r="360" spans="1:5" x14ac:dyDescent="0.25">
      <c r="A360" s="4">
        <v>24810</v>
      </c>
      <c r="B360" s="4" t="s">
        <v>33</v>
      </c>
      <c r="C360" s="5">
        <v>45293</v>
      </c>
      <c r="D360" s="4">
        <v>18.3</v>
      </c>
      <c r="E360" s="4">
        <v>6.37</v>
      </c>
    </row>
    <row r="361" spans="1:5" x14ac:dyDescent="0.25">
      <c r="A361" s="4">
        <v>24810</v>
      </c>
      <c r="B361" s="4" t="s">
        <v>33</v>
      </c>
      <c r="C361" s="5">
        <v>45293</v>
      </c>
      <c r="D361" s="4">
        <v>18.3</v>
      </c>
      <c r="E361" s="4">
        <v>6.37</v>
      </c>
    </row>
    <row r="362" spans="1:5" x14ac:dyDescent="0.25">
      <c r="A362" s="4">
        <v>24810</v>
      </c>
      <c r="B362" s="4" t="s">
        <v>33</v>
      </c>
      <c r="C362" s="5">
        <v>45293</v>
      </c>
      <c r="D362" s="4">
        <v>18.3</v>
      </c>
      <c r="E362" s="4">
        <v>6.37</v>
      </c>
    </row>
    <row r="363" spans="1:5" x14ac:dyDescent="0.25">
      <c r="A363" s="4">
        <v>24810</v>
      </c>
      <c r="B363" s="4" t="s">
        <v>33</v>
      </c>
      <c r="C363" s="5">
        <v>45293</v>
      </c>
      <c r="D363" s="4">
        <v>18.3</v>
      </c>
      <c r="E363" s="4">
        <v>6.37</v>
      </c>
    </row>
    <row r="364" spans="1:5" x14ac:dyDescent="0.25">
      <c r="A364" s="4">
        <v>24810</v>
      </c>
      <c r="B364" s="4" t="s">
        <v>33</v>
      </c>
      <c r="C364" s="5">
        <v>45293</v>
      </c>
      <c r="D364" s="4">
        <v>18.3</v>
      </c>
      <c r="E364" s="4">
        <v>6.37</v>
      </c>
    </row>
    <row r="365" spans="1:5" x14ac:dyDescent="0.25">
      <c r="A365" s="4">
        <v>24810</v>
      </c>
      <c r="B365" s="4" t="s">
        <v>33</v>
      </c>
      <c r="C365" s="5">
        <v>45293</v>
      </c>
      <c r="D365" s="4">
        <v>18.3</v>
      </c>
      <c r="E365" s="4">
        <v>6.37</v>
      </c>
    </row>
    <row r="366" spans="1:5" x14ac:dyDescent="0.25">
      <c r="A366" s="4">
        <v>24810</v>
      </c>
      <c r="B366" s="4" t="s">
        <v>33</v>
      </c>
      <c r="C366" s="5">
        <v>45293</v>
      </c>
      <c r="D366" s="4">
        <v>18.3</v>
      </c>
      <c r="E366" s="4">
        <v>6.37</v>
      </c>
    </row>
    <row r="367" spans="1:5" x14ac:dyDescent="0.25">
      <c r="A367" s="4">
        <v>24810</v>
      </c>
      <c r="B367" s="4" t="s">
        <v>33</v>
      </c>
      <c r="C367" s="5">
        <v>45293</v>
      </c>
      <c r="D367" s="4">
        <v>18.3</v>
      </c>
      <c r="E367" s="4">
        <v>6.37</v>
      </c>
    </row>
    <row r="368" spans="1:5" x14ac:dyDescent="0.25">
      <c r="A368" s="4">
        <v>24810</v>
      </c>
      <c r="B368" s="4" t="s">
        <v>33</v>
      </c>
      <c r="C368" s="5">
        <v>45293</v>
      </c>
      <c r="D368" s="4">
        <v>18.3</v>
      </c>
      <c r="E368" s="4">
        <v>6.37</v>
      </c>
    </row>
    <row r="369" spans="1:5" x14ac:dyDescent="0.25">
      <c r="A369" s="4">
        <v>24810</v>
      </c>
      <c r="B369" s="4" t="s">
        <v>33</v>
      </c>
      <c r="C369" s="5">
        <v>45293</v>
      </c>
      <c r="D369" s="4">
        <v>20.100000000000001</v>
      </c>
      <c r="E369" s="4">
        <v>7</v>
      </c>
    </row>
    <row r="370" spans="1:5" x14ac:dyDescent="0.25">
      <c r="A370" s="4">
        <v>24810</v>
      </c>
      <c r="B370" s="4" t="s">
        <v>16</v>
      </c>
      <c r="C370" s="5">
        <v>45293</v>
      </c>
      <c r="D370" s="4">
        <v>24.8</v>
      </c>
      <c r="E370" s="4">
        <v>8.81</v>
      </c>
    </row>
    <row r="371" spans="1:5" x14ac:dyDescent="0.25">
      <c r="A371" s="4">
        <v>24810</v>
      </c>
      <c r="B371" s="4" t="s">
        <v>16</v>
      </c>
      <c r="C371" s="5">
        <v>45293</v>
      </c>
      <c r="D371" s="4">
        <v>22</v>
      </c>
      <c r="E371" s="4">
        <v>7.82</v>
      </c>
    </row>
    <row r="372" spans="1:5" x14ac:dyDescent="0.25">
      <c r="A372" s="4">
        <v>24810</v>
      </c>
      <c r="B372" s="4" t="s">
        <v>16</v>
      </c>
      <c r="C372" s="5">
        <v>45293</v>
      </c>
      <c r="D372" s="4">
        <v>8.8000000000000007</v>
      </c>
      <c r="E372" s="4">
        <v>3.13</v>
      </c>
    </row>
    <row r="373" spans="1:5" x14ac:dyDescent="0.25">
      <c r="A373" s="4">
        <v>24810</v>
      </c>
      <c r="B373" s="4" t="s">
        <v>16</v>
      </c>
      <c r="C373" s="5">
        <v>45293</v>
      </c>
      <c r="D373" s="4">
        <v>8.8000000000000007</v>
      </c>
      <c r="E373" s="4">
        <v>3.13</v>
      </c>
    </row>
    <row r="374" spans="1:5" x14ac:dyDescent="0.25">
      <c r="A374" s="4">
        <v>24810</v>
      </c>
      <c r="B374" s="4" t="s">
        <v>16</v>
      </c>
      <c r="C374" s="5">
        <v>45293</v>
      </c>
      <c r="D374" s="4">
        <v>24.2</v>
      </c>
      <c r="E374" s="4">
        <v>8.6</v>
      </c>
    </row>
    <row r="375" spans="1:5" x14ac:dyDescent="0.25">
      <c r="A375" s="4">
        <v>24810</v>
      </c>
      <c r="B375" s="4" t="s">
        <v>16</v>
      </c>
      <c r="C375" s="5">
        <v>45293</v>
      </c>
      <c r="D375" s="4">
        <v>24.2</v>
      </c>
      <c r="E375" s="4">
        <v>8.6</v>
      </c>
    </row>
    <row r="376" spans="1:5" x14ac:dyDescent="0.25">
      <c r="A376" s="4">
        <v>24810</v>
      </c>
      <c r="B376" s="4" t="s">
        <v>16</v>
      </c>
      <c r="C376" s="5">
        <v>45293</v>
      </c>
      <c r="D376" s="4">
        <v>8.8000000000000007</v>
      </c>
      <c r="E376" s="4">
        <v>3.13</v>
      </c>
    </row>
    <row r="377" spans="1:5" x14ac:dyDescent="0.25">
      <c r="A377" s="4">
        <v>24810</v>
      </c>
      <c r="B377" s="4" t="s">
        <v>36</v>
      </c>
      <c r="C377" s="5">
        <v>45294</v>
      </c>
      <c r="D377" s="4">
        <v>15.4</v>
      </c>
      <c r="E377" s="4">
        <v>5.35</v>
      </c>
    </row>
    <row r="378" spans="1:5" x14ac:dyDescent="0.25">
      <c r="A378" s="4">
        <v>24810</v>
      </c>
      <c r="B378" s="4" t="s">
        <v>36</v>
      </c>
      <c r="C378" s="5">
        <v>45294</v>
      </c>
      <c r="D378" s="4">
        <v>31.3</v>
      </c>
      <c r="E378" s="4">
        <v>10.86</v>
      </c>
    </row>
    <row r="379" spans="1:5" x14ac:dyDescent="0.25">
      <c r="A379" s="4">
        <v>24810</v>
      </c>
      <c r="B379" s="4" t="s">
        <v>36</v>
      </c>
      <c r="C379" s="5">
        <v>45294</v>
      </c>
      <c r="D379" s="4">
        <v>31.3</v>
      </c>
      <c r="E379" s="4">
        <v>10.86</v>
      </c>
    </row>
    <row r="380" spans="1:5" x14ac:dyDescent="0.25">
      <c r="A380" s="4">
        <v>24810</v>
      </c>
      <c r="B380" s="4" t="s">
        <v>36</v>
      </c>
      <c r="C380" s="5">
        <v>45294</v>
      </c>
      <c r="D380" s="4">
        <v>31.3</v>
      </c>
      <c r="E380" s="4">
        <v>10.86</v>
      </c>
    </row>
    <row r="381" spans="1:5" x14ac:dyDescent="0.25">
      <c r="A381" s="4">
        <v>24810</v>
      </c>
      <c r="B381" s="4" t="s">
        <v>36</v>
      </c>
      <c r="C381" s="5">
        <v>45294</v>
      </c>
      <c r="D381" s="4">
        <v>31.3</v>
      </c>
      <c r="E381" s="4">
        <v>10.86</v>
      </c>
    </row>
    <row r="382" spans="1:5" x14ac:dyDescent="0.25">
      <c r="A382" s="4">
        <v>24810</v>
      </c>
      <c r="B382" s="4" t="s">
        <v>36</v>
      </c>
      <c r="C382" s="5">
        <v>45294</v>
      </c>
      <c r="D382" s="4">
        <v>31.3</v>
      </c>
      <c r="E382" s="4">
        <v>10.86</v>
      </c>
    </row>
    <row r="383" spans="1:5" x14ac:dyDescent="0.25">
      <c r="A383" s="4">
        <v>24810</v>
      </c>
      <c r="B383" s="4" t="s">
        <v>36</v>
      </c>
      <c r="C383" s="5">
        <v>45294</v>
      </c>
      <c r="D383" s="4">
        <v>31.3</v>
      </c>
      <c r="E383" s="4">
        <v>10.86</v>
      </c>
    </row>
    <row r="384" spans="1:5" x14ac:dyDescent="0.25">
      <c r="A384" s="4">
        <v>24810</v>
      </c>
      <c r="B384" s="4" t="s">
        <v>36</v>
      </c>
      <c r="C384" s="5">
        <v>45294</v>
      </c>
      <c r="D384" s="4">
        <v>31.3</v>
      </c>
      <c r="E384" s="4">
        <v>10.86</v>
      </c>
    </row>
    <row r="385" spans="1:5" x14ac:dyDescent="0.25">
      <c r="A385" s="4">
        <v>24810</v>
      </c>
      <c r="B385" s="4" t="s">
        <v>36</v>
      </c>
      <c r="C385" s="5">
        <v>45294</v>
      </c>
      <c r="D385" s="4">
        <v>31.3</v>
      </c>
      <c r="E385" s="4">
        <v>10.86</v>
      </c>
    </row>
    <row r="386" spans="1:5" x14ac:dyDescent="0.25">
      <c r="A386" s="4">
        <v>24810</v>
      </c>
      <c r="B386" s="4" t="s">
        <v>31</v>
      </c>
      <c r="C386" s="5">
        <v>45295</v>
      </c>
      <c r="D386" s="4">
        <v>30.2</v>
      </c>
      <c r="E386" s="4">
        <v>10.49</v>
      </c>
    </row>
    <row r="387" spans="1:5" x14ac:dyDescent="0.25">
      <c r="A387" s="4">
        <v>24810</v>
      </c>
      <c r="B387" s="4" t="s">
        <v>31</v>
      </c>
      <c r="C387" s="5">
        <v>45295</v>
      </c>
      <c r="D387" s="4">
        <v>0.9</v>
      </c>
      <c r="E387" s="4">
        <v>0.31</v>
      </c>
    </row>
    <row r="388" spans="1:5" x14ac:dyDescent="0.25">
      <c r="A388" s="4">
        <v>24810</v>
      </c>
      <c r="B388" s="4" t="s">
        <v>37</v>
      </c>
      <c r="C388" s="5">
        <v>45295</v>
      </c>
      <c r="D388" s="4">
        <v>15.4</v>
      </c>
      <c r="E388" s="4">
        <v>5.35</v>
      </c>
    </row>
    <row r="389" spans="1:5" x14ac:dyDescent="0.25">
      <c r="A389" s="4">
        <v>24810</v>
      </c>
      <c r="B389" s="4" t="s">
        <v>37</v>
      </c>
      <c r="C389" s="5">
        <v>45295</v>
      </c>
      <c r="D389" s="4">
        <v>30.2</v>
      </c>
      <c r="E389" s="4">
        <v>10.49</v>
      </c>
    </row>
    <row r="390" spans="1:5" x14ac:dyDescent="0.25">
      <c r="A390" s="4">
        <v>24810</v>
      </c>
      <c r="B390" s="4" t="s">
        <v>37</v>
      </c>
      <c r="C390" s="5">
        <v>45295</v>
      </c>
      <c r="D390" s="4">
        <v>31.3</v>
      </c>
      <c r="E390" s="4">
        <v>10.86</v>
      </c>
    </row>
    <row r="391" spans="1:5" x14ac:dyDescent="0.25">
      <c r="A391" s="4">
        <v>24810</v>
      </c>
      <c r="B391" s="4" t="s">
        <v>37</v>
      </c>
      <c r="C391" s="5">
        <v>45295</v>
      </c>
      <c r="D391" s="4">
        <v>30.2</v>
      </c>
      <c r="E391" s="4">
        <v>10.49</v>
      </c>
    </row>
    <row r="392" spans="1:5" x14ac:dyDescent="0.25">
      <c r="A392" s="4">
        <v>24810</v>
      </c>
      <c r="B392" s="4" t="s">
        <v>37</v>
      </c>
      <c r="C392" s="5">
        <v>45295</v>
      </c>
      <c r="D392" s="4">
        <v>31.3</v>
      </c>
      <c r="E392" s="4">
        <v>10.86</v>
      </c>
    </row>
    <row r="393" spans="1:5" x14ac:dyDescent="0.25">
      <c r="A393" s="4">
        <v>24810</v>
      </c>
      <c r="B393" s="4" t="s">
        <v>37</v>
      </c>
      <c r="C393" s="5">
        <v>45295</v>
      </c>
      <c r="D393" s="4">
        <v>30.2</v>
      </c>
      <c r="E393" s="4">
        <v>10.49</v>
      </c>
    </row>
    <row r="394" spans="1:5" x14ac:dyDescent="0.25">
      <c r="A394" s="4">
        <v>24810</v>
      </c>
      <c r="B394" s="4" t="s">
        <v>37</v>
      </c>
      <c r="C394" s="5">
        <v>45295</v>
      </c>
      <c r="D394" s="4">
        <v>31.3</v>
      </c>
      <c r="E394" s="4">
        <v>10.86</v>
      </c>
    </row>
    <row r="395" spans="1:5" x14ac:dyDescent="0.25">
      <c r="A395" s="4">
        <v>24810</v>
      </c>
      <c r="B395" s="4" t="s">
        <v>37</v>
      </c>
      <c r="C395" s="5">
        <v>45295</v>
      </c>
      <c r="D395" s="4">
        <v>31.3</v>
      </c>
      <c r="E395" s="4">
        <v>10.86</v>
      </c>
    </row>
    <row r="396" spans="1:5" x14ac:dyDescent="0.25">
      <c r="A396" s="4">
        <v>24810</v>
      </c>
      <c r="B396" s="4" t="s">
        <v>37</v>
      </c>
      <c r="C396" s="5">
        <v>45295</v>
      </c>
      <c r="D396" s="4">
        <v>31.3</v>
      </c>
      <c r="E396" s="4">
        <v>10.86</v>
      </c>
    </row>
    <row r="397" spans="1:5" x14ac:dyDescent="0.25">
      <c r="A397" s="4">
        <v>24810</v>
      </c>
      <c r="B397" s="4" t="s">
        <v>37</v>
      </c>
      <c r="C397" s="5">
        <v>45295</v>
      </c>
      <c r="D397" s="4">
        <v>30.2</v>
      </c>
      <c r="E397" s="4">
        <v>10.49</v>
      </c>
    </row>
    <row r="398" spans="1:5" x14ac:dyDescent="0.25">
      <c r="A398" s="4">
        <v>24810</v>
      </c>
      <c r="B398" s="4" t="s">
        <v>37</v>
      </c>
      <c r="C398" s="5">
        <v>45295</v>
      </c>
      <c r="D398" s="4">
        <v>1.2</v>
      </c>
      <c r="E398" s="4">
        <v>0.41</v>
      </c>
    </row>
    <row r="399" spans="1:5" x14ac:dyDescent="0.25">
      <c r="A399" s="4">
        <v>24810</v>
      </c>
      <c r="B399" s="4" t="s">
        <v>38</v>
      </c>
      <c r="C399" s="5">
        <v>45295</v>
      </c>
      <c r="D399" s="4">
        <v>22.6</v>
      </c>
      <c r="E399" s="4">
        <v>7.88</v>
      </c>
    </row>
    <row r="400" spans="1:5" x14ac:dyDescent="0.25">
      <c r="A400" s="4">
        <v>24810</v>
      </c>
      <c r="B400" s="4" t="s">
        <v>38</v>
      </c>
      <c r="C400" s="5">
        <v>45295</v>
      </c>
      <c r="D400" s="4">
        <v>22.6</v>
      </c>
      <c r="E400" s="4">
        <v>7.88</v>
      </c>
    </row>
    <row r="401" spans="1:5" x14ac:dyDescent="0.25">
      <c r="A401" s="4">
        <v>24810</v>
      </c>
      <c r="B401" s="4" t="s">
        <v>38</v>
      </c>
      <c r="C401" s="5">
        <v>45295</v>
      </c>
      <c r="D401" s="4">
        <v>22.6</v>
      </c>
      <c r="E401" s="4">
        <v>7.88</v>
      </c>
    </row>
    <row r="402" spans="1:5" x14ac:dyDescent="0.25">
      <c r="A402" s="4">
        <v>24810</v>
      </c>
      <c r="B402" s="4" t="s">
        <v>38</v>
      </c>
      <c r="C402" s="5">
        <v>45295</v>
      </c>
      <c r="D402" s="4">
        <v>22.6</v>
      </c>
      <c r="E402" s="4">
        <v>7.88</v>
      </c>
    </row>
    <row r="403" spans="1:5" x14ac:dyDescent="0.25">
      <c r="A403" s="4">
        <v>24810</v>
      </c>
      <c r="B403" s="4" t="s">
        <v>38</v>
      </c>
      <c r="C403" s="5">
        <v>45295</v>
      </c>
      <c r="D403" s="4">
        <v>22.6</v>
      </c>
      <c r="E403" s="4">
        <v>7.88</v>
      </c>
    </row>
    <row r="404" spans="1:5" x14ac:dyDescent="0.25">
      <c r="A404" s="4">
        <v>24810</v>
      </c>
      <c r="B404" s="4" t="s">
        <v>38</v>
      </c>
      <c r="C404" s="5">
        <v>45295</v>
      </c>
      <c r="D404" s="4">
        <v>22.6</v>
      </c>
      <c r="E404" s="4">
        <v>7.88</v>
      </c>
    </row>
    <row r="405" spans="1:5" x14ac:dyDescent="0.25">
      <c r="A405" s="4">
        <v>24810</v>
      </c>
      <c r="B405" s="4" t="s">
        <v>38</v>
      </c>
      <c r="C405" s="5">
        <v>45295</v>
      </c>
      <c r="D405" s="4">
        <v>22.6</v>
      </c>
      <c r="E405" s="4">
        <v>7.88</v>
      </c>
    </row>
    <row r="406" spans="1:5" x14ac:dyDescent="0.25">
      <c r="A406" s="4">
        <v>24810</v>
      </c>
      <c r="B406" s="4" t="s">
        <v>38</v>
      </c>
      <c r="C406" s="5">
        <v>45295</v>
      </c>
      <c r="D406" s="4">
        <v>5.9</v>
      </c>
      <c r="E406" s="4">
        <v>2.02</v>
      </c>
    </row>
    <row r="407" spans="1:5" x14ac:dyDescent="0.25">
      <c r="A407" s="4">
        <v>24810</v>
      </c>
      <c r="B407" s="4" t="s">
        <v>38</v>
      </c>
      <c r="C407" s="5">
        <v>45295</v>
      </c>
      <c r="D407" s="4">
        <v>3.9</v>
      </c>
      <c r="E407" s="4">
        <v>1.32</v>
      </c>
    </row>
    <row r="408" spans="1:5" x14ac:dyDescent="0.25">
      <c r="A408" s="4">
        <v>24810</v>
      </c>
      <c r="B408" s="4" t="s">
        <v>38</v>
      </c>
      <c r="C408" s="5">
        <v>45295</v>
      </c>
      <c r="D408" s="4">
        <v>22.6</v>
      </c>
      <c r="E408" s="4">
        <v>7.88</v>
      </c>
    </row>
    <row r="409" spans="1:5" x14ac:dyDescent="0.25">
      <c r="A409" s="4">
        <v>24810</v>
      </c>
      <c r="B409" s="4" t="s">
        <v>38</v>
      </c>
      <c r="C409" s="5">
        <v>45295</v>
      </c>
      <c r="D409" s="4">
        <v>22.6</v>
      </c>
      <c r="E409" s="4">
        <v>7.88</v>
      </c>
    </row>
    <row r="410" spans="1:5" x14ac:dyDescent="0.25">
      <c r="A410" s="4">
        <v>24810</v>
      </c>
      <c r="B410" s="4" t="s">
        <v>38</v>
      </c>
      <c r="C410" s="5">
        <v>45295</v>
      </c>
      <c r="D410" s="4">
        <v>22.6</v>
      </c>
      <c r="E410" s="4">
        <v>7.88</v>
      </c>
    </row>
    <row r="411" spans="1:5" x14ac:dyDescent="0.25">
      <c r="A411" s="4">
        <v>24810</v>
      </c>
      <c r="B411" s="4" t="s">
        <v>38</v>
      </c>
      <c r="C411" s="5">
        <v>45295</v>
      </c>
      <c r="D411" s="4">
        <v>22.6</v>
      </c>
      <c r="E411" s="4">
        <v>7.88</v>
      </c>
    </row>
    <row r="412" spans="1:5" x14ac:dyDescent="0.25">
      <c r="A412" s="4">
        <v>24810</v>
      </c>
      <c r="B412" s="4" t="s">
        <v>38</v>
      </c>
      <c r="C412" s="5">
        <v>45295</v>
      </c>
      <c r="D412" s="4">
        <v>22.6</v>
      </c>
      <c r="E412" s="4">
        <v>7.88</v>
      </c>
    </row>
    <row r="413" spans="1:5" x14ac:dyDescent="0.25">
      <c r="A413" s="4">
        <v>24810</v>
      </c>
      <c r="B413" s="4" t="s">
        <v>38</v>
      </c>
      <c r="C413" s="5">
        <v>45295</v>
      </c>
      <c r="D413" s="4">
        <v>22.6</v>
      </c>
      <c r="E413" s="4">
        <v>7.88</v>
      </c>
    </row>
    <row r="414" spans="1:5" x14ac:dyDescent="0.25">
      <c r="A414" s="4">
        <v>24810</v>
      </c>
      <c r="B414" s="4" t="s">
        <v>39</v>
      </c>
      <c r="C414" s="5">
        <v>45295</v>
      </c>
      <c r="D414" s="4">
        <v>19.100000000000001</v>
      </c>
      <c r="E414" s="4">
        <v>6.65</v>
      </c>
    </row>
    <row r="415" spans="1:5" x14ac:dyDescent="0.25">
      <c r="A415" s="4">
        <v>24810</v>
      </c>
      <c r="B415" s="4" t="s">
        <v>40</v>
      </c>
      <c r="C415" s="5">
        <v>45295</v>
      </c>
      <c r="D415" s="4">
        <v>19.100000000000001</v>
      </c>
      <c r="E415" s="4">
        <v>6.65</v>
      </c>
    </row>
    <row r="416" spans="1:5" x14ac:dyDescent="0.25">
      <c r="A416" s="4">
        <v>24810</v>
      </c>
      <c r="B416" s="4" t="s">
        <v>41</v>
      </c>
      <c r="C416" s="5">
        <v>45295</v>
      </c>
      <c r="D416" s="4">
        <v>22.6</v>
      </c>
      <c r="E416" s="4">
        <v>7.88</v>
      </c>
    </row>
    <row r="417" spans="1:5" x14ac:dyDescent="0.25">
      <c r="A417" s="4">
        <v>24810</v>
      </c>
      <c r="B417" s="4" t="s">
        <v>41</v>
      </c>
      <c r="C417" s="5">
        <v>45295</v>
      </c>
      <c r="D417" s="4">
        <v>22.6</v>
      </c>
      <c r="E417" s="4">
        <v>7.88</v>
      </c>
    </row>
    <row r="418" spans="1:5" x14ac:dyDescent="0.25">
      <c r="A418" s="4">
        <v>24810</v>
      </c>
      <c r="B418" s="4" t="s">
        <v>41</v>
      </c>
      <c r="C418" s="5">
        <v>45295</v>
      </c>
      <c r="D418" s="4">
        <v>22.6</v>
      </c>
      <c r="E418" s="4">
        <v>7.88</v>
      </c>
    </row>
    <row r="419" spans="1:5" x14ac:dyDescent="0.25">
      <c r="A419" s="4">
        <v>24810</v>
      </c>
      <c r="B419" s="4" t="s">
        <v>41</v>
      </c>
      <c r="C419" s="5">
        <v>45295</v>
      </c>
      <c r="D419" s="4">
        <v>22.6</v>
      </c>
      <c r="E419" s="4">
        <v>7.88</v>
      </c>
    </row>
    <row r="420" spans="1:5" x14ac:dyDescent="0.25">
      <c r="A420" s="4">
        <v>24810</v>
      </c>
      <c r="B420" s="4" t="s">
        <v>41</v>
      </c>
      <c r="C420" s="5">
        <v>45295</v>
      </c>
      <c r="D420" s="4">
        <v>22.6</v>
      </c>
      <c r="E420" s="4">
        <v>7.88</v>
      </c>
    </row>
    <row r="421" spans="1:5" x14ac:dyDescent="0.25">
      <c r="A421" s="4">
        <v>24810</v>
      </c>
      <c r="B421" s="4" t="s">
        <v>41</v>
      </c>
      <c r="C421" s="5">
        <v>45295</v>
      </c>
      <c r="D421" s="4">
        <v>20.8</v>
      </c>
      <c r="E421" s="4">
        <v>7.25</v>
      </c>
    </row>
    <row r="422" spans="1:5" x14ac:dyDescent="0.25">
      <c r="A422" s="4">
        <v>24810</v>
      </c>
      <c r="B422" s="4" t="s">
        <v>41</v>
      </c>
      <c r="C422" s="5">
        <v>45295</v>
      </c>
      <c r="D422" s="4">
        <v>22.6</v>
      </c>
      <c r="E422" s="4">
        <v>7.88</v>
      </c>
    </row>
    <row r="423" spans="1:5" x14ac:dyDescent="0.25">
      <c r="A423" s="4">
        <v>24810</v>
      </c>
      <c r="B423" s="4" t="s">
        <v>41</v>
      </c>
      <c r="C423" s="5">
        <v>45295</v>
      </c>
      <c r="D423" s="4">
        <v>22.6</v>
      </c>
      <c r="E423" s="4">
        <v>7.88</v>
      </c>
    </row>
    <row r="424" spans="1:5" x14ac:dyDescent="0.25">
      <c r="A424" s="4">
        <v>24810</v>
      </c>
      <c r="B424" s="4" t="s">
        <v>41</v>
      </c>
      <c r="C424" s="5">
        <v>45295</v>
      </c>
      <c r="D424" s="4">
        <v>22.6</v>
      </c>
      <c r="E424" s="4">
        <v>7.88</v>
      </c>
    </row>
    <row r="425" spans="1:5" x14ac:dyDescent="0.25">
      <c r="A425" s="4">
        <v>24810</v>
      </c>
      <c r="B425" s="4" t="s">
        <v>41</v>
      </c>
      <c r="C425" s="5">
        <v>45295</v>
      </c>
      <c r="D425" s="4">
        <v>22.6</v>
      </c>
      <c r="E425" s="4">
        <v>7.88</v>
      </c>
    </row>
    <row r="426" spans="1:5" x14ac:dyDescent="0.25">
      <c r="A426" s="4">
        <v>24810</v>
      </c>
      <c r="B426" s="4" t="s">
        <v>41</v>
      </c>
      <c r="C426" s="5">
        <v>45295</v>
      </c>
      <c r="D426" s="4">
        <v>22.6</v>
      </c>
      <c r="E426" s="4">
        <v>7.88</v>
      </c>
    </row>
    <row r="427" spans="1:5" x14ac:dyDescent="0.25">
      <c r="A427" s="4">
        <v>24810</v>
      </c>
      <c r="B427" s="4" t="s">
        <v>41</v>
      </c>
      <c r="C427" s="5">
        <v>45295</v>
      </c>
      <c r="D427" s="4">
        <v>22.6</v>
      </c>
      <c r="E427" s="4">
        <v>7.88</v>
      </c>
    </row>
    <row r="428" spans="1:5" x14ac:dyDescent="0.25">
      <c r="A428" s="4">
        <v>24810</v>
      </c>
      <c r="B428" s="4" t="s">
        <v>41</v>
      </c>
      <c r="C428" s="5">
        <v>45295</v>
      </c>
      <c r="D428" s="4">
        <v>22.6</v>
      </c>
      <c r="E428" s="4">
        <v>7.88</v>
      </c>
    </row>
    <row r="429" spans="1:5" x14ac:dyDescent="0.25">
      <c r="A429" s="4">
        <v>24810</v>
      </c>
      <c r="B429" s="4" t="s">
        <v>41</v>
      </c>
      <c r="C429" s="5">
        <v>45295</v>
      </c>
      <c r="D429" s="4">
        <v>22.6</v>
      </c>
      <c r="E429" s="4">
        <v>7.88</v>
      </c>
    </row>
    <row r="430" spans="1:5" x14ac:dyDescent="0.25">
      <c r="A430" s="4">
        <v>24810</v>
      </c>
      <c r="B430" s="4" t="s">
        <v>42</v>
      </c>
      <c r="C430" s="5">
        <v>45295</v>
      </c>
      <c r="D430" s="4">
        <v>22.6</v>
      </c>
      <c r="E430" s="4">
        <v>7.88</v>
      </c>
    </row>
    <row r="431" spans="1:5" x14ac:dyDescent="0.25">
      <c r="A431" s="4">
        <v>24810</v>
      </c>
      <c r="B431" s="4" t="s">
        <v>42</v>
      </c>
      <c r="C431" s="5">
        <v>45295</v>
      </c>
      <c r="D431" s="4">
        <v>22.6</v>
      </c>
      <c r="E431" s="4">
        <v>7.88</v>
      </c>
    </row>
    <row r="432" spans="1:5" x14ac:dyDescent="0.25">
      <c r="A432" s="4">
        <v>24810</v>
      </c>
      <c r="B432" s="4" t="s">
        <v>42</v>
      </c>
      <c r="C432" s="5">
        <v>45295</v>
      </c>
      <c r="D432" s="4">
        <v>26.9</v>
      </c>
      <c r="E432" s="4">
        <v>9.3800000000000008</v>
      </c>
    </row>
    <row r="433" spans="1:5" x14ac:dyDescent="0.25">
      <c r="A433" s="4">
        <v>24810</v>
      </c>
      <c r="B433" s="4" t="s">
        <v>42</v>
      </c>
      <c r="C433" s="5">
        <v>45295</v>
      </c>
      <c r="D433" s="4">
        <v>22.6</v>
      </c>
      <c r="E433" s="4">
        <v>7.88</v>
      </c>
    </row>
    <row r="434" spans="1:5" x14ac:dyDescent="0.25">
      <c r="A434" s="4">
        <v>24810</v>
      </c>
      <c r="B434" s="4" t="s">
        <v>42</v>
      </c>
      <c r="C434" s="5">
        <v>45295</v>
      </c>
      <c r="D434" s="4">
        <v>22.6</v>
      </c>
      <c r="E434" s="4">
        <v>7.88</v>
      </c>
    </row>
    <row r="435" spans="1:5" x14ac:dyDescent="0.25">
      <c r="A435" s="4">
        <v>24810</v>
      </c>
      <c r="B435" s="4" t="s">
        <v>42</v>
      </c>
      <c r="C435" s="5">
        <v>45295</v>
      </c>
      <c r="D435" s="4">
        <v>22.6</v>
      </c>
      <c r="E435" s="4">
        <v>7.88</v>
      </c>
    </row>
    <row r="436" spans="1:5" x14ac:dyDescent="0.25">
      <c r="A436" s="4">
        <v>24810</v>
      </c>
      <c r="B436" s="4" t="s">
        <v>42</v>
      </c>
      <c r="C436" s="5">
        <v>45295</v>
      </c>
      <c r="D436" s="4">
        <v>22.6</v>
      </c>
      <c r="E436" s="4">
        <v>7.88</v>
      </c>
    </row>
    <row r="437" spans="1:5" x14ac:dyDescent="0.25">
      <c r="A437" s="4">
        <v>24810</v>
      </c>
      <c r="B437" s="4" t="s">
        <v>42</v>
      </c>
      <c r="C437" s="5">
        <v>45295</v>
      </c>
      <c r="D437" s="4">
        <v>22.6</v>
      </c>
      <c r="E437" s="4">
        <v>7.88</v>
      </c>
    </row>
    <row r="438" spans="1:5" x14ac:dyDescent="0.25">
      <c r="A438" s="4">
        <v>24810</v>
      </c>
      <c r="B438" s="4" t="s">
        <v>42</v>
      </c>
      <c r="C438" s="5">
        <v>45295</v>
      </c>
      <c r="D438" s="4">
        <v>22.6</v>
      </c>
      <c r="E438" s="4">
        <v>7.88</v>
      </c>
    </row>
    <row r="439" spans="1:5" x14ac:dyDescent="0.25">
      <c r="A439" s="4">
        <v>24810</v>
      </c>
      <c r="B439" s="4" t="s">
        <v>42</v>
      </c>
      <c r="C439" s="5">
        <v>45295</v>
      </c>
      <c r="D439" s="4">
        <v>22.6</v>
      </c>
      <c r="E439" s="4">
        <v>7.88</v>
      </c>
    </row>
    <row r="440" spans="1:5" x14ac:dyDescent="0.25">
      <c r="A440" s="4">
        <v>24810</v>
      </c>
      <c r="B440" s="4" t="s">
        <v>42</v>
      </c>
      <c r="C440" s="5">
        <v>45295</v>
      </c>
      <c r="D440" s="4">
        <v>22.6</v>
      </c>
      <c r="E440" s="4">
        <v>7.88</v>
      </c>
    </row>
    <row r="441" spans="1:5" x14ac:dyDescent="0.25">
      <c r="A441" s="4">
        <v>24810</v>
      </c>
      <c r="B441" s="4" t="s">
        <v>42</v>
      </c>
      <c r="C441" s="5">
        <v>45295</v>
      </c>
      <c r="D441" s="4">
        <v>22.6</v>
      </c>
      <c r="E441" s="4">
        <v>7.88</v>
      </c>
    </row>
    <row r="442" spans="1:5" x14ac:dyDescent="0.25">
      <c r="A442" s="4">
        <v>24810</v>
      </c>
      <c r="B442" s="4" t="s">
        <v>42</v>
      </c>
      <c r="C442" s="5">
        <v>45295</v>
      </c>
      <c r="D442" s="4">
        <v>22.6</v>
      </c>
      <c r="E442" s="4">
        <v>7.88</v>
      </c>
    </row>
    <row r="443" spans="1:5" x14ac:dyDescent="0.25">
      <c r="A443" s="4">
        <v>24810</v>
      </c>
      <c r="B443" s="4" t="s">
        <v>42</v>
      </c>
      <c r="C443" s="5">
        <v>45295</v>
      </c>
      <c r="D443" s="4">
        <v>22.6</v>
      </c>
      <c r="E443" s="4">
        <v>7.88</v>
      </c>
    </row>
    <row r="444" spans="1:5" x14ac:dyDescent="0.25">
      <c r="A444" s="4">
        <v>24810</v>
      </c>
      <c r="B444" s="4" t="s">
        <v>16</v>
      </c>
      <c r="C444" s="5">
        <v>45295</v>
      </c>
      <c r="D444" s="4">
        <v>15.4</v>
      </c>
      <c r="E444" s="4">
        <v>5.47</v>
      </c>
    </row>
    <row r="445" spans="1:5" x14ac:dyDescent="0.25">
      <c r="A445" s="4">
        <v>24810</v>
      </c>
      <c r="B445" s="4" t="s">
        <v>16</v>
      </c>
      <c r="C445" s="5">
        <v>45295</v>
      </c>
      <c r="D445" s="4">
        <v>24.2</v>
      </c>
      <c r="E445" s="4">
        <v>8.6</v>
      </c>
    </row>
    <row r="446" spans="1:5" x14ac:dyDescent="0.25">
      <c r="A446" s="4">
        <v>24810</v>
      </c>
      <c r="B446" s="4" t="s">
        <v>16</v>
      </c>
      <c r="C446" s="5">
        <v>45295</v>
      </c>
      <c r="D446" s="4">
        <v>15.4</v>
      </c>
      <c r="E446" s="4">
        <v>5.47</v>
      </c>
    </row>
    <row r="447" spans="1:5" x14ac:dyDescent="0.25">
      <c r="A447" s="4">
        <v>24810</v>
      </c>
      <c r="B447" s="4" t="s">
        <v>16</v>
      </c>
      <c r="C447" s="5">
        <v>45295</v>
      </c>
      <c r="D447" s="4">
        <v>24.2</v>
      </c>
      <c r="E447" s="4">
        <v>8.6</v>
      </c>
    </row>
    <row r="448" spans="1:5" x14ac:dyDescent="0.25">
      <c r="A448" s="4">
        <v>24810</v>
      </c>
      <c r="B448" s="4" t="s">
        <v>16</v>
      </c>
      <c r="C448" s="5">
        <v>45295</v>
      </c>
      <c r="D448" s="4">
        <v>8.8000000000000007</v>
      </c>
      <c r="E448" s="4">
        <v>3.13</v>
      </c>
    </row>
    <row r="449" spans="1:5" x14ac:dyDescent="0.25">
      <c r="A449" s="4">
        <v>24810</v>
      </c>
      <c r="B449" s="4" t="s">
        <v>15</v>
      </c>
      <c r="C449" s="5">
        <v>45296</v>
      </c>
      <c r="D449" s="4">
        <v>56.4</v>
      </c>
      <c r="E449" s="4">
        <v>18.22</v>
      </c>
    </row>
    <row r="450" spans="1:5" x14ac:dyDescent="0.25">
      <c r="A450" s="4">
        <v>24810</v>
      </c>
      <c r="B450" s="4" t="s">
        <v>15</v>
      </c>
      <c r="C450" s="5">
        <v>45296</v>
      </c>
      <c r="D450" s="4">
        <v>33.5</v>
      </c>
      <c r="E450" s="4">
        <v>10.81</v>
      </c>
    </row>
    <row r="451" spans="1:5" x14ac:dyDescent="0.25">
      <c r="A451" s="4">
        <v>24810</v>
      </c>
      <c r="B451" s="4" t="s">
        <v>15</v>
      </c>
      <c r="C451" s="5">
        <v>45296</v>
      </c>
      <c r="D451" s="4">
        <v>33.5</v>
      </c>
      <c r="E451" s="4">
        <v>10.81</v>
      </c>
    </row>
    <row r="452" spans="1:5" x14ac:dyDescent="0.25">
      <c r="A452" s="4">
        <v>24810</v>
      </c>
      <c r="B452" s="4" t="s">
        <v>15</v>
      </c>
      <c r="C452" s="5">
        <v>45296</v>
      </c>
      <c r="D452" s="4">
        <v>36.6</v>
      </c>
      <c r="E452" s="4">
        <v>11.84</v>
      </c>
    </row>
    <row r="453" spans="1:5" x14ac:dyDescent="0.25">
      <c r="A453" s="4">
        <v>24810</v>
      </c>
      <c r="B453" s="4" t="s">
        <v>15</v>
      </c>
      <c r="C453" s="5">
        <v>45296</v>
      </c>
      <c r="D453" s="4">
        <v>24.8</v>
      </c>
      <c r="E453" s="4">
        <v>8</v>
      </c>
    </row>
    <row r="454" spans="1:5" x14ac:dyDescent="0.25">
      <c r="A454" s="4">
        <v>24810</v>
      </c>
      <c r="B454" s="4" t="s">
        <v>19</v>
      </c>
      <c r="C454" s="5">
        <v>45296</v>
      </c>
      <c r="D454" s="4">
        <v>22.6</v>
      </c>
      <c r="E454" s="4">
        <v>7.33</v>
      </c>
    </row>
    <row r="455" spans="1:5" x14ac:dyDescent="0.25">
      <c r="A455" s="4">
        <v>24810</v>
      </c>
      <c r="B455" s="4" t="s">
        <v>19</v>
      </c>
      <c r="C455" s="5">
        <v>45296</v>
      </c>
      <c r="D455" s="4">
        <v>20.8</v>
      </c>
      <c r="E455" s="4">
        <v>6.75</v>
      </c>
    </row>
    <row r="456" spans="1:5" x14ac:dyDescent="0.25">
      <c r="A456" s="4">
        <v>24810</v>
      </c>
      <c r="B456" s="4" t="s">
        <v>19</v>
      </c>
      <c r="C456" s="5">
        <v>45296</v>
      </c>
      <c r="D456" s="4">
        <v>9.1999999999999993</v>
      </c>
      <c r="E456" s="4">
        <v>2.99</v>
      </c>
    </row>
    <row r="457" spans="1:5" x14ac:dyDescent="0.25">
      <c r="A457" s="4">
        <v>24810</v>
      </c>
      <c r="B457" s="4" t="s">
        <v>19</v>
      </c>
      <c r="C457" s="5">
        <v>45296</v>
      </c>
      <c r="D457" s="4">
        <v>22.6</v>
      </c>
      <c r="E457" s="4">
        <v>7.33</v>
      </c>
    </row>
    <row r="458" spans="1:5" x14ac:dyDescent="0.25">
      <c r="A458" s="4">
        <v>24810</v>
      </c>
      <c r="B458" s="4" t="s">
        <v>19</v>
      </c>
      <c r="C458" s="5">
        <v>45296</v>
      </c>
      <c r="D458" s="4">
        <v>22.6</v>
      </c>
      <c r="E458" s="4">
        <v>7.33</v>
      </c>
    </row>
    <row r="459" spans="1:5" x14ac:dyDescent="0.25">
      <c r="A459" s="4">
        <v>24810</v>
      </c>
      <c r="B459" s="4" t="s">
        <v>19</v>
      </c>
      <c r="C459" s="5">
        <v>45296</v>
      </c>
      <c r="D459" s="4">
        <v>22.6</v>
      </c>
      <c r="E459" s="4">
        <v>7.33</v>
      </c>
    </row>
    <row r="460" spans="1:5" x14ac:dyDescent="0.25">
      <c r="A460" s="4">
        <v>24810</v>
      </c>
      <c r="B460" s="4" t="s">
        <v>19</v>
      </c>
      <c r="C460" s="5">
        <v>45296</v>
      </c>
      <c r="D460" s="4">
        <v>22.6</v>
      </c>
      <c r="E460" s="4">
        <v>7.33</v>
      </c>
    </row>
    <row r="461" spans="1:5" x14ac:dyDescent="0.25">
      <c r="A461" s="4">
        <v>24810</v>
      </c>
      <c r="B461" s="4" t="s">
        <v>19</v>
      </c>
      <c r="C461" s="5">
        <v>45296</v>
      </c>
      <c r="D461" s="4">
        <v>22.6</v>
      </c>
      <c r="E461" s="4">
        <v>7.33</v>
      </c>
    </row>
    <row r="462" spans="1:5" x14ac:dyDescent="0.25">
      <c r="A462" s="4">
        <v>24810</v>
      </c>
      <c r="B462" s="4" t="s">
        <v>19</v>
      </c>
      <c r="C462" s="5">
        <v>45296</v>
      </c>
      <c r="D462" s="4">
        <v>22.6</v>
      </c>
      <c r="E462" s="4">
        <v>7.33</v>
      </c>
    </row>
    <row r="463" spans="1:5" x14ac:dyDescent="0.25">
      <c r="A463" s="4">
        <v>24810</v>
      </c>
      <c r="B463" s="4" t="s">
        <v>23</v>
      </c>
      <c r="C463" s="5">
        <v>45296</v>
      </c>
      <c r="D463" s="4">
        <v>15.4</v>
      </c>
      <c r="E463" s="4">
        <v>5</v>
      </c>
    </row>
    <row r="464" spans="1:5" x14ac:dyDescent="0.25">
      <c r="A464" s="4">
        <v>24810</v>
      </c>
      <c r="B464" s="4" t="s">
        <v>23</v>
      </c>
      <c r="C464" s="5">
        <v>45296</v>
      </c>
      <c r="D464" s="4">
        <v>15.4</v>
      </c>
      <c r="E464" s="4">
        <v>5</v>
      </c>
    </row>
    <row r="465" spans="1:5" x14ac:dyDescent="0.25">
      <c r="A465" s="4">
        <v>24810</v>
      </c>
      <c r="B465" s="4" t="s">
        <v>29</v>
      </c>
      <c r="C465" s="5">
        <v>45296</v>
      </c>
      <c r="D465" s="4">
        <v>22.6</v>
      </c>
      <c r="E465" s="4">
        <v>7.88</v>
      </c>
    </row>
    <row r="466" spans="1:5" x14ac:dyDescent="0.25">
      <c r="A466" s="4">
        <v>24810</v>
      </c>
      <c r="B466" s="4" t="s">
        <v>29</v>
      </c>
      <c r="C466" s="5">
        <v>45296</v>
      </c>
      <c r="D466" s="4">
        <v>22.6</v>
      </c>
      <c r="E466" s="4">
        <v>7.88</v>
      </c>
    </row>
    <row r="467" spans="1:5" x14ac:dyDescent="0.25">
      <c r="A467" s="4">
        <v>24810</v>
      </c>
      <c r="B467" s="4" t="s">
        <v>29</v>
      </c>
      <c r="C467" s="5">
        <v>45296</v>
      </c>
      <c r="D467" s="4">
        <v>22.6</v>
      </c>
      <c r="E467" s="4">
        <v>7.88</v>
      </c>
    </row>
    <row r="468" spans="1:5" x14ac:dyDescent="0.25">
      <c r="A468" s="4">
        <v>24810</v>
      </c>
      <c r="B468" s="4" t="s">
        <v>29</v>
      </c>
      <c r="C468" s="5">
        <v>45296</v>
      </c>
      <c r="D468" s="4">
        <v>22.6</v>
      </c>
      <c r="E468" s="4">
        <v>7.88</v>
      </c>
    </row>
    <row r="469" spans="1:5" x14ac:dyDescent="0.25">
      <c r="A469" s="4">
        <v>24810</v>
      </c>
      <c r="B469" s="4" t="s">
        <v>29</v>
      </c>
      <c r="C469" s="5">
        <v>45296</v>
      </c>
      <c r="D469" s="4">
        <v>22.6</v>
      </c>
      <c r="E469" s="4">
        <v>7.88</v>
      </c>
    </row>
    <row r="470" spans="1:5" x14ac:dyDescent="0.25">
      <c r="A470" s="4">
        <v>24810</v>
      </c>
      <c r="B470" s="4" t="s">
        <v>29</v>
      </c>
      <c r="C470" s="5">
        <v>45296</v>
      </c>
      <c r="D470" s="4">
        <v>22.6</v>
      </c>
      <c r="E470" s="4">
        <v>7.88</v>
      </c>
    </row>
    <row r="471" spans="1:5" x14ac:dyDescent="0.25">
      <c r="A471" s="4">
        <v>24810</v>
      </c>
      <c r="B471" s="4" t="s">
        <v>29</v>
      </c>
      <c r="C471" s="5">
        <v>45296</v>
      </c>
      <c r="D471" s="4">
        <v>22.6</v>
      </c>
      <c r="E471" s="4">
        <v>7.88</v>
      </c>
    </row>
    <row r="472" spans="1:5" x14ac:dyDescent="0.25">
      <c r="A472" s="4">
        <v>24810</v>
      </c>
      <c r="B472" s="4" t="s">
        <v>29</v>
      </c>
      <c r="C472" s="5">
        <v>45296</v>
      </c>
      <c r="D472" s="4">
        <v>22.6</v>
      </c>
      <c r="E472" s="4">
        <v>7.88</v>
      </c>
    </row>
    <row r="473" spans="1:5" x14ac:dyDescent="0.25">
      <c r="A473" s="4">
        <v>24810</v>
      </c>
      <c r="B473" s="4" t="s">
        <v>29</v>
      </c>
      <c r="C473" s="5">
        <v>45296</v>
      </c>
      <c r="D473" s="4">
        <v>22.6</v>
      </c>
      <c r="E473" s="4">
        <v>7.88</v>
      </c>
    </row>
    <row r="474" spans="1:5" x14ac:dyDescent="0.25">
      <c r="A474" s="4">
        <v>24810</v>
      </c>
      <c r="B474" s="4" t="s">
        <v>29</v>
      </c>
      <c r="C474" s="5">
        <v>45296</v>
      </c>
      <c r="D474" s="4">
        <v>20.8</v>
      </c>
      <c r="E474" s="4">
        <v>7.25</v>
      </c>
    </row>
    <row r="475" spans="1:5" x14ac:dyDescent="0.25">
      <c r="A475" s="4">
        <v>24810</v>
      </c>
      <c r="B475" s="4" t="s">
        <v>29</v>
      </c>
      <c r="C475" s="5">
        <v>45296</v>
      </c>
      <c r="D475" s="4">
        <v>29.2</v>
      </c>
      <c r="E475" s="4">
        <v>10.16</v>
      </c>
    </row>
    <row r="476" spans="1:5" x14ac:dyDescent="0.25">
      <c r="A476" s="4">
        <v>24810</v>
      </c>
      <c r="B476" s="4" t="s">
        <v>29</v>
      </c>
      <c r="C476" s="5">
        <v>45296</v>
      </c>
      <c r="D476" s="4">
        <v>0.9</v>
      </c>
      <c r="E476" s="4">
        <v>0.31</v>
      </c>
    </row>
    <row r="477" spans="1:5" x14ac:dyDescent="0.25">
      <c r="A477" s="4">
        <v>24810</v>
      </c>
      <c r="B477" s="4" t="s">
        <v>31</v>
      </c>
      <c r="C477" s="5">
        <v>45296</v>
      </c>
      <c r="D477" s="4">
        <v>1.2</v>
      </c>
      <c r="E477" s="4">
        <v>0.41</v>
      </c>
    </row>
    <row r="478" spans="1:5" x14ac:dyDescent="0.25">
      <c r="A478" s="4">
        <v>24810</v>
      </c>
      <c r="B478" s="4" t="s">
        <v>31</v>
      </c>
      <c r="C478" s="5">
        <v>45296</v>
      </c>
      <c r="D478" s="4">
        <v>15.4</v>
      </c>
      <c r="E478" s="4">
        <v>5.31</v>
      </c>
    </row>
    <row r="479" spans="1:5" x14ac:dyDescent="0.25">
      <c r="A479" s="4">
        <v>24810</v>
      </c>
      <c r="B479" s="4" t="s">
        <v>31</v>
      </c>
      <c r="C479" s="5">
        <v>45296</v>
      </c>
      <c r="D479" s="4">
        <v>15.5</v>
      </c>
      <c r="E479" s="4">
        <v>5.33</v>
      </c>
    </row>
    <row r="480" spans="1:5" x14ac:dyDescent="0.25">
      <c r="A480" s="4">
        <v>24810</v>
      </c>
      <c r="B480" s="4" t="s">
        <v>31</v>
      </c>
      <c r="C480" s="5">
        <v>45296</v>
      </c>
      <c r="D480" s="4">
        <v>15.4</v>
      </c>
      <c r="E480" s="4">
        <v>5.31</v>
      </c>
    </row>
    <row r="481" spans="1:5" x14ac:dyDescent="0.25">
      <c r="A481" s="4">
        <v>24810</v>
      </c>
      <c r="B481" s="4" t="s">
        <v>31</v>
      </c>
      <c r="C481" s="5">
        <v>45296</v>
      </c>
      <c r="D481" s="4">
        <v>15.5</v>
      </c>
      <c r="E481" s="4">
        <v>5.33</v>
      </c>
    </row>
    <row r="482" spans="1:5" x14ac:dyDescent="0.25">
      <c r="A482" s="4">
        <v>24810</v>
      </c>
      <c r="B482" s="4" t="s">
        <v>31</v>
      </c>
      <c r="C482" s="5">
        <v>45296</v>
      </c>
      <c r="D482" s="4">
        <v>13.9</v>
      </c>
      <c r="E482" s="4">
        <v>4.78</v>
      </c>
    </row>
    <row r="483" spans="1:5" x14ac:dyDescent="0.25">
      <c r="A483" s="4">
        <v>24810</v>
      </c>
      <c r="B483" s="4" t="s">
        <v>31</v>
      </c>
      <c r="C483" s="5">
        <v>45296</v>
      </c>
      <c r="D483" s="4">
        <v>30.6</v>
      </c>
      <c r="E483" s="4">
        <v>10.67</v>
      </c>
    </row>
    <row r="484" spans="1:5" x14ac:dyDescent="0.25">
      <c r="A484" s="4">
        <v>24810</v>
      </c>
      <c r="B484" s="4" t="s">
        <v>37</v>
      </c>
      <c r="C484" s="5">
        <v>45296</v>
      </c>
      <c r="D484" s="4">
        <v>1.2</v>
      </c>
      <c r="E484" s="4">
        <v>0.41</v>
      </c>
    </row>
    <row r="485" spans="1:5" x14ac:dyDescent="0.25">
      <c r="A485" s="4">
        <v>24810</v>
      </c>
      <c r="B485" s="4" t="s">
        <v>37</v>
      </c>
      <c r="C485" s="5">
        <v>45296</v>
      </c>
      <c r="D485" s="4">
        <v>15.4</v>
      </c>
      <c r="E485" s="4">
        <v>5.31</v>
      </c>
    </row>
    <row r="486" spans="1:5" x14ac:dyDescent="0.25">
      <c r="A486" s="4">
        <v>24810</v>
      </c>
      <c r="B486" s="4" t="s">
        <v>37</v>
      </c>
      <c r="C486" s="5">
        <v>45296</v>
      </c>
      <c r="D486" s="4">
        <v>15.5</v>
      </c>
      <c r="E486" s="4">
        <v>5.33</v>
      </c>
    </row>
    <row r="487" spans="1:5" x14ac:dyDescent="0.25">
      <c r="A487" s="4">
        <v>24810</v>
      </c>
      <c r="B487" s="4" t="s">
        <v>37</v>
      </c>
      <c r="C487" s="5">
        <v>45296</v>
      </c>
      <c r="D487" s="4">
        <v>15.4</v>
      </c>
      <c r="E487" s="4">
        <v>5.31</v>
      </c>
    </row>
    <row r="488" spans="1:5" x14ac:dyDescent="0.25">
      <c r="A488" s="4">
        <v>24810</v>
      </c>
      <c r="B488" s="4" t="s">
        <v>37</v>
      </c>
      <c r="C488" s="5">
        <v>45296</v>
      </c>
      <c r="D488" s="4">
        <v>15.5</v>
      </c>
      <c r="E488" s="4">
        <v>5.33</v>
      </c>
    </row>
    <row r="489" spans="1:5" x14ac:dyDescent="0.25">
      <c r="A489" s="4">
        <v>24810</v>
      </c>
      <c r="B489" s="4" t="s">
        <v>37</v>
      </c>
      <c r="C489" s="5">
        <v>45296</v>
      </c>
      <c r="D489" s="4">
        <v>13.9</v>
      </c>
      <c r="E489" s="4">
        <v>4.78</v>
      </c>
    </row>
    <row r="490" spans="1:5" x14ac:dyDescent="0.25">
      <c r="A490" s="4">
        <v>24810</v>
      </c>
      <c r="B490" s="4" t="s">
        <v>37</v>
      </c>
      <c r="C490" s="5">
        <v>45296</v>
      </c>
      <c r="D490" s="4">
        <v>30.6</v>
      </c>
      <c r="E490" s="4">
        <v>10.67</v>
      </c>
    </row>
    <row r="491" spans="1:5" x14ac:dyDescent="0.25">
      <c r="A491" s="4">
        <v>24810</v>
      </c>
      <c r="B491" s="4" t="s">
        <v>38</v>
      </c>
      <c r="C491" s="5">
        <v>45296</v>
      </c>
      <c r="D491" s="4">
        <v>22.6</v>
      </c>
      <c r="E491" s="4">
        <v>7.88</v>
      </c>
    </row>
    <row r="492" spans="1:5" x14ac:dyDescent="0.25">
      <c r="A492" s="4">
        <v>24810</v>
      </c>
      <c r="B492" s="4" t="s">
        <v>38</v>
      </c>
      <c r="C492" s="5">
        <v>45296</v>
      </c>
      <c r="D492" s="4">
        <v>22.6</v>
      </c>
      <c r="E492" s="4">
        <v>7.88</v>
      </c>
    </row>
    <row r="493" spans="1:5" x14ac:dyDescent="0.25">
      <c r="A493" s="4">
        <v>24810</v>
      </c>
      <c r="B493" s="4" t="s">
        <v>38</v>
      </c>
      <c r="C493" s="5">
        <v>45296</v>
      </c>
      <c r="D493" s="4">
        <v>22.6</v>
      </c>
      <c r="E493" s="4">
        <v>7.88</v>
      </c>
    </row>
    <row r="494" spans="1:5" x14ac:dyDescent="0.25">
      <c r="A494" s="4">
        <v>24810</v>
      </c>
      <c r="B494" s="4" t="s">
        <v>38</v>
      </c>
      <c r="C494" s="5">
        <v>45296</v>
      </c>
      <c r="D494" s="4">
        <v>22.6</v>
      </c>
      <c r="E494" s="4">
        <v>7.88</v>
      </c>
    </row>
    <row r="495" spans="1:5" x14ac:dyDescent="0.25">
      <c r="A495" s="4">
        <v>24810</v>
      </c>
      <c r="B495" s="4" t="s">
        <v>38</v>
      </c>
      <c r="C495" s="5">
        <v>45296</v>
      </c>
      <c r="D495" s="4">
        <v>22.6</v>
      </c>
      <c r="E495" s="4">
        <v>7.88</v>
      </c>
    </row>
    <row r="496" spans="1:5" x14ac:dyDescent="0.25">
      <c r="A496" s="4">
        <v>24810</v>
      </c>
      <c r="B496" s="4" t="s">
        <v>38</v>
      </c>
      <c r="C496" s="5">
        <v>45296</v>
      </c>
      <c r="D496" s="4">
        <v>22.6</v>
      </c>
      <c r="E496" s="4">
        <v>7.88</v>
      </c>
    </row>
    <row r="497" spans="1:5" x14ac:dyDescent="0.25">
      <c r="A497" s="4">
        <v>24810</v>
      </c>
      <c r="B497" s="4" t="s">
        <v>38</v>
      </c>
      <c r="C497" s="5">
        <v>45296</v>
      </c>
      <c r="D497" s="4">
        <v>22.6</v>
      </c>
      <c r="E497" s="4">
        <v>7.88</v>
      </c>
    </row>
    <row r="498" spans="1:5" x14ac:dyDescent="0.25">
      <c r="A498" s="4">
        <v>24810</v>
      </c>
      <c r="B498" s="4" t="s">
        <v>38</v>
      </c>
      <c r="C498" s="5">
        <v>45296</v>
      </c>
      <c r="D498" s="4">
        <v>22.6</v>
      </c>
      <c r="E498" s="4">
        <v>7.88</v>
      </c>
    </row>
    <row r="499" spans="1:5" x14ac:dyDescent="0.25">
      <c r="A499" s="4">
        <v>24810</v>
      </c>
      <c r="B499" s="4" t="s">
        <v>38</v>
      </c>
      <c r="C499" s="5">
        <v>45296</v>
      </c>
      <c r="D499" s="4">
        <v>22.6</v>
      </c>
      <c r="E499" s="4">
        <v>7.88</v>
      </c>
    </row>
    <row r="500" spans="1:5" x14ac:dyDescent="0.25">
      <c r="A500" s="4">
        <v>24810</v>
      </c>
      <c r="B500" s="4" t="s">
        <v>38</v>
      </c>
      <c r="C500" s="5">
        <v>45296</v>
      </c>
      <c r="D500" s="4">
        <v>20.8</v>
      </c>
      <c r="E500" s="4">
        <v>7.25</v>
      </c>
    </row>
    <row r="501" spans="1:5" x14ac:dyDescent="0.25">
      <c r="A501" s="4">
        <v>24810</v>
      </c>
      <c r="B501" s="4" t="s">
        <v>38</v>
      </c>
      <c r="C501" s="5">
        <v>45296</v>
      </c>
      <c r="D501" s="4">
        <v>30.2</v>
      </c>
      <c r="E501" s="4">
        <v>10.49</v>
      </c>
    </row>
    <row r="502" spans="1:5" x14ac:dyDescent="0.25">
      <c r="A502" s="4">
        <v>24810</v>
      </c>
      <c r="B502" s="4" t="s">
        <v>38</v>
      </c>
      <c r="C502" s="5">
        <v>45296</v>
      </c>
      <c r="D502" s="4">
        <v>1.2</v>
      </c>
      <c r="E502" s="4">
        <v>0.41</v>
      </c>
    </row>
    <row r="503" spans="1:5" x14ac:dyDescent="0.25">
      <c r="A503" s="4">
        <v>24810</v>
      </c>
      <c r="B503" s="4" t="s">
        <v>41</v>
      </c>
      <c r="C503" s="5">
        <v>45296</v>
      </c>
      <c r="D503" s="4">
        <v>3.6</v>
      </c>
      <c r="E503" s="4">
        <v>1.25</v>
      </c>
    </row>
    <row r="504" spans="1:5" x14ac:dyDescent="0.25">
      <c r="A504" s="4">
        <v>24810</v>
      </c>
      <c r="B504" s="4" t="s">
        <v>41</v>
      </c>
      <c r="C504" s="5">
        <v>45296</v>
      </c>
      <c r="D504" s="4">
        <v>30.2</v>
      </c>
      <c r="E504" s="4">
        <v>10.49</v>
      </c>
    </row>
    <row r="505" spans="1:5" x14ac:dyDescent="0.25">
      <c r="A505" s="4">
        <v>24810</v>
      </c>
      <c r="B505" s="4" t="s">
        <v>41</v>
      </c>
      <c r="C505" s="5">
        <v>45296</v>
      </c>
      <c r="D505" s="4">
        <v>14.8</v>
      </c>
      <c r="E505" s="4">
        <v>5.14</v>
      </c>
    </row>
    <row r="506" spans="1:5" x14ac:dyDescent="0.25">
      <c r="A506" s="4">
        <v>24810</v>
      </c>
      <c r="B506" s="4" t="s">
        <v>41</v>
      </c>
      <c r="C506" s="5">
        <v>45296</v>
      </c>
      <c r="D506" s="4">
        <v>15.4</v>
      </c>
      <c r="E506" s="4">
        <v>5.35</v>
      </c>
    </row>
    <row r="507" spans="1:5" x14ac:dyDescent="0.25">
      <c r="A507" s="4">
        <v>24810</v>
      </c>
      <c r="B507" s="4" t="s">
        <v>41</v>
      </c>
      <c r="C507" s="5">
        <v>45296</v>
      </c>
      <c r="D507" s="4">
        <v>30.2</v>
      </c>
      <c r="E507" s="4">
        <v>10.49</v>
      </c>
    </row>
    <row r="508" spans="1:5" x14ac:dyDescent="0.25">
      <c r="A508" s="4">
        <v>24810</v>
      </c>
      <c r="B508" s="4" t="s">
        <v>41</v>
      </c>
      <c r="C508" s="5">
        <v>45296</v>
      </c>
      <c r="D508" s="4">
        <v>15.9</v>
      </c>
      <c r="E508" s="4">
        <v>5.51</v>
      </c>
    </row>
    <row r="509" spans="1:5" x14ac:dyDescent="0.25">
      <c r="A509" s="4">
        <v>24810</v>
      </c>
      <c r="B509" s="4" t="s">
        <v>41</v>
      </c>
      <c r="C509" s="5">
        <v>45296</v>
      </c>
      <c r="D509" s="4">
        <v>15.4</v>
      </c>
      <c r="E509" s="4">
        <v>5.35</v>
      </c>
    </row>
    <row r="510" spans="1:5" x14ac:dyDescent="0.25">
      <c r="A510" s="4">
        <v>24810</v>
      </c>
      <c r="B510" s="4" t="s">
        <v>41</v>
      </c>
      <c r="C510" s="5">
        <v>45296</v>
      </c>
      <c r="D510" s="4">
        <v>30.2</v>
      </c>
      <c r="E510" s="4">
        <v>10.49</v>
      </c>
    </row>
    <row r="511" spans="1:5" x14ac:dyDescent="0.25">
      <c r="A511" s="4">
        <v>24810</v>
      </c>
      <c r="B511" s="4" t="s">
        <v>41</v>
      </c>
      <c r="C511" s="5">
        <v>45296</v>
      </c>
      <c r="D511" s="4">
        <v>30.9</v>
      </c>
      <c r="E511" s="4">
        <v>10.73</v>
      </c>
    </row>
    <row r="512" spans="1:5" x14ac:dyDescent="0.25">
      <c r="A512" s="4">
        <v>24810</v>
      </c>
      <c r="B512" s="4" t="s">
        <v>41</v>
      </c>
      <c r="C512" s="5">
        <v>45296</v>
      </c>
      <c r="D512" s="4">
        <v>30.2</v>
      </c>
      <c r="E512" s="4">
        <v>10.49</v>
      </c>
    </row>
    <row r="513" spans="1:5" x14ac:dyDescent="0.25">
      <c r="A513" s="4">
        <v>24810</v>
      </c>
      <c r="B513" s="4" t="s">
        <v>41</v>
      </c>
      <c r="C513" s="5">
        <v>45296</v>
      </c>
      <c r="D513" s="4">
        <v>30.2</v>
      </c>
      <c r="E513" s="4">
        <v>10.49</v>
      </c>
    </row>
    <row r="514" spans="1:5" x14ac:dyDescent="0.25">
      <c r="A514" s="4">
        <v>24810</v>
      </c>
      <c r="B514" s="4" t="s">
        <v>41</v>
      </c>
      <c r="C514" s="5">
        <v>45296</v>
      </c>
      <c r="D514" s="4">
        <v>30.2</v>
      </c>
      <c r="E514" s="4">
        <v>10.49</v>
      </c>
    </row>
    <row r="515" spans="1:5" x14ac:dyDescent="0.25">
      <c r="A515" s="4">
        <v>24810</v>
      </c>
      <c r="B515" s="4" t="s">
        <v>41</v>
      </c>
      <c r="C515" s="5">
        <v>45296</v>
      </c>
      <c r="D515" s="4">
        <v>15.9</v>
      </c>
      <c r="E515" s="4">
        <v>5.51</v>
      </c>
    </row>
    <row r="516" spans="1:5" x14ac:dyDescent="0.25">
      <c r="A516" s="4">
        <v>24810</v>
      </c>
      <c r="B516" s="4" t="s">
        <v>42</v>
      </c>
      <c r="C516" s="5">
        <v>45296</v>
      </c>
      <c r="D516" s="4">
        <v>22.6</v>
      </c>
      <c r="E516" s="4">
        <v>7.88</v>
      </c>
    </row>
    <row r="517" spans="1:5" x14ac:dyDescent="0.25">
      <c r="A517" s="4">
        <v>24810</v>
      </c>
      <c r="B517" s="4" t="s">
        <v>42</v>
      </c>
      <c r="C517" s="5">
        <v>45296</v>
      </c>
      <c r="D517" s="4">
        <v>22.6</v>
      </c>
      <c r="E517" s="4">
        <v>7.88</v>
      </c>
    </row>
    <row r="518" spans="1:5" x14ac:dyDescent="0.25">
      <c r="A518" s="4">
        <v>24810</v>
      </c>
      <c r="B518" s="4" t="s">
        <v>42</v>
      </c>
      <c r="C518" s="5">
        <v>45296</v>
      </c>
      <c r="D518" s="4">
        <v>22.6</v>
      </c>
      <c r="E518" s="4">
        <v>7.88</v>
      </c>
    </row>
    <row r="519" spans="1:5" x14ac:dyDescent="0.25">
      <c r="A519" s="4">
        <v>24810</v>
      </c>
      <c r="B519" s="4" t="s">
        <v>42</v>
      </c>
      <c r="C519" s="5">
        <v>45296</v>
      </c>
      <c r="D519" s="4">
        <v>22.6</v>
      </c>
      <c r="E519" s="4">
        <v>7.88</v>
      </c>
    </row>
    <row r="520" spans="1:5" x14ac:dyDescent="0.25">
      <c r="A520" s="4">
        <v>24810</v>
      </c>
      <c r="B520" s="4" t="s">
        <v>42</v>
      </c>
      <c r="C520" s="5">
        <v>45296</v>
      </c>
      <c r="D520" s="4">
        <v>22.6</v>
      </c>
      <c r="E520" s="4">
        <v>7.88</v>
      </c>
    </row>
    <row r="521" spans="1:5" x14ac:dyDescent="0.25">
      <c r="A521" s="4">
        <v>24810</v>
      </c>
      <c r="B521" s="4" t="s">
        <v>42</v>
      </c>
      <c r="C521" s="5">
        <v>45296</v>
      </c>
      <c r="D521" s="4">
        <v>22.6</v>
      </c>
      <c r="E521" s="4">
        <v>7.88</v>
      </c>
    </row>
    <row r="522" spans="1:5" x14ac:dyDescent="0.25">
      <c r="A522" s="4">
        <v>24810</v>
      </c>
      <c r="B522" s="4" t="s">
        <v>42</v>
      </c>
      <c r="C522" s="5">
        <v>45296</v>
      </c>
      <c r="D522" s="4">
        <v>22.6</v>
      </c>
      <c r="E522" s="4">
        <v>7.88</v>
      </c>
    </row>
    <row r="523" spans="1:5" x14ac:dyDescent="0.25">
      <c r="A523" s="4">
        <v>24810</v>
      </c>
      <c r="B523" s="4" t="s">
        <v>42</v>
      </c>
      <c r="C523" s="5">
        <v>45296</v>
      </c>
      <c r="D523" s="4">
        <v>22.6</v>
      </c>
      <c r="E523" s="4">
        <v>7.88</v>
      </c>
    </row>
    <row r="524" spans="1:5" x14ac:dyDescent="0.25">
      <c r="A524" s="4">
        <v>24810</v>
      </c>
      <c r="B524" s="4" t="s">
        <v>42</v>
      </c>
      <c r="C524" s="5">
        <v>45296</v>
      </c>
      <c r="D524" s="4">
        <v>22.6</v>
      </c>
      <c r="E524" s="4">
        <v>7.88</v>
      </c>
    </row>
    <row r="525" spans="1:5" x14ac:dyDescent="0.25">
      <c r="A525" s="4">
        <v>24810</v>
      </c>
      <c r="B525" s="4" t="s">
        <v>42</v>
      </c>
      <c r="C525" s="5">
        <v>45296</v>
      </c>
      <c r="D525" s="4">
        <v>20.8</v>
      </c>
      <c r="E525" s="4">
        <v>7.25</v>
      </c>
    </row>
    <row r="526" spans="1:5" x14ac:dyDescent="0.25">
      <c r="A526" s="4">
        <v>24810</v>
      </c>
      <c r="B526" s="4" t="s">
        <v>42</v>
      </c>
      <c r="C526" s="5">
        <v>45296</v>
      </c>
      <c r="D526" s="4">
        <v>30.2</v>
      </c>
      <c r="E526" s="4">
        <v>10.49</v>
      </c>
    </row>
    <row r="527" spans="1:5" x14ac:dyDescent="0.25">
      <c r="A527" s="4">
        <v>24810</v>
      </c>
      <c r="B527" s="4" t="s">
        <v>42</v>
      </c>
      <c r="C527" s="5">
        <v>45296</v>
      </c>
      <c r="D527" s="4">
        <v>1.2</v>
      </c>
      <c r="E527" s="4">
        <v>0.41</v>
      </c>
    </row>
    <row r="528" spans="1:5" x14ac:dyDescent="0.25">
      <c r="A528" s="4">
        <v>24810</v>
      </c>
      <c r="B528" s="4" t="s">
        <v>22</v>
      </c>
      <c r="C528" s="5">
        <v>45299</v>
      </c>
      <c r="D528" s="4">
        <v>2.4</v>
      </c>
      <c r="E528" s="4">
        <v>0.75</v>
      </c>
    </row>
    <row r="529" spans="1:5" x14ac:dyDescent="0.25">
      <c r="A529" s="4">
        <v>24810</v>
      </c>
      <c r="B529" s="4" t="s">
        <v>22</v>
      </c>
      <c r="C529" s="5">
        <v>45299</v>
      </c>
      <c r="D529" s="4">
        <v>0.9</v>
      </c>
      <c r="E529" s="4">
        <v>0.28999999999999998</v>
      </c>
    </row>
    <row r="530" spans="1:5" x14ac:dyDescent="0.25">
      <c r="A530" s="4">
        <v>24810</v>
      </c>
      <c r="B530" s="4" t="s">
        <v>22</v>
      </c>
      <c r="C530" s="5">
        <v>45299</v>
      </c>
      <c r="D530" s="4">
        <v>0.9</v>
      </c>
      <c r="E530" s="4">
        <v>0.28999999999999998</v>
      </c>
    </row>
    <row r="531" spans="1:5" x14ac:dyDescent="0.25">
      <c r="A531" s="4">
        <v>24810</v>
      </c>
      <c r="B531" s="4" t="s">
        <v>22</v>
      </c>
      <c r="C531" s="5">
        <v>45299</v>
      </c>
      <c r="D531" s="4">
        <v>0.9</v>
      </c>
      <c r="E531" s="4">
        <v>0.28999999999999998</v>
      </c>
    </row>
    <row r="532" spans="1:5" x14ac:dyDescent="0.25">
      <c r="A532" s="4">
        <v>24810</v>
      </c>
      <c r="B532" s="4" t="s">
        <v>22</v>
      </c>
      <c r="C532" s="5">
        <v>45299</v>
      </c>
      <c r="D532" s="4">
        <v>2.5</v>
      </c>
      <c r="E532" s="4">
        <v>0.81</v>
      </c>
    </row>
    <row r="533" spans="1:5" x14ac:dyDescent="0.25">
      <c r="A533" s="4">
        <v>24810</v>
      </c>
      <c r="B533" s="4" t="s">
        <v>43</v>
      </c>
      <c r="C533" s="5">
        <v>45299</v>
      </c>
      <c r="D533" s="4">
        <v>2.4</v>
      </c>
      <c r="E533" s="4">
        <v>0.81</v>
      </c>
    </row>
    <row r="534" spans="1:5" x14ac:dyDescent="0.25">
      <c r="A534" s="4">
        <v>24810</v>
      </c>
      <c r="B534" s="4" t="s">
        <v>43</v>
      </c>
      <c r="C534" s="5">
        <v>45299</v>
      </c>
      <c r="D534" s="4">
        <v>0.9</v>
      </c>
      <c r="E534" s="4">
        <v>0.31</v>
      </c>
    </row>
    <row r="535" spans="1:5" x14ac:dyDescent="0.25">
      <c r="A535" s="4">
        <v>24810</v>
      </c>
      <c r="B535" s="4" t="s">
        <v>43</v>
      </c>
      <c r="C535" s="5">
        <v>45299</v>
      </c>
      <c r="D535" s="4">
        <v>0.9</v>
      </c>
      <c r="E535" s="4">
        <v>0.31</v>
      </c>
    </row>
    <row r="536" spans="1:5" x14ac:dyDescent="0.25">
      <c r="A536" s="4">
        <v>24810</v>
      </c>
      <c r="B536" s="4" t="s">
        <v>43</v>
      </c>
      <c r="C536" s="5">
        <v>45299</v>
      </c>
      <c r="D536" s="4">
        <v>2.5</v>
      </c>
      <c r="E536" s="4">
        <v>0.85</v>
      </c>
    </row>
    <row r="537" spans="1:5" x14ac:dyDescent="0.25">
      <c r="A537" s="4">
        <v>24810</v>
      </c>
      <c r="B537" s="4" t="s">
        <v>25</v>
      </c>
      <c r="C537" s="5">
        <v>45299</v>
      </c>
      <c r="D537" s="4">
        <v>2.4</v>
      </c>
      <c r="E537" s="4">
        <v>0.81</v>
      </c>
    </row>
    <row r="538" spans="1:5" x14ac:dyDescent="0.25">
      <c r="A538" s="4">
        <v>24810</v>
      </c>
      <c r="B538" s="4" t="s">
        <v>25</v>
      </c>
      <c r="C538" s="5">
        <v>45299</v>
      </c>
      <c r="D538" s="4">
        <v>0.9</v>
      </c>
      <c r="E538" s="4">
        <v>0.31</v>
      </c>
    </row>
    <row r="539" spans="1:5" x14ac:dyDescent="0.25">
      <c r="A539" s="4">
        <v>24810</v>
      </c>
      <c r="B539" s="4" t="s">
        <v>25</v>
      </c>
      <c r="C539" s="5">
        <v>45299</v>
      </c>
      <c r="D539" s="4">
        <v>0.9</v>
      </c>
      <c r="E539" s="4">
        <v>0.31</v>
      </c>
    </row>
    <row r="540" spans="1:5" x14ac:dyDescent="0.25">
      <c r="A540" s="4">
        <v>24810</v>
      </c>
      <c r="B540" s="4" t="s">
        <v>25</v>
      </c>
      <c r="C540" s="5">
        <v>45299</v>
      </c>
      <c r="D540" s="4">
        <v>2.5</v>
      </c>
      <c r="E540" s="4">
        <v>0.85</v>
      </c>
    </row>
    <row r="541" spans="1:5" x14ac:dyDescent="0.25">
      <c r="A541" s="4">
        <v>24810</v>
      </c>
      <c r="B541" s="4" t="s">
        <v>29</v>
      </c>
      <c r="C541" s="5">
        <v>45299</v>
      </c>
      <c r="D541" s="4">
        <v>2.4</v>
      </c>
      <c r="E541" s="4">
        <v>0.81</v>
      </c>
    </row>
    <row r="542" spans="1:5" x14ac:dyDescent="0.25">
      <c r="A542" s="4">
        <v>24810</v>
      </c>
      <c r="B542" s="4" t="s">
        <v>29</v>
      </c>
      <c r="C542" s="5">
        <v>45299</v>
      </c>
      <c r="D542" s="4">
        <v>0.9</v>
      </c>
      <c r="E542" s="4">
        <v>0.31</v>
      </c>
    </row>
    <row r="543" spans="1:5" x14ac:dyDescent="0.25">
      <c r="A543" s="4">
        <v>24810</v>
      </c>
      <c r="B543" s="4" t="s">
        <v>29</v>
      </c>
      <c r="C543" s="5">
        <v>45299</v>
      </c>
      <c r="D543" s="4">
        <v>0.9</v>
      </c>
      <c r="E543" s="4">
        <v>0.31</v>
      </c>
    </row>
    <row r="544" spans="1:5" x14ac:dyDescent="0.25">
      <c r="A544" s="4">
        <v>24810</v>
      </c>
      <c r="B544" s="4" t="s">
        <v>29</v>
      </c>
      <c r="C544" s="5">
        <v>45299</v>
      </c>
      <c r="D544" s="4">
        <v>2.5</v>
      </c>
      <c r="E544" s="4">
        <v>0.85</v>
      </c>
    </row>
    <row r="545" spans="1:5" x14ac:dyDescent="0.25">
      <c r="A545" s="4">
        <v>24810</v>
      </c>
      <c r="B545" s="4" t="s">
        <v>30</v>
      </c>
      <c r="C545" s="5">
        <v>45299</v>
      </c>
      <c r="D545" s="4">
        <v>2.4</v>
      </c>
      <c r="E545" s="4">
        <v>0.81</v>
      </c>
    </row>
    <row r="546" spans="1:5" x14ac:dyDescent="0.25">
      <c r="A546" s="4">
        <v>24810</v>
      </c>
      <c r="B546" s="4" t="s">
        <v>30</v>
      </c>
      <c r="C546" s="5">
        <v>45299</v>
      </c>
      <c r="D546" s="4">
        <v>0.9</v>
      </c>
      <c r="E546" s="4">
        <v>0.31</v>
      </c>
    </row>
    <row r="547" spans="1:5" x14ac:dyDescent="0.25">
      <c r="A547" s="4">
        <v>24810</v>
      </c>
      <c r="B547" s="4" t="s">
        <v>30</v>
      </c>
      <c r="C547" s="5">
        <v>45299</v>
      </c>
      <c r="D547" s="4">
        <v>0.9</v>
      </c>
      <c r="E547" s="4">
        <v>0.31</v>
      </c>
    </row>
    <row r="548" spans="1:5" x14ac:dyDescent="0.25">
      <c r="A548" s="4">
        <v>24810</v>
      </c>
      <c r="B548" s="4" t="s">
        <v>30</v>
      </c>
      <c r="C548" s="5">
        <v>45299</v>
      </c>
      <c r="D548" s="4">
        <v>2.5</v>
      </c>
      <c r="E548" s="4">
        <v>0.85</v>
      </c>
    </row>
    <row r="549" spans="1:5" x14ac:dyDescent="0.25">
      <c r="A549" s="4">
        <v>24810</v>
      </c>
      <c r="B549" s="4" t="s">
        <v>44</v>
      </c>
      <c r="C549" s="5">
        <v>45299</v>
      </c>
      <c r="D549" s="4">
        <v>2.4</v>
      </c>
      <c r="E549" s="4">
        <v>0.81</v>
      </c>
    </row>
    <row r="550" spans="1:5" x14ac:dyDescent="0.25">
      <c r="A550" s="4">
        <v>24810</v>
      </c>
      <c r="B550" s="4" t="s">
        <v>44</v>
      </c>
      <c r="C550" s="5">
        <v>45299</v>
      </c>
      <c r="D550" s="4">
        <v>0.9</v>
      </c>
      <c r="E550" s="4">
        <v>0.31</v>
      </c>
    </row>
    <row r="551" spans="1:5" x14ac:dyDescent="0.25">
      <c r="A551" s="4">
        <v>24810</v>
      </c>
      <c r="B551" s="4" t="s">
        <v>44</v>
      </c>
      <c r="C551" s="5">
        <v>45299</v>
      </c>
      <c r="D551" s="4">
        <v>0.9</v>
      </c>
      <c r="E551" s="4">
        <v>0.31</v>
      </c>
    </row>
    <row r="552" spans="1:5" x14ac:dyDescent="0.25">
      <c r="A552" s="4">
        <v>24810</v>
      </c>
      <c r="B552" s="4" t="s">
        <v>44</v>
      </c>
      <c r="C552" s="5">
        <v>45299</v>
      </c>
      <c r="D552" s="4">
        <v>2.5</v>
      </c>
      <c r="E552" s="4">
        <v>0.85</v>
      </c>
    </row>
    <row r="553" spans="1:5" x14ac:dyDescent="0.25">
      <c r="A553" s="4">
        <v>24810</v>
      </c>
      <c r="B553" s="4" t="s">
        <v>31</v>
      </c>
      <c r="C553" s="5">
        <v>45299</v>
      </c>
      <c r="D553" s="4">
        <v>2.4</v>
      </c>
      <c r="E553" s="4">
        <v>0.81</v>
      </c>
    </row>
    <row r="554" spans="1:5" x14ac:dyDescent="0.25">
      <c r="A554" s="4">
        <v>24810</v>
      </c>
      <c r="B554" s="4" t="s">
        <v>31</v>
      </c>
      <c r="C554" s="5">
        <v>45299</v>
      </c>
      <c r="D554" s="4">
        <v>0.9</v>
      </c>
      <c r="E554" s="4">
        <v>0.31</v>
      </c>
    </row>
    <row r="555" spans="1:5" x14ac:dyDescent="0.25">
      <c r="A555" s="4">
        <v>24810</v>
      </c>
      <c r="B555" s="4" t="s">
        <v>31</v>
      </c>
      <c r="C555" s="5">
        <v>45299</v>
      </c>
      <c r="D555" s="4">
        <v>0.9</v>
      </c>
      <c r="E555" s="4">
        <v>0.31</v>
      </c>
    </row>
    <row r="556" spans="1:5" x14ac:dyDescent="0.25">
      <c r="A556" s="4">
        <v>24810</v>
      </c>
      <c r="B556" s="4" t="s">
        <v>31</v>
      </c>
      <c r="C556" s="5">
        <v>45299</v>
      </c>
      <c r="D556" s="4">
        <v>2.5</v>
      </c>
      <c r="E556" s="4">
        <v>0.85</v>
      </c>
    </row>
    <row r="557" spans="1:5" x14ac:dyDescent="0.25">
      <c r="A557" s="4">
        <v>24810</v>
      </c>
      <c r="B557" s="4" t="s">
        <v>45</v>
      </c>
      <c r="C557" s="5">
        <v>45299</v>
      </c>
      <c r="D557" s="4">
        <v>2.4</v>
      </c>
      <c r="E557" s="4">
        <v>0.75</v>
      </c>
    </row>
    <row r="558" spans="1:5" x14ac:dyDescent="0.25">
      <c r="A558" s="4">
        <v>24810</v>
      </c>
      <c r="B558" s="4" t="s">
        <v>45</v>
      </c>
      <c r="C558" s="5">
        <v>45299</v>
      </c>
      <c r="D558" s="4">
        <v>0.9</v>
      </c>
      <c r="E558" s="4">
        <v>0.28999999999999998</v>
      </c>
    </row>
    <row r="559" spans="1:5" x14ac:dyDescent="0.25">
      <c r="A559" s="4">
        <v>24810</v>
      </c>
      <c r="B559" s="4" t="s">
        <v>45</v>
      </c>
      <c r="C559" s="5">
        <v>45299</v>
      </c>
      <c r="D559" s="4">
        <v>0.9</v>
      </c>
      <c r="E559" s="4">
        <v>0.28999999999999998</v>
      </c>
    </row>
    <row r="560" spans="1:5" x14ac:dyDescent="0.25">
      <c r="A560" s="4">
        <v>24810</v>
      </c>
      <c r="B560" s="4" t="s">
        <v>45</v>
      </c>
      <c r="C560" s="5">
        <v>45299</v>
      </c>
      <c r="D560" s="4">
        <v>0.9</v>
      </c>
      <c r="E560" s="4">
        <v>0.28999999999999998</v>
      </c>
    </row>
    <row r="561" spans="1:5" x14ac:dyDescent="0.25">
      <c r="A561" s="4">
        <v>24810</v>
      </c>
      <c r="B561" s="4" t="s">
        <v>45</v>
      </c>
      <c r="C561" s="5">
        <v>45299</v>
      </c>
      <c r="D561" s="4">
        <v>2.5</v>
      </c>
      <c r="E561" s="4">
        <v>0.81</v>
      </c>
    </row>
    <row r="562" spans="1:5" x14ac:dyDescent="0.25">
      <c r="A562" s="4">
        <v>24810</v>
      </c>
      <c r="B562" s="4" t="s">
        <v>38</v>
      </c>
      <c r="C562" s="5">
        <v>45299</v>
      </c>
      <c r="D562" s="4">
        <v>2.4</v>
      </c>
      <c r="E562" s="4">
        <v>0.81</v>
      </c>
    </row>
    <row r="563" spans="1:5" x14ac:dyDescent="0.25">
      <c r="A563" s="4">
        <v>24810</v>
      </c>
      <c r="B563" s="4" t="s">
        <v>38</v>
      </c>
      <c r="C563" s="5">
        <v>45299</v>
      </c>
      <c r="D563" s="4">
        <v>0.9</v>
      </c>
      <c r="E563" s="4">
        <v>0.31</v>
      </c>
    </row>
    <row r="564" spans="1:5" x14ac:dyDescent="0.25">
      <c r="A564" s="4">
        <v>24810</v>
      </c>
      <c r="B564" s="4" t="s">
        <v>38</v>
      </c>
      <c r="C564" s="5">
        <v>45299</v>
      </c>
      <c r="D564" s="4">
        <v>0.9</v>
      </c>
      <c r="E564" s="4">
        <v>0.31</v>
      </c>
    </row>
    <row r="565" spans="1:5" x14ac:dyDescent="0.25">
      <c r="A565" s="4">
        <v>24810</v>
      </c>
      <c r="B565" s="4" t="s">
        <v>38</v>
      </c>
      <c r="C565" s="5">
        <v>45299</v>
      </c>
      <c r="D565" s="4">
        <v>2.5</v>
      </c>
      <c r="E565" s="4">
        <v>0.85</v>
      </c>
    </row>
    <row r="566" spans="1:5" x14ac:dyDescent="0.25">
      <c r="A566" s="4">
        <v>24810</v>
      </c>
      <c r="B566" s="4" t="s">
        <v>46</v>
      </c>
      <c r="C566" s="5">
        <v>45299</v>
      </c>
      <c r="D566" s="4">
        <v>3.8</v>
      </c>
      <c r="E566" s="4">
        <v>1.28</v>
      </c>
    </row>
    <row r="567" spans="1:5" x14ac:dyDescent="0.25">
      <c r="A567" s="4">
        <v>24810</v>
      </c>
      <c r="B567" s="4" t="s">
        <v>46</v>
      </c>
      <c r="C567" s="5">
        <v>45299</v>
      </c>
      <c r="D567" s="4">
        <v>3.9</v>
      </c>
      <c r="E567" s="4">
        <v>1.32</v>
      </c>
    </row>
    <row r="568" spans="1:5" x14ac:dyDescent="0.25">
      <c r="A568" s="4">
        <v>24810</v>
      </c>
      <c r="B568" s="4" t="s">
        <v>46</v>
      </c>
      <c r="C568" s="5">
        <v>45299</v>
      </c>
      <c r="D568" s="4">
        <v>3.8</v>
      </c>
      <c r="E568" s="4">
        <v>1.28</v>
      </c>
    </row>
    <row r="569" spans="1:5" x14ac:dyDescent="0.25">
      <c r="A569" s="4">
        <v>24810</v>
      </c>
      <c r="B569" s="4" t="s">
        <v>46</v>
      </c>
      <c r="C569" s="5">
        <v>45299</v>
      </c>
      <c r="D569" s="4">
        <v>3.9</v>
      </c>
      <c r="E569" s="4">
        <v>1.32</v>
      </c>
    </row>
    <row r="570" spans="1:5" x14ac:dyDescent="0.25">
      <c r="A570" s="4">
        <v>24810</v>
      </c>
      <c r="B570" s="4" t="s">
        <v>15</v>
      </c>
      <c r="C570" s="5">
        <v>45300</v>
      </c>
      <c r="D570" s="4">
        <v>13.8</v>
      </c>
      <c r="E570" s="4">
        <v>4.47</v>
      </c>
    </row>
    <row r="571" spans="1:5" x14ac:dyDescent="0.25">
      <c r="A571" s="4">
        <v>24810</v>
      </c>
      <c r="B571" s="4" t="s">
        <v>15</v>
      </c>
      <c r="C571" s="5">
        <v>45300</v>
      </c>
      <c r="D571" s="4">
        <v>11.7</v>
      </c>
      <c r="E571" s="4">
        <v>3.79</v>
      </c>
    </row>
    <row r="572" spans="1:5" x14ac:dyDescent="0.25">
      <c r="A572" s="4">
        <v>24810</v>
      </c>
      <c r="B572" s="4" t="s">
        <v>15</v>
      </c>
      <c r="C572" s="5">
        <v>45300</v>
      </c>
      <c r="D572" s="4">
        <v>2.2999999999999998</v>
      </c>
      <c r="E572" s="4">
        <v>0.74</v>
      </c>
    </row>
    <row r="573" spans="1:5" x14ac:dyDescent="0.25">
      <c r="A573" s="4">
        <v>24810</v>
      </c>
      <c r="B573" s="4" t="s">
        <v>15</v>
      </c>
      <c r="C573" s="5">
        <v>45300</v>
      </c>
      <c r="D573" s="4">
        <v>2.2999999999999998</v>
      </c>
      <c r="E573" s="4">
        <v>0.74</v>
      </c>
    </row>
    <row r="574" spans="1:5" x14ac:dyDescent="0.25">
      <c r="A574" s="4">
        <v>24810</v>
      </c>
      <c r="B574" s="4" t="s">
        <v>15</v>
      </c>
      <c r="C574" s="5">
        <v>45300</v>
      </c>
      <c r="D574" s="4">
        <v>10.9</v>
      </c>
      <c r="E574" s="4">
        <v>3.53</v>
      </c>
    </row>
    <row r="575" spans="1:5" x14ac:dyDescent="0.25">
      <c r="A575" s="4">
        <v>24810</v>
      </c>
      <c r="B575" s="4" t="s">
        <v>15</v>
      </c>
      <c r="C575" s="5">
        <v>45300</v>
      </c>
      <c r="D575" s="4">
        <v>11.7</v>
      </c>
      <c r="E575" s="4">
        <v>3.79</v>
      </c>
    </row>
    <row r="576" spans="1:5" x14ac:dyDescent="0.25">
      <c r="A576" s="4">
        <v>24810</v>
      </c>
      <c r="B576" s="4" t="s">
        <v>15</v>
      </c>
      <c r="C576" s="5">
        <v>45300</v>
      </c>
      <c r="D576" s="4">
        <v>10.9</v>
      </c>
      <c r="E576" s="4">
        <v>3.53</v>
      </c>
    </row>
    <row r="577" spans="1:5" x14ac:dyDescent="0.25">
      <c r="A577" s="4">
        <v>24810</v>
      </c>
      <c r="B577" s="4" t="s">
        <v>15</v>
      </c>
      <c r="C577" s="5">
        <v>45300</v>
      </c>
      <c r="D577" s="4">
        <v>11.7</v>
      </c>
      <c r="E577" s="4">
        <v>3.79</v>
      </c>
    </row>
    <row r="578" spans="1:5" x14ac:dyDescent="0.25">
      <c r="A578" s="4">
        <v>24810</v>
      </c>
      <c r="B578" s="4" t="s">
        <v>15</v>
      </c>
      <c r="C578" s="5">
        <v>45300</v>
      </c>
      <c r="D578" s="4">
        <v>10.9</v>
      </c>
      <c r="E578" s="4">
        <v>3.53</v>
      </c>
    </row>
    <row r="579" spans="1:5" x14ac:dyDescent="0.25">
      <c r="A579" s="4">
        <v>24810</v>
      </c>
      <c r="B579" s="4" t="s">
        <v>15</v>
      </c>
      <c r="C579" s="5">
        <v>45300</v>
      </c>
      <c r="D579" s="4">
        <v>11.7</v>
      </c>
      <c r="E579" s="4">
        <v>3.79</v>
      </c>
    </row>
    <row r="580" spans="1:5" x14ac:dyDescent="0.25">
      <c r="A580" s="4">
        <v>24810</v>
      </c>
      <c r="B580" s="4" t="s">
        <v>15</v>
      </c>
      <c r="C580" s="5">
        <v>45300</v>
      </c>
      <c r="D580" s="4">
        <v>10.9</v>
      </c>
      <c r="E580" s="4">
        <v>3.53</v>
      </c>
    </row>
    <row r="581" spans="1:5" x14ac:dyDescent="0.25">
      <c r="A581" s="4">
        <v>24810</v>
      </c>
      <c r="B581" s="4" t="s">
        <v>15</v>
      </c>
      <c r="C581" s="5">
        <v>45300</v>
      </c>
      <c r="D581" s="4">
        <v>11.7</v>
      </c>
      <c r="E581" s="4">
        <v>3.79</v>
      </c>
    </row>
    <row r="582" spans="1:5" x14ac:dyDescent="0.25">
      <c r="A582" s="4">
        <v>24810</v>
      </c>
      <c r="B582" s="4" t="s">
        <v>15</v>
      </c>
      <c r="C582" s="5">
        <v>45300</v>
      </c>
      <c r="D582" s="4">
        <v>8.6999999999999993</v>
      </c>
      <c r="E582" s="4">
        <v>2.82</v>
      </c>
    </row>
    <row r="583" spans="1:5" x14ac:dyDescent="0.25">
      <c r="A583" s="4">
        <v>24810</v>
      </c>
      <c r="B583" s="4" t="s">
        <v>18</v>
      </c>
      <c r="C583" s="5">
        <v>45300</v>
      </c>
      <c r="D583" s="4">
        <v>32.299999999999997</v>
      </c>
      <c r="E583" s="4">
        <v>10.41</v>
      </c>
    </row>
    <row r="584" spans="1:5" x14ac:dyDescent="0.25">
      <c r="A584" s="4">
        <v>24810</v>
      </c>
      <c r="B584" s="4" t="s">
        <v>18</v>
      </c>
      <c r="C584" s="5">
        <v>45300</v>
      </c>
      <c r="D584" s="4">
        <v>1.5</v>
      </c>
      <c r="E584" s="4">
        <v>0.48</v>
      </c>
    </row>
    <row r="585" spans="1:5" x14ac:dyDescent="0.25">
      <c r="A585" s="4">
        <v>24810</v>
      </c>
      <c r="B585" s="4" t="s">
        <v>18</v>
      </c>
      <c r="C585" s="5">
        <v>45300</v>
      </c>
      <c r="D585" s="4">
        <v>1</v>
      </c>
      <c r="E585" s="4">
        <v>0.32</v>
      </c>
    </row>
    <row r="586" spans="1:5" x14ac:dyDescent="0.25">
      <c r="A586" s="4">
        <v>24810</v>
      </c>
      <c r="B586" s="4" t="s">
        <v>18</v>
      </c>
      <c r="C586" s="5">
        <v>45300</v>
      </c>
      <c r="D586" s="4">
        <v>1</v>
      </c>
      <c r="E586" s="4">
        <v>0.32</v>
      </c>
    </row>
    <row r="587" spans="1:5" x14ac:dyDescent="0.25">
      <c r="A587" s="4">
        <v>24810</v>
      </c>
      <c r="B587" s="4" t="s">
        <v>18</v>
      </c>
      <c r="C587" s="5">
        <v>45300</v>
      </c>
      <c r="D587" s="4">
        <v>1</v>
      </c>
      <c r="E587" s="4">
        <v>0.32</v>
      </c>
    </row>
    <row r="588" spans="1:5" x14ac:dyDescent="0.25">
      <c r="A588" s="4">
        <v>24810</v>
      </c>
      <c r="B588" s="4" t="s">
        <v>18</v>
      </c>
      <c r="C588" s="5">
        <v>45300</v>
      </c>
      <c r="D588" s="4">
        <v>1</v>
      </c>
      <c r="E588" s="4">
        <v>0.32</v>
      </c>
    </row>
    <row r="589" spans="1:5" x14ac:dyDescent="0.25">
      <c r="A589" s="4">
        <v>24810</v>
      </c>
      <c r="B589" s="4" t="s">
        <v>18</v>
      </c>
      <c r="C589" s="5">
        <v>45300</v>
      </c>
      <c r="D589" s="4">
        <v>1</v>
      </c>
      <c r="E589" s="4">
        <v>0.32</v>
      </c>
    </row>
    <row r="590" spans="1:5" x14ac:dyDescent="0.25">
      <c r="A590" s="4">
        <v>24810</v>
      </c>
      <c r="B590" s="4" t="s">
        <v>18</v>
      </c>
      <c r="C590" s="5">
        <v>45300</v>
      </c>
      <c r="D590" s="4">
        <v>1</v>
      </c>
      <c r="E590" s="4">
        <v>0.32</v>
      </c>
    </row>
    <row r="591" spans="1:5" x14ac:dyDescent="0.25">
      <c r="A591" s="4">
        <v>24810</v>
      </c>
      <c r="B591" s="4" t="s">
        <v>18</v>
      </c>
      <c r="C591" s="5">
        <v>45300</v>
      </c>
      <c r="D591" s="4">
        <v>1</v>
      </c>
      <c r="E591" s="4">
        <v>0.32</v>
      </c>
    </row>
    <row r="592" spans="1:5" x14ac:dyDescent="0.25">
      <c r="A592" s="4">
        <v>24810</v>
      </c>
      <c r="B592" s="4" t="s">
        <v>18</v>
      </c>
      <c r="C592" s="5">
        <v>45300</v>
      </c>
      <c r="D592" s="4">
        <v>1</v>
      </c>
      <c r="E592" s="4">
        <v>0.32</v>
      </c>
    </row>
    <row r="593" spans="1:5" x14ac:dyDescent="0.25">
      <c r="A593" s="4">
        <v>24810</v>
      </c>
      <c r="B593" s="4" t="s">
        <v>18</v>
      </c>
      <c r="C593" s="5">
        <v>45300</v>
      </c>
      <c r="D593" s="4">
        <v>1</v>
      </c>
      <c r="E593" s="4">
        <v>0.32</v>
      </c>
    </row>
    <row r="594" spans="1:5" x14ac:dyDescent="0.25">
      <c r="A594" s="4">
        <v>24810</v>
      </c>
      <c r="B594" s="4" t="s">
        <v>18</v>
      </c>
      <c r="C594" s="5">
        <v>45300</v>
      </c>
      <c r="D594" s="4">
        <v>1</v>
      </c>
      <c r="E594" s="4">
        <v>0.32</v>
      </c>
    </row>
    <row r="595" spans="1:5" x14ac:dyDescent="0.25">
      <c r="A595" s="4">
        <v>24810</v>
      </c>
      <c r="B595" s="4" t="s">
        <v>18</v>
      </c>
      <c r="C595" s="5">
        <v>45300</v>
      </c>
      <c r="D595" s="4">
        <v>1</v>
      </c>
      <c r="E595" s="4">
        <v>0.32</v>
      </c>
    </row>
    <row r="596" spans="1:5" x14ac:dyDescent="0.25">
      <c r="A596" s="4">
        <v>24810</v>
      </c>
      <c r="B596" s="4" t="s">
        <v>18</v>
      </c>
      <c r="C596" s="5">
        <v>45300</v>
      </c>
      <c r="D596" s="4">
        <v>1</v>
      </c>
      <c r="E596" s="4">
        <v>0.32</v>
      </c>
    </row>
    <row r="597" spans="1:5" x14ac:dyDescent="0.25">
      <c r="A597" s="4">
        <v>24810</v>
      </c>
      <c r="B597" s="4" t="s">
        <v>18</v>
      </c>
      <c r="C597" s="5">
        <v>45300</v>
      </c>
      <c r="D597" s="4">
        <v>10.3</v>
      </c>
      <c r="E597" s="4">
        <v>3.32</v>
      </c>
    </row>
    <row r="598" spans="1:5" x14ac:dyDescent="0.25">
      <c r="A598" s="4">
        <v>24810</v>
      </c>
      <c r="B598" s="4" t="s">
        <v>18</v>
      </c>
      <c r="C598" s="5">
        <v>45300</v>
      </c>
      <c r="D598" s="4">
        <v>28.7</v>
      </c>
      <c r="E598" s="4">
        <v>9.25</v>
      </c>
    </row>
    <row r="599" spans="1:5" x14ac:dyDescent="0.25">
      <c r="A599" s="4">
        <v>24810</v>
      </c>
      <c r="B599" s="4" t="s">
        <v>19</v>
      </c>
      <c r="C599" s="5">
        <v>45300</v>
      </c>
      <c r="D599" s="4">
        <v>2.4</v>
      </c>
      <c r="E599" s="4">
        <v>0.75</v>
      </c>
    </row>
    <row r="600" spans="1:5" x14ac:dyDescent="0.25">
      <c r="A600" s="4">
        <v>24810</v>
      </c>
      <c r="B600" s="4" t="s">
        <v>19</v>
      </c>
      <c r="C600" s="5">
        <v>45300</v>
      </c>
      <c r="D600" s="4">
        <v>0.5</v>
      </c>
      <c r="E600" s="4">
        <v>0.16</v>
      </c>
    </row>
    <row r="601" spans="1:5" x14ac:dyDescent="0.25">
      <c r="A601" s="4">
        <v>24810</v>
      </c>
      <c r="B601" s="4" t="s">
        <v>19</v>
      </c>
      <c r="C601" s="5">
        <v>45300</v>
      </c>
      <c r="D601" s="4">
        <v>0.7</v>
      </c>
      <c r="E601" s="4">
        <v>0.22</v>
      </c>
    </row>
    <row r="602" spans="1:5" x14ac:dyDescent="0.25">
      <c r="A602" s="4">
        <v>24810</v>
      </c>
      <c r="B602" s="4" t="s">
        <v>19</v>
      </c>
      <c r="C602" s="5">
        <v>45300</v>
      </c>
      <c r="D602" s="4">
        <v>1</v>
      </c>
      <c r="E602" s="4">
        <v>0.31</v>
      </c>
    </row>
    <row r="603" spans="1:5" x14ac:dyDescent="0.25">
      <c r="A603" s="4">
        <v>24810</v>
      </c>
      <c r="B603" s="4" t="s">
        <v>19</v>
      </c>
      <c r="C603" s="5">
        <v>45300</v>
      </c>
      <c r="D603" s="4">
        <v>1</v>
      </c>
      <c r="E603" s="4">
        <v>0.31</v>
      </c>
    </row>
    <row r="604" spans="1:5" x14ac:dyDescent="0.25">
      <c r="A604" s="4">
        <v>24810</v>
      </c>
      <c r="B604" s="4" t="s">
        <v>19</v>
      </c>
      <c r="C604" s="5">
        <v>45300</v>
      </c>
      <c r="D604" s="4">
        <v>1</v>
      </c>
      <c r="E604" s="4">
        <v>0.31</v>
      </c>
    </row>
    <row r="605" spans="1:5" x14ac:dyDescent="0.25">
      <c r="A605" s="4">
        <v>24810</v>
      </c>
      <c r="B605" s="4" t="s">
        <v>19</v>
      </c>
      <c r="C605" s="5">
        <v>45300</v>
      </c>
      <c r="D605" s="4">
        <v>5</v>
      </c>
      <c r="E605" s="4">
        <v>1.62</v>
      </c>
    </row>
    <row r="606" spans="1:5" x14ac:dyDescent="0.25">
      <c r="A606" s="4">
        <v>24810</v>
      </c>
      <c r="B606" s="4" t="s">
        <v>20</v>
      </c>
      <c r="C606" s="5">
        <v>45300</v>
      </c>
      <c r="D606" s="4">
        <v>13.8</v>
      </c>
      <c r="E606" s="4">
        <v>4.47</v>
      </c>
    </row>
    <row r="607" spans="1:5" x14ac:dyDescent="0.25">
      <c r="A607" s="4">
        <v>24810</v>
      </c>
      <c r="B607" s="4" t="s">
        <v>20</v>
      </c>
      <c r="C607" s="5">
        <v>45300</v>
      </c>
      <c r="D607" s="4">
        <v>11.7</v>
      </c>
      <c r="E607" s="4">
        <v>3.79</v>
      </c>
    </row>
    <row r="608" spans="1:5" x14ac:dyDescent="0.25">
      <c r="A608" s="4">
        <v>24810</v>
      </c>
      <c r="B608" s="4" t="s">
        <v>20</v>
      </c>
      <c r="C608" s="5">
        <v>45300</v>
      </c>
      <c r="D608" s="4">
        <v>2.2999999999999998</v>
      </c>
      <c r="E608" s="4">
        <v>0.74</v>
      </c>
    </row>
    <row r="609" spans="1:5" x14ac:dyDescent="0.25">
      <c r="A609" s="4">
        <v>24810</v>
      </c>
      <c r="B609" s="4" t="s">
        <v>20</v>
      </c>
      <c r="C609" s="5">
        <v>45300</v>
      </c>
      <c r="D609" s="4">
        <v>2.2999999999999998</v>
      </c>
      <c r="E609" s="4">
        <v>0.74</v>
      </c>
    </row>
    <row r="610" spans="1:5" x14ac:dyDescent="0.25">
      <c r="A610" s="4">
        <v>24810</v>
      </c>
      <c r="B610" s="4" t="s">
        <v>20</v>
      </c>
      <c r="C610" s="5">
        <v>45300</v>
      </c>
      <c r="D610" s="4">
        <v>10.9</v>
      </c>
      <c r="E610" s="4">
        <v>3.53</v>
      </c>
    </row>
    <row r="611" spans="1:5" x14ac:dyDescent="0.25">
      <c r="A611" s="4">
        <v>24810</v>
      </c>
      <c r="B611" s="4" t="s">
        <v>20</v>
      </c>
      <c r="C611" s="5">
        <v>45300</v>
      </c>
      <c r="D611" s="4">
        <v>11.7</v>
      </c>
      <c r="E611" s="4">
        <v>3.79</v>
      </c>
    </row>
    <row r="612" spans="1:5" x14ac:dyDescent="0.25">
      <c r="A612" s="4">
        <v>24810</v>
      </c>
      <c r="B612" s="4" t="s">
        <v>20</v>
      </c>
      <c r="C612" s="5">
        <v>45300</v>
      </c>
      <c r="D612" s="4">
        <v>10.9</v>
      </c>
      <c r="E612" s="4">
        <v>3.53</v>
      </c>
    </row>
    <row r="613" spans="1:5" x14ac:dyDescent="0.25">
      <c r="A613" s="4">
        <v>24810</v>
      </c>
      <c r="B613" s="4" t="s">
        <v>20</v>
      </c>
      <c r="C613" s="5">
        <v>45300</v>
      </c>
      <c r="D613" s="4">
        <v>11.7</v>
      </c>
      <c r="E613" s="4">
        <v>3.79</v>
      </c>
    </row>
    <row r="614" spans="1:5" x14ac:dyDescent="0.25">
      <c r="A614" s="4">
        <v>24810</v>
      </c>
      <c r="B614" s="4" t="s">
        <v>20</v>
      </c>
      <c r="C614" s="5">
        <v>45300</v>
      </c>
      <c r="D614" s="4">
        <v>10.9</v>
      </c>
      <c r="E614" s="4">
        <v>3.53</v>
      </c>
    </row>
    <row r="615" spans="1:5" x14ac:dyDescent="0.25">
      <c r="A615" s="4">
        <v>24810</v>
      </c>
      <c r="B615" s="4" t="s">
        <v>20</v>
      </c>
      <c r="C615" s="5">
        <v>45300</v>
      </c>
      <c r="D615" s="4">
        <v>11.7</v>
      </c>
      <c r="E615" s="4">
        <v>3.79</v>
      </c>
    </row>
    <row r="616" spans="1:5" x14ac:dyDescent="0.25">
      <c r="A616" s="4">
        <v>24810</v>
      </c>
      <c r="B616" s="4" t="s">
        <v>20</v>
      </c>
      <c r="C616" s="5">
        <v>45300</v>
      </c>
      <c r="D616" s="4">
        <v>10.9</v>
      </c>
      <c r="E616" s="4">
        <v>3.53</v>
      </c>
    </row>
    <row r="617" spans="1:5" x14ac:dyDescent="0.25">
      <c r="A617" s="4">
        <v>24810</v>
      </c>
      <c r="B617" s="4" t="s">
        <v>20</v>
      </c>
      <c r="C617" s="5">
        <v>45300</v>
      </c>
      <c r="D617" s="4">
        <v>11.7</v>
      </c>
      <c r="E617" s="4">
        <v>3.79</v>
      </c>
    </row>
    <row r="618" spans="1:5" x14ac:dyDescent="0.25">
      <c r="A618" s="4">
        <v>24810</v>
      </c>
      <c r="B618" s="4" t="s">
        <v>20</v>
      </c>
      <c r="C618" s="5">
        <v>45300</v>
      </c>
      <c r="D618" s="4">
        <v>10.9</v>
      </c>
      <c r="E618" s="4">
        <v>3.53</v>
      </c>
    </row>
    <row r="619" spans="1:5" x14ac:dyDescent="0.25">
      <c r="A619" s="4">
        <v>24810</v>
      </c>
      <c r="B619" s="4" t="s">
        <v>20</v>
      </c>
      <c r="C619" s="5">
        <v>45300</v>
      </c>
      <c r="D619" s="4">
        <v>11.7</v>
      </c>
      <c r="E619" s="4">
        <v>3.79</v>
      </c>
    </row>
    <row r="620" spans="1:5" x14ac:dyDescent="0.25">
      <c r="A620" s="4">
        <v>24810</v>
      </c>
      <c r="B620" s="4" t="s">
        <v>20</v>
      </c>
      <c r="C620" s="5">
        <v>45300</v>
      </c>
      <c r="D620" s="4">
        <v>8.6999999999999993</v>
      </c>
      <c r="E620" s="4">
        <v>2.82</v>
      </c>
    </row>
    <row r="621" spans="1:5" x14ac:dyDescent="0.25">
      <c r="A621" s="4">
        <v>24810</v>
      </c>
      <c r="B621" s="4" t="s">
        <v>21</v>
      </c>
      <c r="C621" s="5">
        <v>45300</v>
      </c>
      <c r="D621" s="4">
        <v>28.9</v>
      </c>
      <c r="E621" s="4">
        <v>9.32</v>
      </c>
    </row>
    <row r="622" spans="1:5" x14ac:dyDescent="0.25">
      <c r="A622" s="4">
        <v>24810</v>
      </c>
      <c r="B622" s="4" t="s">
        <v>21</v>
      </c>
      <c r="C622" s="5">
        <v>45300</v>
      </c>
      <c r="D622" s="4">
        <v>28.9</v>
      </c>
      <c r="E622" s="4">
        <v>9.32</v>
      </c>
    </row>
    <row r="623" spans="1:5" x14ac:dyDescent="0.25">
      <c r="A623" s="4">
        <v>24810</v>
      </c>
      <c r="B623" s="4" t="s">
        <v>22</v>
      </c>
      <c r="C623" s="5">
        <v>45300</v>
      </c>
      <c r="D623" s="4">
        <v>9.6999999999999993</v>
      </c>
      <c r="E623" s="4">
        <v>3.15</v>
      </c>
    </row>
    <row r="624" spans="1:5" x14ac:dyDescent="0.25">
      <c r="A624" s="4">
        <v>24810</v>
      </c>
      <c r="B624" s="4" t="s">
        <v>22</v>
      </c>
      <c r="C624" s="5">
        <v>45300</v>
      </c>
      <c r="D624" s="4">
        <v>9.6999999999999993</v>
      </c>
      <c r="E624" s="4">
        <v>3.15</v>
      </c>
    </row>
    <row r="625" spans="1:5" x14ac:dyDescent="0.25">
      <c r="A625" s="4">
        <v>24810</v>
      </c>
      <c r="B625" s="4" t="s">
        <v>22</v>
      </c>
      <c r="C625" s="5">
        <v>45300</v>
      </c>
      <c r="D625" s="4">
        <v>9.6999999999999993</v>
      </c>
      <c r="E625" s="4">
        <v>3.15</v>
      </c>
    </row>
    <row r="626" spans="1:5" x14ac:dyDescent="0.25">
      <c r="A626" s="4">
        <v>24810</v>
      </c>
      <c r="B626" s="4" t="s">
        <v>22</v>
      </c>
      <c r="C626" s="5">
        <v>45300</v>
      </c>
      <c r="D626" s="4">
        <v>9.6999999999999993</v>
      </c>
      <c r="E626" s="4">
        <v>3.15</v>
      </c>
    </row>
    <row r="627" spans="1:5" x14ac:dyDescent="0.25">
      <c r="A627" s="4">
        <v>24810</v>
      </c>
      <c r="B627" s="4" t="s">
        <v>22</v>
      </c>
      <c r="C627" s="5">
        <v>45300</v>
      </c>
      <c r="D627" s="4">
        <v>9.6999999999999993</v>
      </c>
      <c r="E627" s="4">
        <v>3.15</v>
      </c>
    </row>
    <row r="628" spans="1:5" x14ac:dyDescent="0.25">
      <c r="A628" s="4">
        <v>24810</v>
      </c>
      <c r="B628" s="4" t="s">
        <v>22</v>
      </c>
      <c r="C628" s="5">
        <v>45300</v>
      </c>
      <c r="D628" s="4">
        <v>9.6999999999999993</v>
      </c>
      <c r="E628" s="4">
        <v>3.15</v>
      </c>
    </row>
    <row r="629" spans="1:5" x14ac:dyDescent="0.25">
      <c r="A629" s="4">
        <v>24810</v>
      </c>
      <c r="B629" s="4" t="s">
        <v>22</v>
      </c>
      <c r="C629" s="5">
        <v>45300</v>
      </c>
      <c r="D629" s="4">
        <v>9.6999999999999993</v>
      </c>
      <c r="E629" s="4">
        <v>3.15</v>
      </c>
    </row>
    <row r="630" spans="1:5" x14ac:dyDescent="0.25">
      <c r="A630" s="4">
        <v>24810</v>
      </c>
      <c r="B630" s="4" t="s">
        <v>22</v>
      </c>
      <c r="C630" s="5">
        <v>45300</v>
      </c>
      <c r="D630" s="4">
        <v>14</v>
      </c>
      <c r="E630" s="4">
        <v>4.54</v>
      </c>
    </row>
    <row r="631" spans="1:5" x14ac:dyDescent="0.25">
      <c r="A631" s="4">
        <v>24810</v>
      </c>
      <c r="B631" s="4" t="s">
        <v>23</v>
      </c>
      <c r="C631" s="5">
        <v>45300</v>
      </c>
      <c r="D631" s="4">
        <v>9.6999999999999993</v>
      </c>
      <c r="E631" s="4">
        <v>3.15</v>
      </c>
    </row>
    <row r="632" spans="1:5" x14ac:dyDescent="0.25">
      <c r="A632" s="4">
        <v>24810</v>
      </c>
      <c r="B632" s="4" t="s">
        <v>23</v>
      </c>
      <c r="C632" s="5">
        <v>45300</v>
      </c>
      <c r="D632" s="4">
        <v>9.6999999999999993</v>
      </c>
      <c r="E632" s="4">
        <v>3.15</v>
      </c>
    </row>
    <row r="633" spans="1:5" x14ac:dyDescent="0.25">
      <c r="A633" s="4">
        <v>24810</v>
      </c>
      <c r="B633" s="4" t="s">
        <v>23</v>
      </c>
      <c r="C633" s="5">
        <v>45300</v>
      </c>
      <c r="D633" s="4">
        <v>9.6999999999999993</v>
      </c>
      <c r="E633" s="4">
        <v>3.15</v>
      </c>
    </row>
    <row r="634" spans="1:5" x14ac:dyDescent="0.25">
      <c r="A634" s="4">
        <v>24810</v>
      </c>
      <c r="B634" s="4" t="s">
        <v>23</v>
      </c>
      <c r="C634" s="5">
        <v>45300</v>
      </c>
      <c r="D634" s="4">
        <v>9.6999999999999993</v>
      </c>
      <c r="E634" s="4">
        <v>3.15</v>
      </c>
    </row>
    <row r="635" spans="1:5" x14ac:dyDescent="0.25">
      <c r="A635" s="4">
        <v>24810</v>
      </c>
      <c r="B635" s="4" t="s">
        <v>23</v>
      </c>
      <c r="C635" s="5">
        <v>45300</v>
      </c>
      <c r="D635" s="4">
        <v>9.6999999999999993</v>
      </c>
      <c r="E635" s="4">
        <v>3.15</v>
      </c>
    </row>
    <row r="636" spans="1:5" x14ac:dyDescent="0.25">
      <c r="A636" s="4">
        <v>24810</v>
      </c>
      <c r="B636" s="4" t="s">
        <v>23</v>
      </c>
      <c r="C636" s="5">
        <v>45300</v>
      </c>
      <c r="D636" s="4">
        <v>9.6999999999999993</v>
      </c>
      <c r="E636" s="4">
        <v>3.15</v>
      </c>
    </row>
    <row r="637" spans="1:5" x14ac:dyDescent="0.25">
      <c r="A637" s="4">
        <v>24810</v>
      </c>
      <c r="B637" s="4" t="s">
        <v>23</v>
      </c>
      <c r="C637" s="5">
        <v>45300</v>
      </c>
      <c r="D637" s="4">
        <v>9.6999999999999993</v>
      </c>
      <c r="E637" s="4">
        <v>3.15</v>
      </c>
    </row>
    <row r="638" spans="1:5" x14ac:dyDescent="0.25">
      <c r="A638" s="4">
        <v>24810</v>
      </c>
      <c r="B638" s="4" t="s">
        <v>23</v>
      </c>
      <c r="C638" s="5">
        <v>45300</v>
      </c>
      <c r="D638" s="4">
        <v>9.6999999999999993</v>
      </c>
      <c r="E638" s="4">
        <v>3.15</v>
      </c>
    </row>
    <row r="639" spans="1:5" x14ac:dyDescent="0.25">
      <c r="A639" s="4">
        <v>24810</v>
      </c>
      <c r="B639" s="4" t="s">
        <v>23</v>
      </c>
      <c r="C639" s="5">
        <v>45300</v>
      </c>
      <c r="D639" s="4">
        <v>14</v>
      </c>
      <c r="E639" s="4">
        <v>4.54</v>
      </c>
    </row>
    <row r="640" spans="1:5" x14ac:dyDescent="0.25">
      <c r="A640" s="4">
        <v>24810</v>
      </c>
      <c r="B640" s="4" t="s">
        <v>24</v>
      </c>
      <c r="C640" s="5">
        <v>45300</v>
      </c>
      <c r="D640" s="4">
        <v>13.8</v>
      </c>
      <c r="E640" s="4">
        <v>4.47</v>
      </c>
    </row>
    <row r="641" spans="1:5" x14ac:dyDescent="0.25">
      <c r="A641" s="4">
        <v>24810</v>
      </c>
      <c r="B641" s="4" t="s">
        <v>24</v>
      </c>
      <c r="C641" s="5">
        <v>45300</v>
      </c>
      <c r="D641" s="4">
        <v>11.7</v>
      </c>
      <c r="E641" s="4">
        <v>3.79</v>
      </c>
    </row>
    <row r="642" spans="1:5" x14ac:dyDescent="0.25">
      <c r="A642" s="4">
        <v>24810</v>
      </c>
      <c r="B642" s="4" t="s">
        <v>24</v>
      </c>
      <c r="C642" s="5">
        <v>45300</v>
      </c>
      <c r="D642" s="4">
        <v>2.2999999999999998</v>
      </c>
      <c r="E642" s="4">
        <v>0.74</v>
      </c>
    </row>
    <row r="643" spans="1:5" x14ac:dyDescent="0.25">
      <c r="A643" s="4">
        <v>24810</v>
      </c>
      <c r="B643" s="4" t="s">
        <v>24</v>
      </c>
      <c r="C643" s="5">
        <v>45300</v>
      </c>
      <c r="D643" s="4">
        <v>2.2999999999999998</v>
      </c>
      <c r="E643" s="4">
        <v>0.74</v>
      </c>
    </row>
    <row r="644" spans="1:5" x14ac:dyDescent="0.25">
      <c r="A644" s="4">
        <v>24810</v>
      </c>
      <c r="B644" s="4" t="s">
        <v>24</v>
      </c>
      <c r="C644" s="5">
        <v>45300</v>
      </c>
      <c r="D644" s="4">
        <v>10.9</v>
      </c>
      <c r="E644" s="4">
        <v>3.53</v>
      </c>
    </row>
    <row r="645" spans="1:5" x14ac:dyDescent="0.25">
      <c r="A645" s="4">
        <v>24810</v>
      </c>
      <c r="B645" s="4" t="s">
        <v>24</v>
      </c>
      <c r="C645" s="5">
        <v>45300</v>
      </c>
      <c r="D645" s="4">
        <v>11.7</v>
      </c>
      <c r="E645" s="4">
        <v>3.79</v>
      </c>
    </row>
    <row r="646" spans="1:5" x14ac:dyDescent="0.25">
      <c r="A646" s="4">
        <v>24810</v>
      </c>
      <c r="B646" s="4" t="s">
        <v>24</v>
      </c>
      <c r="C646" s="5">
        <v>45300</v>
      </c>
      <c r="D646" s="4">
        <v>10.9</v>
      </c>
      <c r="E646" s="4">
        <v>3.53</v>
      </c>
    </row>
    <row r="647" spans="1:5" x14ac:dyDescent="0.25">
      <c r="A647" s="4">
        <v>24810</v>
      </c>
      <c r="B647" s="4" t="s">
        <v>24</v>
      </c>
      <c r="C647" s="5">
        <v>45300</v>
      </c>
      <c r="D647" s="4">
        <v>11.7</v>
      </c>
      <c r="E647" s="4">
        <v>3.79</v>
      </c>
    </row>
    <row r="648" spans="1:5" x14ac:dyDescent="0.25">
      <c r="A648" s="4">
        <v>24810</v>
      </c>
      <c r="B648" s="4" t="s">
        <v>24</v>
      </c>
      <c r="C648" s="5">
        <v>45300</v>
      </c>
      <c r="D648" s="4">
        <v>10.9</v>
      </c>
      <c r="E648" s="4">
        <v>3.53</v>
      </c>
    </row>
    <row r="649" spans="1:5" x14ac:dyDescent="0.25">
      <c r="A649" s="4">
        <v>24810</v>
      </c>
      <c r="B649" s="4" t="s">
        <v>24</v>
      </c>
      <c r="C649" s="5">
        <v>45300</v>
      </c>
      <c r="D649" s="4">
        <v>11.7</v>
      </c>
      <c r="E649" s="4">
        <v>3.79</v>
      </c>
    </row>
    <row r="650" spans="1:5" x14ac:dyDescent="0.25">
      <c r="A650" s="4">
        <v>24810</v>
      </c>
      <c r="B650" s="4" t="s">
        <v>24</v>
      </c>
      <c r="C650" s="5">
        <v>45300</v>
      </c>
      <c r="D650" s="4">
        <v>10.9</v>
      </c>
      <c r="E650" s="4">
        <v>3.53</v>
      </c>
    </row>
    <row r="651" spans="1:5" x14ac:dyDescent="0.25">
      <c r="A651" s="4">
        <v>24810</v>
      </c>
      <c r="B651" s="4" t="s">
        <v>24</v>
      </c>
      <c r="C651" s="5">
        <v>45300</v>
      </c>
      <c r="D651" s="4">
        <v>11.7</v>
      </c>
      <c r="E651" s="4">
        <v>3.79</v>
      </c>
    </row>
    <row r="652" spans="1:5" x14ac:dyDescent="0.25">
      <c r="A652" s="4">
        <v>24810</v>
      </c>
      <c r="B652" s="4" t="s">
        <v>24</v>
      </c>
      <c r="C652" s="5">
        <v>45300</v>
      </c>
      <c r="D652" s="4">
        <v>8.6999999999999993</v>
      </c>
      <c r="E652" s="4">
        <v>2.82</v>
      </c>
    </row>
    <row r="653" spans="1:5" x14ac:dyDescent="0.25">
      <c r="A653" s="4">
        <v>24810</v>
      </c>
      <c r="B653" s="4" t="s">
        <v>25</v>
      </c>
      <c r="C653" s="5">
        <v>45300</v>
      </c>
      <c r="D653" s="4">
        <v>15.4</v>
      </c>
      <c r="E653" s="4">
        <v>5.35</v>
      </c>
    </row>
    <row r="654" spans="1:5" x14ac:dyDescent="0.25">
      <c r="A654" s="4">
        <v>24810</v>
      </c>
      <c r="B654" s="4" t="s">
        <v>25</v>
      </c>
      <c r="C654" s="5">
        <v>45300</v>
      </c>
      <c r="D654" s="4">
        <v>16.899999999999999</v>
      </c>
      <c r="E654" s="4">
        <v>5.89</v>
      </c>
    </row>
    <row r="655" spans="1:5" x14ac:dyDescent="0.25">
      <c r="A655" s="4">
        <v>24810</v>
      </c>
      <c r="B655" s="4" t="s">
        <v>25</v>
      </c>
      <c r="C655" s="5">
        <v>45300</v>
      </c>
      <c r="D655" s="4">
        <v>16.899999999999999</v>
      </c>
      <c r="E655" s="4">
        <v>5.89</v>
      </c>
    </row>
    <row r="656" spans="1:5" x14ac:dyDescent="0.25">
      <c r="A656" s="4">
        <v>24810</v>
      </c>
      <c r="B656" s="4" t="s">
        <v>25</v>
      </c>
      <c r="C656" s="5">
        <v>45300</v>
      </c>
      <c r="D656" s="4">
        <v>16.899999999999999</v>
      </c>
      <c r="E656" s="4">
        <v>5.89</v>
      </c>
    </row>
    <row r="657" spans="1:5" x14ac:dyDescent="0.25">
      <c r="A657" s="4">
        <v>24810</v>
      </c>
      <c r="B657" s="4" t="s">
        <v>25</v>
      </c>
      <c r="C657" s="5">
        <v>45300</v>
      </c>
      <c r="D657" s="4">
        <v>16.899999999999999</v>
      </c>
      <c r="E657" s="4">
        <v>5.89</v>
      </c>
    </row>
    <row r="658" spans="1:5" x14ac:dyDescent="0.25">
      <c r="A658" s="4">
        <v>24810</v>
      </c>
      <c r="B658" s="4" t="s">
        <v>25</v>
      </c>
      <c r="C658" s="5">
        <v>45300</v>
      </c>
      <c r="D658" s="4">
        <v>16.899999999999999</v>
      </c>
      <c r="E658" s="4">
        <v>5.89</v>
      </c>
    </row>
    <row r="659" spans="1:5" x14ac:dyDescent="0.25">
      <c r="A659" s="4">
        <v>24810</v>
      </c>
      <c r="B659" s="4" t="s">
        <v>25</v>
      </c>
      <c r="C659" s="5">
        <v>45300</v>
      </c>
      <c r="D659" s="4">
        <v>16.899999999999999</v>
      </c>
      <c r="E659" s="4">
        <v>5.89</v>
      </c>
    </row>
    <row r="660" spans="1:5" x14ac:dyDescent="0.25">
      <c r="A660" s="4">
        <v>24810</v>
      </c>
      <c r="B660" s="4" t="s">
        <v>25</v>
      </c>
      <c r="C660" s="5">
        <v>45300</v>
      </c>
      <c r="D660" s="4">
        <v>16.899999999999999</v>
      </c>
      <c r="E660" s="4">
        <v>5.89</v>
      </c>
    </row>
    <row r="661" spans="1:5" x14ac:dyDescent="0.25">
      <c r="A661" s="4">
        <v>24810</v>
      </c>
      <c r="B661" s="4" t="s">
        <v>25</v>
      </c>
      <c r="C661" s="5">
        <v>45300</v>
      </c>
      <c r="D661" s="4">
        <v>16.899999999999999</v>
      </c>
      <c r="E661" s="4">
        <v>5.89</v>
      </c>
    </row>
    <row r="662" spans="1:5" x14ac:dyDescent="0.25">
      <c r="A662" s="4">
        <v>24810</v>
      </c>
      <c r="B662" s="4" t="s">
        <v>25</v>
      </c>
      <c r="C662" s="5">
        <v>45300</v>
      </c>
      <c r="D662" s="4">
        <v>16.899999999999999</v>
      </c>
      <c r="E662" s="4">
        <v>5.89</v>
      </c>
    </row>
    <row r="663" spans="1:5" x14ac:dyDescent="0.25">
      <c r="A663" s="4">
        <v>24810</v>
      </c>
      <c r="B663" s="4" t="s">
        <v>25</v>
      </c>
      <c r="C663" s="5">
        <v>45300</v>
      </c>
      <c r="D663" s="4">
        <v>18.7</v>
      </c>
      <c r="E663" s="4">
        <v>6.52</v>
      </c>
    </row>
    <row r="664" spans="1:5" x14ac:dyDescent="0.25">
      <c r="A664" s="4">
        <v>24810</v>
      </c>
      <c r="B664" s="4" t="s">
        <v>29</v>
      </c>
      <c r="C664" s="5">
        <v>45300</v>
      </c>
      <c r="D664" s="4">
        <v>1.2</v>
      </c>
      <c r="E664" s="4">
        <v>0.41</v>
      </c>
    </row>
    <row r="665" spans="1:5" x14ac:dyDescent="0.25">
      <c r="A665" s="4">
        <v>24810</v>
      </c>
      <c r="B665" s="4" t="s">
        <v>29</v>
      </c>
      <c r="C665" s="5">
        <v>45300</v>
      </c>
      <c r="D665" s="4">
        <v>15.4</v>
      </c>
      <c r="E665" s="4">
        <v>5.31</v>
      </c>
    </row>
    <row r="666" spans="1:5" x14ac:dyDescent="0.25">
      <c r="A666" s="4">
        <v>24810</v>
      </c>
      <c r="B666" s="4" t="s">
        <v>29</v>
      </c>
      <c r="C666" s="5">
        <v>45300</v>
      </c>
      <c r="D666" s="4">
        <v>3.5</v>
      </c>
      <c r="E666" s="4">
        <v>1.21</v>
      </c>
    </row>
    <row r="667" spans="1:5" x14ac:dyDescent="0.25">
      <c r="A667" s="4">
        <v>24810</v>
      </c>
      <c r="B667" s="4" t="s">
        <v>29</v>
      </c>
      <c r="C667" s="5">
        <v>45300</v>
      </c>
      <c r="D667" s="4">
        <v>10.5</v>
      </c>
      <c r="E667" s="4">
        <v>3.59</v>
      </c>
    </row>
    <row r="668" spans="1:5" x14ac:dyDescent="0.25">
      <c r="A668" s="4">
        <v>24810</v>
      </c>
      <c r="B668" s="4" t="s">
        <v>29</v>
      </c>
      <c r="C668" s="5">
        <v>45300</v>
      </c>
      <c r="D668" s="4">
        <v>15.4</v>
      </c>
      <c r="E668" s="4">
        <v>5.31</v>
      </c>
    </row>
    <row r="669" spans="1:5" x14ac:dyDescent="0.25">
      <c r="A669" s="4">
        <v>24810</v>
      </c>
      <c r="B669" s="4" t="s">
        <v>29</v>
      </c>
      <c r="C669" s="5">
        <v>45300</v>
      </c>
      <c r="D669" s="4">
        <v>15.5</v>
      </c>
      <c r="E669" s="4">
        <v>5.33</v>
      </c>
    </row>
    <row r="670" spans="1:5" x14ac:dyDescent="0.25">
      <c r="A670" s="4">
        <v>24810</v>
      </c>
      <c r="B670" s="4" t="s">
        <v>29</v>
      </c>
      <c r="C670" s="5">
        <v>45300</v>
      </c>
      <c r="D670" s="4">
        <v>15.4</v>
      </c>
      <c r="E670" s="4">
        <v>5.31</v>
      </c>
    </row>
    <row r="671" spans="1:5" x14ac:dyDescent="0.25">
      <c r="A671" s="4">
        <v>24810</v>
      </c>
      <c r="B671" s="4" t="s">
        <v>29</v>
      </c>
      <c r="C671" s="5">
        <v>45300</v>
      </c>
      <c r="D671" s="4">
        <v>29.1</v>
      </c>
      <c r="E671" s="4">
        <v>10.14</v>
      </c>
    </row>
    <row r="672" spans="1:5" x14ac:dyDescent="0.25">
      <c r="A672" s="4">
        <v>24810</v>
      </c>
      <c r="B672" s="4" t="s">
        <v>31</v>
      </c>
      <c r="C672" s="5">
        <v>45300</v>
      </c>
      <c r="D672" s="4">
        <v>22.6</v>
      </c>
      <c r="E672" s="4">
        <v>7.88</v>
      </c>
    </row>
    <row r="673" spans="1:5" x14ac:dyDescent="0.25">
      <c r="A673" s="4">
        <v>24810</v>
      </c>
      <c r="B673" s="4" t="s">
        <v>31</v>
      </c>
      <c r="C673" s="5">
        <v>45300</v>
      </c>
      <c r="D673" s="4">
        <v>22.6</v>
      </c>
      <c r="E673" s="4">
        <v>7.88</v>
      </c>
    </row>
    <row r="674" spans="1:5" x14ac:dyDescent="0.25">
      <c r="A674" s="4">
        <v>24810</v>
      </c>
      <c r="B674" s="4" t="s">
        <v>31</v>
      </c>
      <c r="C674" s="5">
        <v>45300</v>
      </c>
      <c r="D674" s="4">
        <v>22.6</v>
      </c>
      <c r="E674" s="4">
        <v>7.88</v>
      </c>
    </row>
    <row r="675" spans="1:5" x14ac:dyDescent="0.25">
      <c r="A675" s="4">
        <v>24810</v>
      </c>
      <c r="B675" s="4" t="s">
        <v>31</v>
      </c>
      <c r="C675" s="5">
        <v>45300</v>
      </c>
      <c r="D675" s="4">
        <v>22.6</v>
      </c>
      <c r="E675" s="4">
        <v>7.88</v>
      </c>
    </row>
    <row r="676" spans="1:5" x14ac:dyDescent="0.25">
      <c r="A676" s="4">
        <v>24810</v>
      </c>
      <c r="B676" s="4" t="s">
        <v>31</v>
      </c>
      <c r="C676" s="5">
        <v>45300</v>
      </c>
      <c r="D676" s="4">
        <v>22.6</v>
      </c>
      <c r="E676" s="4">
        <v>7.88</v>
      </c>
    </row>
    <row r="677" spans="1:5" x14ac:dyDescent="0.25">
      <c r="A677" s="4">
        <v>24810</v>
      </c>
      <c r="B677" s="4" t="s">
        <v>31</v>
      </c>
      <c r="C677" s="5">
        <v>45300</v>
      </c>
      <c r="D677" s="4">
        <v>22.6</v>
      </c>
      <c r="E677" s="4">
        <v>7.88</v>
      </c>
    </row>
    <row r="678" spans="1:5" x14ac:dyDescent="0.25">
      <c r="A678" s="4">
        <v>24810</v>
      </c>
      <c r="B678" s="4" t="s">
        <v>31</v>
      </c>
      <c r="C678" s="5">
        <v>45300</v>
      </c>
      <c r="D678" s="4">
        <v>22.6</v>
      </c>
      <c r="E678" s="4">
        <v>7.88</v>
      </c>
    </row>
    <row r="679" spans="1:5" x14ac:dyDescent="0.25">
      <c r="A679" s="4">
        <v>24810</v>
      </c>
      <c r="B679" s="4" t="s">
        <v>31</v>
      </c>
      <c r="C679" s="5">
        <v>45300</v>
      </c>
      <c r="D679" s="4">
        <v>22.6</v>
      </c>
      <c r="E679" s="4">
        <v>7.88</v>
      </c>
    </row>
    <row r="680" spans="1:5" x14ac:dyDescent="0.25">
      <c r="A680" s="4">
        <v>24810</v>
      </c>
      <c r="B680" s="4" t="s">
        <v>31</v>
      </c>
      <c r="C680" s="5">
        <v>45300</v>
      </c>
      <c r="D680" s="4">
        <v>22.6</v>
      </c>
      <c r="E680" s="4">
        <v>7.88</v>
      </c>
    </row>
    <row r="681" spans="1:5" x14ac:dyDescent="0.25">
      <c r="A681" s="4">
        <v>24810</v>
      </c>
      <c r="B681" s="4" t="s">
        <v>31</v>
      </c>
      <c r="C681" s="5">
        <v>45300</v>
      </c>
      <c r="D681" s="4">
        <v>22.6</v>
      </c>
      <c r="E681" s="4">
        <v>7.88</v>
      </c>
    </row>
    <row r="682" spans="1:5" x14ac:dyDescent="0.25">
      <c r="A682" s="4">
        <v>24810</v>
      </c>
      <c r="B682" s="4" t="s">
        <v>31</v>
      </c>
      <c r="C682" s="5">
        <v>45300</v>
      </c>
      <c r="D682" s="4">
        <v>22.6</v>
      </c>
      <c r="E682" s="4">
        <v>7.88</v>
      </c>
    </row>
    <row r="683" spans="1:5" x14ac:dyDescent="0.25">
      <c r="A683" s="4">
        <v>24810</v>
      </c>
      <c r="B683" s="4" t="s">
        <v>31</v>
      </c>
      <c r="C683" s="5">
        <v>45300</v>
      </c>
      <c r="D683" s="4">
        <v>22.6</v>
      </c>
      <c r="E683" s="4">
        <v>7.88</v>
      </c>
    </row>
    <row r="684" spans="1:5" x14ac:dyDescent="0.25">
      <c r="A684" s="4">
        <v>24810</v>
      </c>
      <c r="B684" s="4" t="s">
        <v>31</v>
      </c>
      <c r="C684" s="5">
        <v>45300</v>
      </c>
      <c r="D684" s="4">
        <v>22.6</v>
      </c>
      <c r="E684" s="4">
        <v>7.88</v>
      </c>
    </row>
    <row r="685" spans="1:5" x14ac:dyDescent="0.25">
      <c r="A685" s="4">
        <v>24810</v>
      </c>
      <c r="B685" s="4" t="s">
        <v>31</v>
      </c>
      <c r="C685" s="5">
        <v>45300</v>
      </c>
      <c r="D685" s="4">
        <v>22.6</v>
      </c>
      <c r="E685" s="4">
        <v>7.88</v>
      </c>
    </row>
    <row r="686" spans="1:5" x14ac:dyDescent="0.25">
      <c r="A686" s="4">
        <v>24810</v>
      </c>
      <c r="B686" s="4" t="s">
        <v>37</v>
      </c>
      <c r="C686" s="5">
        <v>45300</v>
      </c>
      <c r="D686" s="4">
        <v>15.4</v>
      </c>
      <c r="E686" s="4">
        <v>5.35</v>
      </c>
    </row>
    <row r="687" spans="1:5" x14ac:dyDescent="0.25">
      <c r="A687" s="4">
        <v>24810</v>
      </c>
      <c r="B687" s="4" t="s">
        <v>37</v>
      </c>
      <c r="C687" s="5">
        <v>45300</v>
      </c>
      <c r="D687" s="4">
        <v>30.2</v>
      </c>
      <c r="E687" s="4">
        <v>10.49</v>
      </c>
    </row>
    <row r="688" spans="1:5" x14ac:dyDescent="0.25">
      <c r="A688" s="4">
        <v>24810</v>
      </c>
      <c r="B688" s="4" t="s">
        <v>37</v>
      </c>
      <c r="C688" s="5">
        <v>45300</v>
      </c>
      <c r="D688" s="4">
        <v>0.9</v>
      </c>
      <c r="E688" s="4">
        <v>0.31</v>
      </c>
    </row>
    <row r="689" spans="1:5" x14ac:dyDescent="0.25">
      <c r="A689" s="4">
        <v>24810</v>
      </c>
      <c r="B689" s="4" t="s">
        <v>37</v>
      </c>
      <c r="C689" s="5">
        <v>45300</v>
      </c>
      <c r="D689" s="4">
        <v>3.6</v>
      </c>
      <c r="E689" s="4">
        <v>1.25</v>
      </c>
    </row>
    <row r="690" spans="1:5" x14ac:dyDescent="0.25">
      <c r="A690" s="4">
        <v>24810</v>
      </c>
      <c r="B690" s="4" t="s">
        <v>37</v>
      </c>
      <c r="C690" s="5">
        <v>45300</v>
      </c>
      <c r="D690" s="4">
        <v>30.2</v>
      </c>
      <c r="E690" s="4">
        <v>10.49</v>
      </c>
    </row>
    <row r="691" spans="1:5" x14ac:dyDescent="0.25">
      <c r="A691" s="4">
        <v>24810</v>
      </c>
      <c r="B691" s="4" t="s">
        <v>37</v>
      </c>
      <c r="C691" s="5">
        <v>45300</v>
      </c>
      <c r="D691" s="4">
        <v>31.3</v>
      </c>
      <c r="E691" s="4">
        <v>10.86</v>
      </c>
    </row>
    <row r="692" spans="1:5" x14ac:dyDescent="0.25">
      <c r="A692" s="4">
        <v>24810</v>
      </c>
      <c r="B692" s="4" t="s">
        <v>37</v>
      </c>
      <c r="C692" s="5">
        <v>45300</v>
      </c>
      <c r="D692" s="4">
        <v>30.2</v>
      </c>
      <c r="E692" s="4">
        <v>10.49</v>
      </c>
    </row>
    <row r="693" spans="1:5" x14ac:dyDescent="0.25">
      <c r="A693" s="4">
        <v>24810</v>
      </c>
      <c r="B693" s="4" t="s">
        <v>37</v>
      </c>
      <c r="C693" s="5">
        <v>45300</v>
      </c>
      <c r="D693" s="4">
        <v>31.3</v>
      </c>
      <c r="E693" s="4">
        <v>10.86</v>
      </c>
    </row>
    <row r="694" spans="1:5" x14ac:dyDescent="0.25">
      <c r="A694" s="4">
        <v>24810</v>
      </c>
      <c r="B694" s="4" t="s">
        <v>37</v>
      </c>
      <c r="C694" s="5">
        <v>45300</v>
      </c>
      <c r="D694" s="4">
        <v>15.4</v>
      </c>
      <c r="E694" s="4">
        <v>5.35</v>
      </c>
    </row>
    <row r="695" spans="1:5" x14ac:dyDescent="0.25">
      <c r="A695" s="4">
        <v>24810</v>
      </c>
      <c r="B695" s="4" t="s">
        <v>37</v>
      </c>
      <c r="C695" s="5">
        <v>45300</v>
      </c>
      <c r="D695" s="4">
        <v>1.2</v>
      </c>
      <c r="E695" s="4">
        <v>0.41</v>
      </c>
    </row>
    <row r="696" spans="1:5" x14ac:dyDescent="0.25">
      <c r="A696" s="4">
        <v>24810</v>
      </c>
      <c r="B696" s="4" t="s">
        <v>37</v>
      </c>
      <c r="C696" s="5">
        <v>45300</v>
      </c>
      <c r="D696" s="4">
        <v>1.2</v>
      </c>
      <c r="E696" s="4">
        <v>0.41</v>
      </c>
    </row>
    <row r="697" spans="1:5" x14ac:dyDescent="0.25">
      <c r="A697" s="4">
        <v>24810</v>
      </c>
      <c r="B697" s="4" t="s">
        <v>37</v>
      </c>
      <c r="C697" s="5">
        <v>45300</v>
      </c>
      <c r="D697" s="4">
        <v>15.4</v>
      </c>
      <c r="E697" s="4">
        <v>5.35</v>
      </c>
    </row>
    <row r="698" spans="1:5" x14ac:dyDescent="0.25">
      <c r="A698" s="4">
        <v>24810</v>
      </c>
      <c r="B698" s="4" t="s">
        <v>37</v>
      </c>
      <c r="C698" s="5">
        <v>45300</v>
      </c>
      <c r="D698" s="4">
        <v>30.2</v>
      </c>
      <c r="E698" s="4">
        <v>10.49</v>
      </c>
    </row>
    <row r="699" spans="1:5" x14ac:dyDescent="0.25">
      <c r="A699" s="4">
        <v>24810</v>
      </c>
      <c r="B699" s="4" t="s">
        <v>37</v>
      </c>
      <c r="C699" s="5">
        <v>45300</v>
      </c>
      <c r="D699" s="4">
        <v>14.5</v>
      </c>
      <c r="E699" s="4">
        <v>5.04</v>
      </c>
    </row>
    <row r="700" spans="1:5" x14ac:dyDescent="0.25">
      <c r="A700" s="4">
        <v>24810</v>
      </c>
      <c r="B700" s="4" t="s">
        <v>45</v>
      </c>
      <c r="C700" s="5">
        <v>45300</v>
      </c>
      <c r="D700" s="4">
        <v>13.8</v>
      </c>
      <c r="E700" s="4">
        <v>4.47</v>
      </c>
    </row>
    <row r="701" spans="1:5" x14ac:dyDescent="0.25">
      <c r="A701" s="4">
        <v>24810</v>
      </c>
      <c r="B701" s="4" t="s">
        <v>45</v>
      </c>
      <c r="C701" s="5">
        <v>45300</v>
      </c>
      <c r="D701" s="4">
        <v>11.7</v>
      </c>
      <c r="E701" s="4">
        <v>3.79</v>
      </c>
    </row>
    <row r="702" spans="1:5" x14ac:dyDescent="0.25">
      <c r="A702" s="4">
        <v>24810</v>
      </c>
      <c r="B702" s="4" t="s">
        <v>45</v>
      </c>
      <c r="C702" s="5">
        <v>45300</v>
      </c>
      <c r="D702" s="4">
        <v>2.2999999999999998</v>
      </c>
      <c r="E702" s="4">
        <v>0.74</v>
      </c>
    </row>
    <row r="703" spans="1:5" x14ac:dyDescent="0.25">
      <c r="A703" s="4">
        <v>24810</v>
      </c>
      <c r="B703" s="4" t="s">
        <v>45</v>
      </c>
      <c r="C703" s="5">
        <v>45300</v>
      </c>
      <c r="D703" s="4">
        <v>2.2999999999999998</v>
      </c>
      <c r="E703" s="4">
        <v>0.74</v>
      </c>
    </row>
    <row r="704" spans="1:5" x14ac:dyDescent="0.25">
      <c r="A704" s="4">
        <v>24810</v>
      </c>
      <c r="B704" s="4" t="s">
        <v>45</v>
      </c>
      <c r="C704" s="5">
        <v>45300</v>
      </c>
      <c r="D704" s="4">
        <v>10.9</v>
      </c>
      <c r="E704" s="4">
        <v>3.53</v>
      </c>
    </row>
    <row r="705" spans="1:5" x14ac:dyDescent="0.25">
      <c r="A705" s="4">
        <v>24810</v>
      </c>
      <c r="B705" s="4" t="s">
        <v>45</v>
      </c>
      <c r="C705" s="5">
        <v>45300</v>
      </c>
      <c r="D705" s="4">
        <v>11.7</v>
      </c>
      <c r="E705" s="4">
        <v>3.79</v>
      </c>
    </row>
    <row r="706" spans="1:5" x14ac:dyDescent="0.25">
      <c r="A706" s="4">
        <v>24810</v>
      </c>
      <c r="B706" s="4" t="s">
        <v>45</v>
      </c>
      <c r="C706" s="5">
        <v>45300</v>
      </c>
      <c r="D706" s="4">
        <v>10.9</v>
      </c>
      <c r="E706" s="4">
        <v>3.53</v>
      </c>
    </row>
    <row r="707" spans="1:5" x14ac:dyDescent="0.25">
      <c r="A707" s="4">
        <v>24810</v>
      </c>
      <c r="B707" s="4" t="s">
        <v>45</v>
      </c>
      <c r="C707" s="5">
        <v>45300</v>
      </c>
      <c r="D707" s="4">
        <v>11.7</v>
      </c>
      <c r="E707" s="4">
        <v>3.79</v>
      </c>
    </row>
    <row r="708" spans="1:5" x14ac:dyDescent="0.25">
      <c r="A708" s="4">
        <v>24810</v>
      </c>
      <c r="B708" s="4" t="s">
        <v>45</v>
      </c>
      <c r="C708" s="5">
        <v>45300</v>
      </c>
      <c r="D708" s="4">
        <v>10.9</v>
      </c>
      <c r="E708" s="4">
        <v>3.53</v>
      </c>
    </row>
    <row r="709" spans="1:5" x14ac:dyDescent="0.25">
      <c r="A709" s="4">
        <v>24810</v>
      </c>
      <c r="B709" s="4" t="s">
        <v>45</v>
      </c>
      <c r="C709" s="5">
        <v>45300</v>
      </c>
      <c r="D709" s="4">
        <v>11.7</v>
      </c>
      <c r="E709" s="4">
        <v>3.79</v>
      </c>
    </row>
    <row r="710" spans="1:5" x14ac:dyDescent="0.25">
      <c r="A710" s="4">
        <v>24810</v>
      </c>
      <c r="B710" s="4" t="s">
        <v>45</v>
      </c>
      <c r="C710" s="5">
        <v>45300</v>
      </c>
      <c r="D710" s="4">
        <v>10.9</v>
      </c>
      <c r="E710" s="4">
        <v>3.53</v>
      </c>
    </row>
    <row r="711" spans="1:5" x14ac:dyDescent="0.25">
      <c r="A711" s="4">
        <v>24810</v>
      </c>
      <c r="B711" s="4" t="s">
        <v>45</v>
      </c>
      <c r="C711" s="5">
        <v>45300</v>
      </c>
      <c r="D711" s="4">
        <v>11.7</v>
      </c>
      <c r="E711" s="4">
        <v>3.79</v>
      </c>
    </row>
    <row r="712" spans="1:5" x14ac:dyDescent="0.25">
      <c r="A712" s="4">
        <v>24810</v>
      </c>
      <c r="B712" s="4" t="s">
        <v>45</v>
      </c>
      <c r="C712" s="5">
        <v>45300</v>
      </c>
      <c r="D712" s="4">
        <v>25.3</v>
      </c>
      <c r="E712" s="4">
        <v>8.1999999999999993</v>
      </c>
    </row>
    <row r="713" spans="1:5" x14ac:dyDescent="0.25">
      <c r="A713" s="4">
        <v>24810</v>
      </c>
      <c r="B713" s="4" t="s">
        <v>47</v>
      </c>
      <c r="C713" s="5">
        <v>45300</v>
      </c>
      <c r="D713" s="4">
        <v>26</v>
      </c>
      <c r="E713" s="4">
        <v>8.44</v>
      </c>
    </row>
    <row r="714" spans="1:5" x14ac:dyDescent="0.25">
      <c r="A714" s="4">
        <v>24810</v>
      </c>
      <c r="B714" s="4" t="s">
        <v>47</v>
      </c>
      <c r="C714" s="5">
        <v>45300</v>
      </c>
      <c r="D714" s="4">
        <v>9.6999999999999993</v>
      </c>
      <c r="E714" s="4">
        <v>3.15</v>
      </c>
    </row>
    <row r="715" spans="1:5" x14ac:dyDescent="0.25">
      <c r="A715" s="4">
        <v>24810</v>
      </c>
      <c r="B715" s="4" t="s">
        <v>47</v>
      </c>
      <c r="C715" s="5">
        <v>45300</v>
      </c>
      <c r="D715" s="4">
        <v>9.6999999999999993</v>
      </c>
      <c r="E715" s="4">
        <v>3.15</v>
      </c>
    </row>
    <row r="716" spans="1:5" x14ac:dyDescent="0.25">
      <c r="A716" s="4">
        <v>24810</v>
      </c>
      <c r="B716" s="4" t="s">
        <v>47</v>
      </c>
      <c r="C716" s="5">
        <v>45300</v>
      </c>
      <c r="D716" s="4">
        <v>9.6999999999999993</v>
      </c>
      <c r="E716" s="4">
        <v>3.15</v>
      </c>
    </row>
    <row r="717" spans="1:5" x14ac:dyDescent="0.25">
      <c r="A717" s="4">
        <v>24810</v>
      </c>
      <c r="B717" s="4" t="s">
        <v>47</v>
      </c>
      <c r="C717" s="5">
        <v>45300</v>
      </c>
      <c r="D717" s="4">
        <v>9.6999999999999993</v>
      </c>
      <c r="E717" s="4">
        <v>3.15</v>
      </c>
    </row>
    <row r="718" spans="1:5" x14ac:dyDescent="0.25">
      <c r="A718" s="4">
        <v>24810</v>
      </c>
      <c r="B718" s="4" t="s">
        <v>47</v>
      </c>
      <c r="C718" s="5">
        <v>45300</v>
      </c>
      <c r="D718" s="4">
        <v>9.6999999999999993</v>
      </c>
      <c r="E718" s="4">
        <v>3.15</v>
      </c>
    </row>
    <row r="719" spans="1:5" x14ac:dyDescent="0.25">
      <c r="A719" s="4">
        <v>24810</v>
      </c>
      <c r="B719" s="4" t="s">
        <v>47</v>
      </c>
      <c r="C719" s="5">
        <v>45300</v>
      </c>
      <c r="D719" s="4">
        <v>9.6999999999999993</v>
      </c>
      <c r="E719" s="4">
        <v>3.15</v>
      </c>
    </row>
    <row r="720" spans="1:5" x14ac:dyDescent="0.25">
      <c r="A720" s="4">
        <v>24810</v>
      </c>
      <c r="B720" s="4" t="s">
        <v>47</v>
      </c>
      <c r="C720" s="5">
        <v>45300</v>
      </c>
      <c r="D720" s="4">
        <v>14</v>
      </c>
      <c r="E720" s="4">
        <v>4.54</v>
      </c>
    </row>
    <row r="721" spans="1:5" x14ac:dyDescent="0.25">
      <c r="A721" s="4">
        <v>24810</v>
      </c>
      <c r="B721" s="4" t="s">
        <v>39</v>
      </c>
      <c r="C721" s="5">
        <v>45300</v>
      </c>
      <c r="D721" s="4">
        <v>1.2</v>
      </c>
      <c r="E721" s="4">
        <v>0.41</v>
      </c>
    </row>
    <row r="722" spans="1:5" x14ac:dyDescent="0.25">
      <c r="A722" s="4">
        <v>24810</v>
      </c>
      <c r="B722" s="4" t="s">
        <v>39</v>
      </c>
      <c r="C722" s="5">
        <v>45300</v>
      </c>
      <c r="D722" s="4">
        <v>15.4</v>
      </c>
      <c r="E722" s="4">
        <v>5.31</v>
      </c>
    </row>
    <row r="723" spans="1:5" x14ac:dyDescent="0.25">
      <c r="A723" s="4">
        <v>24810</v>
      </c>
      <c r="B723" s="4" t="s">
        <v>39</v>
      </c>
      <c r="C723" s="5">
        <v>45300</v>
      </c>
      <c r="D723" s="4">
        <v>3.5</v>
      </c>
      <c r="E723" s="4">
        <v>1.21</v>
      </c>
    </row>
    <row r="724" spans="1:5" x14ac:dyDescent="0.25">
      <c r="A724" s="4">
        <v>24810</v>
      </c>
      <c r="B724" s="4" t="s">
        <v>39</v>
      </c>
      <c r="C724" s="5">
        <v>45300</v>
      </c>
      <c r="D724" s="4">
        <v>10.5</v>
      </c>
      <c r="E724" s="4">
        <v>3.59</v>
      </c>
    </row>
    <row r="725" spans="1:5" x14ac:dyDescent="0.25">
      <c r="A725" s="4">
        <v>24810</v>
      </c>
      <c r="B725" s="4" t="s">
        <v>39</v>
      </c>
      <c r="C725" s="5">
        <v>45300</v>
      </c>
      <c r="D725" s="4">
        <v>15.4</v>
      </c>
      <c r="E725" s="4">
        <v>5.31</v>
      </c>
    </row>
    <row r="726" spans="1:5" x14ac:dyDescent="0.25">
      <c r="A726" s="4">
        <v>24810</v>
      </c>
      <c r="B726" s="4" t="s">
        <v>39</v>
      </c>
      <c r="C726" s="5">
        <v>45300</v>
      </c>
      <c r="D726" s="4">
        <v>14.5</v>
      </c>
      <c r="E726" s="4">
        <v>4.99</v>
      </c>
    </row>
    <row r="727" spans="1:5" x14ac:dyDescent="0.25">
      <c r="A727" s="4">
        <v>24810</v>
      </c>
      <c r="B727" s="4" t="s">
        <v>39</v>
      </c>
      <c r="C727" s="5">
        <v>45300</v>
      </c>
      <c r="D727" s="4">
        <v>13.9</v>
      </c>
      <c r="E727" s="4">
        <v>4.78</v>
      </c>
    </row>
    <row r="728" spans="1:5" x14ac:dyDescent="0.25">
      <c r="A728" s="4">
        <v>24810</v>
      </c>
      <c r="B728" s="4" t="s">
        <v>39</v>
      </c>
      <c r="C728" s="5">
        <v>45300</v>
      </c>
      <c r="D728" s="4">
        <v>28.8</v>
      </c>
      <c r="E728" s="4">
        <v>10.039999999999999</v>
      </c>
    </row>
    <row r="729" spans="1:5" x14ac:dyDescent="0.25">
      <c r="A729" s="4">
        <v>24810</v>
      </c>
      <c r="B729" s="4" t="s">
        <v>39</v>
      </c>
      <c r="C729" s="5">
        <v>45300</v>
      </c>
      <c r="D729" s="4">
        <v>30.2</v>
      </c>
      <c r="E729" s="4">
        <v>10.49</v>
      </c>
    </row>
    <row r="730" spans="1:5" x14ac:dyDescent="0.25">
      <c r="A730" s="4">
        <v>24810</v>
      </c>
      <c r="B730" s="4" t="s">
        <v>39</v>
      </c>
      <c r="C730" s="5">
        <v>45300</v>
      </c>
      <c r="D730" s="4">
        <v>0.9</v>
      </c>
      <c r="E730" s="4">
        <v>0.31</v>
      </c>
    </row>
    <row r="731" spans="1:5" x14ac:dyDescent="0.25">
      <c r="A731" s="4">
        <v>24810</v>
      </c>
      <c r="B731" s="4" t="s">
        <v>40</v>
      </c>
      <c r="C731" s="5">
        <v>45300</v>
      </c>
      <c r="D731" s="4">
        <v>22.6</v>
      </c>
      <c r="E731" s="4">
        <v>7.88</v>
      </c>
    </row>
    <row r="732" spans="1:5" x14ac:dyDescent="0.25">
      <c r="A732" s="4">
        <v>24810</v>
      </c>
      <c r="B732" s="4" t="s">
        <v>40</v>
      </c>
      <c r="C732" s="5">
        <v>45300</v>
      </c>
      <c r="D732" s="4">
        <v>22.6</v>
      </c>
      <c r="E732" s="4">
        <v>7.88</v>
      </c>
    </row>
    <row r="733" spans="1:5" x14ac:dyDescent="0.25">
      <c r="A733" s="4">
        <v>24810</v>
      </c>
      <c r="B733" s="4" t="s">
        <v>40</v>
      </c>
      <c r="C733" s="5">
        <v>45300</v>
      </c>
      <c r="D733" s="4">
        <v>22.6</v>
      </c>
      <c r="E733" s="4">
        <v>7.88</v>
      </c>
    </row>
    <row r="734" spans="1:5" x14ac:dyDescent="0.25">
      <c r="A734" s="4">
        <v>24810</v>
      </c>
      <c r="B734" s="4" t="s">
        <v>40</v>
      </c>
      <c r="C734" s="5">
        <v>45300</v>
      </c>
      <c r="D734" s="4">
        <v>22.6</v>
      </c>
      <c r="E734" s="4">
        <v>7.88</v>
      </c>
    </row>
    <row r="735" spans="1:5" x14ac:dyDescent="0.25">
      <c r="A735" s="4">
        <v>24810</v>
      </c>
      <c r="B735" s="4" t="s">
        <v>40</v>
      </c>
      <c r="C735" s="5">
        <v>45300</v>
      </c>
      <c r="D735" s="4">
        <v>22.6</v>
      </c>
      <c r="E735" s="4">
        <v>7.88</v>
      </c>
    </row>
    <row r="736" spans="1:5" x14ac:dyDescent="0.25">
      <c r="A736" s="4">
        <v>24810</v>
      </c>
      <c r="B736" s="4" t="s">
        <v>40</v>
      </c>
      <c r="C736" s="5">
        <v>45300</v>
      </c>
      <c r="D736" s="4">
        <v>22.6</v>
      </c>
      <c r="E736" s="4">
        <v>7.88</v>
      </c>
    </row>
    <row r="737" spans="1:5" x14ac:dyDescent="0.25">
      <c r="A737" s="4">
        <v>24810</v>
      </c>
      <c r="B737" s="4" t="s">
        <v>40</v>
      </c>
      <c r="C737" s="5">
        <v>45300</v>
      </c>
      <c r="D737" s="4">
        <v>22.6</v>
      </c>
      <c r="E737" s="4">
        <v>7.88</v>
      </c>
    </row>
    <row r="738" spans="1:5" x14ac:dyDescent="0.25">
      <c r="A738" s="4">
        <v>24810</v>
      </c>
      <c r="B738" s="4" t="s">
        <v>40</v>
      </c>
      <c r="C738" s="5">
        <v>45300</v>
      </c>
      <c r="D738" s="4">
        <v>22.6</v>
      </c>
      <c r="E738" s="4">
        <v>7.88</v>
      </c>
    </row>
    <row r="739" spans="1:5" x14ac:dyDescent="0.25">
      <c r="A739" s="4">
        <v>24810</v>
      </c>
      <c r="B739" s="4" t="s">
        <v>40</v>
      </c>
      <c r="C739" s="5">
        <v>45300</v>
      </c>
      <c r="D739" s="4">
        <v>22.6</v>
      </c>
      <c r="E739" s="4">
        <v>7.88</v>
      </c>
    </row>
    <row r="740" spans="1:5" x14ac:dyDescent="0.25">
      <c r="A740" s="4">
        <v>24810</v>
      </c>
      <c r="B740" s="4" t="s">
        <v>40</v>
      </c>
      <c r="C740" s="5">
        <v>45300</v>
      </c>
      <c r="D740" s="4">
        <v>22.6</v>
      </c>
      <c r="E740" s="4">
        <v>7.88</v>
      </c>
    </row>
    <row r="741" spans="1:5" x14ac:dyDescent="0.25">
      <c r="A741" s="4">
        <v>24810</v>
      </c>
      <c r="B741" s="4" t="s">
        <v>40</v>
      </c>
      <c r="C741" s="5">
        <v>45300</v>
      </c>
      <c r="D741" s="4">
        <v>22.6</v>
      </c>
      <c r="E741" s="4">
        <v>7.88</v>
      </c>
    </row>
    <row r="742" spans="1:5" x14ac:dyDescent="0.25">
      <c r="A742" s="4">
        <v>24810</v>
      </c>
      <c r="B742" s="4" t="s">
        <v>40</v>
      </c>
      <c r="C742" s="5">
        <v>45300</v>
      </c>
      <c r="D742" s="4">
        <v>22.6</v>
      </c>
      <c r="E742" s="4">
        <v>7.88</v>
      </c>
    </row>
    <row r="743" spans="1:5" x14ac:dyDescent="0.25">
      <c r="A743" s="4">
        <v>24810</v>
      </c>
      <c r="B743" s="4" t="s">
        <v>40</v>
      </c>
      <c r="C743" s="5">
        <v>45300</v>
      </c>
      <c r="D743" s="4">
        <v>22.6</v>
      </c>
      <c r="E743" s="4">
        <v>7.88</v>
      </c>
    </row>
    <row r="744" spans="1:5" x14ac:dyDescent="0.25">
      <c r="A744" s="4">
        <v>24810</v>
      </c>
      <c r="B744" s="4" t="s">
        <v>40</v>
      </c>
      <c r="C744" s="5">
        <v>45300</v>
      </c>
      <c r="D744" s="4">
        <v>22.6</v>
      </c>
      <c r="E744" s="4">
        <v>7.88</v>
      </c>
    </row>
    <row r="745" spans="1:5" x14ac:dyDescent="0.25">
      <c r="A745" s="4">
        <v>24810</v>
      </c>
      <c r="B745" s="4" t="s">
        <v>33</v>
      </c>
      <c r="C745" s="5">
        <v>45300</v>
      </c>
      <c r="D745" s="4">
        <v>19.100000000000001</v>
      </c>
      <c r="E745" s="4">
        <v>6.65</v>
      </c>
    </row>
    <row r="746" spans="1:5" x14ac:dyDescent="0.25">
      <c r="A746" s="4">
        <v>24810</v>
      </c>
      <c r="B746" s="4" t="s">
        <v>16</v>
      </c>
      <c r="C746" s="5">
        <v>45300</v>
      </c>
      <c r="D746" s="4">
        <v>27.9</v>
      </c>
      <c r="E746" s="4">
        <v>9.91</v>
      </c>
    </row>
    <row r="747" spans="1:5" x14ac:dyDescent="0.25">
      <c r="A747" s="4">
        <v>24810</v>
      </c>
      <c r="B747" s="4" t="s">
        <v>16</v>
      </c>
      <c r="C747" s="5">
        <v>45300</v>
      </c>
      <c r="D747" s="4">
        <v>22</v>
      </c>
      <c r="E747" s="4">
        <v>7.82</v>
      </c>
    </row>
    <row r="748" spans="1:5" x14ac:dyDescent="0.25">
      <c r="A748" s="4">
        <v>24810</v>
      </c>
      <c r="B748" s="4" t="s">
        <v>16</v>
      </c>
      <c r="C748" s="5">
        <v>45300</v>
      </c>
      <c r="D748" s="4">
        <v>8.8000000000000007</v>
      </c>
      <c r="E748" s="4">
        <v>3.13</v>
      </c>
    </row>
    <row r="749" spans="1:5" x14ac:dyDescent="0.25">
      <c r="A749" s="4">
        <v>24810</v>
      </c>
      <c r="B749" s="4" t="s">
        <v>16</v>
      </c>
      <c r="C749" s="5">
        <v>45300</v>
      </c>
      <c r="D749" s="4">
        <v>22.6</v>
      </c>
      <c r="E749" s="4">
        <v>8.7899999999999991</v>
      </c>
    </row>
    <row r="750" spans="1:5" x14ac:dyDescent="0.25">
      <c r="A750" s="4">
        <v>24810</v>
      </c>
      <c r="B750" s="4" t="s">
        <v>16</v>
      </c>
      <c r="C750" s="5">
        <v>45300</v>
      </c>
      <c r="D750" s="4">
        <v>22.6</v>
      </c>
      <c r="E750" s="4">
        <v>8.7899999999999991</v>
      </c>
    </row>
    <row r="751" spans="1:5" x14ac:dyDescent="0.25">
      <c r="A751" s="4">
        <v>24810</v>
      </c>
      <c r="B751" s="4" t="s">
        <v>15</v>
      </c>
      <c r="C751" s="5">
        <v>45301</v>
      </c>
      <c r="D751" s="4">
        <v>13.8</v>
      </c>
      <c r="E751" s="4">
        <v>4.47</v>
      </c>
    </row>
    <row r="752" spans="1:5" x14ac:dyDescent="0.25">
      <c r="A752" s="4">
        <v>24810</v>
      </c>
      <c r="B752" s="4" t="s">
        <v>15</v>
      </c>
      <c r="C752" s="5">
        <v>45301</v>
      </c>
      <c r="D752" s="4">
        <v>11.7</v>
      </c>
      <c r="E752" s="4">
        <v>3.79</v>
      </c>
    </row>
    <row r="753" spans="1:5" x14ac:dyDescent="0.25">
      <c r="A753" s="4">
        <v>24810</v>
      </c>
      <c r="B753" s="4" t="s">
        <v>15</v>
      </c>
      <c r="C753" s="5">
        <v>45301</v>
      </c>
      <c r="D753" s="4">
        <v>10.9</v>
      </c>
      <c r="E753" s="4">
        <v>3.53</v>
      </c>
    </row>
    <row r="754" spans="1:5" x14ac:dyDescent="0.25">
      <c r="A754" s="4">
        <v>24810</v>
      </c>
      <c r="B754" s="4" t="s">
        <v>15</v>
      </c>
      <c r="C754" s="5">
        <v>45301</v>
      </c>
      <c r="D754" s="4">
        <v>11.7</v>
      </c>
      <c r="E754" s="4">
        <v>3.79</v>
      </c>
    </row>
    <row r="755" spans="1:5" x14ac:dyDescent="0.25">
      <c r="A755" s="4">
        <v>24810</v>
      </c>
      <c r="B755" s="4" t="s">
        <v>15</v>
      </c>
      <c r="C755" s="5">
        <v>45301</v>
      </c>
      <c r="D755" s="4">
        <v>10.9</v>
      </c>
      <c r="E755" s="4">
        <v>3.53</v>
      </c>
    </row>
    <row r="756" spans="1:5" x14ac:dyDescent="0.25">
      <c r="A756" s="4">
        <v>24810</v>
      </c>
      <c r="B756" s="4" t="s">
        <v>15</v>
      </c>
      <c r="C756" s="5">
        <v>45301</v>
      </c>
      <c r="D756" s="4">
        <v>11.7</v>
      </c>
      <c r="E756" s="4">
        <v>3.79</v>
      </c>
    </row>
    <row r="757" spans="1:5" x14ac:dyDescent="0.25">
      <c r="A757" s="4">
        <v>24810</v>
      </c>
      <c r="B757" s="4" t="s">
        <v>15</v>
      </c>
      <c r="C757" s="5">
        <v>45301</v>
      </c>
      <c r="D757" s="4">
        <v>10.9</v>
      </c>
      <c r="E757" s="4">
        <v>3.53</v>
      </c>
    </row>
    <row r="758" spans="1:5" x14ac:dyDescent="0.25">
      <c r="A758" s="4">
        <v>24810</v>
      </c>
      <c r="B758" s="4" t="s">
        <v>15</v>
      </c>
      <c r="C758" s="5">
        <v>45301</v>
      </c>
      <c r="D758" s="4">
        <v>11.7</v>
      </c>
      <c r="E758" s="4">
        <v>3.79</v>
      </c>
    </row>
    <row r="759" spans="1:5" x14ac:dyDescent="0.25">
      <c r="A759" s="4">
        <v>24810</v>
      </c>
      <c r="B759" s="4" t="s">
        <v>15</v>
      </c>
      <c r="C759" s="5">
        <v>45301</v>
      </c>
      <c r="D759" s="4">
        <v>10.9</v>
      </c>
      <c r="E759" s="4">
        <v>3.53</v>
      </c>
    </row>
    <row r="760" spans="1:5" x14ac:dyDescent="0.25">
      <c r="A760" s="4">
        <v>24810</v>
      </c>
      <c r="B760" s="4" t="s">
        <v>15</v>
      </c>
      <c r="C760" s="5">
        <v>45301</v>
      </c>
      <c r="D760" s="4">
        <v>11.7</v>
      </c>
      <c r="E760" s="4">
        <v>3.79</v>
      </c>
    </row>
    <row r="761" spans="1:5" x14ac:dyDescent="0.25">
      <c r="A761" s="4">
        <v>24810</v>
      </c>
      <c r="B761" s="4" t="s">
        <v>15</v>
      </c>
      <c r="C761" s="5">
        <v>45301</v>
      </c>
      <c r="D761" s="4">
        <v>10.9</v>
      </c>
      <c r="E761" s="4">
        <v>3.53</v>
      </c>
    </row>
    <row r="762" spans="1:5" x14ac:dyDescent="0.25">
      <c r="A762" s="4">
        <v>24810</v>
      </c>
      <c r="B762" s="4" t="s">
        <v>15</v>
      </c>
      <c r="C762" s="5">
        <v>45301</v>
      </c>
      <c r="D762" s="4">
        <v>11.7</v>
      </c>
      <c r="E762" s="4">
        <v>3.79</v>
      </c>
    </row>
    <row r="763" spans="1:5" x14ac:dyDescent="0.25">
      <c r="A763" s="4">
        <v>24810</v>
      </c>
      <c r="B763" s="4" t="s">
        <v>15</v>
      </c>
      <c r="C763" s="5">
        <v>45301</v>
      </c>
      <c r="D763" s="4">
        <v>8.6999999999999993</v>
      </c>
      <c r="E763" s="4">
        <v>2.82</v>
      </c>
    </row>
    <row r="764" spans="1:5" x14ac:dyDescent="0.25">
      <c r="A764" s="4">
        <v>24810</v>
      </c>
      <c r="B764" s="4" t="s">
        <v>18</v>
      </c>
      <c r="C764" s="5">
        <v>45301</v>
      </c>
      <c r="D764" s="4">
        <v>27.9</v>
      </c>
      <c r="E764" s="4">
        <v>9.0299999999999994</v>
      </c>
    </row>
    <row r="765" spans="1:5" x14ac:dyDescent="0.25">
      <c r="A765" s="4">
        <v>24810</v>
      </c>
      <c r="B765" s="4" t="s">
        <v>18</v>
      </c>
      <c r="C765" s="5">
        <v>45301</v>
      </c>
      <c r="D765" s="4">
        <v>0.5</v>
      </c>
      <c r="E765" s="4">
        <v>0.16</v>
      </c>
    </row>
    <row r="766" spans="1:5" x14ac:dyDescent="0.25">
      <c r="A766" s="4">
        <v>24810</v>
      </c>
      <c r="B766" s="4" t="s">
        <v>18</v>
      </c>
      <c r="C766" s="5">
        <v>45301</v>
      </c>
      <c r="D766" s="4">
        <v>1</v>
      </c>
      <c r="E766" s="4">
        <v>0.32</v>
      </c>
    </row>
    <row r="767" spans="1:5" x14ac:dyDescent="0.25">
      <c r="A767" s="4">
        <v>24810</v>
      </c>
      <c r="B767" s="4" t="s">
        <v>18</v>
      </c>
      <c r="C767" s="5">
        <v>45301</v>
      </c>
      <c r="D767" s="4">
        <v>5.9</v>
      </c>
      <c r="E767" s="4">
        <v>1.9</v>
      </c>
    </row>
    <row r="768" spans="1:5" x14ac:dyDescent="0.25">
      <c r="A768" s="4">
        <v>24810</v>
      </c>
      <c r="B768" s="4" t="s">
        <v>18</v>
      </c>
      <c r="C768" s="5">
        <v>45301</v>
      </c>
      <c r="D768" s="4">
        <v>28.6</v>
      </c>
      <c r="E768" s="4">
        <v>9.2200000000000006</v>
      </c>
    </row>
    <row r="769" spans="1:5" x14ac:dyDescent="0.25">
      <c r="A769" s="4">
        <v>24810</v>
      </c>
      <c r="B769" s="4" t="s">
        <v>21</v>
      </c>
      <c r="C769" s="5">
        <v>45301</v>
      </c>
      <c r="D769" s="4">
        <v>22.4</v>
      </c>
      <c r="E769" s="4">
        <v>7.22</v>
      </c>
    </row>
    <row r="770" spans="1:5" x14ac:dyDescent="0.25">
      <c r="A770" s="4">
        <v>24810</v>
      </c>
      <c r="B770" s="4" t="s">
        <v>21</v>
      </c>
      <c r="C770" s="5">
        <v>45301</v>
      </c>
      <c r="D770" s="4">
        <v>6.9</v>
      </c>
      <c r="E770" s="4">
        <v>2.23</v>
      </c>
    </row>
    <row r="771" spans="1:5" x14ac:dyDescent="0.25">
      <c r="A771" s="4">
        <v>24810</v>
      </c>
      <c r="B771" s="4" t="s">
        <v>21</v>
      </c>
      <c r="C771" s="5">
        <v>45301</v>
      </c>
      <c r="D771" s="4">
        <v>28.9</v>
      </c>
      <c r="E771" s="4">
        <v>9.32</v>
      </c>
    </row>
    <row r="772" spans="1:5" x14ac:dyDescent="0.25">
      <c r="A772" s="4">
        <v>24810</v>
      </c>
      <c r="B772" s="4" t="s">
        <v>23</v>
      </c>
      <c r="C772" s="5">
        <v>45301</v>
      </c>
      <c r="D772" s="4">
        <v>13.8</v>
      </c>
      <c r="E772" s="4">
        <v>4.47</v>
      </c>
    </row>
    <row r="773" spans="1:5" x14ac:dyDescent="0.25">
      <c r="A773" s="4">
        <v>24810</v>
      </c>
      <c r="B773" s="4" t="s">
        <v>23</v>
      </c>
      <c r="C773" s="5">
        <v>45301</v>
      </c>
      <c r="D773" s="4">
        <v>11.7</v>
      </c>
      <c r="E773" s="4">
        <v>3.79</v>
      </c>
    </row>
    <row r="774" spans="1:5" x14ac:dyDescent="0.25">
      <c r="A774" s="4">
        <v>24810</v>
      </c>
      <c r="B774" s="4" t="s">
        <v>23</v>
      </c>
      <c r="C774" s="5">
        <v>45301</v>
      </c>
      <c r="D774" s="4">
        <v>10.9</v>
      </c>
      <c r="E774" s="4">
        <v>3.53</v>
      </c>
    </row>
    <row r="775" spans="1:5" x14ac:dyDescent="0.25">
      <c r="A775" s="4">
        <v>24810</v>
      </c>
      <c r="B775" s="4" t="s">
        <v>23</v>
      </c>
      <c r="C775" s="5">
        <v>45301</v>
      </c>
      <c r="D775" s="4">
        <v>10.5</v>
      </c>
      <c r="E775" s="4">
        <v>3.4</v>
      </c>
    </row>
    <row r="776" spans="1:5" x14ac:dyDescent="0.25">
      <c r="A776" s="4">
        <v>24810</v>
      </c>
      <c r="B776" s="4" t="s">
        <v>23</v>
      </c>
      <c r="C776" s="5">
        <v>45301</v>
      </c>
      <c r="D776" s="4">
        <v>10.9</v>
      </c>
      <c r="E776" s="4">
        <v>3.53</v>
      </c>
    </row>
    <row r="777" spans="1:5" x14ac:dyDescent="0.25">
      <c r="A777" s="4">
        <v>24810</v>
      </c>
      <c r="B777" s="4" t="s">
        <v>23</v>
      </c>
      <c r="C777" s="5">
        <v>45301</v>
      </c>
      <c r="D777" s="4">
        <v>11.7</v>
      </c>
      <c r="E777" s="4">
        <v>3.79</v>
      </c>
    </row>
    <row r="778" spans="1:5" x14ac:dyDescent="0.25">
      <c r="A778" s="4">
        <v>24810</v>
      </c>
      <c r="B778" s="4" t="s">
        <v>23</v>
      </c>
      <c r="C778" s="5">
        <v>45301</v>
      </c>
      <c r="D778" s="4">
        <v>10.9</v>
      </c>
      <c r="E778" s="4">
        <v>3.53</v>
      </c>
    </row>
    <row r="779" spans="1:5" x14ac:dyDescent="0.25">
      <c r="A779" s="4">
        <v>24810</v>
      </c>
      <c r="B779" s="4" t="s">
        <v>23</v>
      </c>
      <c r="C779" s="5">
        <v>45301</v>
      </c>
      <c r="D779" s="4">
        <v>11.7</v>
      </c>
      <c r="E779" s="4">
        <v>3.79</v>
      </c>
    </row>
    <row r="780" spans="1:5" x14ac:dyDescent="0.25">
      <c r="A780" s="4">
        <v>24810</v>
      </c>
      <c r="B780" s="4" t="s">
        <v>23</v>
      </c>
      <c r="C780" s="5">
        <v>45301</v>
      </c>
      <c r="D780" s="4">
        <v>10.9</v>
      </c>
      <c r="E780" s="4">
        <v>3.53</v>
      </c>
    </row>
    <row r="781" spans="1:5" x14ac:dyDescent="0.25">
      <c r="A781" s="4">
        <v>24810</v>
      </c>
      <c r="B781" s="4" t="s">
        <v>23</v>
      </c>
      <c r="C781" s="5">
        <v>45301</v>
      </c>
      <c r="D781" s="4">
        <v>11.7</v>
      </c>
      <c r="E781" s="4">
        <v>3.79</v>
      </c>
    </row>
    <row r="782" spans="1:5" x14ac:dyDescent="0.25">
      <c r="A782" s="4">
        <v>24810</v>
      </c>
      <c r="B782" s="4" t="s">
        <v>23</v>
      </c>
      <c r="C782" s="5">
        <v>45301</v>
      </c>
      <c r="D782" s="4">
        <v>10.9</v>
      </c>
      <c r="E782" s="4">
        <v>3.53</v>
      </c>
    </row>
    <row r="783" spans="1:5" x14ac:dyDescent="0.25">
      <c r="A783" s="4">
        <v>24810</v>
      </c>
      <c r="B783" s="4" t="s">
        <v>23</v>
      </c>
      <c r="C783" s="5">
        <v>45301</v>
      </c>
      <c r="D783" s="4">
        <v>11.7</v>
      </c>
      <c r="E783" s="4">
        <v>3.79</v>
      </c>
    </row>
    <row r="784" spans="1:5" x14ac:dyDescent="0.25">
      <c r="A784" s="4">
        <v>24810</v>
      </c>
      <c r="B784" s="4" t="s">
        <v>23</v>
      </c>
      <c r="C784" s="5">
        <v>45301</v>
      </c>
      <c r="D784" s="4">
        <v>10.9</v>
      </c>
      <c r="E784" s="4">
        <v>3.53</v>
      </c>
    </row>
    <row r="785" spans="1:5" x14ac:dyDescent="0.25">
      <c r="A785" s="4">
        <v>24810</v>
      </c>
      <c r="B785" s="4" t="s">
        <v>23</v>
      </c>
      <c r="C785" s="5">
        <v>45301</v>
      </c>
      <c r="D785" s="4">
        <v>11.7</v>
      </c>
      <c r="E785" s="4">
        <v>3.79</v>
      </c>
    </row>
    <row r="786" spans="1:5" x14ac:dyDescent="0.25">
      <c r="A786" s="4">
        <v>24810</v>
      </c>
      <c r="B786" s="4" t="s">
        <v>23</v>
      </c>
      <c r="C786" s="5">
        <v>45301</v>
      </c>
      <c r="D786" s="4">
        <v>8.6999999999999993</v>
      </c>
      <c r="E786" s="4">
        <v>2.82</v>
      </c>
    </row>
    <row r="787" spans="1:5" x14ac:dyDescent="0.25">
      <c r="A787" s="4">
        <v>24810</v>
      </c>
      <c r="B787" s="4" t="s">
        <v>24</v>
      </c>
      <c r="C787" s="5">
        <v>45301</v>
      </c>
      <c r="D787" s="4">
        <v>13.8</v>
      </c>
      <c r="E787" s="4">
        <v>4.47</v>
      </c>
    </row>
    <row r="788" spans="1:5" x14ac:dyDescent="0.25">
      <c r="A788" s="4">
        <v>24810</v>
      </c>
      <c r="B788" s="4" t="s">
        <v>24</v>
      </c>
      <c r="C788" s="5">
        <v>45301</v>
      </c>
      <c r="D788" s="4">
        <v>11.7</v>
      </c>
      <c r="E788" s="4">
        <v>3.79</v>
      </c>
    </row>
    <row r="789" spans="1:5" x14ac:dyDescent="0.25">
      <c r="A789" s="4">
        <v>24810</v>
      </c>
      <c r="B789" s="4" t="s">
        <v>24</v>
      </c>
      <c r="C789" s="5">
        <v>45301</v>
      </c>
      <c r="D789" s="4">
        <v>10.9</v>
      </c>
      <c r="E789" s="4">
        <v>3.53</v>
      </c>
    </row>
    <row r="790" spans="1:5" x14ac:dyDescent="0.25">
      <c r="A790" s="4">
        <v>24810</v>
      </c>
      <c r="B790" s="4" t="s">
        <v>24</v>
      </c>
      <c r="C790" s="5">
        <v>45301</v>
      </c>
      <c r="D790" s="4">
        <v>10.5</v>
      </c>
      <c r="E790" s="4">
        <v>3.4</v>
      </c>
    </row>
    <row r="791" spans="1:5" x14ac:dyDescent="0.25">
      <c r="A791" s="4">
        <v>24810</v>
      </c>
      <c r="B791" s="4" t="s">
        <v>24</v>
      </c>
      <c r="C791" s="5">
        <v>45301</v>
      </c>
      <c r="D791" s="4">
        <v>10.9</v>
      </c>
      <c r="E791" s="4">
        <v>3.53</v>
      </c>
    </row>
    <row r="792" spans="1:5" x14ac:dyDescent="0.25">
      <c r="A792" s="4">
        <v>24810</v>
      </c>
      <c r="B792" s="4" t="s">
        <v>24</v>
      </c>
      <c r="C792" s="5">
        <v>45301</v>
      </c>
      <c r="D792" s="4">
        <v>11.7</v>
      </c>
      <c r="E792" s="4">
        <v>3.79</v>
      </c>
    </row>
    <row r="793" spans="1:5" x14ac:dyDescent="0.25">
      <c r="A793" s="4">
        <v>24810</v>
      </c>
      <c r="B793" s="4" t="s">
        <v>24</v>
      </c>
      <c r="C793" s="5">
        <v>45301</v>
      </c>
      <c r="D793" s="4">
        <v>10.9</v>
      </c>
      <c r="E793" s="4">
        <v>3.53</v>
      </c>
    </row>
    <row r="794" spans="1:5" x14ac:dyDescent="0.25">
      <c r="A794" s="4">
        <v>24810</v>
      </c>
      <c r="B794" s="4" t="s">
        <v>24</v>
      </c>
      <c r="C794" s="5">
        <v>45301</v>
      </c>
      <c r="D794" s="4">
        <v>11.7</v>
      </c>
      <c r="E794" s="4">
        <v>3.79</v>
      </c>
    </row>
    <row r="795" spans="1:5" x14ac:dyDescent="0.25">
      <c r="A795" s="4">
        <v>24810</v>
      </c>
      <c r="B795" s="4" t="s">
        <v>24</v>
      </c>
      <c r="C795" s="5">
        <v>45301</v>
      </c>
      <c r="D795" s="4">
        <v>10.9</v>
      </c>
      <c r="E795" s="4">
        <v>3.53</v>
      </c>
    </row>
    <row r="796" spans="1:5" x14ac:dyDescent="0.25">
      <c r="A796" s="4">
        <v>24810</v>
      </c>
      <c r="B796" s="4" t="s">
        <v>24</v>
      </c>
      <c r="C796" s="5">
        <v>45301</v>
      </c>
      <c r="D796" s="4">
        <v>11.7</v>
      </c>
      <c r="E796" s="4">
        <v>3.79</v>
      </c>
    </row>
    <row r="797" spans="1:5" x14ac:dyDescent="0.25">
      <c r="A797" s="4">
        <v>24810</v>
      </c>
      <c r="B797" s="4" t="s">
        <v>24</v>
      </c>
      <c r="C797" s="5">
        <v>45301</v>
      </c>
      <c r="D797" s="4">
        <v>10.9</v>
      </c>
      <c r="E797" s="4">
        <v>3.53</v>
      </c>
    </row>
    <row r="798" spans="1:5" x14ac:dyDescent="0.25">
      <c r="A798" s="4">
        <v>24810</v>
      </c>
      <c r="B798" s="4" t="s">
        <v>24</v>
      </c>
      <c r="C798" s="5">
        <v>45301</v>
      </c>
      <c r="D798" s="4">
        <v>11.7</v>
      </c>
      <c r="E798" s="4">
        <v>3.79</v>
      </c>
    </row>
    <row r="799" spans="1:5" x14ac:dyDescent="0.25">
      <c r="A799" s="4">
        <v>24810</v>
      </c>
      <c r="B799" s="4" t="s">
        <v>24</v>
      </c>
      <c r="C799" s="5">
        <v>45301</v>
      </c>
      <c r="D799" s="4">
        <v>10.9</v>
      </c>
      <c r="E799" s="4">
        <v>3.53</v>
      </c>
    </row>
    <row r="800" spans="1:5" x14ac:dyDescent="0.25">
      <c r="A800" s="4">
        <v>24810</v>
      </c>
      <c r="B800" s="4" t="s">
        <v>24</v>
      </c>
      <c r="C800" s="5">
        <v>45301</v>
      </c>
      <c r="D800" s="4">
        <v>11.7</v>
      </c>
      <c r="E800" s="4">
        <v>3.79</v>
      </c>
    </row>
    <row r="801" spans="1:5" x14ac:dyDescent="0.25">
      <c r="A801" s="4">
        <v>24810</v>
      </c>
      <c r="B801" s="4" t="s">
        <v>24</v>
      </c>
      <c r="C801" s="5">
        <v>45301</v>
      </c>
      <c r="D801" s="4">
        <v>8.6999999999999993</v>
      </c>
      <c r="E801" s="4">
        <v>2.82</v>
      </c>
    </row>
    <row r="802" spans="1:5" x14ac:dyDescent="0.25">
      <c r="A802" s="4">
        <v>24810</v>
      </c>
      <c r="B802" s="4" t="s">
        <v>36</v>
      </c>
      <c r="C802" s="5">
        <v>45301</v>
      </c>
      <c r="D802" s="4">
        <v>13.8</v>
      </c>
      <c r="E802" s="4">
        <v>4.8099999999999996</v>
      </c>
    </row>
    <row r="803" spans="1:5" x14ac:dyDescent="0.25">
      <c r="A803" s="4">
        <v>24810</v>
      </c>
      <c r="B803" s="4" t="s">
        <v>36</v>
      </c>
      <c r="C803" s="5">
        <v>45301</v>
      </c>
      <c r="D803" s="4">
        <v>3.3</v>
      </c>
      <c r="E803" s="4">
        <v>1.1299999999999999</v>
      </c>
    </row>
    <row r="804" spans="1:5" x14ac:dyDescent="0.25">
      <c r="A804" s="4">
        <v>24810</v>
      </c>
      <c r="B804" s="4" t="s">
        <v>36</v>
      </c>
      <c r="C804" s="5">
        <v>45301</v>
      </c>
      <c r="D804" s="4">
        <v>15.2</v>
      </c>
      <c r="E804" s="4">
        <v>5.26</v>
      </c>
    </row>
    <row r="805" spans="1:5" x14ac:dyDescent="0.25">
      <c r="A805" s="4">
        <v>24810</v>
      </c>
      <c r="B805" s="4" t="s">
        <v>36</v>
      </c>
      <c r="C805" s="5">
        <v>45301</v>
      </c>
      <c r="D805" s="4">
        <v>2</v>
      </c>
      <c r="E805" s="4">
        <v>0.68</v>
      </c>
    </row>
    <row r="806" spans="1:5" x14ac:dyDescent="0.25">
      <c r="A806" s="4">
        <v>24810</v>
      </c>
      <c r="B806" s="4" t="s">
        <v>36</v>
      </c>
      <c r="C806" s="5">
        <v>45301</v>
      </c>
      <c r="D806" s="4">
        <v>2.9</v>
      </c>
      <c r="E806" s="4">
        <v>0.99</v>
      </c>
    </row>
    <row r="807" spans="1:5" x14ac:dyDescent="0.25">
      <c r="A807" s="4">
        <v>24810</v>
      </c>
      <c r="B807" s="4" t="s">
        <v>36</v>
      </c>
      <c r="C807" s="5">
        <v>45301</v>
      </c>
      <c r="D807" s="4">
        <v>2.9</v>
      </c>
      <c r="E807" s="4">
        <v>0.99</v>
      </c>
    </row>
    <row r="808" spans="1:5" x14ac:dyDescent="0.25">
      <c r="A808" s="4">
        <v>24810</v>
      </c>
      <c r="B808" s="4" t="s">
        <v>36</v>
      </c>
      <c r="C808" s="5">
        <v>45301</v>
      </c>
      <c r="D808" s="4">
        <v>2</v>
      </c>
      <c r="E808" s="4">
        <v>0.68</v>
      </c>
    </row>
    <row r="809" spans="1:5" x14ac:dyDescent="0.25">
      <c r="A809" s="4">
        <v>24810</v>
      </c>
      <c r="B809" s="4" t="s">
        <v>36</v>
      </c>
      <c r="C809" s="5">
        <v>45301</v>
      </c>
      <c r="D809" s="4">
        <v>15.2</v>
      </c>
      <c r="E809" s="4">
        <v>5.26</v>
      </c>
    </row>
    <row r="810" spans="1:5" x14ac:dyDescent="0.25">
      <c r="A810" s="4">
        <v>24810</v>
      </c>
      <c r="B810" s="4" t="s">
        <v>36</v>
      </c>
      <c r="C810" s="5">
        <v>45301</v>
      </c>
      <c r="D810" s="4">
        <v>3.3</v>
      </c>
      <c r="E810" s="4">
        <v>1.1299999999999999</v>
      </c>
    </row>
    <row r="811" spans="1:5" x14ac:dyDescent="0.25">
      <c r="A811" s="4">
        <v>24810</v>
      </c>
      <c r="B811" s="4" t="s">
        <v>36</v>
      </c>
      <c r="C811" s="5">
        <v>45301</v>
      </c>
      <c r="D811" s="4">
        <v>2</v>
      </c>
      <c r="E811" s="4">
        <v>0.68</v>
      </c>
    </row>
    <row r="812" spans="1:5" x14ac:dyDescent="0.25">
      <c r="A812" s="4">
        <v>24810</v>
      </c>
      <c r="B812" s="4" t="s">
        <v>36</v>
      </c>
      <c r="C812" s="5">
        <v>45301</v>
      </c>
      <c r="D812" s="4">
        <v>15.2</v>
      </c>
      <c r="E812" s="4">
        <v>5.26</v>
      </c>
    </row>
    <row r="813" spans="1:5" x14ac:dyDescent="0.25">
      <c r="A813" s="4">
        <v>24810</v>
      </c>
      <c r="B813" s="4" t="s">
        <v>36</v>
      </c>
      <c r="C813" s="5">
        <v>45301</v>
      </c>
      <c r="D813" s="4">
        <v>2</v>
      </c>
      <c r="E813" s="4">
        <v>0.68</v>
      </c>
    </row>
    <row r="814" spans="1:5" x14ac:dyDescent="0.25">
      <c r="A814" s="4">
        <v>24810</v>
      </c>
      <c r="B814" s="4" t="s">
        <v>36</v>
      </c>
      <c r="C814" s="5">
        <v>45301</v>
      </c>
      <c r="D814" s="4">
        <v>2.9</v>
      </c>
      <c r="E814" s="4">
        <v>0.99</v>
      </c>
    </row>
    <row r="815" spans="1:5" x14ac:dyDescent="0.25">
      <c r="A815" s="4">
        <v>24810</v>
      </c>
      <c r="B815" s="4" t="s">
        <v>36</v>
      </c>
      <c r="C815" s="5">
        <v>45301</v>
      </c>
      <c r="D815" s="4">
        <v>2.9</v>
      </c>
      <c r="E815" s="4">
        <v>0.99</v>
      </c>
    </row>
    <row r="816" spans="1:5" x14ac:dyDescent="0.25">
      <c r="A816" s="4">
        <v>24810</v>
      </c>
      <c r="B816" s="4" t="s">
        <v>36</v>
      </c>
      <c r="C816" s="5">
        <v>45301</v>
      </c>
      <c r="D816" s="4">
        <v>2.8</v>
      </c>
      <c r="E816" s="4">
        <v>0.96</v>
      </c>
    </row>
    <row r="817" spans="1:5" x14ac:dyDescent="0.25">
      <c r="A817" s="4">
        <v>24810</v>
      </c>
      <c r="B817" s="4" t="s">
        <v>36</v>
      </c>
      <c r="C817" s="5">
        <v>45301</v>
      </c>
      <c r="D817" s="4">
        <v>15.2</v>
      </c>
      <c r="E817" s="4">
        <v>5.26</v>
      </c>
    </row>
    <row r="818" spans="1:5" x14ac:dyDescent="0.25">
      <c r="A818" s="4">
        <v>24810</v>
      </c>
      <c r="B818" s="4" t="s">
        <v>36</v>
      </c>
      <c r="C818" s="5">
        <v>45301</v>
      </c>
      <c r="D818" s="4">
        <v>2</v>
      </c>
      <c r="E818" s="4">
        <v>0.68</v>
      </c>
    </row>
    <row r="819" spans="1:5" x14ac:dyDescent="0.25">
      <c r="A819" s="4">
        <v>24810</v>
      </c>
      <c r="B819" s="4" t="s">
        <v>36</v>
      </c>
      <c r="C819" s="5">
        <v>45301</v>
      </c>
      <c r="D819" s="4">
        <v>2</v>
      </c>
      <c r="E819" s="4">
        <v>0.68</v>
      </c>
    </row>
    <row r="820" spans="1:5" x14ac:dyDescent="0.25">
      <c r="A820" s="4">
        <v>24810</v>
      </c>
      <c r="B820" s="4" t="s">
        <v>36</v>
      </c>
      <c r="C820" s="5">
        <v>45301</v>
      </c>
      <c r="D820" s="4">
        <v>15.2</v>
      </c>
      <c r="E820" s="4">
        <v>5.26</v>
      </c>
    </row>
    <row r="821" spans="1:5" x14ac:dyDescent="0.25">
      <c r="A821" s="4">
        <v>24810</v>
      </c>
      <c r="B821" s="4" t="s">
        <v>36</v>
      </c>
      <c r="C821" s="5">
        <v>45301</v>
      </c>
      <c r="D821" s="4">
        <v>2</v>
      </c>
      <c r="E821" s="4">
        <v>0.68</v>
      </c>
    </row>
    <row r="822" spans="1:5" x14ac:dyDescent="0.25">
      <c r="A822" s="4">
        <v>24810</v>
      </c>
      <c r="B822" s="4" t="s">
        <v>36</v>
      </c>
      <c r="C822" s="5">
        <v>45301</v>
      </c>
      <c r="D822" s="4">
        <v>2.9</v>
      </c>
      <c r="E822" s="4">
        <v>0.99</v>
      </c>
    </row>
    <row r="823" spans="1:5" x14ac:dyDescent="0.25">
      <c r="A823" s="4">
        <v>24810</v>
      </c>
      <c r="B823" s="4" t="s">
        <v>36</v>
      </c>
      <c r="C823" s="5">
        <v>45301</v>
      </c>
      <c r="D823" s="4">
        <v>2.9</v>
      </c>
      <c r="E823" s="4">
        <v>0.99</v>
      </c>
    </row>
    <row r="824" spans="1:5" x14ac:dyDescent="0.25">
      <c r="A824" s="4">
        <v>24810</v>
      </c>
      <c r="B824" s="4" t="s">
        <v>36</v>
      </c>
      <c r="C824" s="5">
        <v>45301</v>
      </c>
      <c r="D824" s="4">
        <v>2</v>
      </c>
      <c r="E824" s="4">
        <v>0.68</v>
      </c>
    </row>
    <row r="825" spans="1:5" x14ac:dyDescent="0.25">
      <c r="A825" s="4">
        <v>24810</v>
      </c>
      <c r="B825" s="4" t="s">
        <v>36</v>
      </c>
      <c r="C825" s="5">
        <v>45301</v>
      </c>
      <c r="D825" s="4">
        <v>9.8000000000000007</v>
      </c>
      <c r="E825" s="4">
        <v>3.37</v>
      </c>
    </row>
    <row r="826" spans="1:5" x14ac:dyDescent="0.25">
      <c r="A826" s="4">
        <v>24810</v>
      </c>
      <c r="B826" s="4" t="s">
        <v>36</v>
      </c>
      <c r="C826" s="5">
        <v>45301</v>
      </c>
      <c r="D826" s="4">
        <v>8.6999999999999993</v>
      </c>
      <c r="E826" s="4">
        <v>3.03</v>
      </c>
    </row>
    <row r="827" spans="1:5" x14ac:dyDescent="0.25">
      <c r="A827" s="4">
        <v>24810</v>
      </c>
      <c r="B827" s="4" t="s">
        <v>25</v>
      </c>
      <c r="C827" s="5">
        <v>45301</v>
      </c>
      <c r="D827" s="4">
        <v>15.4</v>
      </c>
      <c r="E827" s="4">
        <v>5.35</v>
      </c>
    </row>
    <row r="828" spans="1:5" x14ac:dyDescent="0.25">
      <c r="A828" s="4">
        <v>24810</v>
      </c>
      <c r="B828" s="4" t="s">
        <v>25</v>
      </c>
      <c r="C828" s="5">
        <v>45301</v>
      </c>
      <c r="D828" s="4">
        <v>16.899999999999999</v>
      </c>
      <c r="E828" s="4">
        <v>5.89</v>
      </c>
    </row>
    <row r="829" spans="1:5" x14ac:dyDescent="0.25">
      <c r="A829" s="4">
        <v>24810</v>
      </c>
      <c r="B829" s="4" t="s">
        <v>25</v>
      </c>
      <c r="C829" s="5">
        <v>45301</v>
      </c>
      <c r="D829" s="4">
        <v>16.899999999999999</v>
      </c>
      <c r="E829" s="4">
        <v>5.89</v>
      </c>
    </row>
    <row r="830" spans="1:5" x14ac:dyDescent="0.25">
      <c r="A830" s="4">
        <v>24810</v>
      </c>
      <c r="B830" s="4" t="s">
        <v>25</v>
      </c>
      <c r="C830" s="5">
        <v>45301</v>
      </c>
      <c r="D830" s="4">
        <v>16.899999999999999</v>
      </c>
      <c r="E830" s="4">
        <v>5.89</v>
      </c>
    </row>
    <row r="831" spans="1:5" x14ac:dyDescent="0.25">
      <c r="A831" s="4">
        <v>24810</v>
      </c>
      <c r="B831" s="4" t="s">
        <v>25</v>
      </c>
      <c r="C831" s="5">
        <v>45301</v>
      </c>
      <c r="D831" s="4">
        <v>16.899999999999999</v>
      </c>
      <c r="E831" s="4">
        <v>5.89</v>
      </c>
    </row>
    <row r="832" spans="1:5" x14ac:dyDescent="0.25">
      <c r="A832" s="4">
        <v>24810</v>
      </c>
      <c r="B832" s="4" t="s">
        <v>25</v>
      </c>
      <c r="C832" s="5">
        <v>45301</v>
      </c>
      <c r="D832" s="4">
        <v>16.899999999999999</v>
      </c>
      <c r="E832" s="4">
        <v>5.89</v>
      </c>
    </row>
    <row r="833" spans="1:5" x14ac:dyDescent="0.25">
      <c r="A833" s="4">
        <v>24810</v>
      </c>
      <c r="B833" s="4" t="s">
        <v>25</v>
      </c>
      <c r="C833" s="5">
        <v>45301</v>
      </c>
      <c r="D833" s="4">
        <v>16.899999999999999</v>
      </c>
      <c r="E833" s="4">
        <v>5.89</v>
      </c>
    </row>
    <row r="834" spans="1:5" x14ac:dyDescent="0.25">
      <c r="A834" s="4">
        <v>24810</v>
      </c>
      <c r="B834" s="4" t="s">
        <v>25</v>
      </c>
      <c r="C834" s="5">
        <v>45301</v>
      </c>
      <c r="D834" s="4">
        <v>13.3</v>
      </c>
      <c r="E834" s="4">
        <v>4.6399999999999997</v>
      </c>
    </row>
    <row r="835" spans="1:5" x14ac:dyDescent="0.25">
      <c r="A835" s="4">
        <v>24810</v>
      </c>
      <c r="B835" s="4" t="s">
        <v>25</v>
      </c>
      <c r="C835" s="5">
        <v>45301</v>
      </c>
      <c r="D835" s="4">
        <v>16.899999999999999</v>
      </c>
      <c r="E835" s="4">
        <v>5.89</v>
      </c>
    </row>
    <row r="836" spans="1:5" x14ac:dyDescent="0.25">
      <c r="A836" s="4">
        <v>24810</v>
      </c>
      <c r="B836" s="4" t="s">
        <v>25</v>
      </c>
      <c r="C836" s="5">
        <v>45301</v>
      </c>
      <c r="D836" s="4">
        <v>16.899999999999999</v>
      </c>
      <c r="E836" s="4">
        <v>5.89</v>
      </c>
    </row>
    <row r="837" spans="1:5" x14ac:dyDescent="0.25">
      <c r="A837" s="4">
        <v>24810</v>
      </c>
      <c r="B837" s="4" t="s">
        <v>25</v>
      </c>
      <c r="C837" s="5">
        <v>45301</v>
      </c>
      <c r="D837" s="4">
        <v>18.7</v>
      </c>
      <c r="E837" s="4">
        <v>6.52</v>
      </c>
    </row>
    <row r="838" spans="1:5" x14ac:dyDescent="0.25">
      <c r="A838" s="4">
        <v>24810</v>
      </c>
      <c r="B838" s="4" t="s">
        <v>29</v>
      </c>
      <c r="C838" s="5">
        <v>45301</v>
      </c>
      <c r="D838" s="4">
        <v>24.8</v>
      </c>
      <c r="E838" s="4">
        <v>8.6</v>
      </c>
    </row>
    <row r="839" spans="1:5" x14ac:dyDescent="0.25">
      <c r="A839" s="4">
        <v>24810</v>
      </c>
      <c r="B839" s="4" t="s">
        <v>29</v>
      </c>
      <c r="C839" s="5">
        <v>45301</v>
      </c>
      <c r="D839" s="4">
        <v>31.5</v>
      </c>
      <c r="E839" s="4">
        <v>10.97</v>
      </c>
    </row>
    <row r="840" spans="1:5" x14ac:dyDescent="0.25">
      <c r="A840" s="4">
        <v>24810</v>
      </c>
      <c r="B840" s="4" t="s">
        <v>29</v>
      </c>
      <c r="C840" s="5">
        <v>45301</v>
      </c>
      <c r="D840" s="4">
        <v>17.8</v>
      </c>
      <c r="E840" s="4">
        <v>6.21</v>
      </c>
    </row>
    <row r="841" spans="1:5" x14ac:dyDescent="0.25">
      <c r="A841" s="4">
        <v>24810</v>
      </c>
      <c r="B841" s="4" t="s">
        <v>29</v>
      </c>
      <c r="C841" s="5">
        <v>45301</v>
      </c>
      <c r="D841" s="4">
        <v>15.8</v>
      </c>
      <c r="E841" s="4">
        <v>5.5</v>
      </c>
    </row>
    <row r="842" spans="1:5" x14ac:dyDescent="0.25">
      <c r="A842" s="4">
        <v>24810</v>
      </c>
      <c r="B842" s="4" t="s">
        <v>29</v>
      </c>
      <c r="C842" s="5">
        <v>45301</v>
      </c>
      <c r="D842" s="4">
        <v>31.3</v>
      </c>
      <c r="E842" s="4">
        <v>10.86</v>
      </c>
    </row>
    <row r="843" spans="1:5" x14ac:dyDescent="0.25">
      <c r="A843" s="4">
        <v>24810</v>
      </c>
      <c r="B843" s="4" t="s">
        <v>29</v>
      </c>
      <c r="C843" s="5">
        <v>45301</v>
      </c>
      <c r="D843" s="4">
        <v>15.4</v>
      </c>
      <c r="E843" s="4">
        <v>5.31</v>
      </c>
    </row>
    <row r="844" spans="1:5" x14ac:dyDescent="0.25">
      <c r="A844" s="4">
        <v>24810</v>
      </c>
      <c r="B844" s="4" t="s">
        <v>29</v>
      </c>
      <c r="C844" s="5">
        <v>45301</v>
      </c>
      <c r="D844" s="4">
        <v>15.5</v>
      </c>
      <c r="E844" s="4">
        <v>5.33</v>
      </c>
    </row>
    <row r="845" spans="1:5" x14ac:dyDescent="0.25">
      <c r="A845" s="4">
        <v>24810</v>
      </c>
      <c r="B845" s="4" t="s">
        <v>29</v>
      </c>
      <c r="C845" s="5">
        <v>45301</v>
      </c>
      <c r="D845" s="4">
        <v>15.4</v>
      </c>
      <c r="E845" s="4">
        <v>5.31</v>
      </c>
    </row>
    <row r="846" spans="1:5" x14ac:dyDescent="0.25">
      <c r="A846" s="4">
        <v>24810</v>
      </c>
      <c r="B846" s="4" t="s">
        <v>29</v>
      </c>
      <c r="C846" s="5">
        <v>45301</v>
      </c>
      <c r="D846" s="4">
        <v>14</v>
      </c>
      <c r="E846" s="4">
        <v>4.8</v>
      </c>
    </row>
    <row r="847" spans="1:5" x14ac:dyDescent="0.25">
      <c r="A847" s="4">
        <v>24810</v>
      </c>
      <c r="B847" s="4" t="s">
        <v>29</v>
      </c>
      <c r="C847" s="5">
        <v>45301</v>
      </c>
      <c r="D847" s="4">
        <v>15.4</v>
      </c>
      <c r="E847" s="4">
        <v>5.31</v>
      </c>
    </row>
    <row r="848" spans="1:5" x14ac:dyDescent="0.25">
      <c r="A848" s="4">
        <v>24810</v>
      </c>
      <c r="B848" s="4" t="s">
        <v>29</v>
      </c>
      <c r="C848" s="5">
        <v>45301</v>
      </c>
      <c r="D848" s="4">
        <v>29.1</v>
      </c>
      <c r="E848" s="4">
        <v>10.14</v>
      </c>
    </row>
    <row r="849" spans="1:5" x14ac:dyDescent="0.25">
      <c r="A849" s="4">
        <v>24810</v>
      </c>
      <c r="B849" s="4" t="s">
        <v>30</v>
      </c>
      <c r="C849" s="5">
        <v>45301</v>
      </c>
      <c r="D849" s="4">
        <v>13.8</v>
      </c>
      <c r="E849" s="4">
        <v>4.8099999999999996</v>
      </c>
    </row>
    <row r="850" spans="1:5" x14ac:dyDescent="0.25">
      <c r="A850" s="4">
        <v>24810</v>
      </c>
      <c r="B850" s="4" t="s">
        <v>30</v>
      </c>
      <c r="C850" s="5">
        <v>45301</v>
      </c>
      <c r="D850" s="4">
        <v>3.3</v>
      </c>
      <c r="E850" s="4">
        <v>1.1299999999999999</v>
      </c>
    </row>
    <row r="851" spans="1:5" x14ac:dyDescent="0.25">
      <c r="A851" s="4">
        <v>24810</v>
      </c>
      <c r="B851" s="4" t="s">
        <v>30</v>
      </c>
      <c r="C851" s="5">
        <v>45301</v>
      </c>
      <c r="D851" s="4">
        <v>15.2</v>
      </c>
      <c r="E851" s="4">
        <v>5.26</v>
      </c>
    </row>
    <row r="852" spans="1:5" x14ac:dyDescent="0.25">
      <c r="A852" s="4">
        <v>24810</v>
      </c>
      <c r="B852" s="4" t="s">
        <v>30</v>
      </c>
      <c r="C852" s="5">
        <v>45301</v>
      </c>
      <c r="D852" s="4">
        <v>2</v>
      </c>
      <c r="E852" s="4">
        <v>0.68</v>
      </c>
    </row>
    <row r="853" spans="1:5" x14ac:dyDescent="0.25">
      <c r="A853" s="4">
        <v>24810</v>
      </c>
      <c r="B853" s="4" t="s">
        <v>30</v>
      </c>
      <c r="C853" s="5">
        <v>45301</v>
      </c>
      <c r="D853" s="4">
        <v>2.9</v>
      </c>
      <c r="E853" s="4">
        <v>0.99</v>
      </c>
    </row>
    <row r="854" spans="1:5" x14ac:dyDescent="0.25">
      <c r="A854" s="4">
        <v>24810</v>
      </c>
      <c r="B854" s="4" t="s">
        <v>30</v>
      </c>
      <c r="C854" s="5">
        <v>45301</v>
      </c>
      <c r="D854" s="4">
        <v>2.9</v>
      </c>
      <c r="E854" s="4">
        <v>0.99</v>
      </c>
    </row>
    <row r="855" spans="1:5" x14ac:dyDescent="0.25">
      <c r="A855" s="4">
        <v>24810</v>
      </c>
      <c r="B855" s="4" t="s">
        <v>30</v>
      </c>
      <c r="C855" s="5">
        <v>45301</v>
      </c>
      <c r="D855" s="4">
        <v>2</v>
      </c>
      <c r="E855" s="4">
        <v>0.68</v>
      </c>
    </row>
    <row r="856" spans="1:5" x14ac:dyDescent="0.25">
      <c r="A856" s="4">
        <v>24810</v>
      </c>
      <c r="B856" s="4" t="s">
        <v>30</v>
      </c>
      <c r="C856" s="5">
        <v>45301</v>
      </c>
      <c r="D856" s="4">
        <v>15.2</v>
      </c>
      <c r="E856" s="4">
        <v>5.26</v>
      </c>
    </row>
    <row r="857" spans="1:5" x14ac:dyDescent="0.25">
      <c r="A857" s="4">
        <v>24810</v>
      </c>
      <c r="B857" s="4" t="s">
        <v>30</v>
      </c>
      <c r="C857" s="5">
        <v>45301</v>
      </c>
      <c r="D857" s="4">
        <v>3.3</v>
      </c>
      <c r="E857" s="4">
        <v>1.1299999999999999</v>
      </c>
    </row>
    <row r="858" spans="1:5" x14ac:dyDescent="0.25">
      <c r="A858" s="4">
        <v>24810</v>
      </c>
      <c r="B858" s="4" t="s">
        <v>30</v>
      </c>
      <c r="C858" s="5">
        <v>45301</v>
      </c>
      <c r="D858" s="4">
        <v>2</v>
      </c>
      <c r="E858" s="4">
        <v>0.68</v>
      </c>
    </row>
    <row r="859" spans="1:5" x14ac:dyDescent="0.25">
      <c r="A859" s="4">
        <v>24810</v>
      </c>
      <c r="B859" s="4" t="s">
        <v>30</v>
      </c>
      <c r="C859" s="5">
        <v>45301</v>
      </c>
      <c r="D859" s="4">
        <v>15.2</v>
      </c>
      <c r="E859" s="4">
        <v>5.26</v>
      </c>
    </row>
    <row r="860" spans="1:5" x14ac:dyDescent="0.25">
      <c r="A860" s="4">
        <v>24810</v>
      </c>
      <c r="B860" s="4" t="s">
        <v>30</v>
      </c>
      <c r="C860" s="5">
        <v>45301</v>
      </c>
      <c r="D860" s="4">
        <v>2</v>
      </c>
      <c r="E860" s="4">
        <v>0.68</v>
      </c>
    </row>
    <row r="861" spans="1:5" x14ac:dyDescent="0.25">
      <c r="A861" s="4">
        <v>24810</v>
      </c>
      <c r="B861" s="4" t="s">
        <v>30</v>
      </c>
      <c r="C861" s="5">
        <v>45301</v>
      </c>
      <c r="D861" s="4">
        <v>2.9</v>
      </c>
      <c r="E861" s="4">
        <v>0.99</v>
      </c>
    </row>
    <row r="862" spans="1:5" x14ac:dyDescent="0.25">
      <c r="A862" s="4">
        <v>24810</v>
      </c>
      <c r="B862" s="4" t="s">
        <v>30</v>
      </c>
      <c r="C862" s="5">
        <v>45301</v>
      </c>
      <c r="D862" s="4">
        <v>2.9</v>
      </c>
      <c r="E862" s="4">
        <v>0.99</v>
      </c>
    </row>
    <row r="863" spans="1:5" x14ac:dyDescent="0.25">
      <c r="A863" s="4">
        <v>24810</v>
      </c>
      <c r="B863" s="4" t="s">
        <v>30</v>
      </c>
      <c r="C863" s="5">
        <v>45301</v>
      </c>
      <c r="D863" s="4">
        <v>2</v>
      </c>
      <c r="E863" s="4">
        <v>0.68</v>
      </c>
    </row>
    <row r="864" spans="1:5" x14ac:dyDescent="0.25">
      <c r="A864" s="4">
        <v>24810</v>
      </c>
      <c r="B864" s="4" t="s">
        <v>30</v>
      </c>
      <c r="C864" s="5">
        <v>45301</v>
      </c>
      <c r="D864" s="4">
        <v>15.2</v>
      </c>
      <c r="E864" s="4">
        <v>5.26</v>
      </c>
    </row>
    <row r="865" spans="1:5" x14ac:dyDescent="0.25">
      <c r="A865" s="4">
        <v>24810</v>
      </c>
      <c r="B865" s="4" t="s">
        <v>30</v>
      </c>
      <c r="C865" s="5">
        <v>45301</v>
      </c>
      <c r="D865" s="4">
        <v>2</v>
      </c>
      <c r="E865" s="4">
        <v>0.68</v>
      </c>
    </row>
    <row r="866" spans="1:5" x14ac:dyDescent="0.25">
      <c r="A866" s="4">
        <v>24810</v>
      </c>
      <c r="B866" s="4" t="s">
        <v>30</v>
      </c>
      <c r="C866" s="5">
        <v>45301</v>
      </c>
      <c r="D866" s="4">
        <v>2</v>
      </c>
      <c r="E866" s="4">
        <v>0.68</v>
      </c>
    </row>
    <row r="867" spans="1:5" x14ac:dyDescent="0.25">
      <c r="A867" s="4">
        <v>24810</v>
      </c>
      <c r="B867" s="4" t="s">
        <v>30</v>
      </c>
      <c r="C867" s="5">
        <v>45301</v>
      </c>
      <c r="D867" s="4">
        <v>15.2</v>
      </c>
      <c r="E867" s="4">
        <v>5.26</v>
      </c>
    </row>
    <row r="868" spans="1:5" x14ac:dyDescent="0.25">
      <c r="A868" s="4">
        <v>24810</v>
      </c>
      <c r="B868" s="4" t="s">
        <v>30</v>
      </c>
      <c r="C868" s="5">
        <v>45301</v>
      </c>
      <c r="D868" s="4">
        <v>2</v>
      </c>
      <c r="E868" s="4">
        <v>0.68</v>
      </c>
    </row>
    <row r="869" spans="1:5" x14ac:dyDescent="0.25">
      <c r="A869" s="4">
        <v>24810</v>
      </c>
      <c r="B869" s="4" t="s">
        <v>30</v>
      </c>
      <c r="C869" s="5">
        <v>45301</v>
      </c>
      <c r="D869" s="4">
        <v>2.9</v>
      </c>
      <c r="E869" s="4">
        <v>0.99</v>
      </c>
    </row>
    <row r="870" spans="1:5" x14ac:dyDescent="0.25">
      <c r="A870" s="4">
        <v>24810</v>
      </c>
      <c r="B870" s="4" t="s">
        <v>30</v>
      </c>
      <c r="C870" s="5">
        <v>45301</v>
      </c>
      <c r="D870" s="4">
        <v>2.9</v>
      </c>
      <c r="E870" s="4">
        <v>0.99</v>
      </c>
    </row>
    <row r="871" spans="1:5" x14ac:dyDescent="0.25">
      <c r="A871" s="4">
        <v>24810</v>
      </c>
      <c r="B871" s="4" t="s">
        <v>30</v>
      </c>
      <c r="C871" s="5">
        <v>45301</v>
      </c>
      <c r="D871" s="4">
        <v>3.4</v>
      </c>
      <c r="E871" s="4">
        <v>1.1499999999999999</v>
      </c>
    </row>
    <row r="872" spans="1:5" x14ac:dyDescent="0.25">
      <c r="A872" s="4">
        <v>24810</v>
      </c>
      <c r="B872" s="4" t="s">
        <v>31</v>
      </c>
      <c r="C872" s="5">
        <v>45301</v>
      </c>
      <c r="D872" s="4">
        <v>31.8</v>
      </c>
      <c r="E872" s="4">
        <v>11.02</v>
      </c>
    </row>
    <row r="873" spans="1:5" x14ac:dyDescent="0.25">
      <c r="A873" s="4">
        <v>24810</v>
      </c>
      <c r="B873" s="4" t="s">
        <v>31</v>
      </c>
      <c r="C873" s="5">
        <v>45301</v>
      </c>
      <c r="D873" s="4">
        <v>30.6</v>
      </c>
      <c r="E873" s="4">
        <v>10.57</v>
      </c>
    </row>
    <row r="874" spans="1:5" x14ac:dyDescent="0.25">
      <c r="A874" s="4">
        <v>24810</v>
      </c>
      <c r="B874" s="4" t="s">
        <v>31</v>
      </c>
      <c r="C874" s="5">
        <v>45301</v>
      </c>
      <c r="D874" s="4">
        <v>2</v>
      </c>
      <c r="E874" s="4">
        <v>0.68</v>
      </c>
    </row>
    <row r="875" spans="1:5" x14ac:dyDescent="0.25">
      <c r="A875" s="4">
        <v>24810</v>
      </c>
      <c r="B875" s="4" t="s">
        <v>31</v>
      </c>
      <c r="C875" s="5">
        <v>45301</v>
      </c>
      <c r="D875" s="4">
        <v>2.9</v>
      </c>
      <c r="E875" s="4">
        <v>0.99</v>
      </c>
    </row>
    <row r="876" spans="1:5" x14ac:dyDescent="0.25">
      <c r="A876" s="4">
        <v>24810</v>
      </c>
      <c r="B876" s="4" t="s">
        <v>31</v>
      </c>
      <c r="C876" s="5">
        <v>45301</v>
      </c>
      <c r="D876" s="4">
        <v>2.9</v>
      </c>
      <c r="E876" s="4">
        <v>0.99</v>
      </c>
    </row>
    <row r="877" spans="1:5" x14ac:dyDescent="0.25">
      <c r="A877" s="4">
        <v>24810</v>
      </c>
      <c r="B877" s="4" t="s">
        <v>31</v>
      </c>
      <c r="C877" s="5">
        <v>45301</v>
      </c>
      <c r="D877" s="4">
        <v>35.299999999999997</v>
      </c>
      <c r="E877" s="4">
        <v>12.18</v>
      </c>
    </row>
    <row r="878" spans="1:5" x14ac:dyDescent="0.25">
      <c r="A878" s="4">
        <v>24810</v>
      </c>
      <c r="B878" s="4" t="s">
        <v>31</v>
      </c>
      <c r="C878" s="5">
        <v>45301</v>
      </c>
      <c r="D878" s="4">
        <v>30.6</v>
      </c>
      <c r="E878" s="4">
        <v>10.57</v>
      </c>
    </row>
    <row r="879" spans="1:5" x14ac:dyDescent="0.25">
      <c r="A879" s="4">
        <v>24810</v>
      </c>
      <c r="B879" s="4" t="s">
        <v>31</v>
      </c>
      <c r="C879" s="5">
        <v>45301</v>
      </c>
      <c r="D879" s="4">
        <v>2</v>
      </c>
      <c r="E879" s="4">
        <v>0.68</v>
      </c>
    </row>
    <row r="880" spans="1:5" x14ac:dyDescent="0.25">
      <c r="A880" s="4">
        <v>24810</v>
      </c>
      <c r="B880" s="4" t="s">
        <v>31</v>
      </c>
      <c r="C880" s="5">
        <v>45301</v>
      </c>
      <c r="D880" s="4">
        <v>2.9</v>
      </c>
      <c r="E880" s="4">
        <v>0.99</v>
      </c>
    </row>
    <row r="881" spans="1:5" x14ac:dyDescent="0.25">
      <c r="A881" s="4">
        <v>24810</v>
      </c>
      <c r="B881" s="4" t="s">
        <v>31</v>
      </c>
      <c r="C881" s="5">
        <v>45301</v>
      </c>
      <c r="D881" s="4">
        <v>2.9</v>
      </c>
      <c r="E881" s="4">
        <v>0.99</v>
      </c>
    </row>
    <row r="882" spans="1:5" x14ac:dyDescent="0.25">
      <c r="A882" s="4">
        <v>24810</v>
      </c>
      <c r="B882" s="4" t="s">
        <v>31</v>
      </c>
      <c r="C882" s="5">
        <v>45301</v>
      </c>
      <c r="D882" s="4">
        <v>2</v>
      </c>
      <c r="E882" s="4">
        <v>0.68</v>
      </c>
    </row>
    <row r="883" spans="1:5" x14ac:dyDescent="0.25">
      <c r="A883" s="4">
        <v>24810</v>
      </c>
      <c r="B883" s="4" t="s">
        <v>31</v>
      </c>
      <c r="C883" s="5">
        <v>45301</v>
      </c>
      <c r="D883" s="4">
        <v>30.6</v>
      </c>
      <c r="E883" s="4">
        <v>10.57</v>
      </c>
    </row>
    <row r="884" spans="1:5" x14ac:dyDescent="0.25">
      <c r="A884" s="4">
        <v>24810</v>
      </c>
      <c r="B884" s="4" t="s">
        <v>31</v>
      </c>
      <c r="C884" s="5">
        <v>45301</v>
      </c>
      <c r="D884" s="4">
        <v>30.6</v>
      </c>
      <c r="E884" s="4">
        <v>10.57</v>
      </c>
    </row>
    <row r="885" spans="1:5" x14ac:dyDescent="0.25">
      <c r="A885" s="4">
        <v>24810</v>
      </c>
      <c r="B885" s="4" t="s">
        <v>31</v>
      </c>
      <c r="C885" s="5">
        <v>45301</v>
      </c>
      <c r="D885" s="4">
        <v>2</v>
      </c>
      <c r="E885" s="4">
        <v>0.68</v>
      </c>
    </row>
    <row r="886" spans="1:5" x14ac:dyDescent="0.25">
      <c r="A886" s="4">
        <v>24810</v>
      </c>
      <c r="B886" s="4" t="s">
        <v>31</v>
      </c>
      <c r="C886" s="5">
        <v>45301</v>
      </c>
      <c r="D886" s="4">
        <v>2.9</v>
      </c>
      <c r="E886" s="4">
        <v>0.99</v>
      </c>
    </row>
    <row r="887" spans="1:5" x14ac:dyDescent="0.25">
      <c r="A887" s="4">
        <v>24810</v>
      </c>
      <c r="B887" s="4" t="s">
        <v>31</v>
      </c>
      <c r="C887" s="5">
        <v>45301</v>
      </c>
      <c r="D887" s="4">
        <v>2.9</v>
      </c>
      <c r="E887" s="4">
        <v>0.99</v>
      </c>
    </row>
    <row r="888" spans="1:5" x14ac:dyDescent="0.25">
      <c r="A888" s="4">
        <v>24810</v>
      </c>
      <c r="B888" s="4" t="s">
        <v>31</v>
      </c>
      <c r="C888" s="5">
        <v>45301</v>
      </c>
      <c r="D888" s="4">
        <v>2</v>
      </c>
      <c r="E888" s="4">
        <v>0.68</v>
      </c>
    </row>
    <row r="889" spans="1:5" x14ac:dyDescent="0.25">
      <c r="A889" s="4">
        <v>24810</v>
      </c>
      <c r="B889" s="4" t="s">
        <v>31</v>
      </c>
      <c r="C889" s="5">
        <v>45301</v>
      </c>
      <c r="D889" s="4">
        <v>9.8000000000000007</v>
      </c>
      <c r="E889" s="4">
        <v>3.37</v>
      </c>
    </row>
    <row r="890" spans="1:5" x14ac:dyDescent="0.25">
      <c r="A890" s="4">
        <v>24810</v>
      </c>
      <c r="B890" s="4" t="s">
        <v>31</v>
      </c>
      <c r="C890" s="5">
        <v>45301</v>
      </c>
      <c r="D890" s="4">
        <v>8.6999999999999993</v>
      </c>
      <c r="E890" s="4">
        <v>3.03</v>
      </c>
    </row>
    <row r="891" spans="1:5" x14ac:dyDescent="0.25">
      <c r="A891" s="4">
        <v>24810</v>
      </c>
      <c r="B891" s="4" t="s">
        <v>37</v>
      </c>
      <c r="C891" s="5">
        <v>45301</v>
      </c>
      <c r="D891" s="4">
        <v>15.4</v>
      </c>
      <c r="E891" s="4">
        <v>5.35</v>
      </c>
    </row>
    <row r="892" spans="1:5" x14ac:dyDescent="0.25">
      <c r="A892" s="4">
        <v>24810</v>
      </c>
      <c r="B892" s="4" t="s">
        <v>37</v>
      </c>
      <c r="C892" s="5">
        <v>45301</v>
      </c>
      <c r="D892" s="4">
        <v>15.4</v>
      </c>
      <c r="E892" s="4">
        <v>5.35</v>
      </c>
    </row>
    <row r="893" spans="1:5" x14ac:dyDescent="0.25">
      <c r="A893" s="4">
        <v>24810</v>
      </c>
      <c r="B893" s="4" t="s">
        <v>37</v>
      </c>
      <c r="C893" s="5">
        <v>45301</v>
      </c>
      <c r="D893" s="4">
        <v>15.4</v>
      </c>
      <c r="E893" s="4">
        <v>5.31</v>
      </c>
    </row>
    <row r="894" spans="1:5" x14ac:dyDescent="0.25">
      <c r="A894" s="4">
        <v>24810</v>
      </c>
      <c r="B894" s="4" t="s">
        <v>37</v>
      </c>
      <c r="C894" s="5">
        <v>45301</v>
      </c>
      <c r="D894" s="4">
        <v>15.5</v>
      </c>
      <c r="E894" s="4">
        <v>5.33</v>
      </c>
    </row>
    <row r="895" spans="1:5" x14ac:dyDescent="0.25">
      <c r="A895" s="4">
        <v>24810</v>
      </c>
      <c r="B895" s="4" t="s">
        <v>37</v>
      </c>
      <c r="C895" s="5">
        <v>45301</v>
      </c>
      <c r="D895" s="4">
        <v>15.4</v>
      </c>
      <c r="E895" s="4">
        <v>5.31</v>
      </c>
    </row>
    <row r="896" spans="1:5" x14ac:dyDescent="0.25">
      <c r="A896" s="4">
        <v>24810</v>
      </c>
      <c r="B896" s="4" t="s">
        <v>37</v>
      </c>
      <c r="C896" s="5">
        <v>45301</v>
      </c>
      <c r="D896" s="4">
        <v>15.5</v>
      </c>
      <c r="E896" s="4">
        <v>5.33</v>
      </c>
    </row>
    <row r="897" spans="1:5" x14ac:dyDescent="0.25">
      <c r="A897" s="4">
        <v>24810</v>
      </c>
      <c r="B897" s="4" t="s">
        <v>37</v>
      </c>
      <c r="C897" s="5">
        <v>45301</v>
      </c>
      <c r="D897" s="4">
        <v>15.4</v>
      </c>
      <c r="E897" s="4">
        <v>5.31</v>
      </c>
    </row>
    <row r="898" spans="1:5" x14ac:dyDescent="0.25">
      <c r="A898" s="4">
        <v>24810</v>
      </c>
      <c r="B898" s="4" t="s">
        <v>37</v>
      </c>
      <c r="C898" s="5">
        <v>45301</v>
      </c>
      <c r="D898" s="4">
        <v>15.5</v>
      </c>
      <c r="E898" s="4">
        <v>5.33</v>
      </c>
    </row>
    <row r="899" spans="1:5" x14ac:dyDescent="0.25">
      <c r="A899" s="4">
        <v>24810</v>
      </c>
      <c r="B899" s="4" t="s">
        <v>37</v>
      </c>
      <c r="C899" s="5">
        <v>45301</v>
      </c>
      <c r="D899" s="4">
        <v>15.4</v>
      </c>
      <c r="E899" s="4">
        <v>5.31</v>
      </c>
    </row>
    <row r="900" spans="1:5" x14ac:dyDescent="0.25">
      <c r="A900" s="4">
        <v>24810</v>
      </c>
      <c r="B900" s="4" t="s">
        <v>37</v>
      </c>
      <c r="C900" s="5">
        <v>45301</v>
      </c>
      <c r="D900" s="4">
        <v>29.1</v>
      </c>
      <c r="E900" s="4">
        <v>10.14</v>
      </c>
    </row>
    <row r="901" spans="1:5" x14ac:dyDescent="0.25">
      <c r="A901" s="4">
        <v>24810</v>
      </c>
      <c r="B901" s="4" t="s">
        <v>45</v>
      </c>
      <c r="C901" s="5">
        <v>45301</v>
      </c>
      <c r="D901" s="4">
        <v>13.8</v>
      </c>
      <c r="E901" s="4">
        <v>4.47</v>
      </c>
    </row>
    <row r="902" spans="1:5" x14ac:dyDescent="0.25">
      <c r="A902" s="4">
        <v>24810</v>
      </c>
      <c r="B902" s="4" t="s">
        <v>45</v>
      </c>
      <c r="C902" s="5">
        <v>45301</v>
      </c>
      <c r="D902" s="4">
        <v>11.7</v>
      </c>
      <c r="E902" s="4">
        <v>3.79</v>
      </c>
    </row>
    <row r="903" spans="1:5" x14ac:dyDescent="0.25">
      <c r="A903" s="4">
        <v>24810</v>
      </c>
      <c r="B903" s="4" t="s">
        <v>45</v>
      </c>
      <c r="C903" s="5">
        <v>45301</v>
      </c>
      <c r="D903" s="4">
        <v>10.9</v>
      </c>
      <c r="E903" s="4">
        <v>3.53</v>
      </c>
    </row>
    <row r="904" spans="1:5" x14ac:dyDescent="0.25">
      <c r="A904" s="4">
        <v>24810</v>
      </c>
      <c r="B904" s="4" t="s">
        <v>45</v>
      </c>
      <c r="C904" s="5">
        <v>45301</v>
      </c>
      <c r="D904" s="4">
        <v>11.7</v>
      </c>
      <c r="E904" s="4">
        <v>3.79</v>
      </c>
    </row>
    <row r="905" spans="1:5" x14ac:dyDescent="0.25">
      <c r="A905" s="4">
        <v>24810</v>
      </c>
      <c r="B905" s="4" t="s">
        <v>45</v>
      </c>
      <c r="C905" s="5">
        <v>45301</v>
      </c>
      <c r="D905" s="4">
        <v>10.9</v>
      </c>
      <c r="E905" s="4">
        <v>3.53</v>
      </c>
    </row>
    <row r="906" spans="1:5" x14ac:dyDescent="0.25">
      <c r="A906" s="4">
        <v>24810</v>
      </c>
      <c r="B906" s="4" t="s">
        <v>45</v>
      </c>
      <c r="C906" s="5">
        <v>45301</v>
      </c>
      <c r="D906" s="4">
        <v>11.7</v>
      </c>
      <c r="E906" s="4">
        <v>3.79</v>
      </c>
    </row>
    <row r="907" spans="1:5" x14ac:dyDescent="0.25">
      <c r="A907" s="4">
        <v>24810</v>
      </c>
      <c r="B907" s="4" t="s">
        <v>45</v>
      </c>
      <c r="C907" s="5">
        <v>45301</v>
      </c>
      <c r="D907" s="4">
        <v>10.9</v>
      </c>
      <c r="E907" s="4">
        <v>3.53</v>
      </c>
    </row>
    <row r="908" spans="1:5" x14ac:dyDescent="0.25">
      <c r="A908" s="4">
        <v>24810</v>
      </c>
      <c r="B908" s="4" t="s">
        <v>45</v>
      </c>
      <c r="C908" s="5">
        <v>45301</v>
      </c>
      <c r="D908" s="4">
        <v>11.7</v>
      </c>
      <c r="E908" s="4">
        <v>3.79</v>
      </c>
    </row>
    <row r="909" spans="1:5" x14ac:dyDescent="0.25">
      <c r="A909" s="4">
        <v>24810</v>
      </c>
      <c r="B909" s="4" t="s">
        <v>45</v>
      </c>
      <c r="C909" s="5">
        <v>45301</v>
      </c>
      <c r="D909" s="4">
        <v>10.9</v>
      </c>
      <c r="E909" s="4">
        <v>3.53</v>
      </c>
    </row>
    <row r="910" spans="1:5" x14ac:dyDescent="0.25">
      <c r="A910" s="4">
        <v>24810</v>
      </c>
      <c r="B910" s="4" t="s">
        <v>45</v>
      </c>
      <c r="C910" s="5">
        <v>45301</v>
      </c>
      <c r="D910" s="4">
        <v>11.7</v>
      </c>
      <c r="E910" s="4">
        <v>3.79</v>
      </c>
    </row>
    <row r="911" spans="1:5" x14ac:dyDescent="0.25">
      <c r="A911" s="4">
        <v>24810</v>
      </c>
      <c r="B911" s="4" t="s">
        <v>45</v>
      </c>
      <c r="C911" s="5">
        <v>45301</v>
      </c>
      <c r="D911" s="4">
        <v>10.9</v>
      </c>
      <c r="E911" s="4">
        <v>3.53</v>
      </c>
    </row>
    <row r="912" spans="1:5" x14ac:dyDescent="0.25">
      <c r="A912" s="4">
        <v>24810</v>
      </c>
      <c r="B912" s="4" t="s">
        <v>45</v>
      </c>
      <c r="C912" s="5">
        <v>45301</v>
      </c>
      <c r="D912" s="4">
        <v>11.7</v>
      </c>
      <c r="E912" s="4">
        <v>3.79</v>
      </c>
    </row>
    <row r="913" spans="1:5" x14ac:dyDescent="0.25">
      <c r="A913" s="4">
        <v>24810</v>
      </c>
      <c r="B913" s="4" t="s">
        <v>45</v>
      </c>
      <c r="C913" s="5">
        <v>45301</v>
      </c>
      <c r="D913" s="4">
        <v>8.6999999999999993</v>
      </c>
      <c r="E913" s="4">
        <v>2.82</v>
      </c>
    </row>
    <row r="914" spans="1:5" x14ac:dyDescent="0.25">
      <c r="A914" s="4">
        <v>24810</v>
      </c>
      <c r="B914" s="4" t="s">
        <v>39</v>
      </c>
      <c r="C914" s="5">
        <v>45301</v>
      </c>
      <c r="D914" s="4">
        <v>15.4</v>
      </c>
      <c r="E914" s="4">
        <v>5.35</v>
      </c>
    </row>
    <row r="915" spans="1:5" x14ac:dyDescent="0.25">
      <c r="A915" s="4">
        <v>24810</v>
      </c>
      <c r="B915" s="4" t="s">
        <v>39</v>
      </c>
      <c r="C915" s="5">
        <v>45301</v>
      </c>
      <c r="D915" s="4">
        <v>30.2</v>
      </c>
      <c r="E915" s="4">
        <v>10.49</v>
      </c>
    </row>
    <row r="916" spans="1:5" x14ac:dyDescent="0.25">
      <c r="A916" s="4">
        <v>24810</v>
      </c>
      <c r="B916" s="4" t="s">
        <v>39</v>
      </c>
      <c r="C916" s="5">
        <v>45301</v>
      </c>
      <c r="D916" s="4">
        <v>15.4</v>
      </c>
      <c r="E916" s="4">
        <v>5.31</v>
      </c>
    </row>
    <row r="917" spans="1:5" x14ac:dyDescent="0.25">
      <c r="A917" s="4">
        <v>24810</v>
      </c>
      <c r="B917" s="4" t="s">
        <v>39</v>
      </c>
      <c r="C917" s="5">
        <v>45301</v>
      </c>
      <c r="D917" s="4">
        <v>15.5</v>
      </c>
      <c r="E917" s="4">
        <v>5.33</v>
      </c>
    </row>
    <row r="918" spans="1:5" x14ac:dyDescent="0.25">
      <c r="A918" s="4">
        <v>24810</v>
      </c>
      <c r="B918" s="4" t="s">
        <v>39</v>
      </c>
      <c r="C918" s="5">
        <v>45301</v>
      </c>
      <c r="D918" s="4">
        <v>15.4</v>
      </c>
      <c r="E918" s="4">
        <v>5.31</v>
      </c>
    </row>
    <row r="919" spans="1:5" x14ac:dyDescent="0.25">
      <c r="A919" s="4">
        <v>24810</v>
      </c>
      <c r="B919" s="4" t="s">
        <v>39</v>
      </c>
      <c r="C919" s="5">
        <v>45301</v>
      </c>
      <c r="D919" s="4">
        <v>15.5</v>
      </c>
      <c r="E919" s="4">
        <v>5.33</v>
      </c>
    </row>
    <row r="920" spans="1:5" x14ac:dyDescent="0.25">
      <c r="A920" s="4">
        <v>24810</v>
      </c>
      <c r="B920" s="4" t="s">
        <v>39</v>
      </c>
      <c r="C920" s="5">
        <v>45301</v>
      </c>
      <c r="D920" s="4">
        <v>15.4</v>
      </c>
      <c r="E920" s="4">
        <v>5.31</v>
      </c>
    </row>
    <row r="921" spans="1:5" x14ac:dyDescent="0.25">
      <c r="A921" s="4">
        <v>24810</v>
      </c>
      <c r="B921" s="4" t="s">
        <v>39</v>
      </c>
      <c r="C921" s="5">
        <v>45301</v>
      </c>
      <c r="D921" s="4">
        <v>15.5</v>
      </c>
      <c r="E921" s="4">
        <v>5.33</v>
      </c>
    </row>
    <row r="922" spans="1:5" x14ac:dyDescent="0.25">
      <c r="A922" s="4">
        <v>24810</v>
      </c>
      <c r="B922" s="4" t="s">
        <v>39</v>
      </c>
      <c r="C922" s="5">
        <v>45301</v>
      </c>
      <c r="D922" s="4">
        <v>15.4</v>
      </c>
      <c r="E922" s="4">
        <v>5.31</v>
      </c>
    </row>
    <row r="923" spans="1:5" x14ac:dyDescent="0.25">
      <c r="A923" s="4">
        <v>24810</v>
      </c>
      <c r="B923" s="4" t="s">
        <v>39</v>
      </c>
      <c r="C923" s="5">
        <v>45301</v>
      </c>
      <c r="D923" s="4">
        <v>29.1</v>
      </c>
      <c r="E923" s="4">
        <v>10.14</v>
      </c>
    </row>
    <row r="924" spans="1:5" x14ac:dyDescent="0.25">
      <c r="A924" s="4">
        <v>24810</v>
      </c>
      <c r="B924" s="4" t="s">
        <v>40</v>
      </c>
      <c r="C924" s="5">
        <v>45301</v>
      </c>
      <c r="D924" s="4">
        <v>0.4</v>
      </c>
      <c r="E924" s="4">
        <v>0.14000000000000001</v>
      </c>
    </row>
    <row r="925" spans="1:5" x14ac:dyDescent="0.25">
      <c r="A925" s="4">
        <v>24810</v>
      </c>
      <c r="B925" s="4" t="s">
        <v>40</v>
      </c>
      <c r="C925" s="5">
        <v>45301</v>
      </c>
      <c r="D925" s="4">
        <v>0.4</v>
      </c>
      <c r="E925" s="4">
        <v>0.14000000000000001</v>
      </c>
    </row>
    <row r="926" spans="1:5" x14ac:dyDescent="0.25">
      <c r="A926" s="4">
        <v>24810</v>
      </c>
      <c r="B926" s="4" t="s">
        <v>40</v>
      </c>
      <c r="C926" s="5">
        <v>45301</v>
      </c>
      <c r="D926" s="4">
        <v>0.4</v>
      </c>
      <c r="E926" s="4">
        <v>0.14000000000000001</v>
      </c>
    </row>
    <row r="927" spans="1:5" x14ac:dyDescent="0.25">
      <c r="A927" s="4">
        <v>24810</v>
      </c>
      <c r="B927" s="4" t="s">
        <v>40</v>
      </c>
      <c r="C927" s="5">
        <v>45301</v>
      </c>
      <c r="D927" s="4">
        <v>0.4</v>
      </c>
      <c r="E927" s="4">
        <v>0.14000000000000001</v>
      </c>
    </row>
    <row r="928" spans="1:5" x14ac:dyDescent="0.25">
      <c r="A928" s="4">
        <v>24810</v>
      </c>
      <c r="B928" s="4" t="s">
        <v>40</v>
      </c>
      <c r="C928" s="5">
        <v>45301</v>
      </c>
      <c r="D928" s="4">
        <v>0.4</v>
      </c>
      <c r="E928" s="4">
        <v>0.14000000000000001</v>
      </c>
    </row>
    <row r="929" spans="1:5" x14ac:dyDescent="0.25">
      <c r="A929" s="4">
        <v>24810</v>
      </c>
      <c r="B929" s="4" t="s">
        <v>40</v>
      </c>
      <c r="C929" s="5">
        <v>45301</v>
      </c>
      <c r="D929" s="4">
        <v>0.4</v>
      </c>
      <c r="E929" s="4">
        <v>0.14000000000000001</v>
      </c>
    </row>
    <row r="930" spans="1:5" x14ac:dyDescent="0.25">
      <c r="A930" s="4">
        <v>24810</v>
      </c>
      <c r="B930" s="4" t="s">
        <v>40</v>
      </c>
      <c r="C930" s="5">
        <v>45301</v>
      </c>
      <c r="D930" s="4">
        <v>0.4</v>
      </c>
      <c r="E930" s="4">
        <v>0.14000000000000001</v>
      </c>
    </row>
    <row r="931" spans="1:5" x14ac:dyDescent="0.25">
      <c r="A931" s="4">
        <v>24810</v>
      </c>
      <c r="B931" s="4" t="s">
        <v>40</v>
      </c>
      <c r="C931" s="5">
        <v>45301</v>
      </c>
      <c r="D931" s="4">
        <v>0.4</v>
      </c>
      <c r="E931" s="4">
        <v>0.14000000000000001</v>
      </c>
    </row>
    <row r="932" spans="1:5" x14ac:dyDescent="0.25">
      <c r="A932" s="4">
        <v>24810</v>
      </c>
      <c r="B932" s="4" t="s">
        <v>40</v>
      </c>
      <c r="C932" s="5">
        <v>45301</v>
      </c>
      <c r="D932" s="4">
        <v>0.4</v>
      </c>
      <c r="E932" s="4">
        <v>0.14000000000000001</v>
      </c>
    </row>
    <row r="933" spans="1:5" x14ac:dyDescent="0.25">
      <c r="A933" s="4">
        <v>24810</v>
      </c>
      <c r="B933" s="4" t="s">
        <v>40</v>
      </c>
      <c r="C933" s="5">
        <v>45301</v>
      </c>
      <c r="D933" s="4">
        <v>0.4</v>
      </c>
      <c r="E933" s="4">
        <v>0.14000000000000001</v>
      </c>
    </row>
    <row r="934" spans="1:5" x14ac:dyDescent="0.25">
      <c r="A934" s="4">
        <v>24810</v>
      </c>
      <c r="B934" s="4" t="s">
        <v>40</v>
      </c>
      <c r="C934" s="5">
        <v>45301</v>
      </c>
      <c r="D934" s="4">
        <v>0.4</v>
      </c>
      <c r="E934" s="4">
        <v>0.14000000000000001</v>
      </c>
    </row>
    <row r="935" spans="1:5" x14ac:dyDescent="0.25">
      <c r="A935" s="4">
        <v>24810</v>
      </c>
      <c r="B935" s="4" t="s">
        <v>40</v>
      </c>
      <c r="C935" s="5">
        <v>45301</v>
      </c>
      <c r="D935" s="4">
        <v>0.4</v>
      </c>
      <c r="E935" s="4">
        <v>0.14000000000000001</v>
      </c>
    </row>
    <row r="936" spans="1:5" x14ac:dyDescent="0.25">
      <c r="A936" s="4">
        <v>24810</v>
      </c>
      <c r="B936" s="4" t="s">
        <v>40</v>
      </c>
      <c r="C936" s="5">
        <v>45301</v>
      </c>
      <c r="D936" s="4">
        <v>0.4</v>
      </c>
      <c r="E936" s="4">
        <v>0.14000000000000001</v>
      </c>
    </row>
    <row r="937" spans="1:5" x14ac:dyDescent="0.25">
      <c r="A937" s="4">
        <v>24810</v>
      </c>
      <c r="B937" s="4" t="s">
        <v>40</v>
      </c>
      <c r="C937" s="5">
        <v>45301</v>
      </c>
      <c r="D937" s="4">
        <v>0.4</v>
      </c>
      <c r="E937" s="4">
        <v>0.14000000000000001</v>
      </c>
    </row>
    <row r="938" spans="1:5" x14ac:dyDescent="0.25">
      <c r="A938" s="4">
        <v>24810</v>
      </c>
      <c r="B938" s="4" t="s">
        <v>40</v>
      </c>
      <c r="C938" s="5">
        <v>45301</v>
      </c>
      <c r="D938" s="4">
        <v>0.4</v>
      </c>
      <c r="E938" s="4">
        <v>0.14000000000000001</v>
      </c>
    </row>
    <row r="939" spans="1:5" x14ac:dyDescent="0.25">
      <c r="A939" s="4">
        <v>24810</v>
      </c>
      <c r="B939" s="4" t="s">
        <v>40</v>
      </c>
      <c r="C939" s="5">
        <v>45301</v>
      </c>
      <c r="D939" s="4">
        <v>0.4</v>
      </c>
      <c r="E939" s="4">
        <v>0.14000000000000001</v>
      </c>
    </row>
    <row r="940" spans="1:5" x14ac:dyDescent="0.25">
      <c r="A940" s="4">
        <v>24810</v>
      </c>
      <c r="B940" s="4" t="s">
        <v>40</v>
      </c>
      <c r="C940" s="5">
        <v>45301</v>
      </c>
      <c r="D940" s="4">
        <v>0.4</v>
      </c>
      <c r="E940" s="4">
        <v>0.14000000000000001</v>
      </c>
    </row>
    <row r="941" spans="1:5" x14ac:dyDescent="0.25">
      <c r="A941" s="4">
        <v>24810</v>
      </c>
      <c r="B941" s="4" t="s">
        <v>40</v>
      </c>
      <c r="C941" s="5">
        <v>45301</v>
      </c>
      <c r="D941" s="4">
        <v>0.4</v>
      </c>
      <c r="E941" s="4">
        <v>0.14000000000000001</v>
      </c>
    </row>
    <row r="942" spans="1:5" x14ac:dyDescent="0.25">
      <c r="A942" s="4">
        <v>24810</v>
      </c>
      <c r="B942" s="4" t="s">
        <v>33</v>
      </c>
      <c r="C942" s="5">
        <v>45301</v>
      </c>
      <c r="D942" s="4">
        <v>31.8</v>
      </c>
      <c r="E942" s="4">
        <v>11.02</v>
      </c>
    </row>
    <row r="943" spans="1:5" x14ac:dyDescent="0.25">
      <c r="A943" s="4">
        <v>24810</v>
      </c>
      <c r="B943" s="4" t="s">
        <v>33</v>
      </c>
      <c r="C943" s="5">
        <v>45301</v>
      </c>
      <c r="D943" s="4">
        <v>30.6</v>
      </c>
      <c r="E943" s="4">
        <v>10.57</v>
      </c>
    </row>
    <row r="944" spans="1:5" x14ac:dyDescent="0.25">
      <c r="A944" s="4">
        <v>24810</v>
      </c>
      <c r="B944" s="4" t="s">
        <v>33</v>
      </c>
      <c r="C944" s="5">
        <v>45301</v>
      </c>
      <c r="D944" s="4">
        <v>2</v>
      </c>
      <c r="E944" s="4">
        <v>0.68</v>
      </c>
    </row>
    <row r="945" spans="1:5" x14ac:dyDescent="0.25">
      <c r="A945" s="4">
        <v>24810</v>
      </c>
      <c r="B945" s="4" t="s">
        <v>33</v>
      </c>
      <c r="C945" s="5">
        <v>45301</v>
      </c>
      <c r="D945" s="4">
        <v>2.9</v>
      </c>
      <c r="E945" s="4">
        <v>0.99</v>
      </c>
    </row>
    <row r="946" spans="1:5" x14ac:dyDescent="0.25">
      <c r="A946" s="4">
        <v>24810</v>
      </c>
      <c r="B946" s="4" t="s">
        <v>33</v>
      </c>
      <c r="C946" s="5">
        <v>45301</v>
      </c>
      <c r="D946" s="4">
        <v>2.9</v>
      </c>
      <c r="E946" s="4">
        <v>0.99</v>
      </c>
    </row>
    <row r="947" spans="1:5" x14ac:dyDescent="0.25">
      <c r="A947" s="4">
        <v>24810</v>
      </c>
      <c r="B947" s="4" t="s">
        <v>33</v>
      </c>
      <c r="C947" s="5">
        <v>45301</v>
      </c>
      <c r="D947" s="4">
        <v>2</v>
      </c>
      <c r="E947" s="4">
        <v>0.68</v>
      </c>
    </row>
    <row r="948" spans="1:5" x14ac:dyDescent="0.25">
      <c r="A948" s="4">
        <v>24810</v>
      </c>
      <c r="B948" s="4" t="s">
        <v>33</v>
      </c>
      <c r="C948" s="5">
        <v>45301</v>
      </c>
      <c r="D948" s="4">
        <v>30.6</v>
      </c>
      <c r="E948" s="4">
        <v>10.57</v>
      </c>
    </row>
    <row r="949" spans="1:5" x14ac:dyDescent="0.25">
      <c r="A949" s="4">
        <v>24810</v>
      </c>
      <c r="B949" s="4" t="s">
        <v>33</v>
      </c>
      <c r="C949" s="5">
        <v>45301</v>
      </c>
      <c r="D949" s="4">
        <v>30.6</v>
      </c>
      <c r="E949" s="4">
        <v>10.57</v>
      </c>
    </row>
    <row r="950" spans="1:5" x14ac:dyDescent="0.25">
      <c r="A950" s="4">
        <v>24810</v>
      </c>
      <c r="B950" s="4" t="s">
        <v>33</v>
      </c>
      <c r="C950" s="5">
        <v>45301</v>
      </c>
      <c r="D950" s="4">
        <v>2</v>
      </c>
      <c r="E950" s="4">
        <v>0.68</v>
      </c>
    </row>
    <row r="951" spans="1:5" x14ac:dyDescent="0.25">
      <c r="A951" s="4">
        <v>24810</v>
      </c>
      <c r="B951" s="4" t="s">
        <v>33</v>
      </c>
      <c r="C951" s="5">
        <v>45301</v>
      </c>
      <c r="D951" s="4">
        <v>2.9</v>
      </c>
      <c r="E951" s="4">
        <v>0.99</v>
      </c>
    </row>
    <row r="952" spans="1:5" x14ac:dyDescent="0.25">
      <c r="A952" s="4">
        <v>24810</v>
      </c>
      <c r="B952" s="4" t="s">
        <v>33</v>
      </c>
      <c r="C952" s="5">
        <v>45301</v>
      </c>
      <c r="D952" s="4">
        <v>2.9</v>
      </c>
      <c r="E952" s="4">
        <v>0.99</v>
      </c>
    </row>
    <row r="953" spans="1:5" x14ac:dyDescent="0.25">
      <c r="A953" s="4">
        <v>24810</v>
      </c>
      <c r="B953" s="4" t="s">
        <v>33</v>
      </c>
      <c r="C953" s="5">
        <v>45301</v>
      </c>
      <c r="D953" s="4">
        <v>2</v>
      </c>
      <c r="E953" s="4">
        <v>0.68</v>
      </c>
    </row>
    <row r="954" spans="1:5" x14ac:dyDescent="0.25">
      <c r="A954" s="4">
        <v>24810</v>
      </c>
      <c r="B954" s="4" t="s">
        <v>33</v>
      </c>
      <c r="C954" s="5">
        <v>45301</v>
      </c>
      <c r="D954" s="4">
        <v>30.6</v>
      </c>
      <c r="E954" s="4">
        <v>10.57</v>
      </c>
    </row>
    <row r="955" spans="1:5" x14ac:dyDescent="0.25">
      <c r="A955" s="4">
        <v>24810</v>
      </c>
      <c r="B955" s="4" t="s">
        <v>33</v>
      </c>
      <c r="C955" s="5">
        <v>45301</v>
      </c>
      <c r="D955" s="4">
        <v>30.6</v>
      </c>
      <c r="E955" s="4">
        <v>10.57</v>
      </c>
    </row>
    <row r="956" spans="1:5" x14ac:dyDescent="0.25">
      <c r="A956" s="4">
        <v>24810</v>
      </c>
      <c r="B956" s="4" t="s">
        <v>33</v>
      </c>
      <c r="C956" s="5">
        <v>45301</v>
      </c>
      <c r="D956" s="4">
        <v>2</v>
      </c>
      <c r="E956" s="4">
        <v>0.68</v>
      </c>
    </row>
    <row r="957" spans="1:5" x14ac:dyDescent="0.25">
      <c r="A957" s="4">
        <v>24810</v>
      </c>
      <c r="B957" s="4" t="s">
        <v>33</v>
      </c>
      <c r="C957" s="5">
        <v>45301</v>
      </c>
      <c r="D957" s="4">
        <v>2.9</v>
      </c>
      <c r="E957" s="4">
        <v>0.99</v>
      </c>
    </row>
    <row r="958" spans="1:5" x14ac:dyDescent="0.25">
      <c r="A958" s="4">
        <v>24810</v>
      </c>
      <c r="B958" s="4" t="s">
        <v>33</v>
      </c>
      <c r="C958" s="5">
        <v>45301</v>
      </c>
      <c r="D958" s="4">
        <v>2.9</v>
      </c>
      <c r="E958" s="4">
        <v>0.99</v>
      </c>
    </row>
    <row r="959" spans="1:5" x14ac:dyDescent="0.25">
      <c r="A959" s="4">
        <v>24810</v>
      </c>
      <c r="B959" s="4" t="s">
        <v>33</v>
      </c>
      <c r="C959" s="5">
        <v>45301</v>
      </c>
      <c r="D959" s="4">
        <v>2</v>
      </c>
      <c r="E959" s="4">
        <v>0.68</v>
      </c>
    </row>
    <row r="960" spans="1:5" x14ac:dyDescent="0.25">
      <c r="A960" s="4">
        <v>24810</v>
      </c>
      <c r="B960" s="4" t="s">
        <v>33</v>
      </c>
      <c r="C960" s="5">
        <v>45301</v>
      </c>
      <c r="D960" s="4">
        <v>4.9000000000000004</v>
      </c>
      <c r="E960" s="4">
        <v>1.67</v>
      </c>
    </row>
    <row r="961" spans="1:5" x14ac:dyDescent="0.25">
      <c r="A961" s="4">
        <v>24810</v>
      </c>
      <c r="B961" s="4" t="s">
        <v>33</v>
      </c>
      <c r="C961" s="5">
        <v>45301</v>
      </c>
      <c r="D961" s="4">
        <v>8.6999999999999993</v>
      </c>
      <c r="E961" s="4">
        <v>3.03</v>
      </c>
    </row>
    <row r="962" spans="1:5" x14ac:dyDescent="0.25">
      <c r="A962" s="4">
        <v>24810</v>
      </c>
      <c r="B962" s="4" t="s">
        <v>46</v>
      </c>
      <c r="C962" s="5">
        <v>45301</v>
      </c>
      <c r="D962" s="4">
        <v>13.8</v>
      </c>
      <c r="E962" s="4">
        <v>4.8099999999999996</v>
      </c>
    </row>
    <row r="963" spans="1:5" x14ac:dyDescent="0.25">
      <c r="A963" s="4">
        <v>24810</v>
      </c>
      <c r="B963" s="4" t="s">
        <v>46</v>
      </c>
      <c r="C963" s="5">
        <v>45301</v>
      </c>
      <c r="D963" s="4">
        <v>5.4</v>
      </c>
      <c r="E963" s="4">
        <v>1.83</v>
      </c>
    </row>
    <row r="964" spans="1:5" x14ac:dyDescent="0.25">
      <c r="A964" s="4">
        <v>24810</v>
      </c>
      <c r="B964" s="4" t="s">
        <v>46</v>
      </c>
      <c r="C964" s="5">
        <v>45301</v>
      </c>
      <c r="D964" s="4">
        <v>30.6</v>
      </c>
      <c r="E964" s="4">
        <v>10.57</v>
      </c>
    </row>
    <row r="965" spans="1:5" x14ac:dyDescent="0.25">
      <c r="A965" s="4">
        <v>24810</v>
      </c>
      <c r="B965" s="4" t="s">
        <v>46</v>
      </c>
      <c r="C965" s="5">
        <v>45301</v>
      </c>
      <c r="D965" s="4">
        <v>2</v>
      </c>
      <c r="E965" s="4">
        <v>0.68</v>
      </c>
    </row>
    <row r="966" spans="1:5" x14ac:dyDescent="0.25">
      <c r="A966" s="4">
        <v>24810</v>
      </c>
      <c r="B966" s="4" t="s">
        <v>46</v>
      </c>
      <c r="C966" s="5">
        <v>45301</v>
      </c>
      <c r="D966" s="4">
        <v>2.9</v>
      </c>
      <c r="E966" s="4">
        <v>0.99</v>
      </c>
    </row>
    <row r="967" spans="1:5" x14ac:dyDescent="0.25">
      <c r="A967" s="4">
        <v>24810</v>
      </c>
      <c r="B967" s="4" t="s">
        <v>46</v>
      </c>
      <c r="C967" s="5">
        <v>45301</v>
      </c>
      <c r="D967" s="4">
        <v>2.9</v>
      </c>
      <c r="E967" s="4">
        <v>0.99</v>
      </c>
    </row>
    <row r="968" spans="1:5" x14ac:dyDescent="0.25">
      <c r="A968" s="4">
        <v>24810</v>
      </c>
      <c r="B968" s="4" t="s">
        <v>46</v>
      </c>
      <c r="C968" s="5">
        <v>45301</v>
      </c>
      <c r="D968" s="4">
        <v>2</v>
      </c>
      <c r="E968" s="4">
        <v>0.68</v>
      </c>
    </row>
    <row r="969" spans="1:5" x14ac:dyDescent="0.25">
      <c r="A969" s="4">
        <v>24810</v>
      </c>
      <c r="B969" s="4" t="s">
        <v>46</v>
      </c>
      <c r="C969" s="5">
        <v>45301</v>
      </c>
      <c r="D969" s="4">
        <v>15.2</v>
      </c>
      <c r="E969" s="4">
        <v>5.26</v>
      </c>
    </row>
    <row r="970" spans="1:5" x14ac:dyDescent="0.25">
      <c r="A970" s="4">
        <v>24810</v>
      </c>
      <c r="B970" s="4" t="s">
        <v>46</v>
      </c>
      <c r="C970" s="5">
        <v>45301</v>
      </c>
      <c r="D970" s="4">
        <v>2</v>
      </c>
      <c r="E970" s="4">
        <v>0.68</v>
      </c>
    </row>
    <row r="971" spans="1:5" x14ac:dyDescent="0.25">
      <c r="A971" s="4">
        <v>24810</v>
      </c>
      <c r="B971" s="4" t="s">
        <v>46</v>
      </c>
      <c r="C971" s="5">
        <v>45301</v>
      </c>
      <c r="D971" s="4">
        <v>2</v>
      </c>
      <c r="E971" s="4">
        <v>0.68</v>
      </c>
    </row>
    <row r="972" spans="1:5" x14ac:dyDescent="0.25">
      <c r="A972" s="4">
        <v>24810</v>
      </c>
      <c r="B972" s="4" t="s">
        <v>46</v>
      </c>
      <c r="C972" s="5">
        <v>45301</v>
      </c>
      <c r="D972" s="4">
        <v>2.6</v>
      </c>
      <c r="E972" s="4">
        <v>0.9</v>
      </c>
    </row>
    <row r="973" spans="1:5" x14ac:dyDescent="0.25">
      <c r="A973" s="4">
        <v>24810</v>
      </c>
      <c r="B973" s="4" t="s">
        <v>46</v>
      </c>
      <c r="C973" s="5">
        <v>45301</v>
      </c>
      <c r="D973" s="4">
        <v>12.6</v>
      </c>
      <c r="E973" s="4">
        <v>4.3600000000000003</v>
      </c>
    </row>
    <row r="974" spans="1:5" x14ac:dyDescent="0.25">
      <c r="A974" s="4">
        <v>24810</v>
      </c>
      <c r="B974" s="4" t="s">
        <v>46</v>
      </c>
      <c r="C974" s="5">
        <v>45301</v>
      </c>
      <c r="D974" s="4">
        <v>2</v>
      </c>
      <c r="E974" s="4">
        <v>0.68</v>
      </c>
    </row>
    <row r="975" spans="1:5" x14ac:dyDescent="0.25">
      <c r="A975" s="4">
        <v>24810</v>
      </c>
      <c r="B975" s="4" t="s">
        <v>46</v>
      </c>
      <c r="C975" s="5">
        <v>45301</v>
      </c>
      <c r="D975" s="4">
        <v>2.9</v>
      </c>
      <c r="E975" s="4">
        <v>0.99</v>
      </c>
    </row>
    <row r="976" spans="1:5" x14ac:dyDescent="0.25">
      <c r="A976" s="4">
        <v>24810</v>
      </c>
      <c r="B976" s="4" t="s">
        <v>46</v>
      </c>
      <c r="C976" s="5">
        <v>45301</v>
      </c>
      <c r="D976" s="4">
        <v>2.9</v>
      </c>
      <c r="E976" s="4">
        <v>0.99</v>
      </c>
    </row>
    <row r="977" spans="1:5" x14ac:dyDescent="0.25">
      <c r="A977" s="4">
        <v>24810</v>
      </c>
      <c r="B977" s="4" t="s">
        <v>46</v>
      </c>
      <c r="C977" s="5">
        <v>45301</v>
      </c>
      <c r="D977" s="4">
        <v>2.1</v>
      </c>
      <c r="E977" s="4">
        <v>0.72</v>
      </c>
    </row>
    <row r="978" spans="1:5" x14ac:dyDescent="0.25">
      <c r="A978" s="4">
        <v>24810</v>
      </c>
      <c r="B978" s="4" t="s">
        <v>15</v>
      </c>
      <c r="C978" s="5">
        <v>45302</v>
      </c>
      <c r="D978" s="4">
        <v>56.4</v>
      </c>
      <c r="E978" s="4">
        <v>18.22</v>
      </c>
    </row>
    <row r="979" spans="1:5" x14ac:dyDescent="0.25">
      <c r="A979" s="4">
        <v>24810</v>
      </c>
      <c r="B979" s="4" t="s">
        <v>15</v>
      </c>
      <c r="C979" s="5">
        <v>45302</v>
      </c>
      <c r="D979" s="4">
        <v>33.5</v>
      </c>
      <c r="E979" s="4">
        <v>10.81</v>
      </c>
    </row>
    <row r="980" spans="1:5" x14ac:dyDescent="0.25">
      <c r="A980" s="4">
        <v>24810</v>
      </c>
      <c r="B980" s="4" t="s">
        <v>15</v>
      </c>
      <c r="C980" s="5">
        <v>45302</v>
      </c>
      <c r="D980" s="4">
        <v>38.5</v>
      </c>
      <c r="E980" s="4">
        <v>12.47</v>
      </c>
    </row>
    <row r="981" spans="1:5" x14ac:dyDescent="0.25">
      <c r="A981" s="4">
        <v>24810</v>
      </c>
      <c r="B981" s="4" t="s">
        <v>19</v>
      </c>
      <c r="C981" s="5">
        <v>45302</v>
      </c>
      <c r="D981" s="4">
        <v>9.6999999999999993</v>
      </c>
      <c r="E981" s="4">
        <v>3.15</v>
      </c>
    </row>
    <row r="982" spans="1:5" x14ac:dyDescent="0.25">
      <c r="A982" s="4">
        <v>24810</v>
      </c>
      <c r="B982" s="4" t="s">
        <v>19</v>
      </c>
      <c r="C982" s="5">
        <v>45302</v>
      </c>
      <c r="D982" s="4">
        <v>9.6999999999999993</v>
      </c>
      <c r="E982" s="4">
        <v>3.15</v>
      </c>
    </row>
    <row r="983" spans="1:5" x14ac:dyDescent="0.25">
      <c r="A983" s="4">
        <v>24810</v>
      </c>
      <c r="B983" s="4" t="s">
        <v>19</v>
      </c>
      <c r="C983" s="5">
        <v>45302</v>
      </c>
      <c r="D983" s="4">
        <v>9.6999999999999993</v>
      </c>
      <c r="E983" s="4">
        <v>3.15</v>
      </c>
    </row>
    <row r="984" spans="1:5" x14ac:dyDescent="0.25">
      <c r="A984" s="4">
        <v>24810</v>
      </c>
      <c r="B984" s="4" t="s">
        <v>19</v>
      </c>
      <c r="C984" s="5">
        <v>45302</v>
      </c>
      <c r="D984" s="4">
        <v>9.6999999999999993</v>
      </c>
      <c r="E984" s="4">
        <v>3.15</v>
      </c>
    </row>
    <row r="985" spans="1:5" x14ac:dyDescent="0.25">
      <c r="A985" s="4">
        <v>24810</v>
      </c>
      <c r="B985" s="4" t="s">
        <v>19</v>
      </c>
      <c r="C985" s="5">
        <v>45302</v>
      </c>
      <c r="D985" s="4">
        <v>9.6999999999999993</v>
      </c>
      <c r="E985" s="4">
        <v>3.15</v>
      </c>
    </row>
    <row r="986" spans="1:5" x14ac:dyDescent="0.25">
      <c r="A986" s="4">
        <v>24810</v>
      </c>
      <c r="B986" s="4" t="s">
        <v>19</v>
      </c>
      <c r="C986" s="5">
        <v>45302</v>
      </c>
      <c r="D986" s="4">
        <v>9.6999999999999993</v>
      </c>
      <c r="E986" s="4">
        <v>3.15</v>
      </c>
    </row>
    <row r="987" spans="1:5" x14ac:dyDescent="0.25">
      <c r="A987" s="4">
        <v>24810</v>
      </c>
      <c r="B987" s="4" t="s">
        <v>19</v>
      </c>
      <c r="C987" s="5">
        <v>45302</v>
      </c>
      <c r="D987" s="4">
        <v>9.6999999999999993</v>
      </c>
      <c r="E987" s="4">
        <v>3.15</v>
      </c>
    </row>
    <row r="988" spans="1:5" x14ac:dyDescent="0.25">
      <c r="A988" s="4">
        <v>24810</v>
      </c>
      <c r="B988" s="4" t="s">
        <v>19</v>
      </c>
      <c r="C988" s="5">
        <v>45302</v>
      </c>
      <c r="D988" s="4">
        <v>9.6999999999999993</v>
      </c>
      <c r="E988" s="4">
        <v>3.15</v>
      </c>
    </row>
    <row r="989" spans="1:5" x14ac:dyDescent="0.25">
      <c r="A989" s="4">
        <v>24810</v>
      </c>
      <c r="B989" s="4" t="s">
        <v>19</v>
      </c>
      <c r="C989" s="5">
        <v>45302</v>
      </c>
      <c r="D989" s="4">
        <v>9.6999999999999993</v>
      </c>
      <c r="E989" s="4">
        <v>3.15</v>
      </c>
    </row>
    <row r="990" spans="1:5" x14ac:dyDescent="0.25">
      <c r="A990" s="4">
        <v>24810</v>
      </c>
      <c r="B990" s="4" t="s">
        <v>19</v>
      </c>
      <c r="C990" s="5">
        <v>45302</v>
      </c>
      <c r="D990" s="4">
        <v>9.6999999999999993</v>
      </c>
      <c r="E990" s="4">
        <v>3.15</v>
      </c>
    </row>
    <row r="991" spans="1:5" x14ac:dyDescent="0.25">
      <c r="A991" s="4">
        <v>24810</v>
      </c>
      <c r="B991" s="4" t="s">
        <v>19</v>
      </c>
      <c r="C991" s="5">
        <v>45302</v>
      </c>
      <c r="D991" s="4">
        <v>9.6999999999999993</v>
      </c>
      <c r="E991" s="4">
        <v>3.15</v>
      </c>
    </row>
    <row r="992" spans="1:5" x14ac:dyDescent="0.25">
      <c r="A992" s="4">
        <v>24810</v>
      </c>
      <c r="B992" s="4" t="s">
        <v>19</v>
      </c>
      <c r="C992" s="5">
        <v>45302</v>
      </c>
      <c r="D992" s="4">
        <v>9.6999999999999993</v>
      </c>
      <c r="E992" s="4">
        <v>3.15</v>
      </c>
    </row>
    <row r="993" spans="1:5" x14ac:dyDescent="0.25">
      <c r="A993" s="4">
        <v>24810</v>
      </c>
      <c r="B993" s="4" t="s">
        <v>19</v>
      </c>
      <c r="C993" s="5">
        <v>45302</v>
      </c>
      <c r="D993" s="4">
        <v>14</v>
      </c>
      <c r="E993" s="4">
        <v>4.54</v>
      </c>
    </row>
    <row r="994" spans="1:5" x14ac:dyDescent="0.25">
      <c r="A994" s="4">
        <v>24810</v>
      </c>
      <c r="B994" s="4" t="s">
        <v>20</v>
      </c>
      <c r="C994" s="5">
        <v>45302</v>
      </c>
      <c r="D994" s="4">
        <v>13.8</v>
      </c>
      <c r="E994" s="4">
        <v>4.47</v>
      </c>
    </row>
    <row r="995" spans="1:5" x14ac:dyDescent="0.25">
      <c r="A995" s="4">
        <v>24810</v>
      </c>
      <c r="B995" s="4" t="s">
        <v>20</v>
      </c>
      <c r="C995" s="5">
        <v>45302</v>
      </c>
      <c r="D995" s="4">
        <v>11.7</v>
      </c>
      <c r="E995" s="4">
        <v>3.79</v>
      </c>
    </row>
    <row r="996" spans="1:5" x14ac:dyDescent="0.25">
      <c r="A996" s="4">
        <v>24810</v>
      </c>
      <c r="B996" s="4" t="s">
        <v>20</v>
      </c>
      <c r="C996" s="5">
        <v>45302</v>
      </c>
      <c r="D996" s="4">
        <v>11.3</v>
      </c>
      <c r="E996" s="4">
        <v>3.66</v>
      </c>
    </row>
    <row r="997" spans="1:5" x14ac:dyDescent="0.25">
      <c r="A997" s="4">
        <v>24810</v>
      </c>
      <c r="B997" s="4" t="s">
        <v>20</v>
      </c>
      <c r="C997" s="5">
        <v>45302</v>
      </c>
      <c r="D997" s="4">
        <v>11.7</v>
      </c>
      <c r="E997" s="4">
        <v>3.79</v>
      </c>
    </row>
    <row r="998" spans="1:5" x14ac:dyDescent="0.25">
      <c r="A998" s="4">
        <v>24810</v>
      </c>
      <c r="B998" s="4" t="s">
        <v>20</v>
      </c>
      <c r="C998" s="5">
        <v>45302</v>
      </c>
      <c r="D998" s="4">
        <v>10.9</v>
      </c>
      <c r="E998" s="4">
        <v>3.53</v>
      </c>
    </row>
    <row r="999" spans="1:5" x14ac:dyDescent="0.25">
      <c r="A999" s="4">
        <v>24810</v>
      </c>
      <c r="B999" s="4" t="s">
        <v>20</v>
      </c>
      <c r="C999" s="5">
        <v>45302</v>
      </c>
      <c r="D999" s="4">
        <v>11.7</v>
      </c>
      <c r="E999" s="4">
        <v>3.79</v>
      </c>
    </row>
    <row r="1000" spans="1:5" x14ac:dyDescent="0.25">
      <c r="A1000" s="4">
        <v>24810</v>
      </c>
      <c r="B1000" s="4" t="s">
        <v>20</v>
      </c>
      <c r="C1000" s="5">
        <v>45302</v>
      </c>
      <c r="D1000" s="4">
        <v>10.9</v>
      </c>
      <c r="E1000" s="4">
        <v>3.53</v>
      </c>
    </row>
    <row r="1001" spans="1:5" x14ac:dyDescent="0.25">
      <c r="A1001" s="4">
        <v>24810</v>
      </c>
      <c r="B1001" s="4" t="s">
        <v>20</v>
      </c>
      <c r="C1001" s="5">
        <v>45302</v>
      </c>
      <c r="D1001" s="4">
        <v>11.7</v>
      </c>
      <c r="E1001" s="4">
        <v>3.79</v>
      </c>
    </row>
    <row r="1002" spans="1:5" x14ac:dyDescent="0.25">
      <c r="A1002" s="4">
        <v>24810</v>
      </c>
      <c r="B1002" s="4" t="s">
        <v>20</v>
      </c>
      <c r="C1002" s="5">
        <v>45302</v>
      </c>
      <c r="D1002" s="4">
        <v>10.9</v>
      </c>
      <c r="E1002" s="4">
        <v>3.53</v>
      </c>
    </row>
    <row r="1003" spans="1:5" x14ac:dyDescent="0.25">
      <c r="A1003" s="4">
        <v>24810</v>
      </c>
      <c r="B1003" s="4" t="s">
        <v>20</v>
      </c>
      <c r="C1003" s="5">
        <v>45302</v>
      </c>
      <c r="D1003" s="4">
        <v>11.7</v>
      </c>
      <c r="E1003" s="4">
        <v>3.79</v>
      </c>
    </row>
    <row r="1004" spans="1:5" x14ac:dyDescent="0.25">
      <c r="A1004" s="4">
        <v>24810</v>
      </c>
      <c r="B1004" s="4" t="s">
        <v>20</v>
      </c>
      <c r="C1004" s="5">
        <v>45302</v>
      </c>
      <c r="D1004" s="4">
        <v>10.9</v>
      </c>
      <c r="E1004" s="4">
        <v>3.53</v>
      </c>
    </row>
    <row r="1005" spans="1:5" x14ac:dyDescent="0.25">
      <c r="A1005" s="4">
        <v>24810</v>
      </c>
      <c r="B1005" s="4" t="s">
        <v>20</v>
      </c>
      <c r="C1005" s="5">
        <v>45302</v>
      </c>
      <c r="D1005" s="4">
        <v>11.7</v>
      </c>
      <c r="E1005" s="4">
        <v>3.79</v>
      </c>
    </row>
    <row r="1006" spans="1:5" x14ac:dyDescent="0.25">
      <c r="A1006" s="4">
        <v>24810</v>
      </c>
      <c r="B1006" s="4" t="s">
        <v>20</v>
      </c>
      <c r="C1006" s="5">
        <v>45302</v>
      </c>
      <c r="D1006" s="4">
        <v>10.9</v>
      </c>
      <c r="E1006" s="4">
        <v>3.53</v>
      </c>
    </row>
    <row r="1007" spans="1:5" x14ac:dyDescent="0.25">
      <c r="A1007" s="4">
        <v>24810</v>
      </c>
      <c r="B1007" s="4" t="s">
        <v>20</v>
      </c>
      <c r="C1007" s="5">
        <v>45302</v>
      </c>
      <c r="D1007" s="4">
        <v>11.7</v>
      </c>
      <c r="E1007" s="4">
        <v>3.79</v>
      </c>
    </row>
    <row r="1008" spans="1:5" x14ac:dyDescent="0.25">
      <c r="A1008" s="4">
        <v>24810</v>
      </c>
      <c r="B1008" s="4" t="s">
        <v>20</v>
      </c>
      <c r="C1008" s="5">
        <v>45302</v>
      </c>
      <c r="D1008" s="4">
        <v>8.6999999999999993</v>
      </c>
      <c r="E1008" s="4">
        <v>2.82</v>
      </c>
    </row>
    <row r="1009" spans="1:5" x14ac:dyDescent="0.25">
      <c r="A1009" s="4">
        <v>24810</v>
      </c>
      <c r="B1009" s="4" t="s">
        <v>21</v>
      </c>
      <c r="C1009" s="5">
        <v>45302</v>
      </c>
      <c r="D1009" s="4">
        <v>28.9</v>
      </c>
      <c r="E1009" s="4">
        <v>9.32</v>
      </c>
    </row>
    <row r="1010" spans="1:5" x14ac:dyDescent="0.25">
      <c r="A1010" s="4">
        <v>24810</v>
      </c>
      <c r="B1010" s="4" t="s">
        <v>21</v>
      </c>
      <c r="C1010" s="5">
        <v>45302</v>
      </c>
      <c r="D1010" s="4">
        <v>6.9</v>
      </c>
      <c r="E1010" s="4">
        <v>2.23</v>
      </c>
    </row>
    <row r="1011" spans="1:5" x14ac:dyDescent="0.25">
      <c r="A1011" s="4">
        <v>24810</v>
      </c>
      <c r="B1011" s="4" t="s">
        <v>21</v>
      </c>
      <c r="C1011" s="5">
        <v>45302</v>
      </c>
      <c r="D1011" s="4">
        <v>22.4</v>
      </c>
      <c r="E1011" s="4">
        <v>7.22</v>
      </c>
    </row>
    <row r="1012" spans="1:5" x14ac:dyDescent="0.25">
      <c r="A1012" s="4">
        <v>24810</v>
      </c>
      <c r="B1012" s="4" t="s">
        <v>23</v>
      </c>
      <c r="C1012" s="5">
        <v>45302</v>
      </c>
      <c r="D1012" s="4">
        <v>9.6999999999999993</v>
      </c>
      <c r="E1012" s="4">
        <v>3.15</v>
      </c>
    </row>
    <row r="1013" spans="1:5" x14ac:dyDescent="0.25">
      <c r="A1013" s="4">
        <v>24810</v>
      </c>
      <c r="B1013" s="4" t="s">
        <v>23</v>
      </c>
      <c r="C1013" s="5">
        <v>45302</v>
      </c>
      <c r="D1013" s="4">
        <v>9.6999999999999993</v>
      </c>
      <c r="E1013" s="4">
        <v>3.15</v>
      </c>
    </row>
    <row r="1014" spans="1:5" x14ac:dyDescent="0.25">
      <c r="A1014" s="4">
        <v>24810</v>
      </c>
      <c r="B1014" s="4" t="s">
        <v>23</v>
      </c>
      <c r="C1014" s="5">
        <v>45302</v>
      </c>
      <c r="D1014" s="4">
        <v>9.6999999999999993</v>
      </c>
      <c r="E1014" s="4">
        <v>3.15</v>
      </c>
    </row>
    <row r="1015" spans="1:5" x14ac:dyDescent="0.25">
      <c r="A1015" s="4">
        <v>24810</v>
      </c>
      <c r="B1015" s="4" t="s">
        <v>23</v>
      </c>
      <c r="C1015" s="5">
        <v>45302</v>
      </c>
      <c r="D1015" s="4">
        <v>9.6999999999999993</v>
      </c>
      <c r="E1015" s="4">
        <v>3.15</v>
      </c>
    </row>
    <row r="1016" spans="1:5" x14ac:dyDescent="0.25">
      <c r="A1016" s="4">
        <v>24810</v>
      </c>
      <c r="B1016" s="4" t="s">
        <v>23</v>
      </c>
      <c r="C1016" s="5">
        <v>45302</v>
      </c>
      <c r="D1016" s="4">
        <v>9.6999999999999993</v>
      </c>
      <c r="E1016" s="4">
        <v>3.15</v>
      </c>
    </row>
    <row r="1017" spans="1:5" x14ac:dyDescent="0.25">
      <c r="A1017" s="4">
        <v>24810</v>
      </c>
      <c r="B1017" s="4" t="s">
        <v>23</v>
      </c>
      <c r="C1017" s="5">
        <v>45302</v>
      </c>
      <c r="D1017" s="4">
        <v>9.6999999999999993</v>
      </c>
      <c r="E1017" s="4">
        <v>3.15</v>
      </c>
    </row>
    <row r="1018" spans="1:5" x14ac:dyDescent="0.25">
      <c r="A1018" s="4">
        <v>24810</v>
      </c>
      <c r="B1018" s="4" t="s">
        <v>23</v>
      </c>
      <c r="C1018" s="5">
        <v>45302</v>
      </c>
      <c r="D1018" s="4">
        <v>9.6999999999999993</v>
      </c>
      <c r="E1018" s="4">
        <v>3.15</v>
      </c>
    </row>
    <row r="1019" spans="1:5" x14ac:dyDescent="0.25">
      <c r="A1019" s="4">
        <v>24810</v>
      </c>
      <c r="B1019" s="4" t="s">
        <v>23</v>
      </c>
      <c r="C1019" s="5">
        <v>45302</v>
      </c>
      <c r="D1019" s="4">
        <v>9.6999999999999993</v>
      </c>
      <c r="E1019" s="4">
        <v>3.15</v>
      </c>
    </row>
    <row r="1020" spans="1:5" x14ac:dyDescent="0.25">
      <c r="A1020" s="4">
        <v>24810</v>
      </c>
      <c r="B1020" s="4" t="s">
        <v>23</v>
      </c>
      <c r="C1020" s="5">
        <v>45302</v>
      </c>
      <c r="D1020" s="4">
        <v>9.6999999999999993</v>
      </c>
      <c r="E1020" s="4">
        <v>3.15</v>
      </c>
    </row>
    <row r="1021" spans="1:5" x14ac:dyDescent="0.25">
      <c r="A1021" s="4">
        <v>24810</v>
      </c>
      <c r="B1021" s="4" t="s">
        <v>23</v>
      </c>
      <c r="C1021" s="5">
        <v>45302</v>
      </c>
      <c r="D1021" s="4">
        <v>9.6999999999999993</v>
      </c>
      <c r="E1021" s="4">
        <v>3.15</v>
      </c>
    </row>
    <row r="1022" spans="1:5" x14ac:dyDescent="0.25">
      <c r="A1022" s="4">
        <v>24810</v>
      </c>
      <c r="B1022" s="4" t="s">
        <v>23</v>
      </c>
      <c r="C1022" s="5">
        <v>45302</v>
      </c>
      <c r="D1022" s="4">
        <v>9.6999999999999993</v>
      </c>
      <c r="E1022" s="4">
        <v>3.15</v>
      </c>
    </row>
    <row r="1023" spans="1:5" x14ac:dyDescent="0.25">
      <c r="A1023" s="4">
        <v>24810</v>
      </c>
      <c r="B1023" s="4" t="s">
        <v>24</v>
      </c>
      <c r="C1023" s="5">
        <v>45302</v>
      </c>
      <c r="D1023" s="4">
        <v>13.8</v>
      </c>
      <c r="E1023" s="4">
        <v>4.47</v>
      </c>
    </row>
    <row r="1024" spans="1:5" x14ac:dyDescent="0.25">
      <c r="A1024" s="4">
        <v>24810</v>
      </c>
      <c r="B1024" s="4" t="s">
        <v>24</v>
      </c>
      <c r="C1024" s="5">
        <v>45302</v>
      </c>
      <c r="D1024" s="4">
        <v>11.7</v>
      </c>
      <c r="E1024" s="4">
        <v>3.79</v>
      </c>
    </row>
    <row r="1025" spans="1:5" x14ac:dyDescent="0.25">
      <c r="A1025" s="4">
        <v>24810</v>
      </c>
      <c r="B1025" s="4" t="s">
        <v>24</v>
      </c>
      <c r="C1025" s="5">
        <v>45302</v>
      </c>
      <c r="D1025" s="4">
        <v>10.9</v>
      </c>
      <c r="E1025" s="4">
        <v>3.53</v>
      </c>
    </row>
    <row r="1026" spans="1:5" x14ac:dyDescent="0.25">
      <c r="A1026" s="4">
        <v>24810</v>
      </c>
      <c r="B1026" s="4" t="s">
        <v>24</v>
      </c>
      <c r="C1026" s="5">
        <v>45302</v>
      </c>
      <c r="D1026" s="4">
        <v>11.7</v>
      </c>
      <c r="E1026" s="4">
        <v>3.79</v>
      </c>
    </row>
    <row r="1027" spans="1:5" x14ac:dyDescent="0.25">
      <c r="A1027" s="4">
        <v>24810</v>
      </c>
      <c r="B1027" s="4" t="s">
        <v>24</v>
      </c>
      <c r="C1027" s="5">
        <v>45302</v>
      </c>
      <c r="D1027" s="4">
        <v>10.9</v>
      </c>
      <c r="E1027" s="4">
        <v>3.53</v>
      </c>
    </row>
    <row r="1028" spans="1:5" x14ac:dyDescent="0.25">
      <c r="A1028" s="4">
        <v>24810</v>
      </c>
      <c r="B1028" s="4" t="s">
        <v>24</v>
      </c>
      <c r="C1028" s="5">
        <v>45302</v>
      </c>
      <c r="D1028" s="4">
        <v>11.7</v>
      </c>
      <c r="E1028" s="4">
        <v>3.79</v>
      </c>
    </row>
    <row r="1029" spans="1:5" x14ac:dyDescent="0.25">
      <c r="A1029" s="4">
        <v>24810</v>
      </c>
      <c r="B1029" s="4" t="s">
        <v>24</v>
      </c>
      <c r="C1029" s="5">
        <v>45302</v>
      </c>
      <c r="D1029" s="4">
        <v>10.9</v>
      </c>
      <c r="E1029" s="4">
        <v>3.53</v>
      </c>
    </row>
    <row r="1030" spans="1:5" x14ac:dyDescent="0.25">
      <c r="A1030" s="4">
        <v>24810</v>
      </c>
      <c r="B1030" s="4" t="s">
        <v>24</v>
      </c>
      <c r="C1030" s="5">
        <v>45302</v>
      </c>
      <c r="D1030" s="4">
        <v>11.7</v>
      </c>
      <c r="E1030" s="4">
        <v>3.79</v>
      </c>
    </row>
    <row r="1031" spans="1:5" x14ac:dyDescent="0.25">
      <c r="A1031" s="4">
        <v>24810</v>
      </c>
      <c r="B1031" s="4" t="s">
        <v>24</v>
      </c>
      <c r="C1031" s="5">
        <v>45302</v>
      </c>
      <c r="D1031" s="4">
        <v>10.9</v>
      </c>
      <c r="E1031" s="4">
        <v>3.53</v>
      </c>
    </row>
    <row r="1032" spans="1:5" x14ac:dyDescent="0.25">
      <c r="A1032" s="4">
        <v>24810</v>
      </c>
      <c r="B1032" s="4" t="s">
        <v>24</v>
      </c>
      <c r="C1032" s="5">
        <v>45302</v>
      </c>
      <c r="D1032" s="4">
        <v>11.7</v>
      </c>
      <c r="E1032" s="4">
        <v>3.79</v>
      </c>
    </row>
    <row r="1033" spans="1:5" x14ac:dyDescent="0.25">
      <c r="A1033" s="4">
        <v>24810</v>
      </c>
      <c r="B1033" s="4" t="s">
        <v>24</v>
      </c>
      <c r="C1033" s="5">
        <v>45302</v>
      </c>
      <c r="D1033" s="4">
        <v>10.9</v>
      </c>
      <c r="E1033" s="4">
        <v>3.53</v>
      </c>
    </row>
    <row r="1034" spans="1:5" x14ac:dyDescent="0.25">
      <c r="A1034" s="4">
        <v>24810</v>
      </c>
      <c r="B1034" s="4" t="s">
        <v>24</v>
      </c>
      <c r="C1034" s="5">
        <v>45302</v>
      </c>
      <c r="D1034" s="4">
        <v>11.7</v>
      </c>
      <c r="E1034" s="4">
        <v>3.79</v>
      </c>
    </row>
    <row r="1035" spans="1:5" x14ac:dyDescent="0.25">
      <c r="A1035" s="4">
        <v>24810</v>
      </c>
      <c r="B1035" s="4" t="s">
        <v>24</v>
      </c>
      <c r="C1035" s="5">
        <v>45302</v>
      </c>
      <c r="D1035" s="4">
        <v>10.9</v>
      </c>
      <c r="E1035" s="4">
        <v>3.53</v>
      </c>
    </row>
    <row r="1036" spans="1:5" x14ac:dyDescent="0.25">
      <c r="A1036" s="4">
        <v>24810</v>
      </c>
      <c r="B1036" s="4" t="s">
        <v>24</v>
      </c>
      <c r="C1036" s="5">
        <v>45302</v>
      </c>
      <c r="D1036" s="4">
        <v>11.7</v>
      </c>
      <c r="E1036" s="4">
        <v>3.79</v>
      </c>
    </row>
    <row r="1037" spans="1:5" x14ac:dyDescent="0.25">
      <c r="A1037" s="4">
        <v>24810</v>
      </c>
      <c r="B1037" s="4" t="s">
        <v>24</v>
      </c>
      <c r="C1037" s="5">
        <v>45302</v>
      </c>
      <c r="D1037" s="4">
        <v>8.6999999999999993</v>
      </c>
      <c r="E1037" s="4">
        <v>2.82</v>
      </c>
    </row>
    <row r="1038" spans="1:5" x14ac:dyDescent="0.25">
      <c r="A1038" s="4">
        <v>24810</v>
      </c>
      <c r="B1038" s="4" t="s">
        <v>36</v>
      </c>
      <c r="C1038" s="5">
        <v>45302</v>
      </c>
      <c r="D1038" s="4">
        <v>16.399999999999999</v>
      </c>
      <c r="E1038" s="4">
        <v>5.71</v>
      </c>
    </row>
    <row r="1039" spans="1:5" x14ac:dyDescent="0.25">
      <c r="A1039" s="4">
        <v>24810</v>
      </c>
      <c r="B1039" s="4" t="s">
        <v>36</v>
      </c>
      <c r="C1039" s="5">
        <v>45302</v>
      </c>
      <c r="D1039" s="4">
        <v>2</v>
      </c>
      <c r="E1039" s="4">
        <v>0.68</v>
      </c>
    </row>
    <row r="1040" spans="1:5" x14ac:dyDescent="0.25">
      <c r="A1040" s="4">
        <v>24810</v>
      </c>
      <c r="B1040" s="4" t="s">
        <v>36</v>
      </c>
      <c r="C1040" s="5">
        <v>45302</v>
      </c>
      <c r="D1040" s="4">
        <v>2</v>
      </c>
      <c r="E1040" s="4">
        <v>0.68</v>
      </c>
    </row>
    <row r="1041" spans="1:5" x14ac:dyDescent="0.25">
      <c r="A1041" s="4">
        <v>24810</v>
      </c>
      <c r="B1041" s="4" t="s">
        <v>36</v>
      </c>
      <c r="C1041" s="5">
        <v>45302</v>
      </c>
      <c r="D1041" s="4">
        <v>15.2</v>
      </c>
      <c r="E1041" s="4">
        <v>5.26</v>
      </c>
    </row>
    <row r="1042" spans="1:5" x14ac:dyDescent="0.25">
      <c r="A1042" s="4">
        <v>24810</v>
      </c>
      <c r="B1042" s="4" t="s">
        <v>36</v>
      </c>
      <c r="C1042" s="5">
        <v>45302</v>
      </c>
      <c r="D1042" s="4">
        <v>2</v>
      </c>
      <c r="E1042" s="4">
        <v>0.68</v>
      </c>
    </row>
    <row r="1043" spans="1:5" x14ac:dyDescent="0.25">
      <c r="A1043" s="4">
        <v>24810</v>
      </c>
      <c r="B1043" s="4" t="s">
        <v>36</v>
      </c>
      <c r="C1043" s="5">
        <v>45302</v>
      </c>
      <c r="D1043" s="4">
        <v>2.9</v>
      </c>
      <c r="E1043" s="4">
        <v>0.99</v>
      </c>
    </row>
    <row r="1044" spans="1:5" x14ac:dyDescent="0.25">
      <c r="A1044" s="4">
        <v>24810</v>
      </c>
      <c r="B1044" s="4" t="s">
        <v>36</v>
      </c>
      <c r="C1044" s="5">
        <v>45302</v>
      </c>
      <c r="D1044" s="4">
        <v>2.9</v>
      </c>
      <c r="E1044" s="4">
        <v>0.99</v>
      </c>
    </row>
    <row r="1045" spans="1:5" x14ac:dyDescent="0.25">
      <c r="A1045" s="4">
        <v>24810</v>
      </c>
      <c r="B1045" s="4" t="s">
        <v>36</v>
      </c>
      <c r="C1045" s="5">
        <v>45302</v>
      </c>
      <c r="D1045" s="4">
        <v>2</v>
      </c>
      <c r="E1045" s="4">
        <v>0.68</v>
      </c>
    </row>
    <row r="1046" spans="1:5" x14ac:dyDescent="0.25">
      <c r="A1046" s="4">
        <v>24810</v>
      </c>
      <c r="B1046" s="4" t="s">
        <v>36</v>
      </c>
      <c r="C1046" s="5">
        <v>45302</v>
      </c>
      <c r="D1046" s="4">
        <v>15.2</v>
      </c>
      <c r="E1046" s="4">
        <v>5.26</v>
      </c>
    </row>
    <row r="1047" spans="1:5" x14ac:dyDescent="0.25">
      <c r="A1047" s="4">
        <v>24810</v>
      </c>
      <c r="B1047" s="4" t="s">
        <v>36</v>
      </c>
      <c r="C1047" s="5">
        <v>45302</v>
      </c>
      <c r="D1047" s="4">
        <v>2</v>
      </c>
      <c r="E1047" s="4">
        <v>0.68</v>
      </c>
    </row>
    <row r="1048" spans="1:5" x14ac:dyDescent="0.25">
      <c r="A1048" s="4">
        <v>24810</v>
      </c>
      <c r="B1048" s="4" t="s">
        <v>36</v>
      </c>
      <c r="C1048" s="5">
        <v>45302</v>
      </c>
      <c r="D1048" s="4">
        <v>2</v>
      </c>
      <c r="E1048" s="4">
        <v>0.68</v>
      </c>
    </row>
    <row r="1049" spans="1:5" x14ac:dyDescent="0.25">
      <c r="A1049" s="4">
        <v>24810</v>
      </c>
      <c r="B1049" s="4" t="s">
        <v>36</v>
      </c>
      <c r="C1049" s="5">
        <v>45302</v>
      </c>
      <c r="D1049" s="4">
        <v>15.2</v>
      </c>
      <c r="E1049" s="4">
        <v>5.26</v>
      </c>
    </row>
    <row r="1050" spans="1:5" x14ac:dyDescent="0.25">
      <c r="A1050" s="4">
        <v>24810</v>
      </c>
      <c r="B1050" s="4" t="s">
        <v>36</v>
      </c>
      <c r="C1050" s="5">
        <v>45302</v>
      </c>
      <c r="D1050" s="4">
        <v>2</v>
      </c>
      <c r="E1050" s="4">
        <v>0.68</v>
      </c>
    </row>
    <row r="1051" spans="1:5" x14ac:dyDescent="0.25">
      <c r="A1051" s="4">
        <v>24810</v>
      </c>
      <c r="B1051" s="4" t="s">
        <v>36</v>
      </c>
      <c r="C1051" s="5">
        <v>45302</v>
      </c>
      <c r="D1051" s="4">
        <v>2.9</v>
      </c>
      <c r="E1051" s="4">
        <v>0.99</v>
      </c>
    </row>
    <row r="1052" spans="1:5" x14ac:dyDescent="0.25">
      <c r="A1052" s="4">
        <v>24810</v>
      </c>
      <c r="B1052" s="4" t="s">
        <v>36</v>
      </c>
      <c r="C1052" s="5">
        <v>45302</v>
      </c>
      <c r="D1052" s="4">
        <v>2.9</v>
      </c>
      <c r="E1052" s="4">
        <v>0.99</v>
      </c>
    </row>
    <row r="1053" spans="1:5" x14ac:dyDescent="0.25">
      <c r="A1053" s="4">
        <v>24810</v>
      </c>
      <c r="B1053" s="4" t="s">
        <v>36</v>
      </c>
      <c r="C1053" s="5">
        <v>45302</v>
      </c>
      <c r="D1053" s="4">
        <v>0.4</v>
      </c>
      <c r="E1053" s="4">
        <v>0.14000000000000001</v>
      </c>
    </row>
    <row r="1054" spans="1:5" x14ac:dyDescent="0.25">
      <c r="A1054" s="4">
        <v>24810</v>
      </c>
      <c r="B1054" s="4" t="s">
        <v>36</v>
      </c>
      <c r="C1054" s="5">
        <v>45302</v>
      </c>
      <c r="D1054" s="4">
        <v>1.6</v>
      </c>
      <c r="E1054" s="4">
        <v>0.54</v>
      </c>
    </row>
    <row r="1055" spans="1:5" x14ac:dyDescent="0.25">
      <c r="A1055" s="4">
        <v>24810</v>
      </c>
      <c r="B1055" s="4" t="s">
        <v>36</v>
      </c>
      <c r="C1055" s="5">
        <v>45302</v>
      </c>
      <c r="D1055" s="4">
        <v>15.2</v>
      </c>
      <c r="E1055" s="4">
        <v>5.26</v>
      </c>
    </row>
    <row r="1056" spans="1:5" x14ac:dyDescent="0.25">
      <c r="A1056" s="4">
        <v>24810</v>
      </c>
      <c r="B1056" s="4" t="s">
        <v>36</v>
      </c>
      <c r="C1056" s="5">
        <v>45302</v>
      </c>
      <c r="D1056" s="4">
        <v>2</v>
      </c>
      <c r="E1056" s="4">
        <v>0.68</v>
      </c>
    </row>
    <row r="1057" spans="1:5" x14ac:dyDescent="0.25">
      <c r="A1057" s="4">
        <v>24810</v>
      </c>
      <c r="B1057" s="4" t="s">
        <v>36</v>
      </c>
      <c r="C1057" s="5">
        <v>45302</v>
      </c>
      <c r="D1057" s="4">
        <v>2</v>
      </c>
      <c r="E1057" s="4">
        <v>0.68</v>
      </c>
    </row>
    <row r="1058" spans="1:5" x14ac:dyDescent="0.25">
      <c r="A1058" s="4">
        <v>24810</v>
      </c>
      <c r="B1058" s="4" t="s">
        <v>36</v>
      </c>
      <c r="C1058" s="5">
        <v>45302</v>
      </c>
      <c r="D1058" s="4">
        <v>15.2</v>
      </c>
      <c r="E1058" s="4">
        <v>5.26</v>
      </c>
    </row>
    <row r="1059" spans="1:5" x14ac:dyDescent="0.25">
      <c r="A1059" s="4">
        <v>24810</v>
      </c>
      <c r="B1059" s="4" t="s">
        <v>36</v>
      </c>
      <c r="C1059" s="5">
        <v>45302</v>
      </c>
      <c r="D1059" s="4">
        <v>2</v>
      </c>
      <c r="E1059" s="4">
        <v>0.68</v>
      </c>
    </row>
    <row r="1060" spans="1:5" x14ac:dyDescent="0.25">
      <c r="A1060" s="4">
        <v>24810</v>
      </c>
      <c r="B1060" s="4" t="s">
        <v>36</v>
      </c>
      <c r="C1060" s="5">
        <v>45302</v>
      </c>
      <c r="D1060" s="4">
        <v>2.9</v>
      </c>
      <c r="E1060" s="4">
        <v>0.99</v>
      </c>
    </row>
    <row r="1061" spans="1:5" x14ac:dyDescent="0.25">
      <c r="A1061" s="4">
        <v>24810</v>
      </c>
      <c r="B1061" s="4" t="s">
        <v>36</v>
      </c>
      <c r="C1061" s="5">
        <v>45302</v>
      </c>
      <c r="D1061" s="4">
        <v>2.9</v>
      </c>
      <c r="E1061" s="4">
        <v>0.99</v>
      </c>
    </row>
    <row r="1062" spans="1:5" x14ac:dyDescent="0.25">
      <c r="A1062" s="4">
        <v>24810</v>
      </c>
      <c r="B1062" s="4" t="s">
        <v>36</v>
      </c>
      <c r="C1062" s="5">
        <v>45302</v>
      </c>
      <c r="D1062" s="4">
        <v>2</v>
      </c>
      <c r="E1062" s="4">
        <v>0.68</v>
      </c>
    </row>
    <row r="1063" spans="1:5" x14ac:dyDescent="0.25">
      <c r="A1063" s="4">
        <v>24810</v>
      </c>
      <c r="B1063" s="4" t="s">
        <v>36</v>
      </c>
      <c r="C1063" s="5">
        <v>45302</v>
      </c>
      <c r="D1063" s="4">
        <v>9.8000000000000007</v>
      </c>
      <c r="E1063" s="4">
        <v>3.37</v>
      </c>
    </row>
    <row r="1064" spans="1:5" x14ac:dyDescent="0.25">
      <c r="A1064" s="4">
        <v>24810</v>
      </c>
      <c r="B1064" s="4" t="s">
        <v>36</v>
      </c>
      <c r="C1064" s="5">
        <v>45302</v>
      </c>
      <c r="D1064" s="4">
        <v>8.6999999999999993</v>
      </c>
      <c r="E1064" s="4">
        <v>3.03</v>
      </c>
    </row>
    <row r="1065" spans="1:5" x14ac:dyDescent="0.25">
      <c r="A1065" s="4">
        <v>24810</v>
      </c>
      <c r="B1065" s="4" t="s">
        <v>48</v>
      </c>
      <c r="C1065" s="5">
        <v>45302</v>
      </c>
      <c r="D1065" s="4">
        <v>0.4</v>
      </c>
      <c r="E1065" s="4">
        <v>0.12</v>
      </c>
    </row>
    <row r="1066" spans="1:5" x14ac:dyDescent="0.25">
      <c r="A1066" s="4">
        <v>24810</v>
      </c>
      <c r="B1066" s="4" t="s">
        <v>48</v>
      </c>
      <c r="C1066" s="5">
        <v>45302</v>
      </c>
      <c r="D1066" s="4">
        <v>0.4</v>
      </c>
      <c r="E1066" s="4">
        <v>0.12</v>
      </c>
    </row>
    <row r="1067" spans="1:5" x14ac:dyDescent="0.25">
      <c r="A1067" s="4">
        <v>24810</v>
      </c>
      <c r="B1067" s="4" t="s">
        <v>25</v>
      </c>
      <c r="C1067" s="5">
        <v>45302</v>
      </c>
      <c r="D1067" s="4">
        <v>15.4</v>
      </c>
      <c r="E1067" s="4">
        <v>5.35</v>
      </c>
    </row>
    <row r="1068" spans="1:5" x14ac:dyDescent="0.25">
      <c r="A1068" s="4">
        <v>24810</v>
      </c>
      <c r="B1068" s="4" t="s">
        <v>25</v>
      </c>
      <c r="C1068" s="5">
        <v>45302</v>
      </c>
      <c r="D1068" s="4">
        <v>16.899999999999999</v>
      </c>
      <c r="E1068" s="4">
        <v>5.89</v>
      </c>
    </row>
    <row r="1069" spans="1:5" x14ac:dyDescent="0.25">
      <c r="A1069" s="4">
        <v>24810</v>
      </c>
      <c r="B1069" s="4" t="s">
        <v>25</v>
      </c>
      <c r="C1069" s="5">
        <v>45302</v>
      </c>
      <c r="D1069" s="4">
        <v>1.4</v>
      </c>
      <c r="E1069" s="4">
        <v>0.48</v>
      </c>
    </row>
    <row r="1070" spans="1:5" x14ac:dyDescent="0.25">
      <c r="A1070" s="4">
        <v>24810</v>
      </c>
      <c r="B1070" s="4" t="s">
        <v>25</v>
      </c>
      <c r="C1070" s="5">
        <v>45302</v>
      </c>
      <c r="D1070" s="4">
        <v>1.2</v>
      </c>
      <c r="E1070" s="4">
        <v>0.41</v>
      </c>
    </row>
    <row r="1071" spans="1:5" x14ac:dyDescent="0.25">
      <c r="A1071" s="4">
        <v>24810</v>
      </c>
      <c r="B1071" s="4" t="s">
        <v>25</v>
      </c>
      <c r="C1071" s="5">
        <v>45302</v>
      </c>
      <c r="D1071" s="4">
        <v>1.2</v>
      </c>
      <c r="E1071" s="4">
        <v>0.41</v>
      </c>
    </row>
    <row r="1072" spans="1:5" x14ac:dyDescent="0.25">
      <c r="A1072" s="4">
        <v>24810</v>
      </c>
      <c r="B1072" s="4" t="s">
        <v>25</v>
      </c>
      <c r="C1072" s="5">
        <v>45302</v>
      </c>
      <c r="D1072" s="4">
        <v>1.4</v>
      </c>
      <c r="E1072" s="4">
        <v>0.48</v>
      </c>
    </row>
    <row r="1073" spans="1:5" x14ac:dyDescent="0.25">
      <c r="A1073" s="4">
        <v>24810</v>
      </c>
      <c r="B1073" s="4" t="s">
        <v>25</v>
      </c>
      <c r="C1073" s="5">
        <v>45302</v>
      </c>
      <c r="D1073" s="4">
        <v>1.4</v>
      </c>
      <c r="E1073" s="4">
        <v>0.48</v>
      </c>
    </row>
    <row r="1074" spans="1:5" x14ac:dyDescent="0.25">
      <c r="A1074" s="4">
        <v>24810</v>
      </c>
      <c r="B1074" s="4" t="s">
        <v>25</v>
      </c>
      <c r="C1074" s="5">
        <v>45302</v>
      </c>
      <c r="D1074" s="4">
        <v>1.2</v>
      </c>
      <c r="E1074" s="4">
        <v>0.41</v>
      </c>
    </row>
    <row r="1075" spans="1:5" x14ac:dyDescent="0.25">
      <c r="A1075" s="4">
        <v>24810</v>
      </c>
      <c r="B1075" s="4" t="s">
        <v>25</v>
      </c>
      <c r="C1075" s="5">
        <v>45302</v>
      </c>
      <c r="D1075" s="4">
        <v>1.2</v>
      </c>
      <c r="E1075" s="4">
        <v>0.41</v>
      </c>
    </row>
    <row r="1076" spans="1:5" x14ac:dyDescent="0.25">
      <c r="A1076" s="4">
        <v>24810</v>
      </c>
      <c r="B1076" s="4" t="s">
        <v>25</v>
      </c>
      <c r="C1076" s="5">
        <v>45302</v>
      </c>
      <c r="D1076" s="4">
        <v>1.4</v>
      </c>
      <c r="E1076" s="4">
        <v>0.48</v>
      </c>
    </row>
    <row r="1077" spans="1:5" x14ac:dyDescent="0.25">
      <c r="A1077" s="4">
        <v>24810</v>
      </c>
      <c r="B1077" s="4" t="s">
        <v>25</v>
      </c>
      <c r="C1077" s="5">
        <v>45302</v>
      </c>
      <c r="D1077" s="4">
        <v>1.4</v>
      </c>
      <c r="E1077" s="4">
        <v>0.48</v>
      </c>
    </row>
    <row r="1078" spans="1:5" x14ac:dyDescent="0.25">
      <c r="A1078" s="4">
        <v>24810</v>
      </c>
      <c r="B1078" s="4" t="s">
        <v>25</v>
      </c>
      <c r="C1078" s="5">
        <v>45302</v>
      </c>
      <c r="D1078" s="4">
        <v>1.2</v>
      </c>
      <c r="E1078" s="4">
        <v>0.41</v>
      </c>
    </row>
    <row r="1079" spans="1:5" x14ac:dyDescent="0.25">
      <c r="A1079" s="4">
        <v>24810</v>
      </c>
      <c r="B1079" s="4" t="s">
        <v>25</v>
      </c>
      <c r="C1079" s="5">
        <v>45302</v>
      </c>
      <c r="D1079" s="4">
        <v>1.2</v>
      </c>
      <c r="E1079" s="4">
        <v>0.41</v>
      </c>
    </row>
    <row r="1080" spans="1:5" x14ac:dyDescent="0.25">
      <c r="A1080" s="4">
        <v>24810</v>
      </c>
      <c r="B1080" s="4" t="s">
        <v>25</v>
      </c>
      <c r="C1080" s="5">
        <v>45302</v>
      </c>
      <c r="D1080" s="4">
        <v>1.4</v>
      </c>
      <c r="E1080" s="4">
        <v>0.48</v>
      </c>
    </row>
    <row r="1081" spans="1:5" x14ac:dyDescent="0.25">
      <c r="A1081" s="4">
        <v>24810</v>
      </c>
      <c r="B1081" s="4" t="s">
        <v>25</v>
      </c>
      <c r="C1081" s="5">
        <v>45302</v>
      </c>
      <c r="D1081" s="4">
        <v>1.4</v>
      </c>
      <c r="E1081" s="4">
        <v>0.48</v>
      </c>
    </row>
    <row r="1082" spans="1:5" x14ac:dyDescent="0.25">
      <c r="A1082" s="4">
        <v>24810</v>
      </c>
      <c r="B1082" s="4" t="s">
        <v>25</v>
      </c>
      <c r="C1082" s="5">
        <v>45302</v>
      </c>
      <c r="D1082" s="4">
        <v>1.2</v>
      </c>
      <c r="E1082" s="4">
        <v>0.41</v>
      </c>
    </row>
    <row r="1083" spans="1:5" x14ac:dyDescent="0.25">
      <c r="A1083" s="4">
        <v>24810</v>
      </c>
      <c r="B1083" s="4" t="s">
        <v>25</v>
      </c>
      <c r="C1083" s="5">
        <v>45302</v>
      </c>
      <c r="D1083" s="4">
        <v>1.2</v>
      </c>
      <c r="E1083" s="4">
        <v>0.41</v>
      </c>
    </row>
    <row r="1084" spans="1:5" x14ac:dyDescent="0.25">
      <c r="A1084" s="4">
        <v>24810</v>
      </c>
      <c r="B1084" s="4" t="s">
        <v>25</v>
      </c>
      <c r="C1084" s="5">
        <v>45302</v>
      </c>
      <c r="D1084" s="4">
        <v>1.4</v>
      </c>
      <c r="E1084" s="4">
        <v>0.48</v>
      </c>
    </row>
    <row r="1085" spans="1:5" x14ac:dyDescent="0.25">
      <c r="A1085" s="4">
        <v>24810</v>
      </c>
      <c r="B1085" s="4" t="s">
        <v>25</v>
      </c>
      <c r="C1085" s="5">
        <v>45302</v>
      </c>
      <c r="D1085" s="4">
        <v>18.7</v>
      </c>
      <c r="E1085" s="4">
        <v>6.52</v>
      </c>
    </row>
    <row r="1086" spans="1:5" x14ac:dyDescent="0.25">
      <c r="A1086" s="4">
        <v>24810</v>
      </c>
      <c r="B1086" s="4" t="s">
        <v>28</v>
      </c>
      <c r="C1086" s="5">
        <v>45302</v>
      </c>
      <c r="D1086" s="4">
        <v>13.8</v>
      </c>
      <c r="E1086" s="4">
        <v>4.47</v>
      </c>
    </row>
    <row r="1087" spans="1:5" x14ac:dyDescent="0.25">
      <c r="A1087" s="4">
        <v>24810</v>
      </c>
      <c r="B1087" s="4" t="s">
        <v>28</v>
      </c>
      <c r="C1087" s="5">
        <v>45302</v>
      </c>
      <c r="D1087" s="4">
        <v>11.7</v>
      </c>
      <c r="E1087" s="4">
        <v>3.79</v>
      </c>
    </row>
    <row r="1088" spans="1:5" x14ac:dyDescent="0.25">
      <c r="A1088" s="4">
        <v>24810</v>
      </c>
      <c r="B1088" s="4" t="s">
        <v>28</v>
      </c>
      <c r="C1088" s="5">
        <v>45302</v>
      </c>
      <c r="D1088" s="4">
        <v>10.9</v>
      </c>
      <c r="E1088" s="4">
        <v>3.53</v>
      </c>
    </row>
    <row r="1089" spans="1:5" x14ac:dyDescent="0.25">
      <c r="A1089" s="4">
        <v>24810</v>
      </c>
      <c r="B1089" s="4" t="s">
        <v>28</v>
      </c>
      <c r="C1089" s="5">
        <v>45302</v>
      </c>
      <c r="D1089" s="4">
        <v>11.7</v>
      </c>
      <c r="E1089" s="4">
        <v>3.79</v>
      </c>
    </row>
    <row r="1090" spans="1:5" x14ac:dyDescent="0.25">
      <c r="A1090" s="4">
        <v>24810</v>
      </c>
      <c r="B1090" s="4" t="s">
        <v>28</v>
      </c>
      <c r="C1090" s="5">
        <v>45302</v>
      </c>
      <c r="D1090" s="4">
        <v>10.9</v>
      </c>
      <c r="E1090" s="4">
        <v>3.53</v>
      </c>
    </row>
    <row r="1091" spans="1:5" x14ac:dyDescent="0.25">
      <c r="A1091" s="4">
        <v>24810</v>
      </c>
      <c r="B1091" s="4" t="s">
        <v>28</v>
      </c>
      <c r="C1091" s="5">
        <v>45302</v>
      </c>
      <c r="D1091" s="4">
        <v>11.7</v>
      </c>
      <c r="E1091" s="4">
        <v>3.79</v>
      </c>
    </row>
    <row r="1092" spans="1:5" x14ac:dyDescent="0.25">
      <c r="A1092" s="4">
        <v>24810</v>
      </c>
      <c r="B1092" s="4" t="s">
        <v>28</v>
      </c>
      <c r="C1092" s="5">
        <v>45302</v>
      </c>
      <c r="D1092" s="4">
        <v>10.9</v>
      </c>
      <c r="E1092" s="4">
        <v>3.53</v>
      </c>
    </row>
    <row r="1093" spans="1:5" x14ac:dyDescent="0.25">
      <c r="A1093" s="4">
        <v>24810</v>
      </c>
      <c r="B1093" s="4" t="s">
        <v>28</v>
      </c>
      <c r="C1093" s="5">
        <v>45302</v>
      </c>
      <c r="D1093" s="4">
        <v>11.7</v>
      </c>
      <c r="E1093" s="4">
        <v>3.79</v>
      </c>
    </row>
    <row r="1094" spans="1:5" x14ac:dyDescent="0.25">
      <c r="A1094" s="4">
        <v>24810</v>
      </c>
      <c r="B1094" s="4" t="s">
        <v>28</v>
      </c>
      <c r="C1094" s="5">
        <v>45302</v>
      </c>
      <c r="D1094" s="4">
        <v>10.9</v>
      </c>
      <c r="E1094" s="4">
        <v>3.53</v>
      </c>
    </row>
    <row r="1095" spans="1:5" x14ac:dyDescent="0.25">
      <c r="A1095" s="4">
        <v>24810</v>
      </c>
      <c r="B1095" s="4" t="s">
        <v>28</v>
      </c>
      <c r="C1095" s="5">
        <v>45302</v>
      </c>
      <c r="D1095" s="4">
        <v>11.7</v>
      </c>
      <c r="E1095" s="4">
        <v>3.79</v>
      </c>
    </row>
    <row r="1096" spans="1:5" x14ac:dyDescent="0.25">
      <c r="A1096" s="4">
        <v>24810</v>
      </c>
      <c r="B1096" s="4" t="s">
        <v>28</v>
      </c>
      <c r="C1096" s="5">
        <v>45302</v>
      </c>
      <c r="D1096" s="4">
        <v>10.9</v>
      </c>
      <c r="E1096" s="4">
        <v>3.53</v>
      </c>
    </row>
    <row r="1097" spans="1:5" x14ac:dyDescent="0.25">
      <c r="A1097" s="4">
        <v>24810</v>
      </c>
      <c r="B1097" s="4" t="s">
        <v>28</v>
      </c>
      <c r="C1097" s="5">
        <v>45302</v>
      </c>
      <c r="D1097" s="4">
        <v>11.7</v>
      </c>
      <c r="E1097" s="4">
        <v>3.79</v>
      </c>
    </row>
    <row r="1098" spans="1:5" x14ac:dyDescent="0.25">
      <c r="A1098" s="4">
        <v>24810</v>
      </c>
      <c r="B1098" s="4" t="s">
        <v>28</v>
      </c>
      <c r="C1098" s="5">
        <v>45302</v>
      </c>
      <c r="D1098" s="4">
        <v>10.9</v>
      </c>
      <c r="E1098" s="4">
        <v>3.53</v>
      </c>
    </row>
    <row r="1099" spans="1:5" x14ac:dyDescent="0.25">
      <c r="A1099" s="4">
        <v>24810</v>
      </c>
      <c r="B1099" s="4" t="s">
        <v>28</v>
      </c>
      <c r="C1099" s="5">
        <v>45302</v>
      </c>
      <c r="D1099" s="4">
        <v>11.7</v>
      </c>
      <c r="E1099" s="4">
        <v>3.79</v>
      </c>
    </row>
    <row r="1100" spans="1:5" x14ac:dyDescent="0.25">
      <c r="A1100" s="4">
        <v>24810</v>
      </c>
      <c r="B1100" s="4" t="s">
        <v>28</v>
      </c>
      <c r="C1100" s="5">
        <v>45302</v>
      </c>
      <c r="D1100" s="4">
        <v>8.6999999999999993</v>
      </c>
      <c r="E1100" s="4">
        <v>2.82</v>
      </c>
    </row>
    <row r="1101" spans="1:5" x14ac:dyDescent="0.25">
      <c r="A1101" s="4">
        <v>24810</v>
      </c>
      <c r="B1101" s="4" t="s">
        <v>29</v>
      </c>
      <c r="C1101" s="5">
        <v>45302</v>
      </c>
      <c r="D1101" s="4">
        <v>15.4</v>
      </c>
      <c r="E1101" s="4">
        <v>5.35</v>
      </c>
    </row>
    <row r="1102" spans="1:5" x14ac:dyDescent="0.25">
      <c r="A1102" s="4">
        <v>24810</v>
      </c>
      <c r="B1102" s="4" t="s">
        <v>29</v>
      </c>
      <c r="C1102" s="5">
        <v>45302</v>
      </c>
      <c r="D1102" s="4">
        <v>31.3</v>
      </c>
      <c r="E1102" s="4">
        <v>10.86</v>
      </c>
    </row>
    <row r="1103" spans="1:5" x14ac:dyDescent="0.25">
      <c r="A1103" s="4">
        <v>24810</v>
      </c>
      <c r="B1103" s="4" t="s">
        <v>29</v>
      </c>
      <c r="C1103" s="5">
        <v>45302</v>
      </c>
      <c r="D1103" s="4">
        <v>20.7</v>
      </c>
      <c r="E1103" s="4">
        <v>7.18</v>
      </c>
    </row>
    <row r="1104" spans="1:5" x14ac:dyDescent="0.25">
      <c r="A1104" s="4">
        <v>24810</v>
      </c>
      <c r="B1104" s="4" t="s">
        <v>29</v>
      </c>
      <c r="C1104" s="5">
        <v>45302</v>
      </c>
      <c r="D1104" s="4">
        <v>3.2</v>
      </c>
      <c r="E1104" s="4">
        <v>1.1200000000000001</v>
      </c>
    </row>
    <row r="1105" spans="1:5" x14ac:dyDescent="0.25">
      <c r="A1105" s="4">
        <v>24810</v>
      </c>
      <c r="B1105" s="4" t="s">
        <v>29</v>
      </c>
      <c r="C1105" s="5">
        <v>45302</v>
      </c>
      <c r="D1105" s="4">
        <v>1.4</v>
      </c>
      <c r="E1105" s="4">
        <v>0.47</v>
      </c>
    </row>
    <row r="1106" spans="1:5" x14ac:dyDescent="0.25">
      <c r="A1106" s="4">
        <v>24810</v>
      </c>
      <c r="B1106" s="4" t="s">
        <v>29</v>
      </c>
      <c r="C1106" s="5">
        <v>45302</v>
      </c>
      <c r="D1106" s="4">
        <v>5.3</v>
      </c>
      <c r="E1106" s="4">
        <v>1.82</v>
      </c>
    </row>
    <row r="1107" spans="1:5" x14ac:dyDescent="0.25">
      <c r="A1107" s="4">
        <v>24810</v>
      </c>
      <c r="B1107" s="4" t="s">
        <v>29</v>
      </c>
      <c r="C1107" s="5">
        <v>45302</v>
      </c>
      <c r="D1107" s="4">
        <v>5.3</v>
      </c>
      <c r="E1107" s="4">
        <v>1.82</v>
      </c>
    </row>
    <row r="1108" spans="1:5" x14ac:dyDescent="0.25">
      <c r="A1108" s="4">
        <v>24810</v>
      </c>
      <c r="B1108" s="4" t="s">
        <v>29</v>
      </c>
      <c r="C1108" s="5">
        <v>45302</v>
      </c>
      <c r="D1108" s="4">
        <v>5.3</v>
      </c>
      <c r="E1108" s="4">
        <v>1.82</v>
      </c>
    </row>
    <row r="1109" spans="1:5" x14ac:dyDescent="0.25">
      <c r="A1109" s="4">
        <v>24810</v>
      </c>
      <c r="B1109" s="4" t="s">
        <v>29</v>
      </c>
      <c r="C1109" s="5">
        <v>45302</v>
      </c>
      <c r="D1109" s="4">
        <v>5.3</v>
      </c>
      <c r="E1109" s="4">
        <v>1.82</v>
      </c>
    </row>
    <row r="1110" spans="1:5" x14ac:dyDescent="0.25">
      <c r="A1110" s="4">
        <v>24810</v>
      </c>
      <c r="B1110" s="4" t="s">
        <v>29</v>
      </c>
      <c r="C1110" s="5">
        <v>45302</v>
      </c>
      <c r="D1110" s="4">
        <v>3.7</v>
      </c>
      <c r="E1110" s="4">
        <v>1.26</v>
      </c>
    </row>
    <row r="1111" spans="1:5" x14ac:dyDescent="0.25">
      <c r="A1111" s="4">
        <v>24810</v>
      </c>
      <c r="B1111" s="4" t="s">
        <v>30</v>
      </c>
      <c r="C1111" s="5">
        <v>45302</v>
      </c>
      <c r="D1111" s="4">
        <v>13.8</v>
      </c>
      <c r="E1111" s="4">
        <v>4.8099999999999996</v>
      </c>
    </row>
    <row r="1112" spans="1:5" x14ac:dyDescent="0.25">
      <c r="A1112" s="4">
        <v>24810</v>
      </c>
      <c r="B1112" s="4" t="s">
        <v>30</v>
      </c>
      <c r="C1112" s="5">
        <v>45302</v>
      </c>
      <c r="D1112" s="4">
        <v>1.4</v>
      </c>
      <c r="E1112" s="4">
        <v>0.47</v>
      </c>
    </row>
    <row r="1113" spans="1:5" x14ac:dyDescent="0.25">
      <c r="A1113" s="4">
        <v>24810</v>
      </c>
      <c r="B1113" s="4" t="s">
        <v>30</v>
      </c>
      <c r="C1113" s="5">
        <v>45302</v>
      </c>
      <c r="D1113" s="4">
        <v>2</v>
      </c>
      <c r="E1113" s="4">
        <v>0.68</v>
      </c>
    </row>
    <row r="1114" spans="1:5" x14ac:dyDescent="0.25">
      <c r="A1114" s="4">
        <v>24810</v>
      </c>
      <c r="B1114" s="4" t="s">
        <v>30</v>
      </c>
      <c r="C1114" s="5">
        <v>45302</v>
      </c>
      <c r="D1114" s="4">
        <v>15.2</v>
      </c>
      <c r="E1114" s="4">
        <v>5.26</v>
      </c>
    </row>
    <row r="1115" spans="1:5" x14ac:dyDescent="0.25">
      <c r="A1115" s="4">
        <v>24810</v>
      </c>
      <c r="B1115" s="4" t="s">
        <v>30</v>
      </c>
      <c r="C1115" s="5">
        <v>45302</v>
      </c>
      <c r="D1115" s="4">
        <v>2</v>
      </c>
      <c r="E1115" s="4">
        <v>0.68</v>
      </c>
    </row>
    <row r="1116" spans="1:5" x14ac:dyDescent="0.25">
      <c r="A1116" s="4">
        <v>24810</v>
      </c>
      <c r="B1116" s="4" t="s">
        <v>30</v>
      </c>
      <c r="C1116" s="5">
        <v>45302</v>
      </c>
      <c r="D1116" s="4">
        <v>2.9</v>
      </c>
      <c r="E1116" s="4">
        <v>0.99</v>
      </c>
    </row>
    <row r="1117" spans="1:5" x14ac:dyDescent="0.25">
      <c r="A1117" s="4">
        <v>24810</v>
      </c>
      <c r="B1117" s="4" t="s">
        <v>30</v>
      </c>
      <c r="C1117" s="5">
        <v>45302</v>
      </c>
      <c r="D1117" s="4">
        <v>2.9</v>
      </c>
      <c r="E1117" s="4">
        <v>0.99</v>
      </c>
    </row>
    <row r="1118" spans="1:5" x14ac:dyDescent="0.25">
      <c r="A1118" s="4">
        <v>24810</v>
      </c>
      <c r="B1118" s="4" t="s">
        <v>30</v>
      </c>
      <c r="C1118" s="5">
        <v>45302</v>
      </c>
      <c r="D1118" s="4">
        <v>2</v>
      </c>
      <c r="E1118" s="4">
        <v>0.68</v>
      </c>
    </row>
    <row r="1119" spans="1:5" x14ac:dyDescent="0.25">
      <c r="A1119" s="4">
        <v>24810</v>
      </c>
      <c r="B1119" s="4" t="s">
        <v>30</v>
      </c>
      <c r="C1119" s="5">
        <v>45302</v>
      </c>
      <c r="D1119" s="4">
        <v>15.2</v>
      </c>
      <c r="E1119" s="4">
        <v>5.26</v>
      </c>
    </row>
    <row r="1120" spans="1:5" x14ac:dyDescent="0.25">
      <c r="A1120" s="4">
        <v>24810</v>
      </c>
      <c r="B1120" s="4" t="s">
        <v>30</v>
      </c>
      <c r="C1120" s="5">
        <v>45302</v>
      </c>
      <c r="D1120" s="4">
        <v>2</v>
      </c>
      <c r="E1120" s="4">
        <v>0.68</v>
      </c>
    </row>
    <row r="1121" spans="1:5" x14ac:dyDescent="0.25">
      <c r="A1121" s="4">
        <v>24810</v>
      </c>
      <c r="B1121" s="4" t="s">
        <v>30</v>
      </c>
      <c r="C1121" s="5">
        <v>45302</v>
      </c>
      <c r="D1121" s="4">
        <v>2</v>
      </c>
      <c r="E1121" s="4">
        <v>0.68</v>
      </c>
    </row>
    <row r="1122" spans="1:5" x14ac:dyDescent="0.25">
      <c r="A1122" s="4">
        <v>24810</v>
      </c>
      <c r="B1122" s="4" t="s">
        <v>30</v>
      </c>
      <c r="C1122" s="5">
        <v>45302</v>
      </c>
      <c r="D1122" s="4">
        <v>15.2</v>
      </c>
      <c r="E1122" s="4">
        <v>5.26</v>
      </c>
    </row>
    <row r="1123" spans="1:5" x14ac:dyDescent="0.25">
      <c r="A1123" s="4">
        <v>24810</v>
      </c>
      <c r="B1123" s="4" t="s">
        <v>30</v>
      </c>
      <c r="C1123" s="5">
        <v>45302</v>
      </c>
      <c r="D1123" s="4">
        <v>2</v>
      </c>
      <c r="E1123" s="4">
        <v>0.68</v>
      </c>
    </row>
    <row r="1124" spans="1:5" x14ac:dyDescent="0.25">
      <c r="A1124" s="4">
        <v>24810</v>
      </c>
      <c r="B1124" s="4" t="s">
        <v>30</v>
      </c>
      <c r="C1124" s="5">
        <v>45302</v>
      </c>
      <c r="D1124" s="4">
        <v>2.9</v>
      </c>
      <c r="E1124" s="4">
        <v>0.99</v>
      </c>
    </row>
    <row r="1125" spans="1:5" x14ac:dyDescent="0.25">
      <c r="A1125" s="4">
        <v>24810</v>
      </c>
      <c r="B1125" s="4" t="s">
        <v>30</v>
      </c>
      <c r="C1125" s="5">
        <v>45302</v>
      </c>
      <c r="D1125" s="4">
        <v>2.9</v>
      </c>
      <c r="E1125" s="4">
        <v>0.99</v>
      </c>
    </row>
    <row r="1126" spans="1:5" x14ac:dyDescent="0.25">
      <c r="A1126" s="4">
        <v>24810</v>
      </c>
      <c r="B1126" s="4" t="s">
        <v>30</v>
      </c>
      <c r="C1126" s="5">
        <v>45302</v>
      </c>
      <c r="D1126" s="4">
        <v>2</v>
      </c>
      <c r="E1126" s="4">
        <v>0.68</v>
      </c>
    </row>
    <row r="1127" spans="1:5" x14ac:dyDescent="0.25">
      <c r="A1127" s="4">
        <v>24810</v>
      </c>
      <c r="B1127" s="4" t="s">
        <v>30</v>
      </c>
      <c r="C1127" s="5">
        <v>45302</v>
      </c>
      <c r="D1127" s="4">
        <v>15.2</v>
      </c>
      <c r="E1127" s="4">
        <v>5.26</v>
      </c>
    </row>
    <row r="1128" spans="1:5" x14ac:dyDescent="0.25">
      <c r="A1128" s="4">
        <v>24810</v>
      </c>
      <c r="B1128" s="4" t="s">
        <v>30</v>
      </c>
      <c r="C1128" s="5">
        <v>45302</v>
      </c>
      <c r="D1128" s="4">
        <v>2</v>
      </c>
      <c r="E1128" s="4">
        <v>0.68</v>
      </c>
    </row>
    <row r="1129" spans="1:5" x14ac:dyDescent="0.25">
      <c r="A1129" s="4">
        <v>24810</v>
      </c>
      <c r="B1129" s="4" t="s">
        <v>30</v>
      </c>
      <c r="C1129" s="5">
        <v>45302</v>
      </c>
      <c r="D1129" s="4">
        <v>2</v>
      </c>
      <c r="E1129" s="4">
        <v>0.68</v>
      </c>
    </row>
    <row r="1130" spans="1:5" x14ac:dyDescent="0.25">
      <c r="A1130" s="4">
        <v>24810</v>
      </c>
      <c r="B1130" s="4" t="s">
        <v>30</v>
      </c>
      <c r="C1130" s="5">
        <v>45302</v>
      </c>
      <c r="D1130" s="4">
        <v>15.2</v>
      </c>
      <c r="E1130" s="4">
        <v>5.26</v>
      </c>
    </row>
    <row r="1131" spans="1:5" x14ac:dyDescent="0.25">
      <c r="A1131" s="4">
        <v>24810</v>
      </c>
      <c r="B1131" s="4" t="s">
        <v>30</v>
      </c>
      <c r="C1131" s="5">
        <v>45302</v>
      </c>
      <c r="D1131" s="4">
        <v>2</v>
      </c>
      <c r="E1131" s="4">
        <v>0.68</v>
      </c>
    </row>
    <row r="1132" spans="1:5" x14ac:dyDescent="0.25">
      <c r="A1132" s="4">
        <v>24810</v>
      </c>
      <c r="B1132" s="4" t="s">
        <v>30</v>
      </c>
      <c r="C1132" s="5">
        <v>45302</v>
      </c>
      <c r="D1132" s="4">
        <v>2.9</v>
      </c>
      <c r="E1132" s="4">
        <v>0.99</v>
      </c>
    </row>
    <row r="1133" spans="1:5" x14ac:dyDescent="0.25">
      <c r="A1133" s="4">
        <v>24810</v>
      </c>
      <c r="B1133" s="4" t="s">
        <v>30</v>
      </c>
      <c r="C1133" s="5">
        <v>45302</v>
      </c>
      <c r="D1133" s="4">
        <v>2.9</v>
      </c>
      <c r="E1133" s="4">
        <v>0.99</v>
      </c>
    </row>
    <row r="1134" spans="1:5" x14ac:dyDescent="0.25">
      <c r="A1134" s="4">
        <v>24810</v>
      </c>
      <c r="B1134" s="4" t="s">
        <v>30</v>
      </c>
      <c r="C1134" s="5">
        <v>45302</v>
      </c>
      <c r="D1134" s="4">
        <v>3.4</v>
      </c>
      <c r="E1134" s="4">
        <v>1.1499999999999999</v>
      </c>
    </row>
    <row r="1135" spans="1:5" x14ac:dyDescent="0.25">
      <c r="A1135" s="4">
        <v>24810</v>
      </c>
      <c r="B1135" s="4" t="s">
        <v>37</v>
      </c>
      <c r="C1135" s="5">
        <v>45302</v>
      </c>
      <c r="D1135" s="4">
        <v>15.4</v>
      </c>
      <c r="E1135" s="4">
        <v>5.35</v>
      </c>
    </row>
    <row r="1136" spans="1:5" x14ac:dyDescent="0.25">
      <c r="A1136" s="4">
        <v>24810</v>
      </c>
      <c r="B1136" s="4" t="s">
        <v>37</v>
      </c>
      <c r="C1136" s="5">
        <v>45302</v>
      </c>
      <c r="D1136" s="4">
        <v>30.2</v>
      </c>
      <c r="E1136" s="4">
        <v>10.49</v>
      </c>
    </row>
    <row r="1137" spans="1:5" x14ac:dyDescent="0.25">
      <c r="A1137" s="4">
        <v>24810</v>
      </c>
      <c r="B1137" s="4" t="s">
        <v>37</v>
      </c>
      <c r="C1137" s="5">
        <v>45302</v>
      </c>
      <c r="D1137" s="4">
        <v>1.2</v>
      </c>
      <c r="E1137" s="4">
        <v>0.41</v>
      </c>
    </row>
    <row r="1138" spans="1:5" x14ac:dyDescent="0.25">
      <c r="A1138" s="4">
        <v>24810</v>
      </c>
      <c r="B1138" s="4" t="s">
        <v>37</v>
      </c>
      <c r="C1138" s="5">
        <v>45302</v>
      </c>
      <c r="D1138" s="4">
        <v>15.4</v>
      </c>
      <c r="E1138" s="4">
        <v>5.35</v>
      </c>
    </row>
    <row r="1139" spans="1:5" x14ac:dyDescent="0.25">
      <c r="A1139" s="4">
        <v>24810</v>
      </c>
      <c r="B1139" s="4" t="s">
        <v>37</v>
      </c>
      <c r="C1139" s="5">
        <v>45302</v>
      </c>
      <c r="D1139" s="4">
        <v>15.4</v>
      </c>
      <c r="E1139" s="4">
        <v>5.35</v>
      </c>
    </row>
    <row r="1140" spans="1:5" x14ac:dyDescent="0.25">
      <c r="A1140" s="4">
        <v>24810</v>
      </c>
      <c r="B1140" s="4" t="s">
        <v>37</v>
      </c>
      <c r="C1140" s="5">
        <v>45302</v>
      </c>
      <c r="D1140" s="4">
        <v>1.2</v>
      </c>
      <c r="E1140" s="4">
        <v>0.41</v>
      </c>
    </row>
    <row r="1141" spans="1:5" x14ac:dyDescent="0.25">
      <c r="A1141" s="4">
        <v>24810</v>
      </c>
      <c r="B1141" s="4" t="s">
        <v>37</v>
      </c>
      <c r="C1141" s="5">
        <v>45302</v>
      </c>
      <c r="D1141" s="4">
        <v>31.3</v>
      </c>
      <c r="E1141" s="4">
        <v>10.86</v>
      </c>
    </row>
    <row r="1142" spans="1:5" x14ac:dyDescent="0.25">
      <c r="A1142" s="4">
        <v>24810</v>
      </c>
      <c r="B1142" s="4" t="s">
        <v>37</v>
      </c>
      <c r="C1142" s="5">
        <v>45302</v>
      </c>
      <c r="D1142" s="4">
        <v>15.4</v>
      </c>
      <c r="E1142" s="4">
        <v>5.35</v>
      </c>
    </row>
    <row r="1143" spans="1:5" x14ac:dyDescent="0.25">
      <c r="A1143" s="4">
        <v>24810</v>
      </c>
      <c r="B1143" s="4" t="s">
        <v>37</v>
      </c>
      <c r="C1143" s="5">
        <v>45302</v>
      </c>
      <c r="D1143" s="4">
        <v>1.2</v>
      </c>
      <c r="E1143" s="4">
        <v>0.41</v>
      </c>
    </row>
    <row r="1144" spans="1:5" x14ac:dyDescent="0.25">
      <c r="A1144" s="4">
        <v>24810</v>
      </c>
      <c r="B1144" s="4" t="s">
        <v>37</v>
      </c>
      <c r="C1144" s="5">
        <v>45302</v>
      </c>
      <c r="D1144" s="4">
        <v>1.2</v>
      </c>
      <c r="E1144" s="4">
        <v>0.41</v>
      </c>
    </row>
    <row r="1145" spans="1:5" x14ac:dyDescent="0.25">
      <c r="A1145" s="4">
        <v>24810</v>
      </c>
      <c r="B1145" s="4" t="s">
        <v>37</v>
      </c>
      <c r="C1145" s="5">
        <v>45302</v>
      </c>
      <c r="D1145" s="4">
        <v>15.4</v>
      </c>
      <c r="E1145" s="4">
        <v>5.35</v>
      </c>
    </row>
    <row r="1146" spans="1:5" x14ac:dyDescent="0.25">
      <c r="A1146" s="4">
        <v>24810</v>
      </c>
      <c r="B1146" s="4" t="s">
        <v>37</v>
      </c>
      <c r="C1146" s="5">
        <v>45302</v>
      </c>
      <c r="D1146" s="4">
        <v>30.2</v>
      </c>
      <c r="E1146" s="4">
        <v>10.49</v>
      </c>
    </row>
    <row r="1147" spans="1:5" x14ac:dyDescent="0.25">
      <c r="A1147" s="4">
        <v>24810</v>
      </c>
      <c r="B1147" s="4" t="s">
        <v>37</v>
      </c>
      <c r="C1147" s="5">
        <v>45302</v>
      </c>
      <c r="D1147" s="4">
        <v>1.2</v>
      </c>
      <c r="E1147" s="4">
        <v>0.41</v>
      </c>
    </row>
    <row r="1148" spans="1:5" x14ac:dyDescent="0.25">
      <c r="A1148" s="4">
        <v>24810</v>
      </c>
      <c r="B1148" s="4" t="s">
        <v>37</v>
      </c>
      <c r="C1148" s="5">
        <v>45302</v>
      </c>
      <c r="D1148" s="4">
        <v>15.4</v>
      </c>
      <c r="E1148" s="4">
        <v>5.35</v>
      </c>
    </row>
    <row r="1149" spans="1:5" x14ac:dyDescent="0.25">
      <c r="A1149" s="4">
        <v>24810</v>
      </c>
      <c r="B1149" s="4" t="s">
        <v>37</v>
      </c>
      <c r="C1149" s="5">
        <v>45302</v>
      </c>
      <c r="D1149" s="4">
        <v>30.2</v>
      </c>
      <c r="E1149" s="4">
        <v>10.49</v>
      </c>
    </row>
    <row r="1150" spans="1:5" x14ac:dyDescent="0.25">
      <c r="A1150" s="4">
        <v>24810</v>
      </c>
      <c r="B1150" s="4" t="s">
        <v>37</v>
      </c>
      <c r="C1150" s="5">
        <v>45302</v>
      </c>
      <c r="D1150" s="4">
        <v>1.2</v>
      </c>
      <c r="E1150" s="4">
        <v>0.41</v>
      </c>
    </row>
    <row r="1151" spans="1:5" x14ac:dyDescent="0.25">
      <c r="A1151" s="4">
        <v>24810</v>
      </c>
      <c r="B1151" s="4" t="s">
        <v>49</v>
      </c>
      <c r="C1151" s="5">
        <v>45302</v>
      </c>
      <c r="D1151" s="4">
        <v>15.4</v>
      </c>
      <c r="E1151" s="4">
        <v>5.35</v>
      </c>
    </row>
    <row r="1152" spans="1:5" x14ac:dyDescent="0.25">
      <c r="A1152" s="4">
        <v>24810</v>
      </c>
      <c r="B1152" s="4" t="s">
        <v>49</v>
      </c>
      <c r="C1152" s="5">
        <v>45302</v>
      </c>
      <c r="D1152" s="4">
        <v>48.9</v>
      </c>
      <c r="E1152" s="4">
        <v>17.02</v>
      </c>
    </row>
    <row r="1153" spans="1:5" x14ac:dyDescent="0.25">
      <c r="A1153" s="4">
        <v>24810</v>
      </c>
      <c r="B1153" s="4" t="s">
        <v>49</v>
      </c>
      <c r="C1153" s="5">
        <v>45302</v>
      </c>
      <c r="D1153" s="4">
        <v>6.3</v>
      </c>
      <c r="E1153" s="4">
        <v>2.17</v>
      </c>
    </row>
    <row r="1154" spans="1:5" x14ac:dyDescent="0.25">
      <c r="A1154" s="4">
        <v>24810</v>
      </c>
      <c r="B1154" s="4" t="s">
        <v>49</v>
      </c>
      <c r="C1154" s="5">
        <v>45302</v>
      </c>
      <c r="D1154" s="4">
        <v>0.1</v>
      </c>
      <c r="E1154" s="4">
        <v>0.03</v>
      </c>
    </row>
    <row r="1155" spans="1:5" x14ac:dyDescent="0.25">
      <c r="A1155" s="4">
        <v>24810</v>
      </c>
      <c r="B1155" s="4" t="s">
        <v>49</v>
      </c>
      <c r="C1155" s="5">
        <v>45302</v>
      </c>
      <c r="D1155" s="4">
        <v>40.700000000000003</v>
      </c>
      <c r="E1155" s="4">
        <v>14.18</v>
      </c>
    </row>
    <row r="1156" spans="1:5" x14ac:dyDescent="0.25">
      <c r="A1156" s="4">
        <v>24810</v>
      </c>
      <c r="B1156" s="4" t="s">
        <v>49</v>
      </c>
      <c r="C1156" s="5">
        <v>45302</v>
      </c>
      <c r="D1156" s="4">
        <v>40.700000000000003</v>
      </c>
      <c r="E1156" s="4">
        <v>14.18</v>
      </c>
    </row>
    <row r="1157" spans="1:5" x14ac:dyDescent="0.25">
      <c r="A1157" s="4">
        <v>24810</v>
      </c>
      <c r="B1157" s="4" t="s">
        <v>49</v>
      </c>
      <c r="C1157" s="5">
        <v>45302</v>
      </c>
      <c r="D1157" s="4">
        <v>5.2</v>
      </c>
      <c r="E1157" s="4">
        <v>1.79</v>
      </c>
    </row>
    <row r="1158" spans="1:5" x14ac:dyDescent="0.25">
      <c r="A1158" s="4">
        <v>24810</v>
      </c>
      <c r="B1158" s="4" t="s">
        <v>49</v>
      </c>
      <c r="C1158" s="5">
        <v>45302</v>
      </c>
      <c r="D1158" s="4">
        <v>1.8</v>
      </c>
      <c r="E1158" s="4">
        <v>0.63</v>
      </c>
    </row>
    <row r="1159" spans="1:5" x14ac:dyDescent="0.25">
      <c r="A1159" s="4">
        <v>24810</v>
      </c>
      <c r="B1159" s="4" t="s">
        <v>49</v>
      </c>
      <c r="C1159" s="5">
        <v>45302</v>
      </c>
      <c r="D1159" s="4">
        <v>0.1</v>
      </c>
      <c r="E1159" s="4">
        <v>0.03</v>
      </c>
    </row>
    <row r="1160" spans="1:5" x14ac:dyDescent="0.25">
      <c r="A1160" s="4">
        <v>24810</v>
      </c>
      <c r="B1160" s="4" t="s">
        <v>49</v>
      </c>
      <c r="C1160" s="5">
        <v>45302</v>
      </c>
      <c r="D1160" s="4">
        <v>42.5</v>
      </c>
      <c r="E1160" s="4">
        <v>14.81</v>
      </c>
    </row>
    <row r="1161" spans="1:5" x14ac:dyDescent="0.25">
      <c r="A1161" s="4">
        <v>24810</v>
      </c>
      <c r="B1161" s="4" t="s">
        <v>45</v>
      </c>
      <c r="C1161" s="5">
        <v>45302</v>
      </c>
      <c r="D1161" s="4">
        <v>13.8</v>
      </c>
      <c r="E1161" s="4">
        <v>4.47</v>
      </c>
    </row>
    <row r="1162" spans="1:5" x14ac:dyDescent="0.25">
      <c r="A1162" s="4">
        <v>24810</v>
      </c>
      <c r="B1162" s="4" t="s">
        <v>45</v>
      </c>
      <c r="C1162" s="5">
        <v>45302</v>
      </c>
      <c r="D1162" s="4">
        <v>11.7</v>
      </c>
      <c r="E1162" s="4">
        <v>3.79</v>
      </c>
    </row>
    <row r="1163" spans="1:5" x14ac:dyDescent="0.25">
      <c r="A1163" s="4">
        <v>24810</v>
      </c>
      <c r="B1163" s="4" t="s">
        <v>45</v>
      </c>
      <c r="C1163" s="5">
        <v>45302</v>
      </c>
      <c r="D1163" s="4">
        <v>10.9</v>
      </c>
      <c r="E1163" s="4">
        <v>3.53</v>
      </c>
    </row>
    <row r="1164" spans="1:5" x14ac:dyDescent="0.25">
      <c r="A1164" s="4">
        <v>24810</v>
      </c>
      <c r="B1164" s="4" t="s">
        <v>45</v>
      </c>
      <c r="C1164" s="5">
        <v>45302</v>
      </c>
      <c r="D1164" s="4">
        <v>11.7</v>
      </c>
      <c r="E1164" s="4">
        <v>3.79</v>
      </c>
    </row>
    <row r="1165" spans="1:5" x14ac:dyDescent="0.25">
      <c r="A1165" s="4">
        <v>24810</v>
      </c>
      <c r="B1165" s="4" t="s">
        <v>45</v>
      </c>
      <c r="C1165" s="5">
        <v>45302</v>
      </c>
      <c r="D1165" s="4">
        <v>24.1</v>
      </c>
      <c r="E1165" s="4">
        <v>7.82</v>
      </c>
    </row>
    <row r="1166" spans="1:5" x14ac:dyDescent="0.25">
      <c r="A1166" s="4">
        <v>24810</v>
      </c>
      <c r="B1166" s="4" t="s">
        <v>45</v>
      </c>
      <c r="C1166" s="5">
        <v>45302</v>
      </c>
      <c r="D1166" s="4">
        <v>16.899999999999999</v>
      </c>
      <c r="E1166" s="4">
        <v>5.48</v>
      </c>
    </row>
    <row r="1167" spans="1:5" x14ac:dyDescent="0.25">
      <c r="A1167" s="4">
        <v>24810</v>
      </c>
      <c r="B1167" s="4" t="s">
        <v>45</v>
      </c>
      <c r="C1167" s="5">
        <v>45302</v>
      </c>
      <c r="D1167" s="4">
        <v>1.4</v>
      </c>
      <c r="E1167" s="4">
        <v>0.44</v>
      </c>
    </row>
    <row r="1168" spans="1:5" x14ac:dyDescent="0.25">
      <c r="A1168" s="4">
        <v>24810</v>
      </c>
      <c r="B1168" s="4" t="s">
        <v>45</v>
      </c>
      <c r="C1168" s="5">
        <v>45302</v>
      </c>
      <c r="D1168" s="4">
        <v>3.3</v>
      </c>
      <c r="E1168" s="4">
        <v>1.04</v>
      </c>
    </row>
    <row r="1169" spans="1:5" x14ac:dyDescent="0.25">
      <c r="A1169" s="4">
        <v>24810</v>
      </c>
      <c r="B1169" s="4" t="s">
        <v>45</v>
      </c>
      <c r="C1169" s="5">
        <v>45302</v>
      </c>
      <c r="D1169" s="4">
        <v>11.7</v>
      </c>
      <c r="E1169" s="4">
        <v>3.79</v>
      </c>
    </row>
    <row r="1170" spans="1:5" x14ac:dyDescent="0.25">
      <c r="A1170" s="4">
        <v>24810</v>
      </c>
      <c r="B1170" s="4" t="s">
        <v>45</v>
      </c>
      <c r="C1170" s="5">
        <v>45302</v>
      </c>
      <c r="D1170" s="4">
        <v>10.9</v>
      </c>
      <c r="E1170" s="4">
        <v>3.53</v>
      </c>
    </row>
    <row r="1171" spans="1:5" x14ac:dyDescent="0.25">
      <c r="A1171" s="4">
        <v>24810</v>
      </c>
      <c r="B1171" s="4" t="s">
        <v>45</v>
      </c>
      <c r="C1171" s="5">
        <v>45302</v>
      </c>
      <c r="D1171" s="4">
        <v>11.7</v>
      </c>
      <c r="E1171" s="4">
        <v>3.79</v>
      </c>
    </row>
    <row r="1172" spans="1:5" x14ac:dyDescent="0.25">
      <c r="A1172" s="4">
        <v>24810</v>
      </c>
      <c r="B1172" s="4" t="s">
        <v>45</v>
      </c>
      <c r="C1172" s="5">
        <v>45302</v>
      </c>
      <c r="D1172" s="4">
        <v>10.9</v>
      </c>
      <c r="E1172" s="4">
        <v>3.53</v>
      </c>
    </row>
    <row r="1173" spans="1:5" x14ac:dyDescent="0.25">
      <c r="A1173" s="4">
        <v>24810</v>
      </c>
      <c r="B1173" s="4" t="s">
        <v>45</v>
      </c>
      <c r="C1173" s="5">
        <v>45302</v>
      </c>
      <c r="D1173" s="4">
        <v>11.7</v>
      </c>
      <c r="E1173" s="4">
        <v>3.79</v>
      </c>
    </row>
    <row r="1174" spans="1:5" x14ac:dyDescent="0.25">
      <c r="A1174" s="4">
        <v>24810</v>
      </c>
      <c r="B1174" s="4" t="s">
        <v>45</v>
      </c>
      <c r="C1174" s="5">
        <v>45302</v>
      </c>
      <c r="D1174" s="4">
        <v>8.6999999999999993</v>
      </c>
      <c r="E1174" s="4">
        <v>2.82</v>
      </c>
    </row>
    <row r="1175" spans="1:5" x14ac:dyDescent="0.25">
      <c r="A1175" s="4">
        <v>24810</v>
      </c>
      <c r="B1175" s="4" t="s">
        <v>39</v>
      </c>
      <c r="C1175" s="5">
        <v>45302</v>
      </c>
      <c r="D1175" s="4">
        <v>15.4</v>
      </c>
      <c r="E1175" s="4">
        <v>5.35</v>
      </c>
    </row>
    <row r="1176" spans="1:5" x14ac:dyDescent="0.25">
      <c r="A1176" s="4">
        <v>24810</v>
      </c>
      <c r="B1176" s="4" t="s">
        <v>39</v>
      </c>
      <c r="C1176" s="5">
        <v>45302</v>
      </c>
      <c r="D1176" s="4">
        <v>30.2</v>
      </c>
      <c r="E1176" s="4">
        <v>10.49</v>
      </c>
    </row>
    <row r="1177" spans="1:5" x14ac:dyDescent="0.25">
      <c r="A1177" s="4">
        <v>24810</v>
      </c>
      <c r="B1177" s="4" t="s">
        <v>39</v>
      </c>
      <c r="C1177" s="5">
        <v>45302</v>
      </c>
      <c r="D1177" s="4">
        <v>29.6</v>
      </c>
      <c r="E1177" s="4">
        <v>10.29</v>
      </c>
    </row>
    <row r="1178" spans="1:5" x14ac:dyDescent="0.25">
      <c r="A1178" s="4">
        <v>24810</v>
      </c>
      <c r="B1178" s="4" t="s">
        <v>39</v>
      </c>
      <c r="C1178" s="5">
        <v>45302</v>
      </c>
      <c r="D1178" s="4">
        <v>30.2</v>
      </c>
      <c r="E1178" s="4">
        <v>10.49</v>
      </c>
    </row>
    <row r="1179" spans="1:5" x14ac:dyDescent="0.25">
      <c r="A1179" s="4">
        <v>24810</v>
      </c>
      <c r="B1179" s="4" t="s">
        <v>39</v>
      </c>
      <c r="C1179" s="5">
        <v>45302</v>
      </c>
      <c r="D1179" s="4">
        <v>30.2</v>
      </c>
      <c r="E1179" s="4">
        <v>10.49</v>
      </c>
    </row>
    <row r="1180" spans="1:5" x14ac:dyDescent="0.25">
      <c r="A1180" s="4">
        <v>24810</v>
      </c>
      <c r="B1180" s="4" t="s">
        <v>39</v>
      </c>
      <c r="C1180" s="5">
        <v>45302</v>
      </c>
      <c r="D1180" s="4">
        <v>30.2</v>
      </c>
      <c r="E1180" s="4">
        <v>10.49</v>
      </c>
    </row>
    <row r="1181" spans="1:5" x14ac:dyDescent="0.25">
      <c r="A1181" s="4">
        <v>24810</v>
      </c>
      <c r="B1181" s="4" t="s">
        <v>39</v>
      </c>
      <c r="C1181" s="5">
        <v>45302</v>
      </c>
      <c r="D1181" s="4">
        <v>0.8</v>
      </c>
      <c r="E1181" s="4">
        <v>0.27</v>
      </c>
    </row>
    <row r="1182" spans="1:5" x14ac:dyDescent="0.25">
      <c r="A1182" s="4">
        <v>24810</v>
      </c>
      <c r="B1182" s="4" t="s">
        <v>39</v>
      </c>
      <c r="C1182" s="5">
        <v>45302</v>
      </c>
      <c r="D1182" s="4">
        <v>27.6</v>
      </c>
      <c r="E1182" s="4">
        <v>9.6</v>
      </c>
    </row>
    <row r="1183" spans="1:5" x14ac:dyDescent="0.25">
      <c r="A1183" s="4">
        <v>24810</v>
      </c>
      <c r="B1183" s="4" t="s">
        <v>39</v>
      </c>
      <c r="C1183" s="5">
        <v>45302</v>
      </c>
      <c r="D1183" s="4">
        <v>30.2</v>
      </c>
      <c r="E1183" s="4">
        <v>10.49</v>
      </c>
    </row>
    <row r="1184" spans="1:5" x14ac:dyDescent="0.25">
      <c r="A1184" s="4">
        <v>24810</v>
      </c>
      <c r="B1184" s="4" t="s">
        <v>39</v>
      </c>
      <c r="C1184" s="5">
        <v>45302</v>
      </c>
      <c r="D1184" s="4">
        <v>30.2</v>
      </c>
      <c r="E1184" s="4">
        <v>10.49</v>
      </c>
    </row>
    <row r="1185" spans="1:5" x14ac:dyDescent="0.25">
      <c r="A1185" s="4">
        <v>24810</v>
      </c>
      <c r="B1185" s="4" t="s">
        <v>39</v>
      </c>
      <c r="C1185" s="5">
        <v>45302</v>
      </c>
      <c r="D1185" s="4">
        <v>27.6</v>
      </c>
      <c r="E1185" s="4">
        <v>9.6</v>
      </c>
    </row>
    <row r="1186" spans="1:5" x14ac:dyDescent="0.25">
      <c r="A1186" s="4">
        <v>24810</v>
      </c>
      <c r="B1186" s="4" t="s">
        <v>39</v>
      </c>
      <c r="C1186" s="5">
        <v>45302</v>
      </c>
      <c r="D1186" s="4">
        <v>0.9</v>
      </c>
      <c r="E1186" s="4">
        <v>0.31</v>
      </c>
    </row>
    <row r="1187" spans="1:5" x14ac:dyDescent="0.25">
      <c r="A1187" s="4">
        <v>24810</v>
      </c>
      <c r="B1187" s="4" t="s">
        <v>40</v>
      </c>
      <c r="C1187" s="5">
        <v>45302</v>
      </c>
      <c r="D1187" s="4">
        <v>0.4</v>
      </c>
      <c r="E1187" s="4">
        <v>0.14000000000000001</v>
      </c>
    </row>
    <row r="1188" spans="1:5" x14ac:dyDescent="0.25">
      <c r="A1188" s="4">
        <v>24810</v>
      </c>
      <c r="B1188" s="4" t="s">
        <v>40</v>
      </c>
      <c r="C1188" s="5">
        <v>45302</v>
      </c>
      <c r="D1188" s="4">
        <v>0.4</v>
      </c>
      <c r="E1188" s="4">
        <v>0.14000000000000001</v>
      </c>
    </row>
    <row r="1189" spans="1:5" x14ac:dyDescent="0.25">
      <c r="A1189" s="4">
        <v>24810</v>
      </c>
      <c r="B1189" s="4" t="s">
        <v>40</v>
      </c>
      <c r="C1189" s="5">
        <v>45302</v>
      </c>
      <c r="D1189" s="4">
        <v>0.4</v>
      </c>
      <c r="E1189" s="4">
        <v>0.14000000000000001</v>
      </c>
    </row>
    <row r="1190" spans="1:5" x14ac:dyDescent="0.25">
      <c r="A1190" s="4">
        <v>24810</v>
      </c>
      <c r="B1190" s="4" t="s">
        <v>40</v>
      </c>
      <c r="C1190" s="5">
        <v>45302</v>
      </c>
      <c r="D1190" s="4">
        <v>0.4</v>
      </c>
      <c r="E1190" s="4">
        <v>0.14000000000000001</v>
      </c>
    </row>
    <row r="1191" spans="1:5" x14ac:dyDescent="0.25">
      <c r="A1191" s="4">
        <v>24810</v>
      </c>
      <c r="B1191" s="4" t="s">
        <v>40</v>
      </c>
      <c r="C1191" s="5">
        <v>45302</v>
      </c>
      <c r="D1191" s="4">
        <v>0.4</v>
      </c>
      <c r="E1191" s="4">
        <v>0.14000000000000001</v>
      </c>
    </row>
    <row r="1192" spans="1:5" x14ac:dyDescent="0.25">
      <c r="A1192" s="4">
        <v>24810</v>
      </c>
      <c r="B1192" s="4" t="s">
        <v>40</v>
      </c>
      <c r="C1192" s="5">
        <v>45302</v>
      </c>
      <c r="D1192" s="4">
        <v>0.4</v>
      </c>
      <c r="E1192" s="4">
        <v>0.14000000000000001</v>
      </c>
    </row>
    <row r="1193" spans="1:5" x14ac:dyDescent="0.25">
      <c r="A1193" s="4">
        <v>24810</v>
      </c>
      <c r="B1193" s="4" t="s">
        <v>40</v>
      </c>
      <c r="C1193" s="5">
        <v>45302</v>
      </c>
      <c r="D1193" s="4">
        <v>0.4</v>
      </c>
      <c r="E1193" s="4">
        <v>0.14000000000000001</v>
      </c>
    </row>
    <row r="1194" spans="1:5" x14ac:dyDescent="0.25">
      <c r="A1194" s="4">
        <v>24810</v>
      </c>
      <c r="B1194" s="4" t="s">
        <v>40</v>
      </c>
      <c r="C1194" s="5">
        <v>45302</v>
      </c>
      <c r="D1194" s="4">
        <v>0.4</v>
      </c>
      <c r="E1194" s="4">
        <v>0.14000000000000001</v>
      </c>
    </row>
    <row r="1195" spans="1:5" x14ac:dyDescent="0.25">
      <c r="A1195" s="4">
        <v>24810</v>
      </c>
      <c r="B1195" s="4" t="s">
        <v>40</v>
      </c>
      <c r="C1195" s="5">
        <v>45302</v>
      </c>
      <c r="D1195" s="4">
        <v>0.4</v>
      </c>
      <c r="E1195" s="4">
        <v>0.14000000000000001</v>
      </c>
    </row>
    <row r="1196" spans="1:5" x14ac:dyDescent="0.25">
      <c r="A1196" s="4">
        <v>24810</v>
      </c>
      <c r="B1196" s="4" t="s">
        <v>40</v>
      </c>
      <c r="C1196" s="5">
        <v>45302</v>
      </c>
      <c r="D1196" s="4">
        <v>0.4</v>
      </c>
      <c r="E1196" s="4">
        <v>0.14000000000000001</v>
      </c>
    </row>
    <row r="1197" spans="1:5" x14ac:dyDescent="0.25">
      <c r="A1197" s="4">
        <v>24810</v>
      </c>
      <c r="B1197" s="4" t="s">
        <v>40</v>
      </c>
      <c r="C1197" s="5">
        <v>45302</v>
      </c>
      <c r="D1197" s="4">
        <v>0.4</v>
      </c>
      <c r="E1197" s="4">
        <v>0.14000000000000001</v>
      </c>
    </row>
    <row r="1198" spans="1:5" x14ac:dyDescent="0.25">
      <c r="A1198" s="4">
        <v>24810</v>
      </c>
      <c r="B1198" s="4" t="s">
        <v>40</v>
      </c>
      <c r="C1198" s="5">
        <v>45302</v>
      </c>
      <c r="D1198" s="4">
        <v>0.4</v>
      </c>
      <c r="E1198" s="4">
        <v>0.14000000000000001</v>
      </c>
    </row>
    <row r="1199" spans="1:5" x14ac:dyDescent="0.25">
      <c r="A1199" s="4">
        <v>24810</v>
      </c>
      <c r="B1199" s="4" t="s">
        <v>40</v>
      </c>
      <c r="C1199" s="5">
        <v>45302</v>
      </c>
      <c r="D1199" s="4">
        <v>0.4</v>
      </c>
      <c r="E1199" s="4">
        <v>0.14000000000000001</v>
      </c>
    </row>
    <row r="1200" spans="1:5" x14ac:dyDescent="0.25">
      <c r="A1200" s="4">
        <v>24810</v>
      </c>
      <c r="B1200" s="4" t="s">
        <v>40</v>
      </c>
      <c r="C1200" s="5">
        <v>45302</v>
      </c>
      <c r="D1200" s="4">
        <v>0.4</v>
      </c>
      <c r="E1200" s="4">
        <v>0.14000000000000001</v>
      </c>
    </row>
    <row r="1201" spans="1:5" x14ac:dyDescent="0.25">
      <c r="A1201" s="4">
        <v>24810</v>
      </c>
      <c r="B1201" s="4" t="s">
        <v>40</v>
      </c>
      <c r="C1201" s="5">
        <v>45302</v>
      </c>
      <c r="D1201" s="4">
        <v>0.4</v>
      </c>
      <c r="E1201" s="4">
        <v>0.14000000000000001</v>
      </c>
    </row>
    <row r="1202" spans="1:5" x14ac:dyDescent="0.25">
      <c r="A1202" s="4">
        <v>24810</v>
      </c>
      <c r="B1202" s="4" t="s">
        <v>40</v>
      </c>
      <c r="C1202" s="5">
        <v>45302</v>
      </c>
      <c r="D1202" s="4">
        <v>0.4</v>
      </c>
      <c r="E1202" s="4">
        <v>0.14000000000000001</v>
      </c>
    </row>
    <row r="1203" spans="1:5" x14ac:dyDescent="0.25">
      <c r="A1203" s="4">
        <v>24810</v>
      </c>
      <c r="B1203" s="4" t="s">
        <v>40</v>
      </c>
      <c r="C1203" s="5">
        <v>45302</v>
      </c>
      <c r="D1203" s="4">
        <v>0.4</v>
      </c>
      <c r="E1203" s="4">
        <v>0.14000000000000001</v>
      </c>
    </row>
    <row r="1204" spans="1:5" x14ac:dyDescent="0.25">
      <c r="A1204" s="4">
        <v>24810</v>
      </c>
      <c r="B1204" s="4" t="s">
        <v>40</v>
      </c>
      <c r="C1204" s="5">
        <v>45302</v>
      </c>
      <c r="D1204" s="4">
        <v>0.4</v>
      </c>
      <c r="E1204" s="4">
        <v>0.14000000000000001</v>
      </c>
    </row>
    <row r="1205" spans="1:5" x14ac:dyDescent="0.25">
      <c r="A1205" s="4">
        <v>24810</v>
      </c>
      <c r="B1205" s="4" t="s">
        <v>33</v>
      </c>
      <c r="C1205" s="5">
        <v>45302</v>
      </c>
      <c r="D1205" s="4">
        <v>13.8</v>
      </c>
      <c r="E1205" s="4">
        <v>4.8099999999999996</v>
      </c>
    </row>
    <row r="1206" spans="1:5" x14ac:dyDescent="0.25">
      <c r="A1206" s="4">
        <v>24810</v>
      </c>
      <c r="B1206" s="4" t="s">
        <v>33</v>
      </c>
      <c r="C1206" s="5">
        <v>45302</v>
      </c>
      <c r="D1206" s="4">
        <v>1.4</v>
      </c>
      <c r="E1206" s="4">
        <v>0.47</v>
      </c>
    </row>
    <row r="1207" spans="1:5" x14ac:dyDescent="0.25">
      <c r="A1207" s="4">
        <v>24810</v>
      </c>
      <c r="B1207" s="4" t="s">
        <v>33</v>
      </c>
      <c r="C1207" s="5">
        <v>45302</v>
      </c>
      <c r="D1207" s="4">
        <v>2</v>
      </c>
      <c r="E1207" s="4">
        <v>0.68</v>
      </c>
    </row>
    <row r="1208" spans="1:5" x14ac:dyDescent="0.25">
      <c r="A1208" s="4">
        <v>24810</v>
      </c>
      <c r="B1208" s="4" t="s">
        <v>33</v>
      </c>
      <c r="C1208" s="5">
        <v>45302</v>
      </c>
      <c r="D1208" s="4">
        <v>15.2</v>
      </c>
      <c r="E1208" s="4">
        <v>5.26</v>
      </c>
    </row>
    <row r="1209" spans="1:5" x14ac:dyDescent="0.25">
      <c r="A1209" s="4">
        <v>24810</v>
      </c>
      <c r="B1209" s="4" t="s">
        <v>33</v>
      </c>
      <c r="C1209" s="5">
        <v>45302</v>
      </c>
      <c r="D1209" s="4">
        <v>2</v>
      </c>
      <c r="E1209" s="4">
        <v>0.68</v>
      </c>
    </row>
    <row r="1210" spans="1:5" x14ac:dyDescent="0.25">
      <c r="A1210" s="4">
        <v>24810</v>
      </c>
      <c r="B1210" s="4" t="s">
        <v>33</v>
      </c>
      <c r="C1210" s="5">
        <v>45302</v>
      </c>
      <c r="D1210" s="4">
        <v>2.9</v>
      </c>
      <c r="E1210" s="4">
        <v>0.99</v>
      </c>
    </row>
    <row r="1211" spans="1:5" x14ac:dyDescent="0.25">
      <c r="A1211" s="4">
        <v>24810</v>
      </c>
      <c r="B1211" s="4" t="s">
        <v>33</v>
      </c>
      <c r="C1211" s="5">
        <v>45302</v>
      </c>
      <c r="D1211" s="4">
        <v>2.9</v>
      </c>
      <c r="E1211" s="4">
        <v>0.99</v>
      </c>
    </row>
    <row r="1212" spans="1:5" x14ac:dyDescent="0.25">
      <c r="A1212" s="4">
        <v>24810</v>
      </c>
      <c r="B1212" s="4" t="s">
        <v>33</v>
      </c>
      <c r="C1212" s="5">
        <v>45302</v>
      </c>
      <c r="D1212" s="4">
        <v>2</v>
      </c>
      <c r="E1212" s="4">
        <v>0.68</v>
      </c>
    </row>
    <row r="1213" spans="1:5" x14ac:dyDescent="0.25">
      <c r="A1213" s="4">
        <v>24810</v>
      </c>
      <c r="B1213" s="4" t="s">
        <v>33</v>
      </c>
      <c r="C1213" s="5">
        <v>45302</v>
      </c>
      <c r="D1213" s="4">
        <v>15.2</v>
      </c>
      <c r="E1213" s="4">
        <v>5.26</v>
      </c>
    </row>
    <row r="1214" spans="1:5" x14ac:dyDescent="0.25">
      <c r="A1214" s="4">
        <v>24810</v>
      </c>
      <c r="B1214" s="4" t="s">
        <v>33</v>
      </c>
      <c r="C1214" s="5">
        <v>45302</v>
      </c>
      <c r="D1214" s="4">
        <v>2</v>
      </c>
      <c r="E1214" s="4">
        <v>0.68</v>
      </c>
    </row>
    <row r="1215" spans="1:5" x14ac:dyDescent="0.25">
      <c r="A1215" s="4">
        <v>24810</v>
      </c>
      <c r="B1215" s="4" t="s">
        <v>33</v>
      </c>
      <c r="C1215" s="5">
        <v>45302</v>
      </c>
      <c r="D1215" s="4">
        <v>2</v>
      </c>
      <c r="E1215" s="4">
        <v>0.68</v>
      </c>
    </row>
    <row r="1216" spans="1:5" x14ac:dyDescent="0.25">
      <c r="A1216" s="4">
        <v>24810</v>
      </c>
      <c r="B1216" s="4" t="s">
        <v>33</v>
      </c>
      <c r="C1216" s="5">
        <v>45302</v>
      </c>
      <c r="D1216" s="4">
        <v>15.2</v>
      </c>
      <c r="E1216" s="4">
        <v>5.26</v>
      </c>
    </row>
    <row r="1217" spans="1:5" x14ac:dyDescent="0.25">
      <c r="A1217" s="4">
        <v>24810</v>
      </c>
      <c r="B1217" s="4" t="s">
        <v>33</v>
      </c>
      <c r="C1217" s="5">
        <v>45302</v>
      </c>
      <c r="D1217" s="4">
        <v>2</v>
      </c>
      <c r="E1217" s="4">
        <v>0.68</v>
      </c>
    </row>
    <row r="1218" spans="1:5" x14ac:dyDescent="0.25">
      <c r="A1218" s="4">
        <v>24810</v>
      </c>
      <c r="B1218" s="4" t="s">
        <v>33</v>
      </c>
      <c r="C1218" s="5">
        <v>45302</v>
      </c>
      <c r="D1218" s="4">
        <v>2.9</v>
      </c>
      <c r="E1218" s="4">
        <v>0.99</v>
      </c>
    </row>
    <row r="1219" spans="1:5" x14ac:dyDescent="0.25">
      <c r="A1219" s="4">
        <v>24810</v>
      </c>
      <c r="B1219" s="4" t="s">
        <v>33</v>
      </c>
      <c r="C1219" s="5">
        <v>45302</v>
      </c>
      <c r="D1219" s="4">
        <v>2.9</v>
      </c>
      <c r="E1219" s="4">
        <v>0.99</v>
      </c>
    </row>
    <row r="1220" spans="1:5" x14ac:dyDescent="0.25">
      <c r="A1220" s="4">
        <v>24810</v>
      </c>
      <c r="B1220" s="4" t="s">
        <v>33</v>
      </c>
      <c r="C1220" s="5">
        <v>45302</v>
      </c>
      <c r="D1220" s="4">
        <v>2</v>
      </c>
      <c r="E1220" s="4">
        <v>0.68</v>
      </c>
    </row>
    <row r="1221" spans="1:5" x14ac:dyDescent="0.25">
      <c r="A1221" s="4">
        <v>24810</v>
      </c>
      <c r="B1221" s="4" t="s">
        <v>33</v>
      </c>
      <c r="C1221" s="5">
        <v>45302</v>
      </c>
      <c r="D1221" s="4">
        <v>15.2</v>
      </c>
      <c r="E1221" s="4">
        <v>5.26</v>
      </c>
    </row>
    <row r="1222" spans="1:5" x14ac:dyDescent="0.25">
      <c r="A1222" s="4">
        <v>24810</v>
      </c>
      <c r="B1222" s="4" t="s">
        <v>33</v>
      </c>
      <c r="C1222" s="5">
        <v>45302</v>
      </c>
      <c r="D1222" s="4">
        <v>2</v>
      </c>
      <c r="E1222" s="4">
        <v>0.68</v>
      </c>
    </row>
    <row r="1223" spans="1:5" x14ac:dyDescent="0.25">
      <c r="A1223" s="4">
        <v>24810</v>
      </c>
      <c r="B1223" s="4" t="s">
        <v>33</v>
      </c>
      <c r="C1223" s="5">
        <v>45302</v>
      </c>
      <c r="D1223" s="4">
        <v>2</v>
      </c>
      <c r="E1223" s="4">
        <v>0.68</v>
      </c>
    </row>
    <row r="1224" spans="1:5" x14ac:dyDescent="0.25">
      <c r="A1224" s="4">
        <v>24810</v>
      </c>
      <c r="B1224" s="4" t="s">
        <v>33</v>
      </c>
      <c r="C1224" s="5">
        <v>45302</v>
      </c>
      <c r="D1224" s="4">
        <v>15.2</v>
      </c>
      <c r="E1224" s="4">
        <v>5.26</v>
      </c>
    </row>
    <row r="1225" spans="1:5" x14ac:dyDescent="0.25">
      <c r="A1225" s="4">
        <v>24810</v>
      </c>
      <c r="B1225" s="4" t="s">
        <v>33</v>
      </c>
      <c r="C1225" s="5">
        <v>45302</v>
      </c>
      <c r="D1225" s="4">
        <v>2</v>
      </c>
      <c r="E1225" s="4">
        <v>0.68</v>
      </c>
    </row>
    <row r="1226" spans="1:5" x14ac:dyDescent="0.25">
      <c r="A1226" s="4">
        <v>24810</v>
      </c>
      <c r="B1226" s="4" t="s">
        <v>33</v>
      </c>
      <c r="C1226" s="5">
        <v>45302</v>
      </c>
      <c r="D1226" s="4">
        <v>2.9</v>
      </c>
      <c r="E1226" s="4">
        <v>0.99</v>
      </c>
    </row>
    <row r="1227" spans="1:5" x14ac:dyDescent="0.25">
      <c r="A1227" s="4">
        <v>24810</v>
      </c>
      <c r="B1227" s="4" t="s">
        <v>33</v>
      </c>
      <c r="C1227" s="5">
        <v>45302</v>
      </c>
      <c r="D1227" s="4">
        <v>2.9</v>
      </c>
      <c r="E1227" s="4">
        <v>0.99</v>
      </c>
    </row>
    <row r="1228" spans="1:5" x14ac:dyDescent="0.25">
      <c r="A1228" s="4">
        <v>24810</v>
      </c>
      <c r="B1228" s="4" t="s">
        <v>33</v>
      </c>
      <c r="C1228" s="5">
        <v>45302</v>
      </c>
      <c r="D1228" s="4">
        <v>2</v>
      </c>
      <c r="E1228" s="4">
        <v>0.68</v>
      </c>
    </row>
    <row r="1229" spans="1:5" x14ac:dyDescent="0.25">
      <c r="A1229" s="4">
        <v>24810</v>
      </c>
      <c r="B1229" s="4" t="s">
        <v>33</v>
      </c>
      <c r="C1229" s="5">
        <v>45302</v>
      </c>
      <c r="D1229" s="4">
        <v>28.6</v>
      </c>
      <c r="E1229" s="4">
        <v>9.93</v>
      </c>
    </row>
    <row r="1230" spans="1:5" x14ac:dyDescent="0.25">
      <c r="A1230" s="4">
        <v>24810</v>
      </c>
      <c r="B1230" s="4" t="s">
        <v>42</v>
      </c>
      <c r="C1230" s="5">
        <v>45302</v>
      </c>
      <c r="D1230" s="4">
        <v>0.4</v>
      </c>
      <c r="E1230" s="4">
        <v>0.14000000000000001</v>
      </c>
    </row>
    <row r="1231" spans="1:5" x14ac:dyDescent="0.25">
      <c r="A1231" s="4">
        <v>24810</v>
      </c>
      <c r="B1231" s="4" t="s">
        <v>42</v>
      </c>
      <c r="C1231" s="5">
        <v>45302</v>
      </c>
      <c r="D1231" s="4">
        <v>0.4</v>
      </c>
      <c r="E1231" s="4">
        <v>0.14000000000000001</v>
      </c>
    </row>
    <row r="1232" spans="1:5" x14ac:dyDescent="0.25">
      <c r="A1232" s="4">
        <v>24810</v>
      </c>
      <c r="B1232" s="4" t="s">
        <v>42</v>
      </c>
      <c r="C1232" s="5">
        <v>45302</v>
      </c>
      <c r="D1232" s="4">
        <v>0.4</v>
      </c>
      <c r="E1232" s="4">
        <v>0.14000000000000001</v>
      </c>
    </row>
    <row r="1233" spans="1:5" x14ac:dyDescent="0.25">
      <c r="A1233" s="4">
        <v>24810</v>
      </c>
      <c r="B1233" s="4" t="s">
        <v>42</v>
      </c>
      <c r="C1233" s="5">
        <v>45302</v>
      </c>
      <c r="D1233" s="4">
        <v>0.4</v>
      </c>
      <c r="E1233" s="4">
        <v>0.14000000000000001</v>
      </c>
    </row>
    <row r="1234" spans="1:5" x14ac:dyDescent="0.25">
      <c r="A1234" s="4">
        <v>24810</v>
      </c>
      <c r="B1234" s="4" t="s">
        <v>42</v>
      </c>
      <c r="C1234" s="5">
        <v>45302</v>
      </c>
      <c r="D1234" s="4">
        <v>0.4</v>
      </c>
      <c r="E1234" s="4">
        <v>0.14000000000000001</v>
      </c>
    </row>
    <row r="1235" spans="1:5" x14ac:dyDescent="0.25">
      <c r="A1235" s="4">
        <v>24810</v>
      </c>
      <c r="B1235" s="4" t="s">
        <v>42</v>
      </c>
      <c r="C1235" s="5">
        <v>45302</v>
      </c>
      <c r="D1235" s="4">
        <v>0.4</v>
      </c>
      <c r="E1235" s="4">
        <v>0.14000000000000001</v>
      </c>
    </row>
    <row r="1236" spans="1:5" x14ac:dyDescent="0.25">
      <c r="A1236" s="4">
        <v>24810</v>
      </c>
      <c r="B1236" s="4" t="s">
        <v>42</v>
      </c>
      <c r="C1236" s="5">
        <v>45302</v>
      </c>
      <c r="D1236" s="4">
        <v>0.4</v>
      </c>
      <c r="E1236" s="4">
        <v>0.14000000000000001</v>
      </c>
    </row>
    <row r="1237" spans="1:5" x14ac:dyDescent="0.25">
      <c r="A1237" s="4">
        <v>24810</v>
      </c>
      <c r="B1237" s="4" t="s">
        <v>42</v>
      </c>
      <c r="C1237" s="5">
        <v>45302</v>
      </c>
      <c r="D1237" s="4">
        <v>0.4</v>
      </c>
      <c r="E1237" s="4">
        <v>0.14000000000000001</v>
      </c>
    </row>
    <row r="1238" spans="1:5" x14ac:dyDescent="0.25">
      <c r="A1238" s="4">
        <v>24810</v>
      </c>
      <c r="B1238" s="4" t="s">
        <v>42</v>
      </c>
      <c r="C1238" s="5">
        <v>45302</v>
      </c>
      <c r="D1238" s="4">
        <v>0.4</v>
      </c>
      <c r="E1238" s="4">
        <v>0.14000000000000001</v>
      </c>
    </row>
    <row r="1239" spans="1:5" x14ac:dyDescent="0.25">
      <c r="A1239" s="4">
        <v>24810</v>
      </c>
      <c r="B1239" s="4" t="s">
        <v>42</v>
      </c>
      <c r="C1239" s="5">
        <v>45302</v>
      </c>
      <c r="D1239" s="4">
        <v>0.4</v>
      </c>
      <c r="E1239" s="4">
        <v>0.14000000000000001</v>
      </c>
    </row>
    <row r="1240" spans="1:5" x14ac:dyDescent="0.25">
      <c r="A1240" s="4">
        <v>24810</v>
      </c>
      <c r="B1240" s="4" t="s">
        <v>42</v>
      </c>
      <c r="C1240" s="5">
        <v>45302</v>
      </c>
      <c r="D1240" s="4">
        <v>0.4</v>
      </c>
      <c r="E1240" s="4">
        <v>0.14000000000000001</v>
      </c>
    </row>
    <row r="1241" spans="1:5" x14ac:dyDescent="0.25">
      <c r="A1241" s="4">
        <v>24810</v>
      </c>
      <c r="B1241" s="4" t="s">
        <v>42</v>
      </c>
      <c r="C1241" s="5">
        <v>45302</v>
      </c>
      <c r="D1241" s="4">
        <v>0.4</v>
      </c>
      <c r="E1241" s="4">
        <v>0.14000000000000001</v>
      </c>
    </row>
    <row r="1242" spans="1:5" x14ac:dyDescent="0.25">
      <c r="A1242" s="4">
        <v>24810</v>
      </c>
      <c r="B1242" s="4" t="s">
        <v>42</v>
      </c>
      <c r="C1242" s="5">
        <v>45302</v>
      </c>
      <c r="D1242" s="4">
        <v>0.4</v>
      </c>
      <c r="E1242" s="4">
        <v>0.14000000000000001</v>
      </c>
    </row>
    <row r="1243" spans="1:5" x14ac:dyDescent="0.25">
      <c r="A1243" s="4">
        <v>24810</v>
      </c>
      <c r="B1243" s="4" t="s">
        <v>42</v>
      </c>
      <c r="C1243" s="5">
        <v>45302</v>
      </c>
      <c r="D1243" s="4">
        <v>0.4</v>
      </c>
      <c r="E1243" s="4">
        <v>0.14000000000000001</v>
      </c>
    </row>
    <row r="1244" spans="1:5" x14ac:dyDescent="0.25">
      <c r="A1244" s="4">
        <v>24810</v>
      </c>
      <c r="B1244" s="4" t="s">
        <v>42</v>
      </c>
      <c r="C1244" s="5">
        <v>45302</v>
      </c>
      <c r="D1244" s="4">
        <v>0.4</v>
      </c>
      <c r="E1244" s="4">
        <v>0.14000000000000001</v>
      </c>
    </row>
    <row r="1245" spans="1:5" x14ac:dyDescent="0.25">
      <c r="A1245" s="4">
        <v>24810</v>
      </c>
      <c r="B1245" s="4" t="s">
        <v>42</v>
      </c>
      <c r="C1245" s="5">
        <v>45302</v>
      </c>
      <c r="D1245" s="4">
        <v>0.4</v>
      </c>
      <c r="E1245" s="4">
        <v>0.14000000000000001</v>
      </c>
    </row>
    <row r="1246" spans="1:5" x14ac:dyDescent="0.25">
      <c r="A1246" s="4">
        <v>24810</v>
      </c>
      <c r="B1246" s="4" t="s">
        <v>42</v>
      </c>
      <c r="C1246" s="5">
        <v>45302</v>
      </c>
      <c r="D1246" s="4">
        <v>0.4</v>
      </c>
      <c r="E1246" s="4">
        <v>0.14000000000000001</v>
      </c>
    </row>
    <row r="1247" spans="1:5" x14ac:dyDescent="0.25">
      <c r="A1247" s="4">
        <v>24810</v>
      </c>
      <c r="B1247" s="4" t="s">
        <v>42</v>
      </c>
      <c r="C1247" s="5">
        <v>45302</v>
      </c>
      <c r="D1247" s="4">
        <v>0.4</v>
      </c>
      <c r="E1247" s="4">
        <v>0.14000000000000001</v>
      </c>
    </row>
    <row r="1248" spans="1:5" x14ac:dyDescent="0.25">
      <c r="A1248" s="4">
        <v>24810</v>
      </c>
      <c r="B1248" s="4" t="s">
        <v>50</v>
      </c>
      <c r="C1248" s="5">
        <v>45302</v>
      </c>
      <c r="D1248" s="4">
        <v>9.6999999999999993</v>
      </c>
      <c r="E1248" s="4">
        <v>3.15</v>
      </c>
    </row>
    <row r="1249" spans="1:5" x14ac:dyDescent="0.25">
      <c r="A1249" s="4">
        <v>24810</v>
      </c>
      <c r="B1249" s="4" t="s">
        <v>50</v>
      </c>
      <c r="C1249" s="5">
        <v>45302</v>
      </c>
      <c r="D1249" s="4">
        <v>9.6999999999999993</v>
      </c>
      <c r="E1249" s="4">
        <v>3.15</v>
      </c>
    </row>
    <row r="1250" spans="1:5" x14ac:dyDescent="0.25">
      <c r="A1250" s="4">
        <v>24810</v>
      </c>
      <c r="B1250" s="4" t="s">
        <v>50</v>
      </c>
      <c r="C1250" s="5">
        <v>45302</v>
      </c>
      <c r="D1250" s="4">
        <v>9.6999999999999993</v>
      </c>
      <c r="E1250" s="4">
        <v>3.15</v>
      </c>
    </row>
    <row r="1251" spans="1:5" x14ac:dyDescent="0.25">
      <c r="A1251" s="4">
        <v>24810</v>
      </c>
      <c r="B1251" s="4" t="s">
        <v>50</v>
      </c>
      <c r="C1251" s="5">
        <v>45302</v>
      </c>
      <c r="D1251" s="4">
        <v>9.6999999999999993</v>
      </c>
      <c r="E1251" s="4">
        <v>3.15</v>
      </c>
    </row>
    <row r="1252" spans="1:5" x14ac:dyDescent="0.25">
      <c r="A1252" s="4">
        <v>24810</v>
      </c>
      <c r="B1252" s="4" t="s">
        <v>50</v>
      </c>
      <c r="C1252" s="5">
        <v>45302</v>
      </c>
      <c r="D1252" s="4">
        <v>9.6999999999999993</v>
      </c>
      <c r="E1252" s="4">
        <v>3.15</v>
      </c>
    </row>
    <row r="1253" spans="1:5" x14ac:dyDescent="0.25">
      <c r="A1253" s="4">
        <v>24810</v>
      </c>
      <c r="B1253" s="4" t="s">
        <v>50</v>
      </c>
      <c r="C1253" s="5">
        <v>45302</v>
      </c>
      <c r="D1253" s="4">
        <v>9.6999999999999993</v>
      </c>
      <c r="E1253" s="4">
        <v>3.15</v>
      </c>
    </row>
    <row r="1254" spans="1:5" x14ac:dyDescent="0.25">
      <c r="A1254" s="4">
        <v>24810</v>
      </c>
      <c r="B1254" s="4" t="s">
        <v>50</v>
      </c>
      <c r="C1254" s="5">
        <v>45302</v>
      </c>
      <c r="D1254" s="4">
        <v>9.6999999999999993</v>
      </c>
      <c r="E1254" s="4">
        <v>3.15</v>
      </c>
    </row>
    <row r="1255" spans="1:5" x14ac:dyDescent="0.25">
      <c r="A1255" s="4">
        <v>24810</v>
      </c>
      <c r="B1255" s="4" t="s">
        <v>50</v>
      </c>
      <c r="C1255" s="5">
        <v>45302</v>
      </c>
      <c r="D1255" s="4">
        <v>9.6999999999999993</v>
      </c>
      <c r="E1255" s="4">
        <v>3.15</v>
      </c>
    </row>
    <row r="1256" spans="1:5" x14ac:dyDescent="0.25">
      <c r="A1256" s="4">
        <v>24810</v>
      </c>
      <c r="B1256" s="4" t="s">
        <v>50</v>
      </c>
      <c r="C1256" s="5">
        <v>45302</v>
      </c>
      <c r="D1256" s="4">
        <v>9.6999999999999993</v>
      </c>
      <c r="E1256" s="4">
        <v>3.15</v>
      </c>
    </row>
    <row r="1257" spans="1:5" x14ac:dyDescent="0.25">
      <c r="A1257" s="4">
        <v>24810</v>
      </c>
      <c r="B1257" s="4" t="s">
        <v>50</v>
      </c>
      <c r="C1257" s="5">
        <v>45302</v>
      </c>
      <c r="D1257" s="4">
        <v>9.6999999999999993</v>
      </c>
      <c r="E1257" s="4">
        <v>3.15</v>
      </c>
    </row>
    <row r="1258" spans="1:5" x14ac:dyDescent="0.25">
      <c r="A1258" s="4">
        <v>24810</v>
      </c>
      <c r="B1258" s="4" t="s">
        <v>50</v>
      </c>
      <c r="C1258" s="5">
        <v>45302</v>
      </c>
      <c r="D1258" s="4">
        <v>9.6999999999999993</v>
      </c>
      <c r="E1258" s="4">
        <v>3.15</v>
      </c>
    </row>
    <row r="1259" spans="1:5" x14ac:dyDescent="0.25">
      <c r="A1259" s="4">
        <v>24810</v>
      </c>
      <c r="B1259" s="4" t="s">
        <v>19</v>
      </c>
      <c r="C1259" s="5">
        <v>45303</v>
      </c>
      <c r="D1259" s="4">
        <v>24.8</v>
      </c>
      <c r="E1259" s="4">
        <v>8</v>
      </c>
    </row>
    <row r="1260" spans="1:5" x14ac:dyDescent="0.25">
      <c r="A1260" s="4">
        <v>24810</v>
      </c>
      <c r="B1260" s="4" t="s">
        <v>19</v>
      </c>
      <c r="C1260" s="5">
        <v>45303</v>
      </c>
      <c r="D1260" s="4">
        <v>13</v>
      </c>
      <c r="E1260" s="4">
        <v>4.2</v>
      </c>
    </row>
    <row r="1261" spans="1:5" x14ac:dyDescent="0.25">
      <c r="A1261" s="4">
        <v>24810</v>
      </c>
      <c r="B1261" s="4" t="s">
        <v>19</v>
      </c>
      <c r="C1261" s="5">
        <v>45303</v>
      </c>
      <c r="D1261" s="4">
        <v>25.1</v>
      </c>
      <c r="E1261" s="4">
        <v>8.1300000000000008</v>
      </c>
    </row>
    <row r="1262" spans="1:5" x14ac:dyDescent="0.25">
      <c r="A1262" s="4">
        <v>24810</v>
      </c>
      <c r="B1262" s="4" t="s">
        <v>21</v>
      </c>
      <c r="C1262" s="5">
        <v>45303</v>
      </c>
      <c r="D1262" s="4">
        <v>28.9</v>
      </c>
      <c r="E1262" s="4">
        <v>9.32</v>
      </c>
    </row>
    <row r="1263" spans="1:5" x14ac:dyDescent="0.25">
      <c r="A1263" s="4">
        <v>24810</v>
      </c>
      <c r="B1263" s="4" t="s">
        <v>21</v>
      </c>
      <c r="C1263" s="5">
        <v>45303</v>
      </c>
      <c r="D1263" s="4">
        <v>2.2000000000000002</v>
      </c>
      <c r="E1263" s="4">
        <v>0.71</v>
      </c>
    </row>
    <row r="1264" spans="1:5" x14ac:dyDescent="0.25">
      <c r="A1264" s="4">
        <v>24810</v>
      </c>
      <c r="B1264" s="4" t="s">
        <v>21</v>
      </c>
      <c r="C1264" s="5">
        <v>45303</v>
      </c>
      <c r="D1264" s="4">
        <v>26.7</v>
      </c>
      <c r="E1264" s="4">
        <v>8.61</v>
      </c>
    </row>
    <row r="1265" spans="1:5" x14ac:dyDescent="0.25">
      <c r="A1265" s="4">
        <v>24810</v>
      </c>
      <c r="B1265" s="4" t="s">
        <v>22</v>
      </c>
      <c r="C1265" s="5">
        <v>45303</v>
      </c>
      <c r="D1265" s="4">
        <v>13.8</v>
      </c>
      <c r="E1265" s="4">
        <v>4.47</v>
      </c>
    </row>
    <row r="1266" spans="1:5" x14ac:dyDescent="0.25">
      <c r="A1266" s="4">
        <v>24810</v>
      </c>
      <c r="B1266" s="4" t="s">
        <v>22</v>
      </c>
      <c r="C1266" s="5">
        <v>45303</v>
      </c>
      <c r="D1266" s="4">
        <v>11.7</v>
      </c>
      <c r="E1266" s="4">
        <v>3.79</v>
      </c>
    </row>
    <row r="1267" spans="1:5" x14ac:dyDescent="0.25">
      <c r="A1267" s="4">
        <v>24810</v>
      </c>
      <c r="B1267" s="4" t="s">
        <v>22</v>
      </c>
      <c r="C1267" s="5">
        <v>45303</v>
      </c>
      <c r="D1267" s="4">
        <v>10.9</v>
      </c>
      <c r="E1267" s="4">
        <v>3.53</v>
      </c>
    </row>
    <row r="1268" spans="1:5" x14ac:dyDescent="0.25">
      <c r="A1268" s="4">
        <v>24810</v>
      </c>
      <c r="B1268" s="4" t="s">
        <v>22</v>
      </c>
      <c r="C1268" s="5">
        <v>45303</v>
      </c>
      <c r="D1268" s="4">
        <v>11.7</v>
      </c>
      <c r="E1268" s="4">
        <v>3.79</v>
      </c>
    </row>
    <row r="1269" spans="1:5" x14ac:dyDescent="0.25">
      <c r="A1269" s="4">
        <v>24810</v>
      </c>
      <c r="B1269" s="4" t="s">
        <v>22</v>
      </c>
      <c r="C1269" s="5">
        <v>45303</v>
      </c>
      <c r="D1269" s="4">
        <v>10.9</v>
      </c>
      <c r="E1269" s="4">
        <v>3.53</v>
      </c>
    </row>
    <row r="1270" spans="1:5" x14ac:dyDescent="0.25">
      <c r="A1270" s="4">
        <v>24810</v>
      </c>
      <c r="B1270" s="4" t="s">
        <v>22</v>
      </c>
      <c r="C1270" s="5">
        <v>45303</v>
      </c>
      <c r="D1270" s="4">
        <v>11.7</v>
      </c>
      <c r="E1270" s="4">
        <v>3.79</v>
      </c>
    </row>
    <row r="1271" spans="1:5" x14ac:dyDescent="0.25">
      <c r="A1271" s="4">
        <v>24810</v>
      </c>
      <c r="B1271" s="4" t="s">
        <v>22</v>
      </c>
      <c r="C1271" s="5">
        <v>45303</v>
      </c>
      <c r="D1271" s="4">
        <v>10.9</v>
      </c>
      <c r="E1271" s="4">
        <v>3.53</v>
      </c>
    </row>
    <row r="1272" spans="1:5" x14ac:dyDescent="0.25">
      <c r="A1272" s="4">
        <v>24810</v>
      </c>
      <c r="B1272" s="4" t="s">
        <v>22</v>
      </c>
      <c r="C1272" s="5">
        <v>45303</v>
      </c>
      <c r="D1272" s="4">
        <v>11.7</v>
      </c>
      <c r="E1272" s="4">
        <v>3.79</v>
      </c>
    </row>
    <row r="1273" spans="1:5" x14ac:dyDescent="0.25">
      <c r="A1273" s="4">
        <v>24810</v>
      </c>
      <c r="B1273" s="4" t="s">
        <v>22</v>
      </c>
      <c r="C1273" s="5">
        <v>45303</v>
      </c>
      <c r="D1273" s="4">
        <v>23.4</v>
      </c>
      <c r="E1273" s="4">
        <v>7.57</v>
      </c>
    </row>
    <row r="1274" spans="1:5" x14ac:dyDescent="0.25">
      <c r="A1274" s="4">
        <v>24810</v>
      </c>
      <c r="B1274" s="4" t="s">
        <v>22</v>
      </c>
      <c r="C1274" s="5">
        <v>45303</v>
      </c>
      <c r="D1274" s="4">
        <v>9.1</v>
      </c>
      <c r="E1274" s="4">
        <v>2.9</v>
      </c>
    </row>
    <row r="1275" spans="1:5" x14ac:dyDescent="0.25">
      <c r="A1275" s="4">
        <v>24810</v>
      </c>
      <c r="B1275" s="4" t="s">
        <v>22</v>
      </c>
      <c r="C1275" s="5">
        <v>45303</v>
      </c>
      <c r="D1275" s="4">
        <v>11.7</v>
      </c>
      <c r="E1275" s="4">
        <v>3.79</v>
      </c>
    </row>
    <row r="1276" spans="1:5" x14ac:dyDescent="0.25">
      <c r="A1276" s="4">
        <v>24810</v>
      </c>
      <c r="B1276" s="4" t="s">
        <v>22</v>
      </c>
      <c r="C1276" s="5">
        <v>45303</v>
      </c>
      <c r="D1276" s="4">
        <v>8.6999999999999993</v>
      </c>
      <c r="E1276" s="4">
        <v>2.82</v>
      </c>
    </row>
    <row r="1277" spans="1:5" x14ac:dyDescent="0.25">
      <c r="A1277" s="4">
        <v>24810</v>
      </c>
      <c r="B1277" s="4" t="s">
        <v>48</v>
      </c>
      <c r="C1277" s="5">
        <v>45303</v>
      </c>
      <c r="D1277" s="4">
        <v>2.4</v>
      </c>
      <c r="E1277" s="4">
        <v>0.69</v>
      </c>
    </row>
    <row r="1278" spans="1:5" x14ac:dyDescent="0.25">
      <c r="A1278" s="4">
        <v>24810</v>
      </c>
      <c r="B1278" s="4" t="s">
        <v>48</v>
      </c>
      <c r="C1278" s="5">
        <v>45303</v>
      </c>
      <c r="D1278" s="4">
        <v>0.5</v>
      </c>
      <c r="E1278" s="4">
        <v>0.14000000000000001</v>
      </c>
    </row>
    <row r="1279" spans="1:5" x14ac:dyDescent="0.25">
      <c r="A1279" s="4">
        <v>24810</v>
      </c>
      <c r="B1279" s="4" t="s">
        <v>48</v>
      </c>
      <c r="C1279" s="5">
        <v>45303</v>
      </c>
      <c r="D1279" s="4">
        <v>0.5</v>
      </c>
      <c r="E1279" s="4">
        <v>0.14000000000000001</v>
      </c>
    </row>
    <row r="1280" spans="1:5" x14ac:dyDescent="0.25">
      <c r="A1280" s="4">
        <v>24810</v>
      </c>
      <c r="B1280" s="4" t="s">
        <v>48</v>
      </c>
      <c r="C1280" s="5">
        <v>45303</v>
      </c>
      <c r="D1280" s="4">
        <v>2.5</v>
      </c>
      <c r="E1280" s="4">
        <v>0.69</v>
      </c>
    </row>
    <row r="1281" spans="1:5" x14ac:dyDescent="0.25">
      <c r="A1281" s="4">
        <v>24810</v>
      </c>
      <c r="B1281" s="4" t="s">
        <v>25</v>
      </c>
      <c r="C1281" s="5">
        <v>45303</v>
      </c>
      <c r="D1281" s="4">
        <v>1.2</v>
      </c>
      <c r="E1281" s="4">
        <v>0.41</v>
      </c>
    </row>
    <row r="1282" spans="1:5" x14ac:dyDescent="0.25">
      <c r="A1282" s="4">
        <v>24810</v>
      </c>
      <c r="B1282" s="4" t="s">
        <v>25</v>
      </c>
      <c r="C1282" s="5">
        <v>45303</v>
      </c>
      <c r="D1282" s="4">
        <v>1.2</v>
      </c>
      <c r="E1282" s="4">
        <v>0.41</v>
      </c>
    </row>
    <row r="1283" spans="1:5" x14ac:dyDescent="0.25">
      <c r="A1283" s="4">
        <v>24810</v>
      </c>
      <c r="B1283" s="4" t="s">
        <v>25</v>
      </c>
      <c r="C1283" s="5">
        <v>45303</v>
      </c>
      <c r="D1283" s="4">
        <v>1.4</v>
      </c>
      <c r="E1283" s="4">
        <v>0.48</v>
      </c>
    </row>
    <row r="1284" spans="1:5" x14ac:dyDescent="0.25">
      <c r="A1284" s="4">
        <v>24810</v>
      </c>
      <c r="B1284" s="4" t="s">
        <v>25</v>
      </c>
      <c r="C1284" s="5">
        <v>45303</v>
      </c>
      <c r="D1284" s="4">
        <v>1.4</v>
      </c>
      <c r="E1284" s="4">
        <v>0.48</v>
      </c>
    </row>
    <row r="1285" spans="1:5" x14ac:dyDescent="0.25">
      <c r="A1285" s="4">
        <v>24810</v>
      </c>
      <c r="B1285" s="4" t="s">
        <v>25</v>
      </c>
      <c r="C1285" s="5">
        <v>45303</v>
      </c>
      <c r="D1285" s="4">
        <v>1.2</v>
      </c>
      <c r="E1285" s="4">
        <v>0.41</v>
      </c>
    </row>
    <row r="1286" spans="1:5" x14ac:dyDescent="0.25">
      <c r="A1286" s="4">
        <v>24810</v>
      </c>
      <c r="B1286" s="4" t="s">
        <v>25</v>
      </c>
      <c r="C1286" s="5">
        <v>45303</v>
      </c>
      <c r="D1286" s="4">
        <v>1.2</v>
      </c>
      <c r="E1286" s="4">
        <v>0.41</v>
      </c>
    </row>
    <row r="1287" spans="1:5" x14ac:dyDescent="0.25">
      <c r="A1287" s="4">
        <v>24810</v>
      </c>
      <c r="B1287" s="4" t="s">
        <v>25</v>
      </c>
      <c r="C1287" s="5">
        <v>45303</v>
      </c>
      <c r="D1287" s="4">
        <v>1.4</v>
      </c>
      <c r="E1287" s="4">
        <v>0.48</v>
      </c>
    </row>
    <row r="1288" spans="1:5" x14ac:dyDescent="0.25">
      <c r="A1288" s="4">
        <v>24810</v>
      </c>
      <c r="B1288" s="4" t="s">
        <v>25</v>
      </c>
      <c r="C1288" s="5">
        <v>45303</v>
      </c>
      <c r="D1288" s="4">
        <v>18.7</v>
      </c>
      <c r="E1288" s="4">
        <v>6.52</v>
      </c>
    </row>
    <row r="1289" spans="1:5" x14ac:dyDescent="0.25">
      <c r="A1289" s="4">
        <v>24810</v>
      </c>
      <c r="B1289" s="4" t="s">
        <v>25</v>
      </c>
      <c r="C1289" s="5">
        <v>45303</v>
      </c>
      <c r="D1289" s="4">
        <v>18.7</v>
      </c>
      <c r="E1289" s="4">
        <v>6.52</v>
      </c>
    </row>
    <row r="1290" spans="1:5" x14ac:dyDescent="0.25">
      <c r="A1290" s="4">
        <v>24810</v>
      </c>
      <c r="B1290" s="4" t="s">
        <v>25</v>
      </c>
      <c r="C1290" s="5">
        <v>45303</v>
      </c>
      <c r="D1290" s="4">
        <v>18.7</v>
      </c>
      <c r="E1290" s="4">
        <v>6.52</v>
      </c>
    </row>
    <row r="1291" spans="1:5" x14ac:dyDescent="0.25">
      <c r="A1291" s="4">
        <v>24810</v>
      </c>
      <c r="B1291" s="4" t="s">
        <v>25</v>
      </c>
      <c r="C1291" s="5">
        <v>45303</v>
      </c>
      <c r="D1291" s="4">
        <v>15.4</v>
      </c>
      <c r="E1291" s="4">
        <v>5.35</v>
      </c>
    </row>
    <row r="1292" spans="1:5" x14ac:dyDescent="0.25">
      <c r="A1292" s="4">
        <v>24810</v>
      </c>
      <c r="B1292" s="4" t="s">
        <v>25</v>
      </c>
      <c r="C1292" s="5">
        <v>45303</v>
      </c>
      <c r="D1292" s="4">
        <v>16.899999999999999</v>
      </c>
      <c r="E1292" s="4">
        <v>5.89</v>
      </c>
    </row>
    <row r="1293" spans="1:5" x14ac:dyDescent="0.25">
      <c r="A1293" s="4">
        <v>24810</v>
      </c>
      <c r="B1293" s="4" t="s">
        <v>25</v>
      </c>
      <c r="C1293" s="5">
        <v>45303</v>
      </c>
      <c r="D1293" s="4">
        <v>1.4</v>
      </c>
      <c r="E1293" s="4">
        <v>0.48</v>
      </c>
    </row>
    <row r="1294" spans="1:5" x14ac:dyDescent="0.25">
      <c r="A1294" s="4">
        <v>24810</v>
      </c>
      <c r="B1294" s="4" t="s">
        <v>29</v>
      </c>
      <c r="C1294" s="5">
        <v>45303</v>
      </c>
      <c r="D1294" s="4">
        <v>15.4</v>
      </c>
      <c r="E1294" s="4">
        <v>5.35</v>
      </c>
    </row>
    <row r="1295" spans="1:5" x14ac:dyDescent="0.25">
      <c r="A1295" s="4">
        <v>24810</v>
      </c>
      <c r="B1295" s="4" t="s">
        <v>29</v>
      </c>
      <c r="C1295" s="5">
        <v>45303</v>
      </c>
      <c r="D1295" s="4">
        <v>15.4</v>
      </c>
      <c r="E1295" s="4">
        <v>5.35</v>
      </c>
    </row>
    <row r="1296" spans="1:5" x14ac:dyDescent="0.25">
      <c r="A1296" s="4">
        <v>24810</v>
      </c>
      <c r="B1296" s="4" t="s">
        <v>29</v>
      </c>
      <c r="C1296" s="5">
        <v>45303</v>
      </c>
      <c r="D1296" s="4">
        <v>1.2</v>
      </c>
      <c r="E1296" s="4">
        <v>0.41</v>
      </c>
    </row>
    <row r="1297" spans="1:5" x14ac:dyDescent="0.25">
      <c r="A1297" s="4">
        <v>24810</v>
      </c>
      <c r="B1297" s="4" t="s">
        <v>29</v>
      </c>
      <c r="C1297" s="5">
        <v>45303</v>
      </c>
      <c r="D1297" s="4">
        <v>5.3</v>
      </c>
      <c r="E1297" s="4">
        <v>1.82</v>
      </c>
    </row>
    <row r="1298" spans="1:5" x14ac:dyDescent="0.25">
      <c r="A1298" s="4">
        <v>24810</v>
      </c>
      <c r="B1298" s="4" t="s">
        <v>29</v>
      </c>
      <c r="C1298" s="5">
        <v>45303</v>
      </c>
      <c r="D1298" s="4">
        <v>5.3</v>
      </c>
      <c r="E1298" s="4">
        <v>1.82</v>
      </c>
    </row>
    <row r="1299" spans="1:5" x14ac:dyDescent="0.25">
      <c r="A1299" s="4">
        <v>24810</v>
      </c>
      <c r="B1299" s="4" t="s">
        <v>29</v>
      </c>
      <c r="C1299" s="5">
        <v>45303</v>
      </c>
      <c r="D1299" s="4">
        <v>3.7</v>
      </c>
      <c r="E1299" s="4">
        <v>1.26</v>
      </c>
    </row>
    <row r="1300" spans="1:5" x14ac:dyDescent="0.25">
      <c r="A1300" s="4">
        <v>24810</v>
      </c>
      <c r="B1300" s="4" t="s">
        <v>29</v>
      </c>
      <c r="C1300" s="5">
        <v>45303</v>
      </c>
      <c r="D1300" s="4">
        <v>5.3</v>
      </c>
      <c r="E1300" s="4">
        <v>1.82</v>
      </c>
    </row>
    <row r="1301" spans="1:5" x14ac:dyDescent="0.25">
      <c r="A1301" s="4">
        <v>24810</v>
      </c>
      <c r="B1301" s="4" t="s">
        <v>29</v>
      </c>
      <c r="C1301" s="5">
        <v>45303</v>
      </c>
      <c r="D1301" s="4">
        <v>3.7</v>
      </c>
      <c r="E1301" s="4">
        <v>1.26</v>
      </c>
    </row>
    <row r="1302" spans="1:5" x14ac:dyDescent="0.25">
      <c r="A1302" s="4">
        <v>24810</v>
      </c>
      <c r="B1302" s="4" t="s">
        <v>29</v>
      </c>
      <c r="C1302" s="5">
        <v>45303</v>
      </c>
      <c r="D1302" s="4">
        <v>5.3</v>
      </c>
      <c r="E1302" s="4">
        <v>1.82</v>
      </c>
    </row>
    <row r="1303" spans="1:5" x14ac:dyDescent="0.25">
      <c r="A1303" s="4">
        <v>24810</v>
      </c>
      <c r="B1303" s="4" t="s">
        <v>29</v>
      </c>
      <c r="C1303" s="5">
        <v>45303</v>
      </c>
      <c r="D1303" s="4">
        <v>5.3</v>
      </c>
      <c r="E1303" s="4">
        <v>1.82</v>
      </c>
    </row>
    <row r="1304" spans="1:5" x14ac:dyDescent="0.25">
      <c r="A1304" s="4">
        <v>24810</v>
      </c>
      <c r="B1304" s="4" t="s">
        <v>30</v>
      </c>
      <c r="C1304" s="5">
        <v>45303</v>
      </c>
      <c r="D1304" s="4">
        <v>13.8</v>
      </c>
      <c r="E1304" s="4">
        <v>4.8099999999999996</v>
      </c>
    </row>
    <row r="1305" spans="1:5" x14ac:dyDescent="0.25">
      <c r="A1305" s="4">
        <v>24810</v>
      </c>
      <c r="B1305" s="4" t="s">
        <v>30</v>
      </c>
      <c r="C1305" s="5">
        <v>45303</v>
      </c>
      <c r="D1305" s="4">
        <v>1.4</v>
      </c>
      <c r="E1305" s="4">
        <v>0.47</v>
      </c>
    </row>
    <row r="1306" spans="1:5" x14ac:dyDescent="0.25">
      <c r="A1306" s="4">
        <v>24810</v>
      </c>
      <c r="B1306" s="4" t="s">
        <v>30</v>
      </c>
      <c r="C1306" s="5">
        <v>45303</v>
      </c>
      <c r="D1306" s="4">
        <v>2</v>
      </c>
      <c r="E1306" s="4">
        <v>0.68</v>
      </c>
    </row>
    <row r="1307" spans="1:5" x14ac:dyDescent="0.25">
      <c r="A1307" s="4">
        <v>24810</v>
      </c>
      <c r="B1307" s="4" t="s">
        <v>30</v>
      </c>
      <c r="C1307" s="5">
        <v>45303</v>
      </c>
      <c r="D1307" s="4">
        <v>15.2</v>
      </c>
      <c r="E1307" s="4">
        <v>5.26</v>
      </c>
    </row>
    <row r="1308" spans="1:5" x14ac:dyDescent="0.25">
      <c r="A1308" s="4">
        <v>24810</v>
      </c>
      <c r="B1308" s="4" t="s">
        <v>30</v>
      </c>
      <c r="C1308" s="5">
        <v>45303</v>
      </c>
      <c r="D1308" s="4">
        <v>2</v>
      </c>
      <c r="E1308" s="4">
        <v>0.68</v>
      </c>
    </row>
    <row r="1309" spans="1:5" x14ac:dyDescent="0.25">
      <c r="A1309" s="4">
        <v>24810</v>
      </c>
      <c r="B1309" s="4" t="s">
        <v>30</v>
      </c>
      <c r="C1309" s="5">
        <v>45303</v>
      </c>
      <c r="D1309" s="4">
        <v>2.9</v>
      </c>
      <c r="E1309" s="4">
        <v>0.99</v>
      </c>
    </row>
    <row r="1310" spans="1:5" x14ac:dyDescent="0.25">
      <c r="A1310" s="4">
        <v>24810</v>
      </c>
      <c r="B1310" s="4" t="s">
        <v>30</v>
      </c>
      <c r="C1310" s="5">
        <v>45303</v>
      </c>
      <c r="D1310" s="4">
        <v>2.9</v>
      </c>
      <c r="E1310" s="4">
        <v>0.99</v>
      </c>
    </row>
    <row r="1311" spans="1:5" x14ac:dyDescent="0.25">
      <c r="A1311" s="4">
        <v>24810</v>
      </c>
      <c r="B1311" s="4" t="s">
        <v>30</v>
      </c>
      <c r="C1311" s="5">
        <v>45303</v>
      </c>
      <c r="D1311" s="4">
        <v>2</v>
      </c>
      <c r="E1311" s="4">
        <v>0.68</v>
      </c>
    </row>
    <row r="1312" spans="1:5" x14ac:dyDescent="0.25">
      <c r="A1312" s="4">
        <v>24810</v>
      </c>
      <c r="B1312" s="4" t="s">
        <v>30</v>
      </c>
      <c r="C1312" s="5">
        <v>45303</v>
      </c>
      <c r="D1312" s="4">
        <v>15.2</v>
      </c>
      <c r="E1312" s="4">
        <v>5.26</v>
      </c>
    </row>
    <row r="1313" spans="1:5" x14ac:dyDescent="0.25">
      <c r="A1313" s="4">
        <v>24810</v>
      </c>
      <c r="B1313" s="4" t="s">
        <v>30</v>
      </c>
      <c r="C1313" s="5">
        <v>45303</v>
      </c>
      <c r="D1313" s="4">
        <v>2</v>
      </c>
      <c r="E1313" s="4">
        <v>0.68</v>
      </c>
    </row>
    <row r="1314" spans="1:5" x14ac:dyDescent="0.25">
      <c r="A1314" s="4">
        <v>24810</v>
      </c>
      <c r="B1314" s="4" t="s">
        <v>30</v>
      </c>
      <c r="C1314" s="5">
        <v>45303</v>
      </c>
      <c r="D1314" s="4">
        <v>2</v>
      </c>
      <c r="E1314" s="4">
        <v>0.68</v>
      </c>
    </row>
    <row r="1315" spans="1:5" x14ac:dyDescent="0.25">
      <c r="A1315" s="4">
        <v>24810</v>
      </c>
      <c r="B1315" s="4" t="s">
        <v>30</v>
      </c>
      <c r="C1315" s="5">
        <v>45303</v>
      </c>
      <c r="D1315" s="4">
        <v>15.2</v>
      </c>
      <c r="E1315" s="4">
        <v>5.26</v>
      </c>
    </row>
    <row r="1316" spans="1:5" x14ac:dyDescent="0.25">
      <c r="A1316" s="4">
        <v>24810</v>
      </c>
      <c r="B1316" s="4" t="s">
        <v>30</v>
      </c>
      <c r="C1316" s="5">
        <v>45303</v>
      </c>
      <c r="D1316" s="4">
        <v>2</v>
      </c>
      <c r="E1316" s="4">
        <v>0.68</v>
      </c>
    </row>
    <row r="1317" spans="1:5" x14ac:dyDescent="0.25">
      <c r="A1317" s="4">
        <v>24810</v>
      </c>
      <c r="B1317" s="4" t="s">
        <v>30</v>
      </c>
      <c r="C1317" s="5">
        <v>45303</v>
      </c>
      <c r="D1317" s="4">
        <v>2.9</v>
      </c>
      <c r="E1317" s="4">
        <v>0.99</v>
      </c>
    </row>
    <row r="1318" spans="1:5" x14ac:dyDescent="0.25">
      <c r="A1318" s="4">
        <v>24810</v>
      </c>
      <c r="B1318" s="4" t="s">
        <v>30</v>
      </c>
      <c r="C1318" s="5">
        <v>45303</v>
      </c>
      <c r="D1318" s="4">
        <v>2.9</v>
      </c>
      <c r="E1318" s="4">
        <v>0.99</v>
      </c>
    </row>
    <row r="1319" spans="1:5" x14ac:dyDescent="0.25">
      <c r="A1319" s="4">
        <v>24810</v>
      </c>
      <c r="B1319" s="4" t="s">
        <v>30</v>
      </c>
      <c r="C1319" s="5">
        <v>45303</v>
      </c>
      <c r="D1319" s="4">
        <v>2.2999999999999998</v>
      </c>
      <c r="E1319" s="4">
        <v>0.8</v>
      </c>
    </row>
    <row r="1320" spans="1:5" x14ac:dyDescent="0.25">
      <c r="A1320" s="4">
        <v>24810</v>
      </c>
      <c r="B1320" s="4" t="s">
        <v>30</v>
      </c>
      <c r="C1320" s="5">
        <v>45303</v>
      </c>
      <c r="D1320" s="4">
        <v>11.9</v>
      </c>
      <c r="E1320" s="4">
        <v>4.13</v>
      </c>
    </row>
    <row r="1321" spans="1:5" x14ac:dyDescent="0.25">
      <c r="A1321" s="4">
        <v>24810</v>
      </c>
      <c r="B1321" s="4" t="s">
        <v>30</v>
      </c>
      <c r="C1321" s="5">
        <v>45303</v>
      </c>
      <c r="D1321" s="4">
        <v>15.4</v>
      </c>
      <c r="E1321" s="4">
        <v>5.31</v>
      </c>
    </row>
    <row r="1322" spans="1:5" x14ac:dyDescent="0.25">
      <c r="A1322" s="4">
        <v>24810</v>
      </c>
      <c r="B1322" s="4" t="s">
        <v>30</v>
      </c>
      <c r="C1322" s="5">
        <v>45303</v>
      </c>
      <c r="D1322" s="4">
        <v>30.6</v>
      </c>
      <c r="E1322" s="4">
        <v>10.67</v>
      </c>
    </row>
    <row r="1323" spans="1:5" x14ac:dyDescent="0.25">
      <c r="A1323" s="4">
        <v>24810</v>
      </c>
      <c r="B1323" s="4" t="s">
        <v>37</v>
      </c>
      <c r="C1323" s="5">
        <v>45303</v>
      </c>
      <c r="D1323" s="4">
        <v>15.4</v>
      </c>
      <c r="E1323" s="4">
        <v>5.35</v>
      </c>
    </row>
    <row r="1324" spans="1:5" x14ac:dyDescent="0.25">
      <c r="A1324" s="4">
        <v>24810</v>
      </c>
      <c r="B1324" s="4" t="s">
        <v>37</v>
      </c>
      <c r="C1324" s="5">
        <v>45303</v>
      </c>
      <c r="D1324" s="4">
        <v>30.2</v>
      </c>
      <c r="E1324" s="4">
        <v>10.49</v>
      </c>
    </row>
    <row r="1325" spans="1:5" x14ac:dyDescent="0.25">
      <c r="A1325" s="4">
        <v>24810</v>
      </c>
      <c r="B1325" s="4" t="s">
        <v>37</v>
      </c>
      <c r="C1325" s="5">
        <v>45303</v>
      </c>
      <c r="D1325" s="4">
        <v>1.2</v>
      </c>
      <c r="E1325" s="4">
        <v>0.41</v>
      </c>
    </row>
    <row r="1326" spans="1:5" x14ac:dyDescent="0.25">
      <c r="A1326" s="4">
        <v>24810</v>
      </c>
      <c r="B1326" s="4" t="s">
        <v>37</v>
      </c>
      <c r="C1326" s="5">
        <v>45303</v>
      </c>
      <c r="D1326" s="4">
        <v>15.4</v>
      </c>
      <c r="E1326" s="4">
        <v>5.35</v>
      </c>
    </row>
    <row r="1327" spans="1:5" x14ac:dyDescent="0.25">
      <c r="A1327" s="4">
        <v>24810</v>
      </c>
      <c r="B1327" s="4" t="s">
        <v>37</v>
      </c>
      <c r="C1327" s="5">
        <v>45303</v>
      </c>
      <c r="D1327" s="4">
        <v>30.2</v>
      </c>
      <c r="E1327" s="4">
        <v>10.49</v>
      </c>
    </row>
    <row r="1328" spans="1:5" x14ac:dyDescent="0.25">
      <c r="A1328" s="4">
        <v>24810</v>
      </c>
      <c r="B1328" s="4" t="s">
        <v>37</v>
      </c>
      <c r="C1328" s="5">
        <v>45303</v>
      </c>
      <c r="D1328" s="4">
        <v>31.3</v>
      </c>
      <c r="E1328" s="4">
        <v>10.86</v>
      </c>
    </row>
    <row r="1329" spans="1:5" x14ac:dyDescent="0.25">
      <c r="A1329" s="4">
        <v>24810</v>
      </c>
      <c r="B1329" s="4" t="s">
        <v>37</v>
      </c>
      <c r="C1329" s="5">
        <v>45303</v>
      </c>
      <c r="D1329" s="4">
        <v>30.2</v>
      </c>
      <c r="E1329" s="4">
        <v>10.49</v>
      </c>
    </row>
    <row r="1330" spans="1:5" x14ac:dyDescent="0.25">
      <c r="A1330" s="4">
        <v>24810</v>
      </c>
      <c r="B1330" s="4" t="s">
        <v>37</v>
      </c>
      <c r="C1330" s="5">
        <v>45303</v>
      </c>
      <c r="D1330" s="4">
        <v>31.3</v>
      </c>
      <c r="E1330" s="4">
        <v>10.86</v>
      </c>
    </row>
    <row r="1331" spans="1:5" x14ac:dyDescent="0.25">
      <c r="A1331" s="4">
        <v>24810</v>
      </c>
      <c r="B1331" s="4" t="s">
        <v>37</v>
      </c>
      <c r="C1331" s="5">
        <v>45303</v>
      </c>
      <c r="D1331" s="4">
        <v>30.2</v>
      </c>
      <c r="E1331" s="4">
        <v>10.49</v>
      </c>
    </row>
    <row r="1332" spans="1:5" x14ac:dyDescent="0.25">
      <c r="A1332" s="4">
        <v>24810</v>
      </c>
      <c r="B1332" s="4" t="s">
        <v>37</v>
      </c>
      <c r="C1332" s="5">
        <v>45303</v>
      </c>
      <c r="D1332" s="4">
        <v>31.3</v>
      </c>
      <c r="E1332" s="4">
        <v>10.86</v>
      </c>
    </row>
    <row r="1333" spans="1:5" x14ac:dyDescent="0.25">
      <c r="A1333" s="4">
        <v>24810</v>
      </c>
      <c r="B1333" s="4" t="s">
        <v>37</v>
      </c>
      <c r="C1333" s="5">
        <v>45303</v>
      </c>
      <c r="D1333" s="4">
        <v>30.2</v>
      </c>
      <c r="E1333" s="4">
        <v>10.49</v>
      </c>
    </row>
    <row r="1334" spans="1:5" x14ac:dyDescent="0.25">
      <c r="A1334" s="4">
        <v>24810</v>
      </c>
      <c r="B1334" s="4" t="s">
        <v>37</v>
      </c>
      <c r="C1334" s="5">
        <v>45303</v>
      </c>
      <c r="D1334" s="4">
        <v>0.9</v>
      </c>
      <c r="E1334" s="4">
        <v>0.31</v>
      </c>
    </row>
    <row r="1335" spans="1:5" x14ac:dyDescent="0.25">
      <c r="A1335" s="4">
        <v>24810</v>
      </c>
      <c r="B1335" s="4" t="s">
        <v>45</v>
      </c>
      <c r="C1335" s="5">
        <v>45303</v>
      </c>
      <c r="D1335" s="4">
        <v>13.8</v>
      </c>
      <c r="E1335" s="4">
        <v>4.47</v>
      </c>
    </row>
    <row r="1336" spans="1:5" x14ac:dyDescent="0.25">
      <c r="A1336" s="4">
        <v>24810</v>
      </c>
      <c r="B1336" s="4" t="s">
        <v>45</v>
      </c>
      <c r="C1336" s="5">
        <v>45303</v>
      </c>
      <c r="D1336" s="4">
        <v>11.7</v>
      </c>
      <c r="E1336" s="4">
        <v>3.79</v>
      </c>
    </row>
    <row r="1337" spans="1:5" x14ac:dyDescent="0.25">
      <c r="A1337" s="4">
        <v>24810</v>
      </c>
      <c r="B1337" s="4" t="s">
        <v>45</v>
      </c>
      <c r="C1337" s="5">
        <v>45303</v>
      </c>
      <c r="D1337" s="4">
        <v>10.9</v>
      </c>
      <c r="E1337" s="4">
        <v>3.53</v>
      </c>
    </row>
    <row r="1338" spans="1:5" x14ac:dyDescent="0.25">
      <c r="A1338" s="4">
        <v>24810</v>
      </c>
      <c r="B1338" s="4" t="s">
        <v>45</v>
      </c>
      <c r="C1338" s="5">
        <v>45303</v>
      </c>
      <c r="D1338" s="4">
        <v>11.7</v>
      </c>
      <c r="E1338" s="4">
        <v>3.79</v>
      </c>
    </row>
    <row r="1339" spans="1:5" x14ac:dyDescent="0.25">
      <c r="A1339" s="4">
        <v>24810</v>
      </c>
      <c r="B1339" s="4" t="s">
        <v>45</v>
      </c>
      <c r="C1339" s="5">
        <v>45303</v>
      </c>
      <c r="D1339" s="4">
        <v>10.9</v>
      </c>
      <c r="E1339" s="4">
        <v>3.53</v>
      </c>
    </row>
    <row r="1340" spans="1:5" x14ac:dyDescent="0.25">
      <c r="A1340" s="4">
        <v>24810</v>
      </c>
      <c r="B1340" s="4" t="s">
        <v>45</v>
      </c>
      <c r="C1340" s="5">
        <v>45303</v>
      </c>
      <c r="D1340" s="4">
        <v>11.7</v>
      </c>
      <c r="E1340" s="4">
        <v>3.79</v>
      </c>
    </row>
    <row r="1341" spans="1:5" x14ac:dyDescent="0.25">
      <c r="A1341" s="4">
        <v>24810</v>
      </c>
      <c r="B1341" s="4" t="s">
        <v>45</v>
      </c>
      <c r="C1341" s="5">
        <v>45303</v>
      </c>
      <c r="D1341" s="4">
        <v>10.9</v>
      </c>
      <c r="E1341" s="4">
        <v>3.53</v>
      </c>
    </row>
    <row r="1342" spans="1:5" x14ac:dyDescent="0.25">
      <c r="A1342" s="4">
        <v>24810</v>
      </c>
      <c r="B1342" s="4" t="s">
        <v>45</v>
      </c>
      <c r="C1342" s="5">
        <v>45303</v>
      </c>
      <c r="D1342" s="4">
        <v>11.7</v>
      </c>
      <c r="E1342" s="4">
        <v>3.79</v>
      </c>
    </row>
    <row r="1343" spans="1:5" x14ac:dyDescent="0.25">
      <c r="A1343" s="4">
        <v>24810</v>
      </c>
      <c r="B1343" s="4" t="s">
        <v>45</v>
      </c>
      <c r="C1343" s="5">
        <v>45303</v>
      </c>
      <c r="D1343" s="4">
        <v>23.4</v>
      </c>
      <c r="E1343" s="4">
        <v>7.57</v>
      </c>
    </row>
    <row r="1344" spans="1:5" x14ac:dyDescent="0.25">
      <c r="A1344" s="4">
        <v>24810</v>
      </c>
      <c r="B1344" s="4" t="s">
        <v>45</v>
      </c>
      <c r="C1344" s="5">
        <v>45303</v>
      </c>
      <c r="D1344" s="4">
        <v>9.1</v>
      </c>
      <c r="E1344" s="4">
        <v>2.9</v>
      </c>
    </row>
    <row r="1345" spans="1:5" x14ac:dyDescent="0.25">
      <c r="A1345" s="4">
        <v>24810</v>
      </c>
      <c r="B1345" s="4" t="s">
        <v>45</v>
      </c>
      <c r="C1345" s="5">
        <v>45303</v>
      </c>
      <c r="D1345" s="4">
        <v>11.7</v>
      </c>
      <c r="E1345" s="4">
        <v>3.79</v>
      </c>
    </row>
    <row r="1346" spans="1:5" x14ac:dyDescent="0.25">
      <c r="A1346" s="4">
        <v>24810</v>
      </c>
      <c r="B1346" s="4" t="s">
        <v>45</v>
      </c>
      <c r="C1346" s="5">
        <v>45303</v>
      </c>
      <c r="D1346" s="4">
        <v>4.9000000000000004</v>
      </c>
      <c r="E1346" s="4">
        <v>1.58</v>
      </c>
    </row>
    <row r="1347" spans="1:5" x14ac:dyDescent="0.25">
      <c r="A1347" s="4">
        <v>24810</v>
      </c>
      <c r="B1347" s="4" t="s">
        <v>45</v>
      </c>
      <c r="C1347" s="5">
        <v>45303</v>
      </c>
      <c r="D1347" s="4">
        <v>8.6999999999999993</v>
      </c>
      <c r="E1347" s="4">
        <v>2.82</v>
      </c>
    </row>
    <row r="1348" spans="1:5" x14ac:dyDescent="0.25">
      <c r="A1348" s="4">
        <v>24810</v>
      </c>
      <c r="B1348" s="4" t="s">
        <v>38</v>
      </c>
      <c r="C1348" s="5">
        <v>45303</v>
      </c>
      <c r="D1348" s="4">
        <v>15.4</v>
      </c>
      <c r="E1348" s="4">
        <v>5.35</v>
      </c>
    </row>
    <row r="1349" spans="1:5" x14ac:dyDescent="0.25">
      <c r="A1349" s="4">
        <v>24810</v>
      </c>
      <c r="B1349" s="4" t="s">
        <v>38</v>
      </c>
      <c r="C1349" s="5">
        <v>45303</v>
      </c>
      <c r="D1349" s="4">
        <v>48.9</v>
      </c>
      <c r="E1349" s="4">
        <v>17.02</v>
      </c>
    </row>
    <row r="1350" spans="1:5" x14ac:dyDescent="0.25">
      <c r="A1350" s="4">
        <v>24810</v>
      </c>
      <c r="B1350" s="4" t="s">
        <v>38</v>
      </c>
      <c r="C1350" s="5">
        <v>45303</v>
      </c>
      <c r="D1350" s="4">
        <v>5.9</v>
      </c>
      <c r="E1350" s="4">
        <v>2.0299999999999998</v>
      </c>
    </row>
    <row r="1351" spans="1:5" x14ac:dyDescent="0.25">
      <c r="A1351" s="4">
        <v>24810</v>
      </c>
      <c r="B1351" s="4" t="s">
        <v>38</v>
      </c>
      <c r="C1351" s="5">
        <v>45303</v>
      </c>
      <c r="D1351" s="4">
        <v>0.1</v>
      </c>
      <c r="E1351" s="4">
        <v>0.03</v>
      </c>
    </row>
    <row r="1352" spans="1:5" x14ac:dyDescent="0.25">
      <c r="A1352" s="4">
        <v>24810</v>
      </c>
      <c r="B1352" s="4" t="s">
        <v>38</v>
      </c>
      <c r="C1352" s="5">
        <v>45303</v>
      </c>
      <c r="D1352" s="4">
        <v>40.700000000000003</v>
      </c>
      <c r="E1352" s="4">
        <v>14.18</v>
      </c>
    </row>
    <row r="1353" spans="1:5" x14ac:dyDescent="0.25">
      <c r="A1353" s="4">
        <v>24810</v>
      </c>
      <c r="B1353" s="4" t="s">
        <v>38</v>
      </c>
      <c r="C1353" s="5">
        <v>45303</v>
      </c>
      <c r="D1353" s="4">
        <v>40.700000000000003</v>
      </c>
      <c r="E1353" s="4">
        <v>14.18</v>
      </c>
    </row>
    <row r="1354" spans="1:5" x14ac:dyDescent="0.25">
      <c r="A1354" s="4">
        <v>24810</v>
      </c>
      <c r="B1354" s="4" t="s">
        <v>38</v>
      </c>
      <c r="C1354" s="5">
        <v>45303</v>
      </c>
      <c r="D1354" s="4">
        <v>0.1</v>
      </c>
      <c r="E1354" s="4">
        <v>0.03</v>
      </c>
    </row>
    <row r="1355" spans="1:5" x14ac:dyDescent="0.25">
      <c r="A1355" s="4">
        <v>24810</v>
      </c>
      <c r="B1355" s="4" t="s">
        <v>38</v>
      </c>
      <c r="C1355" s="5">
        <v>45303</v>
      </c>
      <c r="D1355" s="4">
        <v>0.1</v>
      </c>
      <c r="E1355" s="4">
        <v>0.03</v>
      </c>
    </row>
    <row r="1356" spans="1:5" x14ac:dyDescent="0.25">
      <c r="A1356" s="4">
        <v>24810</v>
      </c>
      <c r="B1356" s="4" t="s">
        <v>38</v>
      </c>
      <c r="C1356" s="5">
        <v>45303</v>
      </c>
      <c r="D1356" s="4">
        <v>42.5</v>
      </c>
      <c r="E1356" s="4">
        <v>14.81</v>
      </c>
    </row>
    <row r="1357" spans="1:5" x14ac:dyDescent="0.25">
      <c r="A1357" s="4">
        <v>24810</v>
      </c>
      <c r="B1357" s="4" t="s">
        <v>39</v>
      </c>
      <c r="C1357" s="5">
        <v>45303</v>
      </c>
      <c r="D1357" s="4">
        <v>15.4</v>
      </c>
      <c r="E1357" s="4">
        <v>5.35</v>
      </c>
    </row>
    <row r="1358" spans="1:5" x14ac:dyDescent="0.25">
      <c r="A1358" s="4">
        <v>24810</v>
      </c>
      <c r="B1358" s="4" t="s">
        <v>39</v>
      </c>
      <c r="C1358" s="5">
        <v>45303</v>
      </c>
      <c r="D1358" s="4">
        <v>30.2</v>
      </c>
      <c r="E1358" s="4">
        <v>10.49</v>
      </c>
    </row>
    <row r="1359" spans="1:5" x14ac:dyDescent="0.25">
      <c r="A1359" s="4">
        <v>24810</v>
      </c>
      <c r="B1359" s="4" t="s">
        <v>39</v>
      </c>
      <c r="C1359" s="5">
        <v>45303</v>
      </c>
      <c r="D1359" s="4">
        <v>0.9</v>
      </c>
      <c r="E1359" s="4">
        <v>0.31</v>
      </c>
    </row>
    <row r="1360" spans="1:5" x14ac:dyDescent="0.25">
      <c r="A1360" s="4">
        <v>24810</v>
      </c>
      <c r="B1360" s="4" t="s">
        <v>39</v>
      </c>
      <c r="C1360" s="5">
        <v>45303</v>
      </c>
      <c r="D1360" s="4">
        <v>15.4</v>
      </c>
      <c r="E1360" s="4">
        <v>5.35</v>
      </c>
    </row>
    <row r="1361" spans="1:5" x14ac:dyDescent="0.25">
      <c r="A1361" s="4">
        <v>24810</v>
      </c>
      <c r="B1361" s="4" t="s">
        <v>39</v>
      </c>
      <c r="C1361" s="5">
        <v>45303</v>
      </c>
      <c r="D1361" s="4">
        <v>30.2</v>
      </c>
      <c r="E1361" s="4">
        <v>10.49</v>
      </c>
    </row>
    <row r="1362" spans="1:5" x14ac:dyDescent="0.25">
      <c r="A1362" s="4">
        <v>24810</v>
      </c>
      <c r="B1362" s="4" t="s">
        <v>39</v>
      </c>
      <c r="C1362" s="5">
        <v>45303</v>
      </c>
      <c r="D1362" s="4">
        <v>0.9</v>
      </c>
      <c r="E1362" s="4">
        <v>0.31</v>
      </c>
    </row>
    <row r="1363" spans="1:5" x14ac:dyDescent="0.25">
      <c r="A1363" s="4">
        <v>24810</v>
      </c>
      <c r="B1363" s="4" t="s">
        <v>39</v>
      </c>
      <c r="C1363" s="5">
        <v>45303</v>
      </c>
      <c r="D1363" s="4">
        <v>15.4</v>
      </c>
      <c r="E1363" s="4">
        <v>5.35</v>
      </c>
    </row>
    <row r="1364" spans="1:5" x14ac:dyDescent="0.25">
      <c r="A1364" s="4">
        <v>24810</v>
      </c>
      <c r="B1364" s="4" t="s">
        <v>39</v>
      </c>
      <c r="C1364" s="5">
        <v>45303</v>
      </c>
      <c r="D1364" s="4">
        <v>30.2</v>
      </c>
      <c r="E1364" s="4">
        <v>10.49</v>
      </c>
    </row>
    <row r="1365" spans="1:5" x14ac:dyDescent="0.25">
      <c r="A1365" s="4">
        <v>24810</v>
      </c>
      <c r="B1365" s="4" t="s">
        <v>39</v>
      </c>
      <c r="C1365" s="5">
        <v>45303</v>
      </c>
      <c r="D1365" s="4">
        <v>1.2</v>
      </c>
      <c r="E1365" s="4">
        <v>0.41</v>
      </c>
    </row>
    <row r="1366" spans="1:5" x14ac:dyDescent="0.25">
      <c r="A1366" s="4">
        <v>24810</v>
      </c>
      <c r="B1366" s="4" t="s">
        <v>39</v>
      </c>
      <c r="C1366" s="5">
        <v>45303</v>
      </c>
      <c r="D1366" s="4">
        <v>15.4</v>
      </c>
      <c r="E1366" s="4">
        <v>5.35</v>
      </c>
    </row>
    <row r="1367" spans="1:5" x14ac:dyDescent="0.25">
      <c r="A1367" s="4">
        <v>24810</v>
      </c>
      <c r="B1367" s="4" t="s">
        <v>39</v>
      </c>
      <c r="C1367" s="5">
        <v>45303</v>
      </c>
      <c r="D1367" s="4">
        <v>30.2</v>
      </c>
      <c r="E1367" s="4">
        <v>10.49</v>
      </c>
    </row>
    <row r="1368" spans="1:5" x14ac:dyDescent="0.25">
      <c r="A1368" s="4">
        <v>24810</v>
      </c>
      <c r="B1368" s="4" t="s">
        <v>39</v>
      </c>
      <c r="C1368" s="5">
        <v>45303</v>
      </c>
      <c r="D1368" s="4">
        <v>14.8</v>
      </c>
      <c r="E1368" s="4">
        <v>5.14</v>
      </c>
    </row>
    <row r="1369" spans="1:5" x14ac:dyDescent="0.25">
      <c r="A1369" s="4">
        <v>24810</v>
      </c>
      <c r="B1369" s="4" t="s">
        <v>40</v>
      </c>
      <c r="C1369" s="5">
        <v>45303</v>
      </c>
      <c r="D1369" s="4">
        <v>13.8</v>
      </c>
      <c r="E1369" s="4">
        <v>4.8099999999999996</v>
      </c>
    </row>
    <row r="1370" spans="1:5" x14ac:dyDescent="0.25">
      <c r="A1370" s="4">
        <v>24810</v>
      </c>
      <c r="B1370" s="4" t="s">
        <v>40</v>
      </c>
      <c r="C1370" s="5">
        <v>45303</v>
      </c>
      <c r="D1370" s="4">
        <v>1.4</v>
      </c>
      <c r="E1370" s="4">
        <v>0.47</v>
      </c>
    </row>
    <row r="1371" spans="1:5" x14ac:dyDescent="0.25">
      <c r="A1371" s="4">
        <v>24810</v>
      </c>
      <c r="B1371" s="4" t="s">
        <v>40</v>
      </c>
      <c r="C1371" s="5">
        <v>45303</v>
      </c>
      <c r="D1371" s="4">
        <v>2</v>
      </c>
      <c r="E1371" s="4">
        <v>0.68</v>
      </c>
    </row>
    <row r="1372" spans="1:5" x14ac:dyDescent="0.25">
      <c r="A1372" s="4">
        <v>24810</v>
      </c>
      <c r="B1372" s="4" t="s">
        <v>40</v>
      </c>
      <c r="C1372" s="5">
        <v>45303</v>
      </c>
      <c r="D1372" s="4">
        <v>15.2</v>
      </c>
      <c r="E1372" s="4">
        <v>5.26</v>
      </c>
    </row>
    <row r="1373" spans="1:5" x14ac:dyDescent="0.25">
      <c r="A1373" s="4">
        <v>24810</v>
      </c>
      <c r="B1373" s="4" t="s">
        <v>40</v>
      </c>
      <c r="C1373" s="5">
        <v>45303</v>
      </c>
      <c r="D1373" s="4">
        <v>2</v>
      </c>
      <c r="E1373" s="4">
        <v>0.68</v>
      </c>
    </row>
    <row r="1374" spans="1:5" x14ac:dyDescent="0.25">
      <c r="A1374" s="4">
        <v>24810</v>
      </c>
      <c r="B1374" s="4" t="s">
        <v>40</v>
      </c>
      <c r="C1374" s="5">
        <v>45303</v>
      </c>
      <c r="D1374" s="4">
        <v>2.9</v>
      </c>
      <c r="E1374" s="4">
        <v>0.99</v>
      </c>
    </row>
    <row r="1375" spans="1:5" x14ac:dyDescent="0.25">
      <c r="A1375" s="4">
        <v>24810</v>
      </c>
      <c r="B1375" s="4" t="s">
        <v>40</v>
      </c>
      <c r="C1375" s="5">
        <v>45303</v>
      </c>
      <c r="D1375" s="4">
        <v>2.9</v>
      </c>
      <c r="E1375" s="4">
        <v>0.99</v>
      </c>
    </row>
    <row r="1376" spans="1:5" x14ac:dyDescent="0.25">
      <c r="A1376" s="4">
        <v>24810</v>
      </c>
      <c r="B1376" s="4" t="s">
        <v>40</v>
      </c>
      <c r="C1376" s="5">
        <v>45303</v>
      </c>
      <c r="D1376" s="4">
        <v>2</v>
      </c>
      <c r="E1376" s="4">
        <v>0.68</v>
      </c>
    </row>
    <row r="1377" spans="1:5" x14ac:dyDescent="0.25">
      <c r="A1377" s="4">
        <v>24810</v>
      </c>
      <c r="B1377" s="4" t="s">
        <v>40</v>
      </c>
      <c r="C1377" s="5">
        <v>45303</v>
      </c>
      <c r="D1377" s="4">
        <v>15.2</v>
      </c>
      <c r="E1377" s="4">
        <v>5.26</v>
      </c>
    </row>
    <row r="1378" spans="1:5" x14ac:dyDescent="0.25">
      <c r="A1378" s="4">
        <v>24810</v>
      </c>
      <c r="B1378" s="4" t="s">
        <v>40</v>
      </c>
      <c r="C1378" s="5">
        <v>45303</v>
      </c>
      <c r="D1378" s="4">
        <v>19.600000000000001</v>
      </c>
      <c r="E1378" s="4">
        <v>6.81</v>
      </c>
    </row>
    <row r="1379" spans="1:5" x14ac:dyDescent="0.25">
      <c r="A1379" s="4">
        <v>24810</v>
      </c>
      <c r="B1379" s="4" t="s">
        <v>40</v>
      </c>
      <c r="C1379" s="5">
        <v>45303</v>
      </c>
      <c r="D1379" s="4">
        <v>0.3</v>
      </c>
      <c r="E1379" s="4">
        <v>0.1</v>
      </c>
    </row>
    <row r="1380" spans="1:5" x14ac:dyDescent="0.25">
      <c r="A1380" s="4">
        <v>24810</v>
      </c>
      <c r="B1380" s="4" t="s">
        <v>40</v>
      </c>
      <c r="C1380" s="5">
        <v>45303</v>
      </c>
      <c r="D1380" s="4">
        <v>15.4</v>
      </c>
      <c r="E1380" s="4">
        <v>5.31</v>
      </c>
    </row>
    <row r="1381" spans="1:5" x14ac:dyDescent="0.25">
      <c r="A1381" s="4">
        <v>24810</v>
      </c>
      <c r="B1381" s="4" t="s">
        <v>40</v>
      </c>
      <c r="C1381" s="5">
        <v>45303</v>
      </c>
      <c r="D1381" s="4">
        <v>30.6</v>
      </c>
      <c r="E1381" s="4">
        <v>10.67</v>
      </c>
    </row>
    <row r="1382" spans="1:5" x14ac:dyDescent="0.25">
      <c r="A1382" s="4">
        <v>24810</v>
      </c>
      <c r="B1382" s="4" t="s">
        <v>33</v>
      </c>
      <c r="C1382" s="5">
        <v>45303</v>
      </c>
      <c r="D1382" s="4">
        <v>13.8</v>
      </c>
      <c r="E1382" s="4">
        <v>4.8099999999999996</v>
      </c>
    </row>
    <row r="1383" spans="1:5" x14ac:dyDescent="0.25">
      <c r="A1383" s="4">
        <v>24810</v>
      </c>
      <c r="B1383" s="4" t="s">
        <v>33</v>
      </c>
      <c r="C1383" s="5">
        <v>45303</v>
      </c>
      <c r="D1383" s="4">
        <v>1.4</v>
      </c>
      <c r="E1383" s="4">
        <v>0.47</v>
      </c>
    </row>
    <row r="1384" spans="1:5" x14ac:dyDescent="0.25">
      <c r="A1384" s="4">
        <v>24810</v>
      </c>
      <c r="B1384" s="4" t="s">
        <v>33</v>
      </c>
      <c r="C1384" s="5">
        <v>45303</v>
      </c>
      <c r="D1384" s="4">
        <v>2</v>
      </c>
      <c r="E1384" s="4">
        <v>0.68</v>
      </c>
    </row>
    <row r="1385" spans="1:5" x14ac:dyDescent="0.25">
      <c r="A1385" s="4">
        <v>24810</v>
      </c>
      <c r="B1385" s="4" t="s">
        <v>33</v>
      </c>
      <c r="C1385" s="5">
        <v>45303</v>
      </c>
      <c r="D1385" s="4">
        <v>15.2</v>
      </c>
      <c r="E1385" s="4">
        <v>5.26</v>
      </c>
    </row>
    <row r="1386" spans="1:5" x14ac:dyDescent="0.25">
      <c r="A1386" s="4">
        <v>24810</v>
      </c>
      <c r="B1386" s="4" t="s">
        <v>33</v>
      </c>
      <c r="C1386" s="5">
        <v>45303</v>
      </c>
      <c r="D1386" s="4">
        <v>2</v>
      </c>
      <c r="E1386" s="4">
        <v>0.68</v>
      </c>
    </row>
    <row r="1387" spans="1:5" x14ac:dyDescent="0.25">
      <c r="A1387" s="4">
        <v>24810</v>
      </c>
      <c r="B1387" s="4" t="s">
        <v>33</v>
      </c>
      <c r="C1387" s="5">
        <v>45303</v>
      </c>
      <c r="D1387" s="4">
        <v>2.9</v>
      </c>
      <c r="E1387" s="4">
        <v>0.99</v>
      </c>
    </row>
    <row r="1388" spans="1:5" x14ac:dyDescent="0.25">
      <c r="A1388" s="4">
        <v>24810</v>
      </c>
      <c r="B1388" s="4" t="s">
        <v>33</v>
      </c>
      <c r="C1388" s="5">
        <v>45303</v>
      </c>
      <c r="D1388" s="4">
        <v>2.9</v>
      </c>
      <c r="E1388" s="4">
        <v>0.99</v>
      </c>
    </row>
    <row r="1389" spans="1:5" x14ac:dyDescent="0.25">
      <c r="A1389" s="4">
        <v>24810</v>
      </c>
      <c r="B1389" s="4" t="s">
        <v>33</v>
      </c>
      <c r="C1389" s="5">
        <v>45303</v>
      </c>
      <c r="D1389" s="4">
        <v>2</v>
      </c>
      <c r="E1389" s="4">
        <v>0.68</v>
      </c>
    </row>
    <row r="1390" spans="1:5" x14ac:dyDescent="0.25">
      <c r="A1390" s="4">
        <v>24810</v>
      </c>
      <c r="B1390" s="4" t="s">
        <v>33</v>
      </c>
      <c r="C1390" s="5">
        <v>45303</v>
      </c>
      <c r="D1390" s="4">
        <v>15.2</v>
      </c>
      <c r="E1390" s="4">
        <v>5.26</v>
      </c>
    </row>
    <row r="1391" spans="1:5" x14ac:dyDescent="0.25">
      <c r="A1391" s="4">
        <v>24810</v>
      </c>
      <c r="B1391" s="4" t="s">
        <v>33</v>
      </c>
      <c r="C1391" s="5">
        <v>45303</v>
      </c>
      <c r="D1391" s="4">
        <v>19.600000000000001</v>
      </c>
      <c r="E1391" s="4">
        <v>6.81</v>
      </c>
    </row>
    <row r="1392" spans="1:5" x14ac:dyDescent="0.25">
      <c r="A1392" s="4">
        <v>24810</v>
      </c>
      <c r="B1392" s="4" t="s">
        <v>33</v>
      </c>
      <c r="C1392" s="5">
        <v>45303</v>
      </c>
      <c r="D1392" s="4">
        <v>0.3</v>
      </c>
      <c r="E1392" s="4">
        <v>0.1</v>
      </c>
    </row>
    <row r="1393" spans="1:5" x14ac:dyDescent="0.25">
      <c r="A1393" s="4">
        <v>24810</v>
      </c>
      <c r="B1393" s="4" t="s">
        <v>33</v>
      </c>
      <c r="C1393" s="5">
        <v>45303</v>
      </c>
      <c r="D1393" s="4">
        <v>5.3</v>
      </c>
      <c r="E1393" s="4">
        <v>1.82</v>
      </c>
    </row>
    <row r="1394" spans="1:5" x14ac:dyDescent="0.25">
      <c r="A1394" s="4">
        <v>24810</v>
      </c>
      <c r="B1394" s="4" t="s">
        <v>34</v>
      </c>
      <c r="C1394" s="5">
        <v>45303</v>
      </c>
      <c r="D1394" s="4">
        <v>0.4</v>
      </c>
      <c r="E1394" s="4">
        <v>0.14000000000000001</v>
      </c>
    </row>
    <row r="1395" spans="1:5" x14ac:dyDescent="0.25">
      <c r="A1395" s="4">
        <v>24810</v>
      </c>
      <c r="B1395" s="4" t="s">
        <v>34</v>
      </c>
      <c r="C1395" s="5">
        <v>45303</v>
      </c>
      <c r="D1395" s="4">
        <v>0.4</v>
      </c>
      <c r="E1395" s="4">
        <v>0.14000000000000001</v>
      </c>
    </row>
    <row r="1396" spans="1:5" x14ac:dyDescent="0.25">
      <c r="A1396" s="4">
        <v>24810</v>
      </c>
      <c r="B1396" s="4" t="s">
        <v>34</v>
      </c>
      <c r="C1396" s="5">
        <v>45303</v>
      </c>
      <c r="D1396" s="4">
        <v>0.4</v>
      </c>
      <c r="E1396" s="4">
        <v>0.14000000000000001</v>
      </c>
    </row>
    <row r="1397" spans="1:5" x14ac:dyDescent="0.25">
      <c r="A1397" s="4">
        <v>24810</v>
      </c>
      <c r="B1397" s="4" t="s">
        <v>34</v>
      </c>
      <c r="C1397" s="5">
        <v>45303</v>
      </c>
      <c r="D1397" s="4">
        <v>0.4</v>
      </c>
      <c r="E1397" s="4">
        <v>0.14000000000000001</v>
      </c>
    </row>
    <row r="1398" spans="1:5" x14ac:dyDescent="0.25">
      <c r="A1398" s="4">
        <v>24810</v>
      </c>
      <c r="B1398" s="4" t="s">
        <v>34</v>
      </c>
      <c r="C1398" s="5">
        <v>45303</v>
      </c>
      <c r="D1398" s="4">
        <v>0.4</v>
      </c>
      <c r="E1398" s="4">
        <v>0.14000000000000001</v>
      </c>
    </row>
    <row r="1399" spans="1:5" x14ac:dyDescent="0.25">
      <c r="A1399" s="4">
        <v>24810</v>
      </c>
      <c r="B1399" s="4" t="s">
        <v>34</v>
      </c>
      <c r="C1399" s="5">
        <v>45303</v>
      </c>
      <c r="D1399" s="4">
        <v>0.4</v>
      </c>
      <c r="E1399" s="4">
        <v>0.14000000000000001</v>
      </c>
    </row>
    <row r="1400" spans="1:5" x14ac:dyDescent="0.25">
      <c r="A1400" s="4">
        <v>24810</v>
      </c>
      <c r="B1400" s="4" t="s">
        <v>34</v>
      </c>
      <c r="C1400" s="5">
        <v>45303</v>
      </c>
      <c r="D1400" s="4">
        <v>0.4</v>
      </c>
      <c r="E1400" s="4">
        <v>0.14000000000000001</v>
      </c>
    </row>
    <row r="1401" spans="1:5" x14ac:dyDescent="0.25">
      <c r="A1401" s="4">
        <v>24810</v>
      </c>
      <c r="B1401" s="4" t="s">
        <v>34</v>
      </c>
      <c r="C1401" s="5">
        <v>45303</v>
      </c>
      <c r="D1401" s="4">
        <v>0.4</v>
      </c>
      <c r="E1401" s="4">
        <v>0.14000000000000001</v>
      </c>
    </row>
    <row r="1402" spans="1:5" x14ac:dyDescent="0.25">
      <c r="A1402" s="4">
        <v>24810</v>
      </c>
      <c r="B1402" s="4" t="s">
        <v>34</v>
      </c>
      <c r="C1402" s="5">
        <v>45303</v>
      </c>
      <c r="D1402" s="4">
        <v>0.4</v>
      </c>
      <c r="E1402" s="4">
        <v>0.14000000000000001</v>
      </c>
    </row>
    <row r="1403" spans="1:5" x14ac:dyDescent="0.25">
      <c r="A1403" s="4">
        <v>24810</v>
      </c>
      <c r="B1403" s="4" t="s">
        <v>34</v>
      </c>
      <c r="C1403" s="5">
        <v>45303</v>
      </c>
      <c r="D1403" s="4">
        <v>0.4</v>
      </c>
      <c r="E1403" s="4">
        <v>0.14000000000000001</v>
      </c>
    </row>
    <row r="1404" spans="1:5" x14ac:dyDescent="0.25">
      <c r="A1404" s="4">
        <v>24810</v>
      </c>
      <c r="B1404" s="4" t="s">
        <v>34</v>
      </c>
      <c r="C1404" s="5">
        <v>45303</v>
      </c>
      <c r="D1404" s="4">
        <v>0.4</v>
      </c>
      <c r="E1404" s="4">
        <v>0.14000000000000001</v>
      </c>
    </row>
    <row r="1405" spans="1:5" x14ac:dyDescent="0.25">
      <c r="A1405" s="4">
        <v>24810</v>
      </c>
      <c r="B1405" s="4" t="s">
        <v>34</v>
      </c>
      <c r="C1405" s="5">
        <v>45303</v>
      </c>
      <c r="D1405" s="4">
        <v>0.4</v>
      </c>
      <c r="E1405" s="4">
        <v>0.14000000000000001</v>
      </c>
    </row>
    <row r="1406" spans="1:5" x14ac:dyDescent="0.25">
      <c r="A1406" s="4">
        <v>24810</v>
      </c>
      <c r="B1406" s="4" t="s">
        <v>51</v>
      </c>
      <c r="C1406" s="5">
        <v>45303</v>
      </c>
      <c r="D1406" s="4">
        <v>13.8</v>
      </c>
      <c r="E1406" s="4">
        <v>4.47</v>
      </c>
    </row>
    <row r="1407" spans="1:5" x14ac:dyDescent="0.25">
      <c r="A1407" s="4">
        <v>24810</v>
      </c>
      <c r="B1407" s="4" t="s">
        <v>51</v>
      </c>
      <c r="C1407" s="5">
        <v>45303</v>
      </c>
      <c r="D1407" s="4">
        <v>11.7</v>
      </c>
      <c r="E1407" s="4">
        <v>3.79</v>
      </c>
    </row>
    <row r="1408" spans="1:5" x14ac:dyDescent="0.25">
      <c r="A1408" s="4">
        <v>24810</v>
      </c>
      <c r="B1408" s="4" t="s">
        <v>51</v>
      </c>
      <c r="C1408" s="5">
        <v>45303</v>
      </c>
      <c r="D1408" s="4">
        <v>10.9</v>
      </c>
      <c r="E1408" s="4">
        <v>3.53</v>
      </c>
    </row>
    <row r="1409" spans="1:5" x14ac:dyDescent="0.25">
      <c r="A1409" s="4">
        <v>24810</v>
      </c>
      <c r="B1409" s="4" t="s">
        <v>51</v>
      </c>
      <c r="C1409" s="5">
        <v>45303</v>
      </c>
      <c r="D1409" s="4">
        <v>11.7</v>
      </c>
      <c r="E1409" s="4">
        <v>3.79</v>
      </c>
    </row>
    <row r="1410" spans="1:5" x14ac:dyDescent="0.25">
      <c r="A1410" s="4">
        <v>24810</v>
      </c>
      <c r="B1410" s="4" t="s">
        <v>51</v>
      </c>
      <c r="C1410" s="5">
        <v>45303</v>
      </c>
      <c r="D1410" s="4">
        <v>10.9</v>
      </c>
      <c r="E1410" s="4">
        <v>3.53</v>
      </c>
    </row>
    <row r="1411" spans="1:5" x14ac:dyDescent="0.25">
      <c r="A1411" s="4">
        <v>24810</v>
      </c>
      <c r="B1411" s="4" t="s">
        <v>51</v>
      </c>
      <c r="C1411" s="5">
        <v>45303</v>
      </c>
      <c r="D1411" s="4">
        <v>11.7</v>
      </c>
      <c r="E1411" s="4">
        <v>3.79</v>
      </c>
    </row>
    <row r="1412" spans="1:5" x14ac:dyDescent="0.25">
      <c r="A1412" s="4">
        <v>24810</v>
      </c>
      <c r="B1412" s="4" t="s">
        <v>51</v>
      </c>
      <c r="C1412" s="5">
        <v>45303</v>
      </c>
      <c r="D1412" s="4">
        <v>10.9</v>
      </c>
      <c r="E1412" s="4">
        <v>3.53</v>
      </c>
    </row>
    <row r="1413" spans="1:5" x14ac:dyDescent="0.25">
      <c r="A1413" s="4">
        <v>24810</v>
      </c>
      <c r="B1413" s="4" t="s">
        <v>51</v>
      </c>
      <c r="C1413" s="5">
        <v>45303</v>
      </c>
      <c r="D1413" s="4">
        <v>11.7</v>
      </c>
      <c r="E1413" s="4">
        <v>3.79</v>
      </c>
    </row>
    <row r="1414" spans="1:5" x14ac:dyDescent="0.25">
      <c r="A1414" s="4">
        <v>24810</v>
      </c>
      <c r="B1414" s="4" t="s">
        <v>51</v>
      </c>
      <c r="C1414" s="5">
        <v>45303</v>
      </c>
      <c r="D1414" s="4">
        <v>10.9</v>
      </c>
      <c r="E1414" s="4">
        <v>3.53</v>
      </c>
    </row>
    <row r="1415" spans="1:5" x14ac:dyDescent="0.25">
      <c r="A1415" s="4">
        <v>24810</v>
      </c>
      <c r="B1415" s="4" t="s">
        <v>51</v>
      </c>
      <c r="C1415" s="5">
        <v>45303</v>
      </c>
      <c r="D1415" s="4">
        <v>11.7</v>
      </c>
      <c r="E1415" s="4">
        <v>3.79</v>
      </c>
    </row>
    <row r="1416" spans="1:5" x14ac:dyDescent="0.25">
      <c r="A1416" s="4">
        <v>24810</v>
      </c>
      <c r="B1416" s="4" t="s">
        <v>51</v>
      </c>
      <c r="C1416" s="5">
        <v>45303</v>
      </c>
      <c r="D1416" s="4">
        <v>10.9</v>
      </c>
      <c r="E1416" s="4">
        <v>3.53</v>
      </c>
    </row>
    <row r="1417" spans="1:5" x14ac:dyDescent="0.25">
      <c r="A1417" s="4">
        <v>24810</v>
      </c>
      <c r="B1417" s="4" t="s">
        <v>51</v>
      </c>
      <c r="C1417" s="5">
        <v>45303</v>
      </c>
      <c r="D1417" s="4">
        <v>11.7</v>
      </c>
      <c r="E1417" s="4">
        <v>3.79</v>
      </c>
    </row>
    <row r="1418" spans="1:5" x14ac:dyDescent="0.25">
      <c r="A1418" s="4">
        <v>24810</v>
      </c>
      <c r="B1418" s="4" t="s">
        <v>51</v>
      </c>
      <c r="C1418" s="5">
        <v>45303</v>
      </c>
      <c r="D1418" s="4">
        <v>8.6999999999999993</v>
      </c>
      <c r="E1418" s="4">
        <v>2.82</v>
      </c>
    </row>
    <row r="1419" spans="1:5" x14ac:dyDescent="0.25">
      <c r="A1419" s="4">
        <v>24810</v>
      </c>
      <c r="B1419" s="4" t="s">
        <v>15</v>
      </c>
      <c r="C1419" s="5">
        <v>45304</v>
      </c>
      <c r="D1419" s="4">
        <v>27.9</v>
      </c>
      <c r="E1419" s="4">
        <v>9.0299999999999994</v>
      </c>
    </row>
    <row r="1420" spans="1:5" x14ac:dyDescent="0.25">
      <c r="A1420" s="4">
        <v>24810</v>
      </c>
      <c r="B1420" s="4" t="s">
        <v>15</v>
      </c>
      <c r="C1420" s="5">
        <v>45304</v>
      </c>
      <c r="D1420" s="4">
        <v>33.5</v>
      </c>
      <c r="E1420" s="4">
        <v>10.81</v>
      </c>
    </row>
    <row r="1421" spans="1:5" x14ac:dyDescent="0.25">
      <c r="A1421" s="4">
        <v>24810</v>
      </c>
      <c r="B1421" s="4" t="s">
        <v>15</v>
      </c>
      <c r="C1421" s="5">
        <v>45304</v>
      </c>
      <c r="D1421" s="4">
        <v>13.4</v>
      </c>
      <c r="E1421" s="4">
        <v>4.34</v>
      </c>
    </row>
    <row r="1422" spans="1:5" x14ac:dyDescent="0.25">
      <c r="A1422" s="4">
        <v>24810</v>
      </c>
      <c r="B1422" s="4" t="s">
        <v>15</v>
      </c>
      <c r="C1422" s="5">
        <v>45304</v>
      </c>
      <c r="D1422" s="4">
        <v>23.2</v>
      </c>
      <c r="E1422" s="4">
        <v>7.5</v>
      </c>
    </row>
    <row r="1423" spans="1:5" x14ac:dyDescent="0.25">
      <c r="A1423" s="4">
        <v>24810</v>
      </c>
      <c r="B1423" s="4" t="s">
        <v>15</v>
      </c>
      <c r="C1423" s="5">
        <v>45304</v>
      </c>
      <c r="D1423" s="4">
        <v>24.8</v>
      </c>
      <c r="E1423" s="4">
        <v>8</v>
      </c>
    </row>
    <row r="1424" spans="1:5" x14ac:dyDescent="0.25">
      <c r="A1424" s="4">
        <v>24810</v>
      </c>
      <c r="B1424" s="4" t="s">
        <v>15</v>
      </c>
      <c r="C1424" s="5">
        <v>45306</v>
      </c>
      <c r="D1424" s="4">
        <v>36.299999999999997</v>
      </c>
      <c r="E1424" s="4">
        <v>11.75</v>
      </c>
    </row>
    <row r="1425" spans="1:5" x14ac:dyDescent="0.25">
      <c r="A1425" s="4">
        <v>24810</v>
      </c>
      <c r="B1425" s="4" t="s">
        <v>15</v>
      </c>
      <c r="C1425" s="5">
        <v>45306</v>
      </c>
      <c r="D1425" s="4">
        <v>20.100000000000001</v>
      </c>
      <c r="E1425" s="4">
        <v>6.47</v>
      </c>
    </row>
    <row r="1426" spans="1:5" x14ac:dyDescent="0.25">
      <c r="A1426" s="4">
        <v>24810</v>
      </c>
      <c r="B1426" s="4" t="s">
        <v>15</v>
      </c>
      <c r="C1426" s="5">
        <v>45306</v>
      </c>
      <c r="D1426" s="4">
        <v>33.5</v>
      </c>
      <c r="E1426" s="4">
        <v>10.81</v>
      </c>
    </row>
    <row r="1427" spans="1:5" x14ac:dyDescent="0.25">
      <c r="A1427" s="4">
        <v>24810</v>
      </c>
      <c r="B1427" s="4" t="s">
        <v>15</v>
      </c>
      <c r="C1427" s="5">
        <v>45306</v>
      </c>
      <c r="D1427" s="4">
        <v>33.5</v>
      </c>
      <c r="E1427" s="4">
        <v>10.81</v>
      </c>
    </row>
    <row r="1428" spans="1:5" x14ac:dyDescent="0.25">
      <c r="A1428" s="4">
        <v>24810</v>
      </c>
      <c r="B1428" s="4" t="s">
        <v>15</v>
      </c>
      <c r="C1428" s="5">
        <v>45306</v>
      </c>
      <c r="D1428" s="4">
        <v>36.6</v>
      </c>
      <c r="E1428" s="4">
        <v>11.84</v>
      </c>
    </row>
    <row r="1429" spans="1:5" x14ac:dyDescent="0.25">
      <c r="A1429" s="4">
        <v>24810</v>
      </c>
      <c r="B1429" s="4" t="s">
        <v>15</v>
      </c>
      <c r="C1429" s="5">
        <v>45306</v>
      </c>
      <c r="D1429" s="4">
        <v>24.8</v>
      </c>
      <c r="E1429" s="4">
        <v>8</v>
      </c>
    </row>
    <row r="1430" spans="1:5" x14ac:dyDescent="0.25">
      <c r="A1430" s="4">
        <v>24810</v>
      </c>
      <c r="B1430" s="4" t="s">
        <v>19</v>
      </c>
      <c r="C1430" s="5">
        <v>45306</v>
      </c>
      <c r="D1430" s="4">
        <v>65.400000000000006</v>
      </c>
      <c r="E1430" s="4">
        <v>21.17</v>
      </c>
    </row>
    <row r="1431" spans="1:5" x14ac:dyDescent="0.25">
      <c r="A1431" s="4">
        <v>24810</v>
      </c>
      <c r="B1431" s="4" t="s">
        <v>19</v>
      </c>
      <c r="C1431" s="5">
        <v>45306</v>
      </c>
      <c r="D1431" s="4">
        <v>62.6</v>
      </c>
      <c r="E1431" s="4">
        <v>20.260000000000002</v>
      </c>
    </row>
    <row r="1432" spans="1:5" x14ac:dyDescent="0.25">
      <c r="A1432" s="4">
        <v>24810</v>
      </c>
      <c r="B1432" s="4" t="s">
        <v>19</v>
      </c>
      <c r="C1432" s="5">
        <v>45306</v>
      </c>
      <c r="D1432" s="4">
        <v>64.400000000000006</v>
      </c>
      <c r="E1432" s="4">
        <v>20.84</v>
      </c>
    </row>
    <row r="1433" spans="1:5" x14ac:dyDescent="0.25">
      <c r="A1433" s="4">
        <v>24810</v>
      </c>
      <c r="B1433" s="4" t="s">
        <v>19</v>
      </c>
      <c r="C1433" s="5">
        <v>45306</v>
      </c>
      <c r="D1433" s="4">
        <v>64.400000000000006</v>
      </c>
      <c r="E1433" s="4">
        <v>20.84</v>
      </c>
    </row>
    <row r="1434" spans="1:5" x14ac:dyDescent="0.25">
      <c r="A1434" s="4">
        <v>24810</v>
      </c>
      <c r="B1434" s="4" t="s">
        <v>19</v>
      </c>
      <c r="C1434" s="5">
        <v>45306</v>
      </c>
      <c r="D1434" s="4">
        <v>36.9</v>
      </c>
      <c r="E1434" s="4">
        <v>11.94</v>
      </c>
    </row>
    <row r="1435" spans="1:5" x14ac:dyDescent="0.25">
      <c r="A1435" s="4">
        <v>24810</v>
      </c>
      <c r="B1435" s="4" t="s">
        <v>19</v>
      </c>
      <c r="C1435" s="5">
        <v>45306</v>
      </c>
      <c r="D1435" s="4">
        <v>28.3</v>
      </c>
      <c r="E1435" s="4">
        <v>9.16</v>
      </c>
    </row>
    <row r="1436" spans="1:5" x14ac:dyDescent="0.25">
      <c r="A1436" s="4">
        <v>24810</v>
      </c>
      <c r="B1436" s="4" t="s">
        <v>19</v>
      </c>
      <c r="C1436" s="5">
        <v>45306</v>
      </c>
      <c r="D1436" s="4">
        <v>62.6</v>
      </c>
      <c r="E1436" s="4">
        <v>20.260000000000002</v>
      </c>
    </row>
    <row r="1437" spans="1:5" x14ac:dyDescent="0.25">
      <c r="A1437" s="4">
        <v>24810</v>
      </c>
      <c r="B1437" s="4" t="s">
        <v>19</v>
      </c>
      <c r="C1437" s="5">
        <v>45306</v>
      </c>
      <c r="D1437" s="4">
        <v>64.400000000000006</v>
      </c>
      <c r="E1437" s="4">
        <v>20.84</v>
      </c>
    </row>
    <row r="1438" spans="1:5" x14ac:dyDescent="0.25">
      <c r="A1438" s="4">
        <v>24810</v>
      </c>
      <c r="B1438" s="4" t="s">
        <v>19</v>
      </c>
      <c r="C1438" s="5">
        <v>45306</v>
      </c>
      <c r="D1438" s="4">
        <v>62.6</v>
      </c>
      <c r="E1438" s="4">
        <v>20.260000000000002</v>
      </c>
    </row>
    <row r="1439" spans="1:5" x14ac:dyDescent="0.25">
      <c r="A1439" s="4">
        <v>24810</v>
      </c>
      <c r="B1439" s="4" t="s">
        <v>21</v>
      </c>
      <c r="C1439" s="5">
        <v>45306</v>
      </c>
      <c r="D1439" s="4">
        <v>3.8</v>
      </c>
      <c r="E1439" s="4">
        <v>1.19</v>
      </c>
    </row>
    <row r="1440" spans="1:5" x14ac:dyDescent="0.25">
      <c r="A1440" s="4">
        <v>24810</v>
      </c>
      <c r="B1440" s="4" t="s">
        <v>21</v>
      </c>
      <c r="C1440" s="5">
        <v>45306</v>
      </c>
      <c r="D1440" s="4">
        <v>3.9</v>
      </c>
      <c r="E1440" s="4">
        <v>1.25</v>
      </c>
    </row>
    <row r="1441" spans="1:5" x14ac:dyDescent="0.25">
      <c r="A1441" s="4">
        <v>24810</v>
      </c>
      <c r="B1441" s="4" t="s">
        <v>21</v>
      </c>
      <c r="C1441" s="5">
        <v>45306</v>
      </c>
      <c r="D1441" s="4">
        <v>3.8</v>
      </c>
      <c r="E1441" s="4">
        <v>1.19</v>
      </c>
    </row>
    <row r="1442" spans="1:5" x14ac:dyDescent="0.25">
      <c r="A1442" s="4">
        <v>24810</v>
      </c>
      <c r="B1442" s="4" t="s">
        <v>21</v>
      </c>
      <c r="C1442" s="5">
        <v>45306</v>
      </c>
      <c r="D1442" s="4">
        <v>3.9</v>
      </c>
      <c r="E1442" s="4">
        <v>1.25</v>
      </c>
    </row>
    <row r="1443" spans="1:5" x14ac:dyDescent="0.25">
      <c r="A1443" s="4">
        <v>24810</v>
      </c>
      <c r="B1443" s="4" t="s">
        <v>22</v>
      </c>
      <c r="C1443" s="5">
        <v>45306</v>
      </c>
      <c r="D1443" s="4">
        <v>30.6</v>
      </c>
      <c r="E1443" s="4">
        <v>9.92</v>
      </c>
    </row>
    <row r="1444" spans="1:5" x14ac:dyDescent="0.25">
      <c r="A1444" s="4">
        <v>24810</v>
      </c>
      <c r="B1444" s="4" t="s">
        <v>22</v>
      </c>
      <c r="C1444" s="5">
        <v>45306</v>
      </c>
      <c r="D1444" s="4">
        <v>30.6</v>
      </c>
      <c r="E1444" s="4">
        <v>9.92</v>
      </c>
    </row>
    <row r="1445" spans="1:5" x14ac:dyDescent="0.25">
      <c r="A1445" s="4">
        <v>24810</v>
      </c>
      <c r="B1445" s="4" t="s">
        <v>23</v>
      </c>
      <c r="C1445" s="5">
        <v>45306</v>
      </c>
      <c r="D1445" s="4">
        <v>30.6</v>
      </c>
      <c r="E1445" s="4">
        <v>9.92</v>
      </c>
    </row>
    <row r="1446" spans="1:5" x14ac:dyDescent="0.25">
      <c r="A1446" s="4">
        <v>24810</v>
      </c>
      <c r="B1446" s="4" t="s">
        <v>23</v>
      </c>
      <c r="C1446" s="5">
        <v>45306</v>
      </c>
      <c r="D1446" s="4">
        <v>30.6</v>
      </c>
      <c r="E1446" s="4">
        <v>9.92</v>
      </c>
    </row>
    <row r="1447" spans="1:5" x14ac:dyDescent="0.25">
      <c r="A1447" s="4">
        <v>24810</v>
      </c>
      <c r="B1447" s="4" t="s">
        <v>24</v>
      </c>
      <c r="C1447" s="5">
        <v>45306</v>
      </c>
      <c r="D1447" s="4">
        <v>71.7</v>
      </c>
      <c r="E1447" s="4">
        <v>23.21</v>
      </c>
    </row>
    <row r="1448" spans="1:5" x14ac:dyDescent="0.25">
      <c r="A1448" s="4">
        <v>24810</v>
      </c>
      <c r="B1448" s="4" t="s">
        <v>24</v>
      </c>
      <c r="C1448" s="5">
        <v>45306</v>
      </c>
      <c r="D1448" s="4">
        <v>9.1</v>
      </c>
      <c r="E1448" s="4">
        <v>2.95</v>
      </c>
    </row>
    <row r="1449" spans="1:5" x14ac:dyDescent="0.25">
      <c r="A1449" s="4">
        <v>24810</v>
      </c>
      <c r="B1449" s="4" t="s">
        <v>24</v>
      </c>
      <c r="C1449" s="5">
        <v>45306</v>
      </c>
      <c r="D1449" s="4">
        <v>64.099999999999994</v>
      </c>
      <c r="E1449" s="4">
        <v>20.75</v>
      </c>
    </row>
    <row r="1450" spans="1:5" x14ac:dyDescent="0.25">
      <c r="A1450" s="4">
        <v>24810</v>
      </c>
      <c r="B1450" s="4" t="s">
        <v>24</v>
      </c>
      <c r="C1450" s="5">
        <v>45306</v>
      </c>
      <c r="D1450" s="4">
        <v>62.6</v>
      </c>
      <c r="E1450" s="4">
        <v>20.260000000000002</v>
      </c>
    </row>
    <row r="1451" spans="1:5" x14ac:dyDescent="0.25">
      <c r="A1451" s="4">
        <v>24810</v>
      </c>
      <c r="B1451" s="4" t="s">
        <v>24</v>
      </c>
      <c r="C1451" s="5">
        <v>45306</v>
      </c>
      <c r="D1451" s="4">
        <v>62.6</v>
      </c>
      <c r="E1451" s="4">
        <v>20.260000000000002</v>
      </c>
    </row>
    <row r="1452" spans="1:5" x14ac:dyDescent="0.25">
      <c r="A1452" s="4">
        <v>24810</v>
      </c>
      <c r="B1452" s="4" t="s">
        <v>24</v>
      </c>
      <c r="C1452" s="5">
        <v>45306</v>
      </c>
      <c r="D1452" s="4">
        <v>62.6</v>
      </c>
      <c r="E1452" s="4">
        <v>20.260000000000002</v>
      </c>
    </row>
    <row r="1453" spans="1:5" x14ac:dyDescent="0.25">
      <c r="A1453" s="4">
        <v>24810</v>
      </c>
      <c r="B1453" s="4" t="s">
        <v>24</v>
      </c>
      <c r="C1453" s="5">
        <v>45306</v>
      </c>
      <c r="D1453" s="4">
        <v>62.6</v>
      </c>
      <c r="E1453" s="4">
        <v>20.260000000000002</v>
      </c>
    </row>
    <row r="1454" spans="1:5" x14ac:dyDescent="0.25">
      <c r="A1454" s="4">
        <v>24810</v>
      </c>
      <c r="B1454" s="4" t="s">
        <v>24</v>
      </c>
      <c r="C1454" s="5">
        <v>45306</v>
      </c>
      <c r="D1454" s="4">
        <v>8.8000000000000007</v>
      </c>
      <c r="E1454" s="4">
        <v>2.85</v>
      </c>
    </row>
    <row r="1455" spans="1:5" x14ac:dyDescent="0.25">
      <c r="A1455" s="4">
        <v>24810</v>
      </c>
      <c r="B1455" s="4" t="s">
        <v>25</v>
      </c>
      <c r="C1455" s="5">
        <v>45306</v>
      </c>
      <c r="D1455" s="4">
        <v>15.4</v>
      </c>
      <c r="E1455" s="4">
        <v>5.35</v>
      </c>
    </row>
    <row r="1456" spans="1:5" x14ac:dyDescent="0.25">
      <c r="A1456" s="4">
        <v>24810</v>
      </c>
      <c r="B1456" s="4" t="s">
        <v>25</v>
      </c>
      <c r="C1456" s="5">
        <v>45306</v>
      </c>
      <c r="D1456" s="4">
        <v>44.3</v>
      </c>
      <c r="E1456" s="4">
        <v>15.37</v>
      </c>
    </row>
    <row r="1457" spans="1:5" x14ac:dyDescent="0.25">
      <c r="A1457" s="4">
        <v>24810</v>
      </c>
      <c r="B1457" s="4" t="s">
        <v>25</v>
      </c>
      <c r="C1457" s="5">
        <v>45306</v>
      </c>
      <c r="D1457" s="4">
        <v>31.6</v>
      </c>
      <c r="E1457" s="4">
        <v>10.98</v>
      </c>
    </row>
    <row r="1458" spans="1:5" x14ac:dyDescent="0.25">
      <c r="A1458" s="4">
        <v>24810</v>
      </c>
      <c r="B1458" s="4" t="s">
        <v>25</v>
      </c>
      <c r="C1458" s="5">
        <v>45306</v>
      </c>
      <c r="D1458" s="4">
        <v>59.8</v>
      </c>
      <c r="E1458" s="4">
        <v>20.81</v>
      </c>
    </row>
    <row r="1459" spans="1:5" x14ac:dyDescent="0.25">
      <c r="A1459" s="4">
        <v>24810</v>
      </c>
      <c r="B1459" s="4" t="s">
        <v>25</v>
      </c>
      <c r="C1459" s="5">
        <v>45306</v>
      </c>
      <c r="D1459" s="4">
        <v>44.3</v>
      </c>
      <c r="E1459" s="4">
        <v>15.37</v>
      </c>
    </row>
    <row r="1460" spans="1:5" x14ac:dyDescent="0.25">
      <c r="A1460" s="4">
        <v>24810</v>
      </c>
      <c r="B1460" s="4" t="s">
        <v>25</v>
      </c>
      <c r="C1460" s="5">
        <v>45306</v>
      </c>
      <c r="D1460" s="4">
        <v>31.6</v>
      </c>
      <c r="E1460" s="4">
        <v>10.98</v>
      </c>
    </row>
    <row r="1461" spans="1:5" x14ac:dyDescent="0.25">
      <c r="A1461" s="4">
        <v>24810</v>
      </c>
      <c r="B1461" s="4" t="s">
        <v>25</v>
      </c>
      <c r="C1461" s="5">
        <v>45306</v>
      </c>
      <c r="D1461" s="4">
        <v>59.8</v>
      </c>
      <c r="E1461" s="4">
        <v>20.81</v>
      </c>
    </row>
    <row r="1462" spans="1:5" x14ac:dyDescent="0.25">
      <c r="A1462" s="4">
        <v>24810</v>
      </c>
      <c r="B1462" s="4" t="s">
        <v>25</v>
      </c>
      <c r="C1462" s="5">
        <v>45306</v>
      </c>
      <c r="D1462" s="4">
        <v>15.4</v>
      </c>
      <c r="E1462" s="4">
        <v>5.35</v>
      </c>
    </row>
    <row r="1463" spans="1:5" x14ac:dyDescent="0.25">
      <c r="A1463" s="4">
        <v>24810</v>
      </c>
      <c r="B1463" s="4" t="s">
        <v>26</v>
      </c>
      <c r="C1463" s="5">
        <v>45306</v>
      </c>
      <c r="D1463" s="4">
        <v>15.4</v>
      </c>
      <c r="E1463" s="4">
        <v>5.35</v>
      </c>
    </row>
    <row r="1464" spans="1:5" x14ac:dyDescent="0.25">
      <c r="A1464" s="4">
        <v>24810</v>
      </c>
      <c r="B1464" s="4" t="s">
        <v>26</v>
      </c>
      <c r="C1464" s="5">
        <v>45306</v>
      </c>
      <c r="D1464" s="4">
        <v>44.3</v>
      </c>
      <c r="E1464" s="4">
        <v>15.37</v>
      </c>
    </row>
    <row r="1465" spans="1:5" x14ac:dyDescent="0.25">
      <c r="A1465" s="4">
        <v>24810</v>
      </c>
      <c r="B1465" s="4" t="s">
        <v>26</v>
      </c>
      <c r="C1465" s="5">
        <v>45306</v>
      </c>
      <c r="D1465" s="4">
        <v>17.2</v>
      </c>
      <c r="E1465" s="4">
        <v>5.94</v>
      </c>
    </row>
    <row r="1466" spans="1:5" x14ac:dyDescent="0.25">
      <c r="A1466" s="4">
        <v>24810</v>
      </c>
      <c r="B1466" s="4" t="s">
        <v>26</v>
      </c>
      <c r="C1466" s="5">
        <v>45306</v>
      </c>
      <c r="D1466" s="4">
        <v>59.8</v>
      </c>
      <c r="E1466" s="4">
        <v>20.81</v>
      </c>
    </row>
    <row r="1467" spans="1:5" x14ac:dyDescent="0.25">
      <c r="A1467" s="4">
        <v>24810</v>
      </c>
      <c r="B1467" s="4" t="s">
        <v>26</v>
      </c>
      <c r="C1467" s="5">
        <v>45306</v>
      </c>
      <c r="D1467" s="4">
        <v>44.3</v>
      </c>
      <c r="E1467" s="4">
        <v>15.37</v>
      </c>
    </row>
    <row r="1468" spans="1:5" x14ac:dyDescent="0.25">
      <c r="A1468" s="4">
        <v>24810</v>
      </c>
      <c r="B1468" s="4" t="s">
        <v>26</v>
      </c>
      <c r="C1468" s="5">
        <v>45306</v>
      </c>
      <c r="D1468" s="4">
        <v>17.2</v>
      </c>
      <c r="E1468" s="4">
        <v>5.94</v>
      </c>
    </row>
    <row r="1469" spans="1:5" x14ac:dyDescent="0.25">
      <c r="A1469" s="4">
        <v>24810</v>
      </c>
      <c r="B1469" s="4" t="s">
        <v>26</v>
      </c>
      <c r="C1469" s="5">
        <v>45306</v>
      </c>
      <c r="D1469" s="4">
        <v>59.8</v>
      </c>
      <c r="E1469" s="4">
        <v>20.81</v>
      </c>
    </row>
    <row r="1470" spans="1:5" x14ac:dyDescent="0.25">
      <c r="A1470" s="4">
        <v>24810</v>
      </c>
      <c r="B1470" s="4" t="s">
        <v>26</v>
      </c>
      <c r="C1470" s="5">
        <v>45306</v>
      </c>
      <c r="D1470" s="4">
        <v>15.4</v>
      </c>
      <c r="E1470" s="4">
        <v>5.35</v>
      </c>
    </row>
    <row r="1471" spans="1:5" x14ac:dyDescent="0.25">
      <c r="A1471" s="4">
        <v>24810</v>
      </c>
      <c r="B1471" s="4" t="s">
        <v>27</v>
      </c>
      <c r="C1471" s="5">
        <v>45306</v>
      </c>
      <c r="D1471" s="4">
        <v>15.4</v>
      </c>
      <c r="E1471" s="4">
        <v>5.35</v>
      </c>
    </row>
    <row r="1472" spans="1:5" x14ac:dyDescent="0.25">
      <c r="A1472" s="4">
        <v>24810</v>
      </c>
      <c r="B1472" s="4" t="s">
        <v>27</v>
      </c>
      <c r="C1472" s="5">
        <v>45306</v>
      </c>
      <c r="D1472" s="4">
        <v>44.3</v>
      </c>
      <c r="E1472" s="4">
        <v>15.37</v>
      </c>
    </row>
    <row r="1473" spans="1:5" x14ac:dyDescent="0.25">
      <c r="A1473" s="4">
        <v>24810</v>
      </c>
      <c r="B1473" s="4" t="s">
        <v>27</v>
      </c>
      <c r="C1473" s="5">
        <v>45306</v>
      </c>
      <c r="D1473" s="4">
        <v>17.2</v>
      </c>
      <c r="E1473" s="4">
        <v>5.94</v>
      </c>
    </row>
    <row r="1474" spans="1:5" x14ac:dyDescent="0.25">
      <c r="A1474" s="4">
        <v>24810</v>
      </c>
      <c r="B1474" s="4" t="s">
        <v>27</v>
      </c>
      <c r="C1474" s="5">
        <v>45306</v>
      </c>
      <c r="D1474" s="4">
        <v>59.8</v>
      </c>
      <c r="E1474" s="4">
        <v>20.81</v>
      </c>
    </row>
    <row r="1475" spans="1:5" x14ac:dyDescent="0.25">
      <c r="A1475" s="4">
        <v>24810</v>
      </c>
      <c r="B1475" s="4" t="s">
        <v>27</v>
      </c>
      <c r="C1475" s="5">
        <v>45306</v>
      </c>
      <c r="D1475" s="4">
        <v>44.3</v>
      </c>
      <c r="E1475" s="4">
        <v>15.37</v>
      </c>
    </row>
    <row r="1476" spans="1:5" x14ac:dyDescent="0.25">
      <c r="A1476" s="4">
        <v>24810</v>
      </c>
      <c r="B1476" s="4" t="s">
        <v>27</v>
      </c>
      <c r="C1476" s="5">
        <v>45306</v>
      </c>
      <c r="D1476" s="4">
        <v>33</v>
      </c>
      <c r="E1476" s="4">
        <v>11.48</v>
      </c>
    </row>
    <row r="1477" spans="1:5" x14ac:dyDescent="0.25">
      <c r="A1477" s="4">
        <v>24810</v>
      </c>
      <c r="B1477" s="4" t="s">
        <v>27</v>
      </c>
      <c r="C1477" s="5">
        <v>45306</v>
      </c>
      <c r="D1477" s="4">
        <v>59.8</v>
      </c>
      <c r="E1477" s="4">
        <v>20.81</v>
      </c>
    </row>
    <row r="1478" spans="1:5" x14ac:dyDescent="0.25">
      <c r="A1478" s="4">
        <v>24810</v>
      </c>
      <c r="B1478" s="4" t="s">
        <v>27</v>
      </c>
      <c r="C1478" s="5">
        <v>45306</v>
      </c>
      <c r="D1478" s="4">
        <v>15.4</v>
      </c>
      <c r="E1478" s="4">
        <v>5.35</v>
      </c>
    </row>
    <row r="1479" spans="1:5" x14ac:dyDescent="0.25">
      <c r="A1479" s="4">
        <v>24810</v>
      </c>
      <c r="B1479" s="4" t="s">
        <v>28</v>
      </c>
      <c r="C1479" s="5">
        <v>45306</v>
      </c>
      <c r="D1479" s="4">
        <v>61.9</v>
      </c>
      <c r="E1479" s="4">
        <v>20.04</v>
      </c>
    </row>
    <row r="1480" spans="1:5" x14ac:dyDescent="0.25">
      <c r="A1480" s="4">
        <v>24810</v>
      </c>
      <c r="B1480" s="4" t="s">
        <v>28</v>
      </c>
      <c r="C1480" s="5">
        <v>45306</v>
      </c>
      <c r="D1480" s="4">
        <v>4.2</v>
      </c>
      <c r="E1480" s="4">
        <v>1.36</v>
      </c>
    </row>
    <row r="1481" spans="1:5" x14ac:dyDescent="0.25">
      <c r="A1481" s="4">
        <v>24810</v>
      </c>
      <c r="B1481" s="4" t="s">
        <v>28</v>
      </c>
      <c r="C1481" s="5">
        <v>45306</v>
      </c>
      <c r="D1481" s="4">
        <v>62.6</v>
      </c>
      <c r="E1481" s="4">
        <v>20.260000000000002</v>
      </c>
    </row>
    <row r="1482" spans="1:5" x14ac:dyDescent="0.25">
      <c r="A1482" s="4">
        <v>24810</v>
      </c>
      <c r="B1482" s="4" t="s">
        <v>28</v>
      </c>
      <c r="C1482" s="5">
        <v>45306</v>
      </c>
      <c r="D1482" s="4">
        <v>64.400000000000006</v>
      </c>
      <c r="E1482" s="4">
        <v>20.84</v>
      </c>
    </row>
    <row r="1483" spans="1:5" x14ac:dyDescent="0.25">
      <c r="A1483" s="4">
        <v>24810</v>
      </c>
      <c r="B1483" s="4" t="s">
        <v>28</v>
      </c>
      <c r="C1483" s="5">
        <v>45306</v>
      </c>
      <c r="D1483" s="4">
        <v>62.6</v>
      </c>
      <c r="E1483" s="4">
        <v>20.260000000000002</v>
      </c>
    </row>
    <row r="1484" spans="1:5" x14ac:dyDescent="0.25">
      <c r="A1484" s="4">
        <v>24810</v>
      </c>
      <c r="B1484" s="4" t="s">
        <v>28</v>
      </c>
      <c r="C1484" s="5">
        <v>45306</v>
      </c>
      <c r="D1484" s="4">
        <v>64.400000000000006</v>
      </c>
      <c r="E1484" s="4">
        <v>20.84</v>
      </c>
    </row>
    <row r="1485" spans="1:5" x14ac:dyDescent="0.25">
      <c r="A1485" s="4">
        <v>24810</v>
      </c>
      <c r="B1485" s="4" t="s">
        <v>28</v>
      </c>
      <c r="C1485" s="5">
        <v>45306</v>
      </c>
      <c r="D1485" s="4">
        <v>62.6</v>
      </c>
      <c r="E1485" s="4">
        <v>20.260000000000002</v>
      </c>
    </row>
    <row r="1486" spans="1:5" x14ac:dyDescent="0.25">
      <c r="A1486" s="4">
        <v>24810</v>
      </c>
      <c r="B1486" s="4" t="s">
        <v>28</v>
      </c>
      <c r="C1486" s="5">
        <v>45306</v>
      </c>
      <c r="D1486" s="4">
        <v>10.6</v>
      </c>
      <c r="E1486" s="4">
        <v>3.43</v>
      </c>
    </row>
    <row r="1487" spans="1:5" x14ac:dyDescent="0.25">
      <c r="A1487" s="4">
        <v>24810</v>
      </c>
      <c r="B1487" s="4" t="s">
        <v>29</v>
      </c>
      <c r="C1487" s="5">
        <v>45306</v>
      </c>
      <c r="D1487" s="4">
        <v>15.4</v>
      </c>
      <c r="E1487" s="4">
        <v>5.35</v>
      </c>
    </row>
    <row r="1488" spans="1:5" x14ac:dyDescent="0.25">
      <c r="A1488" s="4">
        <v>24810</v>
      </c>
      <c r="B1488" s="4" t="s">
        <v>29</v>
      </c>
      <c r="C1488" s="5">
        <v>45306</v>
      </c>
      <c r="D1488" s="4">
        <v>31.3</v>
      </c>
      <c r="E1488" s="4">
        <v>10.86</v>
      </c>
    </row>
    <row r="1489" spans="1:5" x14ac:dyDescent="0.25">
      <c r="A1489" s="4">
        <v>24810</v>
      </c>
      <c r="B1489" s="4" t="s">
        <v>29</v>
      </c>
      <c r="C1489" s="5">
        <v>45306</v>
      </c>
      <c r="D1489" s="4">
        <v>15.4</v>
      </c>
      <c r="E1489" s="4">
        <v>5.31</v>
      </c>
    </row>
    <row r="1490" spans="1:5" x14ac:dyDescent="0.25">
      <c r="A1490" s="4">
        <v>24810</v>
      </c>
      <c r="B1490" s="4" t="s">
        <v>29</v>
      </c>
      <c r="C1490" s="5">
        <v>45306</v>
      </c>
      <c r="D1490" s="4">
        <v>15.5</v>
      </c>
      <c r="E1490" s="4">
        <v>5.33</v>
      </c>
    </row>
    <row r="1491" spans="1:5" x14ac:dyDescent="0.25">
      <c r="A1491" s="4">
        <v>24810</v>
      </c>
      <c r="B1491" s="4" t="s">
        <v>29</v>
      </c>
      <c r="C1491" s="5">
        <v>45306</v>
      </c>
      <c r="D1491" s="4">
        <v>30.5</v>
      </c>
      <c r="E1491" s="4">
        <v>10.59</v>
      </c>
    </row>
    <row r="1492" spans="1:5" x14ac:dyDescent="0.25">
      <c r="A1492" s="4">
        <v>24810</v>
      </c>
      <c r="B1492" s="4" t="s">
        <v>29</v>
      </c>
      <c r="C1492" s="5">
        <v>45306</v>
      </c>
      <c r="D1492" s="4">
        <v>41.7</v>
      </c>
      <c r="E1492" s="4">
        <v>14.49</v>
      </c>
    </row>
    <row r="1493" spans="1:5" x14ac:dyDescent="0.25">
      <c r="A1493" s="4">
        <v>24810</v>
      </c>
      <c r="B1493" s="4" t="s">
        <v>29</v>
      </c>
      <c r="C1493" s="5">
        <v>45306</v>
      </c>
      <c r="D1493" s="4">
        <v>30.5</v>
      </c>
      <c r="E1493" s="4">
        <v>10.59</v>
      </c>
    </row>
    <row r="1494" spans="1:5" x14ac:dyDescent="0.25">
      <c r="A1494" s="4">
        <v>24810</v>
      </c>
      <c r="B1494" s="4" t="s">
        <v>29</v>
      </c>
      <c r="C1494" s="5">
        <v>45306</v>
      </c>
      <c r="D1494" s="4">
        <v>37.4</v>
      </c>
      <c r="E1494" s="4">
        <v>13.02</v>
      </c>
    </row>
    <row r="1495" spans="1:5" x14ac:dyDescent="0.25">
      <c r="A1495" s="4">
        <v>24810</v>
      </c>
      <c r="B1495" s="4" t="s">
        <v>30</v>
      </c>
      <c r="C1495" s="5">
        <v>45306</v>
      </c>
      <c r="D1495" s="4">
        <v>15.4</v>
      </c>
      <c r="E1495" s="4">
        <v>5.35</v>
      </c>
    </row>
    <row r="1496" spans="1:5" x14ac:dyDescent="0.25">
      <c r="A1496" s="4">
        <v>24810</v>
      </c>
      <c r="B1496" s="4" t="s">
        <v>30</v>
      </c>
      <c r="C1496" s="5">
        <v>45306</v>
      </c>
      <c r="D1496" s="4">
        <v>44.3</v>
      </c>
      <c r="E1496" s="4">
        <v>15.37</v>
      </c>
    </row>
    <row r="1497" spans="1:5" x14ac:dyDescent="0.25">
      <c r="A1497" s="4">
        <v>24810</v>
      </c>
      <c r="B1497" s="4" t="s">
        <v>30</v>
      </c>
      <c r="C1497" s="5">
        <v>45306</v>
      </c>
      <c r="D1497" s="4">
        <v>31.6</v>
      </c>
      <c r="E1497" s="4">
        <v>10.98</v>
      </c>
    </row>
    <row r="1498" spans="1:5" x14ac:dyDescent="0.25">
      <c r="A1498" s="4">
        <v>24810</v>
      </c>
      <c r="B1498" s="4" t="s">
        <v>30</v>
      </c>
      <c r="C1498" s="5">
        <v>45306</v>
      </c>
      <c r="D1498" s="4">
        <v>59.8</v>
      </c>
      <c r="E1498" s="4">
        <v>20.81</v>
      </c>
    </row>
    <row r="1499" spans="1:5" x14ac:dyDescent="0.25">
      <c r="A1499" s="4">
        <v>24810</v>
      </c>
      <c r="B1499" s="4" t="s">
        <v>30</v>
      </c>
      <c r="C1499" s="5">
        <v>45306</v>
      </c>
      <c r="D1499" s="4">
        <v>44.3</v>
      </c>
      <c r="E1499" s="4">
        <v>15.37</v>
      </c>
    </row>
    <row r="1500" spans="1:5" x14ac:dyDescent="0.25">
      <c r="A1500" s="4">
        <v>24810</v>
      </c>
      <c r="B1500" s="4" t="s">
        <v>30</v>
      </c>
      <c r="C1500" s="5">
        <v>45306</v>
      </c>
      <c r="D1500" s="4">
        <v>31.6</v>
      </c>
      <c r="E1500" s="4">
        <v>10.98</v>
      </c>
    </row>
    <row r="1501" spans="1:5" x14ac:dyDescent="0.25">
      <c r="A1501" s="4">
        <v>24810</v>
      </c>
      <c r="B1501" s="4" t="s">
        <v>30</v>
      </c>
      <c r="C1501" s="5">
        <v>45306</v>
      </c>
      <c r="D1501" s="4">
        <v>59.8</v>
      </c>
      <c r="E1501" s="4">
        <v>20.81</v>
      </c>
    </row>
    <row r="1502" spans="1:5" x14ac:dyDescent="0.25">
      <c r="A1502" s="4">
        <v>24810</v>
      </c>
      <c r="B1502" s="4" t="s">
        <v>30</v>
      </c>
      <c r="C1502" s="5">
        <v>45306</v>
      </c>
      <c r="D1502" s="4">
        <v>15.4</v>
      </c>
      <c r="E1502" s="4">
        <v>5.35</v>
      </c>
    </row>
    <row r="1503" spans="1:5" x14ac:dyDescent="0.25">
      <c r="A1503" s="4">
        <v>24810</v>
      </c>
      <c r="B1503" s="4" t="s">
        <v>31</v>
      </c>
      <c r="C1503" s="5">
        <v>45306</v>
      </c>
      <c r="D1503" s="4">
        <v>15.4</v>
      </c>
      <c r="E1503" s="4">
        <v>5.35</v>
      </c>
    </row>
    <row r="1504" spans="1:5" x14ac:dyDescent="0.25">
      <c r="A1504" s="4">
        <v>24810</v>
      </c>
      <c r="B1504" s="4" t="s">
        <v>31</v>
      </c>
      <c r="C1504" s="5">
        <v>45306</v>
      </c>
      <c r="D1504" s="4">
        <v>30.2</v>
      </c>
      <c r="E1504" s="4">
        <v>10.49</v>
      </c>
    </row>
    <row r="1505" spans="1:5" x14ac:dyDescent="0.25">
      <c r="A1505" s="4">
        <v>24810</v>
      </c>
      <c r="B1505" s="4" t="s">
        <v>31</v>
      </c>
      <c r="C1505" s="5">
        <v>45306</v>
      </c>
      <c r="D1505" s="4">
        <v>30.2</v>
      </c>
      <c r="E1505" s="4">
        <v>10.49</v>
      </c>
    </row>
    <row r="1506" spans="1:5" x14ac:dyDescent="0.25">
      <c r="A1506" s="4">
        <v>24810</v>
      </c>
      <c r="B1506" s="4" t="s">
        <v>31</v>
      </c>
      <c r="C1506" s="5">
        <v>45306</v>
      </c>
      <c r="D1506" s="4">
        <v>30.2</v>
      </c>
      <c r="E1506" s="4">
        <v>10.49</v>
      </c>
    </row>
    <row r="1507" spans="1:5" x14ac:dyDescent="0.25">
      <c r="A1507" s="4">
        <v>24810</v>
      </c>
      <c r="B1507" s="4" t="s">
        <v>31</v>
      </c>
      <c r="C1507" s="5">
        <v>45306</v>
      </c>
      <c r="D1507" s="4">
        <v>30.2</v>
      </c>
      <c r="E1507" s="4">
        <v>10.49</v>
      </c>
    </row>
    <row r="1508" spans="1:5" x14ac:dyDescent="0.25">
      <c r="A1508" s="4">
        <v>24810</v>
      </c>
      <c r="B1508" s="4" t="s">
        <v>31</v>
      </c>
      <c r="C1508" s="5">
        <v>45306</v>
      </c>
      <c r="D1508" s="4">
        <v>30.2</v>
      </c>
      <c r="E1508" s="4">
        <v>10.49</v>
      </c>
    </row>
    <row r="1509" spans="1:5" x14ac:dyDescent="0.25">
      <c r="A1509" s="4">
        <v>24810</v>
      </c>
      <c r="B1509" s="4" t="s">
        <v>31</v>
      </c>
      <c r="C1509" s="5">
        <v>45306</v>
      </c>
      <c r="D1509" s="4">
        <v>30.2</v>
      </c>
      <c r="E1509" s="4">
        <v>10.49</v>
      </c>
    </row>
    <row r="1510" spans="1:5" x14ac:dyDescent="0.25">
      <c r="A1510" s="4">
        <v>24810</v>
      </c>
      <c r="B1510" s="4" t="s">
        <v>31</v>
      </c>
      <c r="C1510" s="5">
        <v>45306</v>
      </c>
      <c r="D1510" s="4">
        <v>30.2</v>
      </c>
      <c r="E1510" s="4">
        <v>10.49</v>
      </c>
    </row>
    <row r="1511" spans="1:5" x14ac:dyDescent="0.25">
      <c r="A1511" s="4">
        <v>24810</v>
      </c>
      <c r="B1511" s="4" t="s">
        <v>31</v>
      </c>
      <c r="C1511" s="5">
        <v>45306</v>
      </c>
      <c r="D1511" s="4">
        <v>1.2</v>
      </c>
      <c r="E1511" s="4">
        <v>0.41</v>
      </c>
    </row>
    <row r="1512" spans="1:5" x14ac:dyDescent="0.25">
      <c r="A1512" s="4">
        <v>24810</v>
      </c>
      <c r="B1512" s="4" t="s">
        <v>37</v>
      </c>
      <c r="C1512" s="5">
        <v>45306</v>
      </c>
      <c r="D1512" s="4">
        <v>15.4</v>
      </c>
      <c r="E1512" s="4">
        <v>5.35</v>
      </c>
    </row>
    <row r="1513" spans="1:5" x14ac:dyDescent="0.25">
      <c r="A1513" s="4">
        <v>24810</v>
      </c>
      <c r="B1513" s="4" t="s">
        <v>37</v>
      </c>
      <c r="C1513" s="5">
        <v>45306</v>
      </c>
      <c r="D1513" s="4">
        <v>15.4</v>
      </c>
      <c r="E1513" s="4">
        <v>5.35</v>
      </c>
    </row>
    <row r="1514" spans="1:5" x14ac:dyDescent="0.25">
      <c r="A1514" s="4">
        <v>24810</v>
      </c>
      <c r="B1514" s="4" t="s">
        <v>37</v>
      </c>
      <c r="C1514" s="5">
        <v>45306</v>
      </c>
      <c r="D1514" s="4">
        <v>1.2</v>
      </c>
      <c r="E1514" s="4">
        <v>0.41</v>
      </c>
    </row>
    <row r="1515" spans="1:5" x14ac:dyDescent="0.25">
      <c r="A1515" s="4">
        <v>24810</v>
      </c>
      <c r="B1515" s="4" t="s">
        <v>37</v>
      </c>
      <c r="C1515" s="5">
        <v>45306</v>
      </c>
      <c r="D1515" s="4">
        <v>1.2</v>
      </c>
      <c r="E1515" s="4">
        <v>0.41</v>
      </c>
    </row>
    <row r="1516" spans="1:5" x14ac:dyDescent="0.25">
      <c r="A1516" s="4">
        <v>24810</v>
      </c>
      <c r="B1516" s="4" t="s">
        <v>37</v>
      </c>
      <c r="C1516" s="5">
        <v>45306</v>
      </c>
      <c r="D1516" s="4">
        <v>15.4</v>
      </c>
      <c r="E1516" s="4">
        <v>5.35</v>
      </c>
    </row>
    <row r="1517" spans="1:5" x14ac:dyDescent="0.25">
      <c r="A1517" s="4">
        <v>24810</v>
      </c>
      <c r="B1517" s="4" t="s">
        <v>37</v>
      </c>
      <c r="C1517" s="5">
        <v>45306</v>
      </c>
      <c r="D1517" s="4">
        <v>30.2</v>
      </c>
      <c r="E1517" s="4">
        <v>10.49</v>
      </c>
    </row>
    <row r="1518" spans="1:5" x14ac:dyDescent="0.25">
      <c r="A1518" s="4">
        <v>24810</v>
      </c>
      <c r="B1518" s="4" t="s">
        <v>37</v>
      </c>
      <c r="C1518" s="5">
        <v>45306</v>
      </c>
      <c r="D1518" s="4">
        <v>1.2</v>
      </c>
      <c r="E1518" s="4">
        <v>0.41</v>
      </c>
    </row>
    <row r="1519" spans="1:5" x14ac:dyDescent="0.25">
      <c r="A1519" s="4">
        <v>24810</v>
      </c>
      <c r="B1519" s="4" t="s">
        <v>37</v>
      </c>
      <c r="C1519" s="5">
        <v>45306</v>
      </c>
      <c r="D1519" s="4">
        <v>15.4</v>
      </c>
      <c r="E1519" s="4">
        <v>5.35</v>
      </c>
    </row>
    <row r="1520" spans="1:5" x14ac:dyDescent="0.25">
      <c r="A1520" s="4">
        <v>24810</v>
      </c>
      <c r="B1520" s="4" t="s">
        <v>37</v>
      </c>
      <c r="C1520" s="5">
        <v>45306</v>
      </c>
      <c r="D1520" s="4">
        <v>30.2</v>
      </c>
      <c r="E1520" s="4">
        <v>10.49</v>
      </c>
    </row>
    <row r="1521" spans="1:5" x14ac:dyDescent="0.25">
      <c r="A1521" s="4">
        <v>24810</v>
      </c>
      <c r="B1521" s="4" t="s">
        <v>37</v>
      </c>
      <c r="C1521" s="5">
        <v>45306</v>
      </c>
      <c r="D1521" s="4">
        <v>31.3</v>
      </c>
      <c r="E1521" s="4">
        <v>10.86</v>
      </c>
    </row>
    <row r="1522" spans="1:5" x14ac:dyDescent="0.25">
      <c r="A1522" s="4">
        <v>24810</v>
      </c>
      <c r="B1522" s="4" t="s">
        <v>37</v>
      </c>
      <c r="C1522" s="5">
        <v>45306</v>
      </c>
      <c r="D1522" s="4">
        <v>30.2</v>
      </c>
      <c r="E1522" s="4">
        <v>10.49</v>
      </c>
    </row>
    <row r="1523" spans="1:5" x14ac:dyDescent="0.25">
      <c r="A1523" s="4">
        <v>24810</v>
      </c>
      <c r="B1523" s="4" t="s">
        <v>37</v>
      </c>
      <c r="C1523" s="5">
        <v>45306</v>
      </c>
      <c r="D1523" s="4">
        <v>31.3</v>
      </c>
      <c r="E1523" s="4">
        <v>10.86</v>
      </c>
    </row>
    <row r="1524" spans="1:5" x14ac:dyDescent="0.25">
      <c r="A1524" s="4">
        <v>24810</v>
      </c>
      <c r="B1524" s="4" t="s">
        <v>37</v>
      </c>
      <c r="C1524" s="5">
        <v>45306</v>
      </c>
      <c r="D1524" s="4">
        <v>15.4</v>
      </c>
      <c r="E1524" s="4">
        <v>5.35</v>
      </c>
    </row>
    <row r="1525" spans="1:5" x14ac:dyDescent="0.25">
      <c r="A1525" s="4">
        <v>24810</v>
      </c>
      <c r="B1525" s="4" t="s">
        <v>37</v>
      </c>
      <c r="C1525" s="5">
        <v>45306</v>
      </c>
      <c r="D1525" s="4">
        <v>0.9</v>
      </c>
      <c r="E1525" s="4">
        <v>0.31</v>
      </c>
    </row>
    <row r="1526" spans="1:5" x14ac:dyDescent="0.25">
      <c r="A1526" s="4">
        <v>24810</v>
      </c>
      <c r="B1526" s="4" t="s">
        <v>45</v>
      </c>
      <c r="C1526" s="5">
        <v>45306</v>
      </c>
      <c r="D1526" s="4">
        <v>72.400000000000006</v>
      </c>
      <c r="E1526" s="4">
        <v>23.43</v>
      </c>
    </row>
    <row r="1527" spans="1:5" x14ac:dyDescent="0.25">
      <c r="A1527" s="4">
        <v>24810</v>
      </c>
      <c r="B1527" s="4" t="s">
        <v>45</v>
      </c>
      <c r="C1527" s="5">
        <v>45306</v>
      </c>
      <c r="D1527" s="4">
        <v>64.400000000000006</v>
      </c>
      <c r="E1527" s="4">
        <v>20.84</v>
      </c>
    </row>
    <row r="1528" spans="1:5" x14ac:dyDescent="0.25">
      <c r="A1528" s="4">
        <v>24810</v>
      </c>
      <c r="B1528" s="4" t="s">
        <v>45</v>
      </c>
      <c r="C1528" s="5">
        <v>45306</v>
      </c>
      <c r="D1528" s="4">
        <v>64.400000000000006</v>
      </c>
      <c r="E1528" s="4">
        <v>20.84</v>
      </c>
    </row>
    <row r="1529" spans="1:5" x14ac:dyDescent="0.25">
      <c r="A1529" s="4">
        <v>24810</v>
      </c>
      <c r="B1529" s="4" t="s">
        <v>45</v>
      </c>
      <c r="C1529" s="5">
        <v>45306</v>
      </c>
      <c r="D1529" s="4">
        <v>64.400000000000006</v>
      </c>
      <c r="E1529" s="4">
        <v>20.84</v>
      </c>
    </row>
    <row r="1530" spans="1:5" x14ac:dyDescent="0.25">
      <c r="A1530" s="4">
        <v>24810</v>
      </c>
      <c r="B1530" s="4" t="s">
        <v>45</v>
      </c>
      <c r="C1530" s="5">
        <v>45306</v>
      </c>
      <c r="D1530" s="4">
        <v>64.400000000000006</v>
      </c>
      <c r="E1530" s="4">
        <v>20.84</v>
      </c>
    </row>
    <row r="1531" spans="1:5" x14ac:dyDescent="0.25">
      <c r="A1531" s="4">
        <v>24810</v>
      </c>
      <c r="B1531" s="4" t="s">
        <v>45</v>
      </c>
      <c r="C1531" s="5">
        <v>45306</v>
      </c>
      <c r="D1531" s="4">
        <v>64.400000000000006</v>
      </c>
      <c r="E1531" s="4">
        <v>20.84</v>
      </c>
    </row>
    <row r="1532" spans="1:5" x14ac:dyDescent="0.25">
      <c r="A1532" s="4">
        <v>24810</v>
      </c>
      <c r="B1532" s="4" t="s">
        <v>38</v>
      </c>
      <c r="C1532" s="5">
        <v>45306</v>
      </c>
      <c r="D1532" s="4">
        <v>22.6</v>
      </c>
      <c r="E1532" s="4">
        <v>7.88</v>
      </c>
    </row>
    <row r="1533" spans="1:5" x14ac:dyDescent="0.25">
      <c r="A1533" s="4">
        <v>24810</v>
      </c>
      <c r="B1533" s="4" t="s">
        <v>38</v>
      </c>
      <c r="C1533" s="5">
        <v>45306</v>
      </c>
      <c r="D1533" s="4">
        <v>22.6</v>
      </c>
      <c r="E1533" s="4">
        <v>7.88</v>
      </c>
    </row>
    <row r="1534" spans="1:5" x14ac:dyDescent="0.25">
      <c r="A1534" s="4">
        <v>24810</v>
      </c>
      <c r="B1534" s="4" t="s">
        <v>38</v>
      </c>
      <c r="C1534" s="5">
        <v>45306</v>
      </c>
      <c r="D1534" s="4">
        <v>22.6</v>
      </c>
      <c r="E1534" s="4">
        <v>7.88</v>
      </c>
    </row>
    <row r="1535" spans="1:5" x14ac:dyDescent="0.25">
      <c r="A1535" s="4">
        <v>24810</v>
      </c>
      <c r="B1535" s="4" t="s">
        <v>38</v>
      </c>
      <c r="C1535" s="5">
        <v>45306</v>
      </c>
      <c r="D1535" s="4">
        <v>22.6</v>
      </c>
      <c r="E1535" s="4">
        <v>7.88</v>
      </c>
    </row>
    <row r="1536" spans="1:5" x14ac:dyDescent="0.25">
      <c r="A1536" s="4">
        <v>24810</v>
      </c>
      <c r="B1536" s="4" t="s">
        <v>38</v>
      </c>
      <c r="C1536" s="5">
        <v>45306</v>
      </c>
      <c r="D1536" s="4">
        <v>22.6</v>
      </c>
      <c r="E1536" s="4">
        <v>7.88</v>
      </c>
    </row>
    <row r="1537" spans="1:5" x14ac:dyDescent="0.25">
      <c r="A1537" s="4">
        <v>24810</v>
      </c>
      <c r="B1537" s="4" t="s">
        <v>38</v>
      </c>
      <c r="C1537" s="5">
        <v>45306</v>
      </c>
      <c r="D1537" s="4">
        <v>22.6</v>
      </c>
      <c r="E1537" s="4">
        <v>7.88</v>
      </c>
    </row>
    <row r="1538" spans="1:5" x14ac:dyDescent="0.25">
      <c r="A1538" s="4">
        <v>24810</v>
      </c>
      <c r="B1538" s="4" t="s">
        <v>38</v>
      </c>
      <c r="C1538" s="5">
        <v>45306</v>
      </c>
      <c r="D1538" s="4">
        <v>22.6</v>
      </c>
      <c r="E1538" s="4">
        <v>7.88</v>
      </c>
    </row>
    <row r="1539" spans="1:5" x14ac:dyDescent="0.25">
      <c r="A1539" s="4">
        <v>24810</v>
      </c>
      <c r="B1539" s="4" t="s">
        <v>38</v>
      </c>
      <c r="C1539" s="5">
        <v>45306</v>
      </c>
      <c r="D1539" s="4">
        <v>22.6</v>
      </c>
      <c r="E1539" s="4">
        <v>7.88</v>
      </c>
    </row>
    <row r="1540" spans="1:5" x14ac:dyDescent="0.25">
      <c r="A1540" s="4">
        <v>24810</v>
      </c>
      <c r="B1540" s="4" t="s">
        <v>38</v>
      </c>
      <c r="C1540" s="5">
        <v>45306</v>
      </c>
      <c r="D1540" s="4">
        <v>22.6</v>
      </c>
      <c r="E1540" s="4">
        <v>7.88</v>
      </c>
    </row>
    <row r="1541" spans="1:5" x14ac:dyDescent="0.25">
      <c r="A1541" s="4">
        <v>24810</v>
      </c>
      <c r="B1541" s="4" t="s">
        <v>38</v>
      </c>
      <c r="C1541" s="5">
        <v>45306</v>
      </c>
      <c r="D1541" s="4">
        <v>22.6</v>
      </c>
      <c r="E1541" s="4">
        <v>7.88</v>
      </c>
    </row>
    <row r="1542" spans="1:5" x14ac:dyDescent="0.25">
      <c r="A1542" s="4">
        <v>24810</v>
      </c>
      <c r="B1542" s="4" t="s">
        <v>38</v>
      </c>
      <c r="C1542" s="5">
        <v>45306</v>
      </c>
      <c r="D1542" s="4">
        <v>22.6</v>
      </c>
      <c r="E1542" s="4">
        <v>7.88</v>
      </c>
    </row>
    <row r="1543" spans="1:5" x14ac:dyDescent="0.25">
      <c r="A1543" s="4">
        <v>24810</v>
      </c>
      <c r="B1543" s="4" t="s">
        <v>38</v>
      </c>
      <c r="C1543" s="5">
        <v>45306</v>
      </c>
      <c r="D1543" s="4">
        <v>22.6</v>
      </c>
      <c r="E1543" s="4">
        <v>7.88</v>
      </c>
    </row>
    <row r="1544" spans="1:5" x14ac:dyDescent="0.25">
      <c r="A1544" s="4">
        <v>24810</v>
      </c>
      <c r="B1544" s="4" t="s">
        <v>39</v>
      </c>
      <c r="C1544" s="5">
        <v>45306</v>
      </c>
      <c r="D1544" s="4">
        <v>24.8</v>
      </c>
      <c r="E1544" s="4">
        <v>8.6</v>
      </c>
    </row>
    <row r="1545" spans="1:5" x14ac:dyDescent="0.25">
      <c r="A1545" s="4">
        <v>24810</v>
      </c>
      <c r="B1545" s="4" t="s">
        <v>39</v>
      </c>
      <c r="C1545" s="5">
        <v>45306</v>
      </c>
      <c r="D1545" s="4">
        <v>4.8</v>
      </c>
      <c r="E1545" s="4">
        <v>1.65</v>
      </c>
    </row>
    <row r="1546" spans="1:5" x14ac:dyDescent="0.25">
      <c r="A1546" s="4">
        <v>24810</v>
      </c>
      <c r="B1546" s="4" t="s">
        <v>39</v>
      </c>
      <c r="C1546" s="5">
        <v>45306</v>
      </c>
      <c r="D1546" s="4">
        <v>13.7</v>
      </c>
      <c r="E1546" s="4">
        <v>4.76</v>
      </c>
    </row>
    <row r="1547" spans="1:5" x14ac:dyDescent="0.25">
      <c r="A1547" s="4">
        <v>24810</v>
      </c>
      <c r="B1547" s="4" t="s">
        <v>39</v>
      </c>
      <c r="C1547" s="5">
        <v>45306</v>
      </c>
      <c r="D1547" s="4">
        <v>16.100000000000001</v>
      </c>
      <c r="E1547" s="4">
        <v>5.6</v>
      </c>
    </row>
    <row r="1548" spans="1:5" x14ac:dyDescent="0.25">
      <c r="A1548" s="4">
        <v>24810</v>
      </c>
      <c r="B1548" s="4" t="s">
        <v>39</v>
      </c>
      <c r="C1548" s="5">
        <v>45306</v>
      </c>
      <c r="D1548" s="4">
        <v>16.100000000000001</v>
      </c>
      <c r="E1548" s="4">
        <v>5.6</v>
      </c>
    </row>
    <row r="1549" spans="1:5" x14ac:dyDescent="0.25">
      <c r="A1549" s="4">
        <v>24810</v>
      </c>
      <c r="B1549" s="4" t="s">
        <v>39</v>
      </c>
      <c r="C1549" s="5">
        <v>45306</v>
      </c>
      <c r="D1549" s="4">
        <v>28.8</v>
      </c>
      <c r="E1549" s="4">
        <v>10.039999999999999</v>
      </c>
    </row>
    <row r="1550" spans="1:5" x14ac:dyDescent="0.25">
      <c r="A1550" s="4">
        <v>24810</v>
      </c>
      <c r="B1550" s="4" t="s">
        <v>39</v>
      </c>
      <c r="C1550" s="5">
        <v>45306</v>
      </c>
      <c r="D1550" s="4">
        <v>40.200000000000003</v>
      </c>
      <c r="E1550" s="4">
        <v>13.95</v>
      </c>
    </row>
    <row r="1551" spans="1:5" x14ac:dyDescent="0.25">
      <c r="A1551" s="4">
        <v>24810</v>
      </c>
      <c r="B1551" s="4" t="s">
        <v>39</v>
      </c>
      <c r="C1551" s="5">
        <v>45306</v>
      </c>
      <c r="D1551" s="4">
        <v>3.3</v>
      </c>
      <c r="E1551" s="4">
        <v>1.1499999999999999</v>
      </c>
    </row>
    <row r="1552" spans="1:5" x14ac:dyDescent="0.25">
      <c r="A1552" s="4">
        <v>24810</v>
      </c>
      <c r="B1552" s="4" t="s">
        <v>39</v>
      </c>
      <c r="C1552" s="5">
        <v>45306</v>
      </c>
      <c r="D1552" s="4">
        <v>0.1</v>
      </c>
      <c r="E1552" s="4">
        <v>0.03</v>
      </c>
    </row>
    <row r="1553" spans="1:5" x14ac:dyDescent="0.25">
      <c r="A1553" s="4">
        <v>24810</v>
      </c>
      <c r="B1553" s="4" t="s">
        <v>39</v>
      </c>
      <c r="C1553" s="5">
        <v>45306</v>
      </c>
      <c r="D1553" s="4">
        <v>40.700000000000003</v>
      </c>
      <c r="E1553" s="4">
        <v>14.18</v>
      </c>
    </row>
    <row r="1554" spans="1:5" x14ac:dyDescent="0.25">
      <c r="A1554" s="4">
        <v>24810</v>
      </c>
      <c r="B1554" s="4" t="s">
        <v>39</v>
      </c>
      <c r="C1554" s="5">
        <v>45306</v>
      </c>
      <c r="D1554" s="4">
        <v>15.4</v>
      </c>
      <c r="E1554" s="4">
        <v>5.35</v>
      </c>
    </row>
    <row r="1555" spans="1:5" x14ac:dyDescent="0.25">
      <c r="A1555" s="4">
        <v>24810</v>
      </c>
      <c r="B1555" s="4" t="s">
        <v>40</v>
      </c>
      <c r="C1555" s="5">
        <v>45306</v>
      </c>
      <c r="D1555" s="4">
        <v>14.8</v>
      </c>
      <c r="E1555" s="4">
        <v>5.14</v>
      </c>
    </row>
    <row r="1556" spans="1:5" x14ac:dyDescent="0.25">
      <c r="A1556" s="4">
        <v>24810</v>
      </c>
      <c r="B1556" s="4" t="s">
        <v>40</v>
      </c>
      <c r="C1556" s="5">
        <v>45306</v>
      </c>
      <c r="D1556" s="4">
        <v>5.3</v>
      </c>
      <c r="E1556" s="4">
        <v>1.82</v>
      </c>
    </row>
    <row r="1557" spans="1:5" x14ac:dyDescent="0.25">
      <c r="A1557" s="4">
        <v>24810</v>
      </c>
      <c r="B1557" s="4" t="s">
        <v>40</v>
      </c>
      <c r="C1557" s="5">
        <v>45306</v>
      </c>
      <c r="D1557" s="4">
        <v>29.1</v>
      </c>
      <c r="E1557" s="4">
        <v>10.119999999999999</v>
      </c>
    </row>
    <row r="1558" spans="1:5" x14ac:dyDescent="0.25">
      <c r="A1558" s="4">
        <v>24810</v>
      </c>
      <c r="B1558" s="4" t="s">
        <v>40</v>
      </c>
      <c r="C1558" s="5">
        <v>45306</v>
      </c>
      <c r="D1558" s="4">
        <v>41.7</v>
      </c>
      <c r="E1558" s="4">
        <v>14.49</v>
      </c>
    </row>
    <row r="1559" spans="1:5" x14ac:dyDescent="0.25">
      <c r="A1559" s="4">
        <v>24810</v>
      </c>
      <c r="B1559" s="4" t="s">
        <v>40</v>
      </c>
      <c r="C1559" s="5">
        <v>45306</v>
      </c>
      <c r="D1559" s="4">
        <v>29.4</v>
      </c>
      <c r="E1559" s="4">
        <v>10.220000000000001</v>
      </c>
    </row>
    <row r="1560" spans="1:5" x14ac:dyDescent="0.25">
      <c r="A1560" s="4">
        <v>24810</v>
      </c>
      <c r="B1560" s="4" t="s">
        <v>40</v>
      </c>
      <c r="C1560" s="5">
        <v>45306</v>
      </c>
      <c r="D1560" s="4">
        <v>44.4</v>
      </c>
      <c r="E1560" s="4">
        <v>15.46</v>
      </c>
    </row>
    <row r="1561" spans="1:5" x14ac:dyDescent="0.25">
      <c r="A1561" s="4">
        <v>24810</v>
      </c>
      <c r="B1561" s="4" t="s">
        <v>41</v>
      </c>
      <c r="C1561" s="5">
        <v>45306</v>
      </c>
      <c r="D1561" s="4">
        <v>15.4</v>
      </c>
      <c r="E1561" s="4">
        <v>5.35</v>
      </c>
    </row>
    <row r="1562" spans="1:5" x14ac:dyDescent="0.25">
      <c r="A1562" s="4">
        <v>24810</v>
      </c>
      <c r="B1562" s="4" t="s">
        <v>41</v>
      </c>
      <c r="C1562" s="5">
        <v>45306</v>
      </c>
      <c r="D1562" s="4">
        <v>16.899999999999999</v>
      </c>
      <c r="E1562" s="4">
        <v>5.89</v>
      </c>
    </row>
    <row r="1563" spans="1:5" x14ac:dyDescent="0.25">
      <c r="A1563" s="4">
        <v>24810</v>
      </c>
      <c r="B1563" s="4" t="s">
        <v>41</v>
      </c>
      <c r="C1563" s="5">
        <v>45306</v>
      </c>
      <c r="D1563" s="4">
        <v>16.899999999999999</v>
      </c>
      <c r="E1563" s="4">
        <v>5.89</v>
      </c>
    </row>
    <row r="1564" spans="1:5" x14ac:dyDescent="0.25">
      <c r="A1564" s="4">
        <v>24810</v>
      </c>
      <c r="B1564" s="4" t="s">
        <v>41</v>
      </c>
      <c r="C1564" s="5">
        <v>45306</v>
      </c>
      <c r="D1564" s="4">
        <v>16.899999999999999</v>
      </c>
      <c r="E1564" s="4">
        <v>5.89</v>
      </c>
    </row>
    <row r="1565" spans="1:5" x14ac:dyDescent="0.25">
      <c r="A1565" s="4">
        <v>24810</v>
      </c>
      <c r="B1565" s="4" t="s">
        <v>41</v>
      </c>
      <c r="C1565" s="5">
        <v>45306</v>
      </c>
      <c r="D1565" s="4">
        <v>16.899999999999999</v>
      </c>
      <c r="E1565" s="4">
        <v>5.89</v>
      </c>
    </row>
    <row r="1566" spans="1:5" x14ac:dyDescent="0.25">
      <c r="A1566" s="4">
        <v>24810</v>
      </c>
      <c r="B1566" s="4" t="s">
        <v>41</v>
      </c>
      <c r="C1566" s="5">
        <v>45306</v>
      </c>
      <c r="D1566" s="4">
        <v>16.899999999999999</v>
      </c>
      <c r="E1566" s="4">
        <v>5.89</v>
      </c>
    </row>
    <row r="1567" spans="1:5" x14ac:dyDescent="0.25">
      <c r="A1567" s="4">
        <v>24810</v>
      </c>
      <c r="B1567" s="4" t="s">
        <v>41</v>
      </c>
      <c r="C1567" s="5">
        <v>45306</v>
      </c>
      <c r="D1567" s="4">
        <v>16.899999999999999</v>
      </c>
      <c r="E1567" s="4">
        <v>5.89</v>
      </c>
    </row>
    <row r="1568" spans="1:5" x14ac:dyDescent="0.25">
      <c r="A1568" s="4">
        <v>24810</v>
      </c>
      <c r="B1568" s="4" t="s">
        <v>41</v>
      </c>
      <c r="C1568" s="5">
        <v>45306</v>
      </c>
      <c r="D1568" s="4">
        <v>16.899999999999999</v>
      </c>
      <c r="E1568" s="4">
        <v>5.89</v>
      </c>
    </row>
    <row r="1569" spans="1:5" x14ac:dyDescent="0.25">
      <c r="A1569" s="4">
        <v>24810</v>
      </c>
      <c r="B1569" s="4" t="s">
        <v>41</v>
      </c>
      <c r="C1569" s="5">
        <v>45306</v>
      </c>
      <c r="D1569" s="4">
        <v>16.899999999999999</v>
      </c>
      <c r="E1569" s="4">
        <v>5.89</v>
      </c>
    </row>
    <row r="1570" spans="1:5" x14ac:dyDescent="0.25">
      <c r="A1570" s="4">
        <v>24810</v>
      </c>
      <c r="B1570" s="4" t="s">
        <v>41</v>
      </c>
      <c r="C1570" s="5">
        <v>45306</v>
      </c>
      <c r="D1570" s="4">
        <v>16.899999999999999</v>
      </c>
      <c r="E1570" s="4">
        <v>5.89</v>
      </c>
    </row>
    <row r="1571" spans="1:5" x14ac:dyDescent="0.25">
      <c r="A1571" s="4">
        <v>24810</v>
      </c>
      <c r="B1571" s="4" t="s">
        <v>41</v>
      </c>
      <c r="C1571" s="5">
        <v>45306</v>
      </c>
      <c r="D1571" s="4">
        <v>16.899999999999999</v>
      </c>
      <c r="E1571" s="4">
        <v>5.89</v>
      </c>
    </row>
    <row r="1572" spans="1:5" x14ac:dyDescent="0.25">
      <c r="A1572" s="4">
        <v>24810</v>
      </c>
      <c r="B1572" s="4" t="s">
        <v>41</v>
      </c>
      <c r="C1572" s="5">
        <v>45306</v>
      </c>
      <c r="D1572" s="4">
        <v>16.899999999999999</v>
      </c>
      <c r="E1572" s="4">
        <v>5.89</v>
      </c>
    </row>
    <row r="1573" spans="1:5" x14ac:dyDescent="0.25">
      <c r="A1573" s="4">
        <v>24810</v>
      </c>
      <c r="B1573" s="4" t="s">
        <v>41</v>
      </c>
      <c r="C1573" s="5">
        <v>45306</v>
      </c>
      <c r="D1573" s="4">
        <v>18.7</v>
      </c>
      <c r="E1573" s="4">
        <v>6.52</v>
      </c>
    </row>
    <row r="1574" spans="1:5" x14ac:dyDescent="0.25">
      <c r="A1574" s="4">
        <v>24810</v>
      </c>
      <c r="B1574" s="4" t="s">
        <v>33</v>
      </c>
      <c r="C1574" s="5">
        <v>45306</v>
      </c>
      <c r="D1574" s="4">
        <v>15.4</v>
      </c>
      <c r="E1574" s="4">
        <v>5.35</v>
      </c>
    </row>
    <row r="1575" spans="1:5" x14ac:dyDescent="0.25">
      <c r="A1575" s="4">
        <v>24810</v>
      </c>
      <c r="B1575" s="4" t="s">
        <v>33</v>
      </c>
      <c r="C1575" s="5">
        <v>45306</v>
      </c>
      <c r="D1575" s="4">
        <v>30.2</v>
      </c>
      <c r="E1575" s="4">
        <v>10.49</v>
      </c>
    </row>
    <row r="1576" spans="1:5" x14ac:dyDescent="0.25">
      <c r="A1576" s="4">
        <v>24810</v>
      </c>
      <c r="B1576" s="4" t="s">
        <v>33</v>
      </c>
      <c r="C1576" s="5">
        <v>45306</v>
      </c>
      <c r="D1576" s="4">
        <v>30.2</v>
      </c>
      <c r="E1576" s="4">
        <v>10.49</v>
      </c>
    </row>
    <row r="1577" spans="1:5" x14ac:dyDescent="0.25">
      <c r="A1577" s="4">
        <v>24810</v>
      </c>
      <c r="B1577" s="4" t="s">
        <v>33</v>
      </c>
      <c r="C1577" s="5">
        <v>45306</v>
      </c>
      <c r="D1577" s="4">
        <v>30.2</v>
      </c>
      <c r="E1577" s="4">
        <v>10.49</v>
      </c>
    </row>
    <row r="1578" spans="1:5" x14ac:dyDescent="0.25">
      <c r="A1578" s="4">
        <v>24810</v>
      </c>
      <c r="B1578" s="4" t="s">
        <v>33</v>
      </c>
      <c r="C1578" s="5">
        <v>45306</v>
      </c>
      <c r="D1578" s="4">
        <v>30.2</v>
      </c>
      <c r="E1578" s="4">
        <v>10.49</v>
      </c>
    </row>
    <row r="1579" spans="1:5" x14ac:dyDescent="0.25">
      <c r="A1579" s="4">
        <v>24810</v>
      </c>
      <c r="B1579" s="4" t="s">
        <v>33</v>
      </c>
      <c r="C1579" s="5">
        <v>45306</v>
      </c>
      <c r="D1579" s="4">
        <v>30.2</v>
      </c>
      <c r="E1579" s="4">
        <v>10.49</v>
      </c>
    </row>
    <row r="1580" spans="1:5" x14ac:dyDescent="0.25">
      <c r="A1580" s="4">
        <v>24810</v>
      </c>
      <c r="B1580" s="4" t="s">
        <v>33</v>
      </c>
      <c r="C1580" s="5">
        <v>45306</v>
      </c>
      <c r="D1580" s="4">
        <v>30.2</v>
      </c>
      <c r="E1580" s="4">
        <v>10.49</v>
      </c>
    </row>
    <row r="1581" spans="1:5" x14ac:dyDescent="0.25">
      <c r="A1581" s="4">
        <v>24810</v>
      </c>
      <c r="B1581" s="4" t="s">
        <v>33</v>
      </c>
      <c r="C1581" s="5">
        <v>45306</v>
      </c>
      <c r="D1581" s="4">
        <v>30.2</v>
      </c>
      <c r="E1581" s="4">
        <v>10.49</v>
      </c>
    </row>
    <row r="1582" spans="1:5" x14ac:dyDescent="0.25">
      <c r="A1582" s="4">
        <v>24810</v>
      </c>
      <c r="B1582" s="4" t="s">
        <v>33</v>
      </c>
      <c r="C1582" s="5">
        <v>45306</v>
      </c>
      <c r="D1582" s="4">
        <v>1.2</v>
      </c>
      <c r="E1582" s="4">
        <v>0.41</v>
      </c>
    </row>
    <row r="1583" spans="1:5" x14ac:dyDescent="0.25">
      <c r="A1583" s="4">
        <v>24810</v>
      </c>
      <c r="B1583" s="4" t="s">
        <v>42</v>
      </c>
      <c r="C1583" s="5">
        <v>45306</v>
      </c>
      <c r="D1583" s="4">
        <v>14.8</v>
      </c>
      <c r="E1583" s="4">
        <v>5.14</v>
      </c>
    </row>
    <row r="1584" spans="1:5" x14ac:dyDescent="0.25">
      <c r="A1584" s="4">
        <v>24810</v>
      </c>
      <c r="B1584" s="4" t="s">
        <v>42</v>
      </c>
      <c r="C1584" s="5">
        <v>45306</v>
      </c>
      <c r="D1584" s="4">
        <v>5.3</v>
      </c>
      <c r="E1584" s="4">
        <v>1.82</v>
      </c>
    </row>
    <row r="1585" spans="1:5" x14ac:dyDescent="0.25">
      <c r="A1585" s="4">
        <v>24810</v>
      </c>
      <c r="B1585" s="4" t="s">
        <v>42</v>
      </c>
      <c r="C1585" s="5">
        <v>45306</v>
      </c>
      <c r="D1585" s="4">
        <v>29.1</v>
      </c>
      <c r="E1585" s="4">
        <v>10.119999999999999</v>
      </c>
    </row>
    <row r="1586" spans="1:5" x14ac:dyDescent="0.25">
      <c r="A1586" s="4">
        <v>24810</v>
      </c>
      <c r="B1586" s="4" t="s">
        <v>42</v>
      </c>
      <c r="C1586" s="5">
        <v>45306</v>
      </c>
      <c r="D1586" s="4">
        <v>41.7</v>
      </c>
      <c r="E1586" s="4">
        <v>14.49</v>
      </c>
    </row>
    <row r="1587" spans="1:5" x14ac:dyDescent="0.25">
      <c r="A1587" s="4">
        <v>24810</v>
      </c>
      <c r="B1587" s="4" t="s">
        <v>42</v>
      </c>
      <c r="C1587" s="5">
        <v>45306</v>
      </c>
      <c r="D1587" s="4">
        <v>29.4</v>
      </c>
      <c r="E1587" s="4">
        <v>10.220000000000001</v>
      </c>
    </row>
    <row r="1588" spans="1:5" x14ac:dyDescent="0.25">
      <c r="A1588" s="4">
        <v>24810</v>
      </c>
      <c r="B1588" s="4" t="s">
        <v>42</v>
      </c>
      <c r="C1588" s="5">
        <v>45306</v>
      </c>
      <c r="D1588" s="4">
        <v>44.4</v>
      </c>
      <c r="E1588" s="4">
        <v>15.46</v>
      </c>
    </row>
    <row r="1589" spans="1:5" x14ac:dyDescent="0.25">
      <c r="A1589" s="4">
        <v>24810</v>
      </c>
      <c r="B1589" s="4" t="s">
        <v>52</v>
      </c>
      <c r="C1589" s="5">
        <v>45306</v>
      </c>
      <c r="D1589" s="4">
        <v>61.9</v>
      </c>
      <c r="E1589" s="4">
        <v>20.04</v>
      </c>
    </row>
    <row r="1590" spans="1:5" x14ac:dyDescent="0.25">
      <c r="A1590" s="4">
        <v>24810</v>
      </c>
      <c r="B1590" s="4" t="s">
        <v>52</v>
      </c>
      <c r="C1590" s="5">
        <v>45306</v>
      </c>
      <c r="D1590" s="4">
        <v>4.2</v>
      </c>
      <c r="E1590" s="4">
        <v>1.36</v>
      </c>
    </row>
    <row r="1591" spans="1:5" x14ac:dyDescent="0.25">
      <c r="A1591" s="4">
        <v>24810</v>
      </c>
      <c r="B1591" s="4" t="s">
        <v>52</v>
      </c>
      <c r="C1591" s="5">
        <v>45306</v>
      </c>
      <c r="D1591" s="4">
        <v>62.6</v>
      </c>
      <c r="E1591" s="4">
        <v>20.260000000000002</v>
      </c>
    </row>
    <row r="1592" spans="1:5" x14ac:dyDescent="0.25">
      <c r="A1592" s="4">
        <v>24810</v>
      </c>
      <c r="B1592" s="4" t="s">
        <v>52</v>
      </c>
      <c r="C1592" s="5">
        <v>45306</v>
      </c>
      <c r="D1592" s="4">
        <v>64.400000000000006</v>
      </c>
      <c r="E1592" s="4">
        <v>20.84</v>
      </c>
    </row>
    <row r="1593" spans="1:5" x14ac:dyDescent="0.25">
      <c r="A1593" s="4">
        <v>24810</v>
      </c>
      <c r="B1593" s="4" t="s">
        <v>52</v>
      </c>
      <c r="C1593" s="5">
        <v>45306</v>
      </c>
      <c r="D1593" s="4">
        <v>62.6</v>
      </c>
      <c r="E1593" s="4">
        <v>20.260000000000002</v>
      </c>
    </row>
    <row r="1594" spans="1:5" x14ac:dyDescent="0.25">
      <c r="A1594" s="4">
        <v>24810</v>
      </c>
      <c r="B1594" s="4" t="s">
        <v>52</v>
      </c>
      <c r="C1594" s="5">
        <v>45306</v>
      </c>
      <c r="D1594" s="4">
        <v>64.400000000000006</v>
      </c>
      <c r="E1594" s="4">
        <v>20.84</v>
      </c>
    </row>
    <row r="1595" spans="1:5" x14ac:dyDescent="0.25">
      <c r="A1595" s="4">
        <v>24810</v>
      </c>
      <c r="B1595" s="4" t="s">
        <v>52</v>
      </c>
      <c r="C1595" s="5">
        <v>45306</v>
      </c>
      <c r="D1595" s="4">
        <v>62.6</v>
      </c>
      <c r="E1595" s="4">
        <v>20.260000000000002</v>
      </c>
    </row>
    <row r="1596" spans="1:5" x14ac:dyDescent="0.25">
      <c r="A1596" s="4">
        <v>24810</v>
      </c>
      <c r="B1596" s="4" t="s">
        <v>52</v>
      </c>
      <c r="C1596" s="5">
        <v>45306</v>
      </c>
      <c r="D1596" s="4">
        <v>10.6</v>
      </c>
      <c r="E1596" s="4">
        <v>3.43</v>
      </c>
    </row>
    <row r="1597" spans="1:5" x14ac:dyDescent="0.25">
      <c r="A1597" s="4">
        <v>24810</v>
      </c>
      <c r="B1597" s="4" t="s">
        <v>35</v>
      </c>
      <c r="C1597" s="5">
        <v>45306</v>
      </c>
      <c r="D1597" s="4">
        <v>22.6</v>
      </c>
      <c r="E1597" s="4">
        <v>7.88</v>
      </c>
    </row>
    <row r="1598" spans="1:5" x14ac:dyDescent="0.25">
      <c r="A1598" s="4">
        <v>24810</v>
      </c>
      <c r="B1598" s="4" t="s">
        <v>35</v>
      </c>
      <c r="C1598" s="5">
        <v>45306</v>
      </c>
      <c r="D1598" s="4">
        <v>22.6</v>
      </c>
      <c r="E1598" s="4">
        <v>7.88</v>
      </c>
    </row>
    <row r="1599" spans="1:5" x14ac:dyDescent="0.25">
      <c r="A1599" s="4">
        <v>24810</v>
      </c>
      <c r="B1599" s="4" t="s">
        <v>35</v>
      </c>
      <c r="C1599" s="5">
        <v>45306</v>
      </c>
      <c r="D1599" s="4">
        <v>22.6</v>
      </c>
      <c r="E1599" s="4">
        <v>7.88</v>
      </c>
    </row>
    <row r="1600" spans="1:5" x14ac:dyDescent="0.25">
      <c r="A1600" s="4">
        <v>24810</v>
      </c>
      <c r="B1600" s="4" t="s">
        <v>35</v>
      </c>
      <c r="C1600" s="5">
        <v>45306</v>
      </c>
      <c r="D1600" s="4">
        <v>22.6</v>
      </c>
      <c r="E1600" s="4">
        <v>7.88</v>
      </c>
    </row>
    <row r="1601" spans="1:5" x14ac:dyDescent="0.25">
      <c r="A1601" s="4">
        <v>24810</v>
      </c>
      <c r="B1601" s="4" t="s">
        <v>35</v>
      </c>
      <c r="C1601" s="5">
        <v>45306</v>
      </c>
      <c r="D1601" s="4">
        <v>22.6</v>
      </c>
      <c r="E1601" s="4">
        <v>7.88</v>
      </c>
    </row>
    <row r="1602" spans="1:5" x14ac:dyDescent="0.25">
      <c r="A1602" s="4">
        <v>24810</v>
      </c>
      <c r="B1602" s="4" t="s">
        <v>35</v>
      </c>
      <c r="C1602" s="5">
        <v>45306</v>
      </c>
      <c r="D1602" s="4">
        <v>22.6</v>
      </c>
      <c r="E1602" s="4">
        <v>7.88</v>
      </c>
    </row>
    <row r="1603" spans="1:5" x14ac:dyDescent="0.25">
      <c r="A1603" s="4">
        <v>24810</v>
      </c>
      <c r="B1603" s="4" t="s">
        <v>35</v>
      </c>
      <c r="C1603" s="5">
        <v>45306</v>
      </c>
      <c r="D1603" s="4">
        <v>22.6</v>
      </c>
      <c r="E1603" s="4">
        <v>7.88</v>
      </c>
    </row>
    <row r="1604" spans="1:5" x14ac:dyDescent="0.25">
      <c r="A1604" s="4">
        <v>24810</v>
      </c>
      <c r="B1604" s="4" t="s">
        <v>35</v>
      </c>
      <c r="C1604" s="5">
        <v>45306</v>
      </c>
      <c r="D1604" s="4">
        <v>22.6</v>
      </c>
      <c r="E1604" s="4">
        <v>7.88</v>
      </c>
    </row>
    <row r="1605" spans="1:5" x14ac:dyDescent="0.25">
      <c r="A1605" s="4">
        <v>24810</v>
      </c>
      <c r="B1605" s="4" t="s">
        <v>35</v>
      </c>
      <c r="C1605" s="5">
        <v>45306</v>
      </c>
      <c r="D1605" s="4">
        <v>22.6</v>
      </c>
      <c r="E1605" s="4">
        <v>7.88</v>
      </c>
    </row>
    <row r="1606" spans="1:5" x14ac:dyDescent="0.25">
      <c r="A1606" s="4">
        <v>24810</v>
      </c>
      <c r="B1606" s="4" t="s">
        <v>35</v>
      </c>
      <c r="C1606" s="5">
        <v>45306</v>
      </c>
      <c r="D1606" s="4">
        <v>22.6</v>
      </c>
      <c r="E1606" s="4">
        <v>7.88</v>
      </c>
    </row>
    <row r="1607" spans="1:5" x14ac:dyDescent="0.25">
      <c r="A1607" s="4">
        <v>24810</v>
      </c>
      <c r="B1607" s="4" t="s">
        <v>35</v>
      </c>
      <c r="C1607" s="5">
        <v>45306</v>
      </c>
      <c r="D1607" s="4">
        <v>22.6</v>
      </c>
      <c r="E1607" s="4">
        <v>7.88</v>
      </c>
    </row>
    <row r="1608" spans="1:5" x14ac:dyDescent="0.25">
      <c r="A1608" s="4">
        <v>24810</v>
      </c>
      <c r="B1608" s="4" t="s">
        <v>35</v>
      </c>
      <c r="C1608" s="5">
        <v>45306</v>
      </c>
      <c r="D1608" s="4">
        <v>22.6</v>
      </c>
      <c r="E1608" s="4">
        <v>7.88</v>
      </c>
    </row>
    <row r="1609" spans="1:5" x14ac:dyDescent="0.25">
      <c r="A1609" s="4">
        <v>24810</v>
      </c>
      <c r="B1609" s="4" t="s">
        <v>35</v>
      </c>
      <c r="C1609" s="5">
        <v>45306</v>
      </c>
      <c r="D1609" s="4">
        <v>19.100000000000001</v>
      </c>
      <c r="E1609" s="4">
        <v>5.82</v>
      </c>
    </row>
    <row r="1610" spans="1:5" x14ac:dyDescent="0.25">
      <c r="A1610" s="4">
        <v>24810</v>
      </c>
      <c r="B1610" s="4" t="s">
        <v>46</v>
      </c>
      <c r="C1610" s="5">
        <v>45306</v>
      </c>
      <c r="D1610" s="4">
        <v>3.8</v>
      </c>
      <c r="E1610" s="4">
        <v>1.28</v>
      </c>
    </row>
    <row r="1611" spans="1:5" x14ac:dyDescent="0.25">
      <c r="A1611" s="4">
        <v>24810</v>
      </c>
      <c r="B1611" s="4" t="s">
        <v>46</v>
      </c>
      <c r="C1611" s="5">
        <v>45306</v>
      </c>
      <c r="D1611" s="4">
        <v>3.9</v>
      </c>
      <c r="E1611" s="4">
        <v>1.32</v>
      </c>
    </row>
    <row r="1612" spans="1:5" x14ac:dyDescent="0.25">
      <c r="A1612" s="4">
        <v>24810</v>
      </c>
      <c r="B1612" s="4" t="s">
        <v>51</v>
      </c>
      <c r="C1612" s="5">
        <v>45306</v>
      </c>
      <c r="D1612" s="4">
        <v>61.9</v>
      </c>
      <c r="E1612" s="4">
        <v>20.04</v>
      </c>
    </row>
    <row r="1613" spans="1:5" x14ac:dyDescent="0.25">
      <c r="A1613" s="4">
        <v>24810</v>
      </c>
      <c r="B1613" s="4" t="s">
        <v>51</v>
      </c>
      <c r="C1613" s="5">
        <v>45306</v>
      </c>
      <c r="D1613" s="4">
        <v>4.2</v>
      </c>
      <c r="E1613" s="4">
        <v>1.36</v>
      </c>
    </row>
    <row r="1614" spans="1:5" x14ac:dyDescent="0.25">
      <c r="A1614" s="4">
        <v>24810</v>
      </c>
      <c r="B1614" s="4" t="s">
        <v>51</v>
      </c>
      <c r="C1614" s="5">
        <v>45306</v>
      </c>
      <c r="D1614" s="4">
        <v>62.6</v>
      </c>
      <c r="E1614" s="4">
        <v>20.260000000000002</v>
      </c>
    </row>
    <row r="1615" spans="1:5" x14ac:dyDescent="0.25">
      <c r="A1615" s="4">
        <v>24810</v>
      </c>
      <c r="B1615" s="4" t="s">
        <v>51</v>
      </c>
      <c r="C1615" s="5">
        <v>45306</v>
      </c>
      <c r="D1615" s="4">
        <v>66</v>
      </c>
      <c r="E1615" s="4">
        <v>21.36</v>
      </c>
    </row>
    <row r="1616" spans="1:5" x14ac:dyDescent="0.25">
      <c r="A1616" s="4">
        <v>24810</v>
      </c>
      <c r="B1616" s="4" t="s">
        <v>51</v>
      </c>
      <c r="C1616" s="5">
        <v>45306</v>
      </c>
      <c r="D1616" s="4">
        <v>62.6</v>
      </c>
      <c r="E1616" s="4">
        <v>20.260000000000002</v>
      </c>
    </row>
    <row r="1617" spans="1:5" x14ac:dyDescent="0.25">
      <c r="A1617" s="4">
        <v>24810</v>
      </c>
      <c r="B1617" s="4" t="s">
        <v>51</v>
      </c>
      <c r="C1617" s="5">
        <v>45306</v>
      </c>
      <c r="D1617" s="4">
        <v>64.400000000000006</v>
      </c>
      <c r="E1617" s="4">
        <v>20.84</v>
      </c>
    </row>
    <row r="1618" spans="1:5" x14ac:dyDescent="0.25">
      <c r="A1618" s="4">
        <v>24810</v>
      </c>
      <c r="B1618" s="4" t="s">
        <v>51</v>
      </c>
      <c r="C1618" s="5">
        <v>45306</v>
      </c>
      <c r="D1618" s="4">
        <v>62.6</v>
      </c>
      <c r="E1618" s="4">
        <v>20.260000000000002</v>
      </c>
    </row>
    <row r="1619" spans="1:5" x14ac:dyDescent="0.25">
      <c r="A1619" s="4">
        <v>24810</v>
      </c>
      <c r="B1619" s="4" t="s">
        <v>51</v>
      </c>
      <c r="C1619" s="5">
        <v>45306</v>
      </c>
      <c r="D1619" s="4">
        <v>64.400000000000006</v>
      </c>
      <c r="E1619" s="4">
        <v>20.84</v>
      </c>
    </row>
    <row r="1620" spans="1:5" x14ac:dyDescent="0.25">
      <c r="A1620" s="4">
        <v>24810</v>
      </c>
      <c r="B1620" s="4" t="s">
        <v>51</v>
      </c>
      <c r="C1620" s="5">
        <v>45306</v>
      </c>
      <c r="D1620" s="4">
        <v>64.400000000000006</v>
      </c>
      <c r="E1620" s="4">
        <v>20.84</v>
      </c>
    </row>
    <row r="1621" spans="1:5" x14ac:dyDescent="0.25">
      <c r="A1621" s="4" t="s">
        <v>53</v>
      </c>
      <c r="B1621" s="4" t="s">
        <v>54</v>
      </c>
      <c r="C1621" s="5">
        <v>45308</v>
      </c>
      <c r="D1621" s="4">
        <v>11.4</v>
      </c>
      <c r="E1621" s="4">
        <v>4.0999999999999996</v>
      </c>
    </row>
    <row r="1622" spans="1:5" x14ac:dyDescent="0.25">
      <c r="A1622" s="4" t="s">
        <v>53</v>
      </c>
      <c r="B1622" s="4" t="s">
        <v>54</v>
      </c>
      <c r="C1622" s="5">
        <v>45308</v>
      </c>
      <c r="D1622" s="4">
        <v>4.2</v>
      </c>
      <c r="E1622" s="4">
        <v>1.52</v>
      </c>
    </row>
    <row r="1623" spans="1:5" x14ac:dyDescent="0.25">
      <c r="A1623" s="4" t="s">
        <v>53</v>
      </c>
      <c r="B1623" s="4" t="s">
        <v>54</v>
      </c>
      <c r="C1623" s="5">
        <v>45308</v>
      </c>
      <c r="D1623" s="4">
        <v>4.5</v>
      </c>
      <c r="E1623" s="4">
        <v>1.63</v>
      </c>
    </row>
    <row r="1624" spans="1:5" x14ac:dyDescent="0.25">
      <c r="A1624" s="4" t="s">
        <v>53</v>
      </c>
      <c r="B1624" s="4" t="s">
        <v>54</v>
      </c>
      <c r="C1624" s="5">
        <v>45308</v>
      </c>
      <c r="D1624" s="4">
        <v>3.4</v>
      </c>
      <c r="E1624" s="4">
        <v>1.22</v>
      </c>
    </row>
    <row r="1625" spans="1:5" x14ac:dyDescent="0.25">
      <c r="A1625" s="4" t="s">
        <v>53</v>
      </c>
      <c r="B1625" s="4" t="s">
        <v>54</v>
      </c>
      <c r="C1625" s="5">
        <v>45309</v>
      </c>
      <c r="D1625" s="4">
        <v>2.2000000000000002</v>
      </c>
      <c r="E1625" s="4">
        <v>0.79</v>
      </c>
    </row>
    <row r="1626" spans="1:5" x14ac:dyDescent="0.25">
      <c r="A1626" s="4" t="s">
        <v>53</v>
      </c>
      <c r="B1626" s="4" t="s">
        <v>54</v>
      </c>
      <c r="C1626" s="5">
        <v>45309</v>
      </c>
      <c r="D1626" s="4">
        <v>11.4</v>
      </c>
      <c r="E1626" s="4">
        <v>4.0999999999999996</v>
      </c>
    </row>
    <row r="1627" spans="1:5" x14ac:dyDescent="0.25">
      <c r="A1627" s="4" t="s">
        <v>53</v>
      </c>
      <c r="B1627" s="4" t="s">
        <v>54</v>
      </c>
      <c r="C1627" s="5">
        <v>45309</v>
      </c>
      <c r="D1627" s="4">
        <v>0.3</v>
      </c>
      <c r="E1627" s="4">
        <v>0.11</v>
      </c>
    </row>
    <row r="1628" spans="1:5" x14ac:dyDescent="0.25">
      <c r="A1628" s="4" t="s">
        <v>53</v>
      </c>
      <c r="B1628" s="4" t="s">
        <v>54</v>
      </c>
      <c r="C1628" s="5">
        <v>45309</v>
      </c>
      <c r="D1628" s="4">
        <v>4.5</v>
      </c>
      <c r="E1628" s="4">
        <v>1.63</v>
      </c>
    </row>
    <row r="1629" spans="1:5" x14ac:dyDescent="0.25">
      <c r="A1629" s="4" t="s">
        <v>53</v>
      </c>
      <c r="B1629" s="4" t="s">
        <v>54</v>
      </c>
      <c r="C1629" s="5">
        <v>45309</v>
      </c>
      <c r="D1629" s="4">
        <v>7.3</v>
      </c>
      <c r="E1629" s="4">
        <v>2.62</v>
      </c>
    </row>
    <row r="1630" spans="1:5" x14ac:dyDescent="0.25">
      <c r="A1630" s="4" t="s">
        <v>53</v>
      </c>
      <c r="B1630" s="4" t="s">
        <v>17</v>
      </c>
      <c r="C1630" s="5">
        <v>45327</v>
      </c>
      <c r="D1630" s="4">
        <v>41.3</v>
      </c>
      <c r="E1630" s="4">
        <v>13.4</v>
      </c>
    </row>
    <row r="1631" spans="1:5" x14ac:dyDescent="0.25">
      <c r="A1631" s="4" t="s">
        <v>53</v>
      </c>
      <c r="B1631" s="4" t="s">
        <v>17</v>
      </c>
      <c r="C1631" s="5">
        <v>45327</v>
      </c>
      <c r="D1631" s="4">
        <v>17.3</v>
      </c>
      <c r="E1631" s="4">
        <v>5.57</v>
      </c>
    </row>
    <row r="1632" spans="1:5" x14ac:dyDescent="0.25">
      <c r="A1632" s="4" t="s">
        <v>53</v>
      </c>
      <c r="B1632" s="4" t="s">
        <v>17</v>
      </c>
      <c r="C1632" s="5">
        <v>45327</v>
      </c>
      <c r="D1632" s="4">
        <v>107.7</v>
      </c>
      <c r="E1632" s="4">
        <v>34.65</v>
      </c>
    </row>
    <row r="1633" spans="1:5" x14ac:dyDescent="0.25">
      <c r="A1633" s="4" t="s">
        <v>53</v>
      </c>
      <c r="B1633" s="4" t="s">
        <v>17</v>
      </c>
      <c r="C1633" s="5">
        <v>45327</v>
      </c>
      <c r="D1633" s="4">
        <v>37.4</v>
      </c>
      <c r="E1633" s="4">
        <v>12.11</v>
      </c>
    </row>
    <row r="1634" spans="1:5" x14ac:dyDescent="0.25">
      <c r="A1634" s="4" t="s">
        <v>53</v>
      </c>
      <c r="B1634" s="4" t="s">
        <v>17</v>
      </c>
      <c r="C1634" s="5">
        <v>45327</v>
      </c>
      <c r="D1634" s="4">
        <v>41.3</v>
      </c>
      <c r="E1634" s="4">
        <v>13.4</v>
      </c>
    </row>
    <row r="1635" spans="1:5" x14ac:dyDescent="0.25">
      <c r="A1635" s="4" t="s">
        <v>53</v>
      </c>
      <c r="B1635" s="4" t="s">
        <v>17</v>
      </c>
      <c r="C1635" s="5">
        <v>45327</v>
      </c>
      <c r="D1635" s="4">
        <v>17.899999999999999</v>
      </c>
      <c r="E1635" s="4">
        <v>5.77</v>
      </c>
    </row>
    <row r="1636" spans="1:5" x14ac:dyDescent="0.25">
      <c r="A1636" s="4" t="s">
        <v>53</v>
      </c>
      <c r="B1636" s="4" t="s">
        <v>17</v>
      </c>
      <c r="C1636" s="5">
        <v>45327</v>
      </c>
      <c r="D1636" s="4">
        <v>17.3</v>
      </c>
      <c r="E1636" s="4">
        <v>5.57</v>
      </c>
    </row>
    <row r="1637" spans="1:5" x14ac:dyDescent="0.25">
      <c r="A1637" s="4" t="s">
        <v>53</v>
      </c>
      <c r="B1637" s="4" t="s">
        <v>17</v>
      </c>
      <c r="C1637" s="5">
        <v>45327</v>
      </c>
      <c r="D1637" s="4">
        <v>58.1</v>
      </c>
      <c r="E1637" s="4">
        <v>18.84</v>
      </c>
    </row>
    <row r="1638" spans="1:5" x14ac:dyDescent="0.25">
      <c r="A1638" s="4" t="s">
        <v>53</v>
      </c>
      <c r="B1638" s="4" t="s">
        <v>17</v>
      </c>
      <c r="C1638" s="5">
        <v>45327</v>
      </c>
      <c r="D1638" s="4">
        <v>37.4</v>
      </c>
      <c r="E1638" s="4">
        <v>12.11</v>
      </c>
    </row>
    <row r="1639" spans="1:5" x14ac:dyDescent="0.25">
      <c r="A1639" s="4" t="s">
        <v>53</v>
      </c>
      <c r="B1639" s="4" t="s">
        <v>17</v>
      </c>
      <c r="C1639" s="5">
        <v>45328</v>
      </c>
      <c r="D1639" s="4">
        <v>11</v>
      </c>
      <c r="E1639" s="4">
        <v>3.57</v>
      </c>
    </row>
    <row r="1640" spans="1:5" x14ac:dyDescent="0.25">
      <c r="A1640" s="4" t="s">
        <v>53</v>
      </c>
      <c r="B1640" s="4" t="s">
        <v>17</v>
      </c>
      <c r="C1640" s="5">
        <v>45328</v>
      </c>
      <c r="D1640" s="4">
        <v>13.7</v>
      </c>
      <c r="E1640" s="4">
        <v>4.4000000000000004</v>
      </c>
    </row>
    <row r="1641" spans="1:5" x14ac:dyDescent="0.25">
      <c r="A1641" s="4" t="s">
        <v>53</v>
      </c>
      <c r="B1641" s="4" t="s">
        <v>17</v>
      </c>
      <c r="C1641" s="5">
        <v>45328</v>
      </c>
      <c r="D1641" s="4">
        <v>12.7</v>
      </c>
      <c r="E1641" s="4">
        <v>4.09</v>
      </c>
    </row>
    <row r="1642" spans="1:5" x14ac:dyDescent="0.25">
      <c r="A1642" s="4" t="s">
        <v>53</v>
      </c>
      <c r="B1642" s="4" t="s">
        <v>17</v>
      </c>
      <c r="C1642" s="5">
        <v>45328</v>
      </c>
      <c r="D1642" s="4">
        <v>12.6</v>
      </c>
      <c r="E1642" s="4">
        <v>4.07</v>
      </c>
    </row>
    <row r="1643" spans="1:5" x14ac:dyDescent="0.25">
      <c r="A1643" s="4" t="s">
        <v>53</v>
      </c>
      <c r="B1643" s="4" t="s">
        <v>17</v>
      </c>
      <c r="C1643" s="5">
        <v>45328</v>
      </c>
      <c r="D1643" s="4">
        <v>12.7</v>
      </c>
      <c r="E1643" s="4">
        <v>4.09</v>
      </c>
    </row>
    <row r="1644" spans="1:5" x14ac:dyDescent="0.25">
      <c r="A1644" s="4" t="s">
        <v>53</v>
      </c>
      <c r="B1644" s="4" t="s">
        <v>17</v>
      </c>
      <c r="C1644" s="5">
        <v>45328</v>
      </c>
      <c r="D1644" s="4">
        <v>12.6</v>
      </c>
      <c r="E1644" s="4">
        <v>4.07</v>
      </c>
    </row>
    <row r="1645" spans="1:5" x14ac:dyDescent="0.25">
      <c r="A1645" s="4" t="s">
        <v>53</v>
      </c>
      <c r="B1645" s="4" t="s">
        <v>17</v>
      </c>
      <c r="C1645" s="5">
        <v>45328</v>
      </c>
      <c r="D1645" s="4">
        <v>23.9</v>
      </c>
      <c r="E1645" s="4">
        <v>7.73</v>
      </c>
    </row>
    <row r="1646" spans="1:5" x14ac:dyDescent="0.25">
      <c r="A1646" s="4" t="s">
        <v>53</v>
      </c>
      <c r="B1646" s="4" t="s">
        <v>17</v>
      </c>
      <c r="C1646" s="5">
        <v>45328</v>
      </c>
      <c r="D1646" s="4">
        <v>5.8</v>
      </c>
      <c r="E1646" s="4">
        <v>1.88</v>
      </c>
    </row>
    <row r="1647" spans="1:5" x14ac:dyDescent="0.25">
      <c r="A1647" s="4" t="s">
        <v>53</v>
      </c>
      <c r="B1647" s="4" t="s">
        <v>17</v>
      </c>
      <c r="C1647" s="5">
        <v>45328</v>
      </c>
      <c r="D1647" s="4">
        <v>44.9</v>
      </c>
      <c r="E1647" s="4">
        <v>14.55</v>
      </c>
    </row>
    <row r="1648" spans="1:5" x14ac:dyDescent="0.25">
      <c r="A1648" s="4" t="s">
        <v>53</v>
      </c>
      <c r="B1648" s="4" t="s">
        <v>17</v>
      </c>
      <c r="C1648" s="5">
        <v>45328</v>
      </c>
      <c r="D1648" s="4">
        <v>37.4</v>
      </c>
      <c r="E1648" s="4">
        <v>12.11</v>
      </c>
    </row>
    <row r="1649" spans="1:5" x14ac:dyDescent="0.25">
      <c r="A1649" s="4" t="s">
        <v>53</v>
      </c>
      <c r="B1649" s="4" t="s">
        <v>17</v>
      </c>
      <c r="C1649" s="5">
        <v>45329</v>
      </c>
      <c r="D1649" s="4">
        <v>26.2</v>
      </c>
      <c r="E1649" s="4">
        <v>8.49</v>
      </c>
    </row>
    <row r="1650" spans="1:5" x14ac:dyDescent="0.25">
      <c r="A1650" s="4" t="s">
        <v>53</v>
      </c>
      <c r="B1650" s="4" t="s">
        <v>17</v>
      </c>
      <c r="C1650" s="5">
        <v>45329</v>
      </c>
      <c r="D1650" s="4">
        <v>44.4</v>
      </c>
      <c r="E1650" s="4">
        <v>14.38</v>
      </c>
    </row>
    <row r="1651" spans="1:5" x14ac:dyDescent="0.25">
      <c r="A1651" s="4" t="s">
        <v>53</v>
      </c>
      <c r="B1651" s="4" t="s">
        <v>17</v>
      </c>
      <c r="C1651" s="5">
        <v>45330</v>
      </c>
      <c r="D1651" s="4">
        <v>2.4</v>
      </c>
      <c r="E1651" s="4">
        <v>0.75</v>
      </c>
    </row>
    <row r="1652" spans="1:5" x14ac:dyDescent="0.25">
      <c r="A1652" s="4" t="s">
        <v>53</v>
      </c>
      <c r="B1652" s="4" t="s">
        <v>17</v>
      </c>
      <c r="C1652" s="5">
        <v>45330</v>
      </c>
      <c r="D1652" s="4">
        <v>0.8</v>
      </c>
      <c r="E1652" s="4">
        <v>0.26</v>
      </c>
    </row>
    <row r="1653" spans="1:5" x14ac:dyDescent="0.25">
      <c r="A1653" s="4" t="s">
        <v>53</v>
      </c>
      <c r="B1653" s="4" t="s">
        <v>17</v>
      </c>
      <c r="C1653" s="5">
        <v>45330</v>
      </c>
      <c r="D1653" s="4">
        <v>0.5</v>
      </c>
      <c r="E1653" s="4">
        <v>0.16</v>
      </c>
    </row>
    <row r="1654" spans="1:5" x14ac:dyDescent="0.25">
      <c r="A1654" s="4" t="s">
        <v>53</v>
      </c>
      <c r="B1654" s="4" t="s">
        <v>17</v>
      </c>
      <c r="C1654" s="5">
        <v>45330</v>
      </c>
      <c r="D1654" s="4">
        <v>2.5</v>
      </c>
      <c r="E1654" s="4">
        <v>0.81</v>
      </c>
    </row>
    <row r="1655" spans="1:5" x14ac:dyDescent="0.25">
      <c r="A1655" s="4" t="s">
        <v>53</v>
      </c>
      <c r="B1655" s="4" t="s">
        <v>17</v>
      </c>
      <c r="C1655" s="5">
        <v>45330</v>
      </c>
      <c r="D1655" s="4">
        <v>2.4</v>
      </c>
      <c r="E1655" s="4">
        <v>0.75</v>
      </c>
    </row>
    <row r="1656" spans="1:5" x14ac:dyDescent="0.25">
      <c r="A1656" s="4" t="s">
        <v>53</v>
      </c>
      <c r="B1656" s="4" t="s">
        <v>17</v>
      </c>
      <c r="C1656" s="5">
        <v>45330</v>
      </c>
      <c r="D1656" s="4">
        <v>0.8</v>
      </c>
      <c r="E1656" s="4">
        <v>0.26</v>
      </c>
    </row>
    <row r="1657" spans="1:5" x14ac:dyDescent="0.25">
      <c r="A1657" s="4" t="s">
        <v>53</v>
      </c>
      <c r="B1657" s="4" t="s">
        <v>17</v>
      </c>
      <c r="C1657" s="5">
        <v>45330</v>
      </c>
      <c r="D1657" s="4">
        <v>0.4</v>
      </c>
      <c r="E1657" s="4">
        <v>0.12</v>
      </c>
    </row>
    <row r="1658" spans="1:5" x14ac:dyDescent="0.25">
      <c r="A1658" s="4" t="s">
        <v>53</v>
      </c>
      <c r="B1658" s="4" t="s">
        <v>17</v>
      </c>
      <c r="C1658" s="5">
        <v>45330</v>
      </c>
      <c r="D1658" s="4">
        <v>11.7</v>
      </c>
      <c r="E1658" s="4">
        <v>3.79</v>
      </c>
    </row>
    <row r="1659" spans="1:5" x14ac:dyDescent="0.25">
      <c r="A1659" s="4" t="s">
        <v>53</v>
      </c>
      <c r="B1659" s="4" t="s">
        <v>17</v>
      </c>
      <c r="C1659" s="5">
        <v>45330</v>
      </c>
      <c r="D1659" s="4">
        <v>10.9</v>
      </c>
      <c r="E1659" s="4">
        <v>3.53</v>
      </c>
    </row>
    <row r="1660" spans="1:5" x14ac:dyDescent="0.25">
      <c r="A1660" s="4" t="s">
        <v>53</v>
      </c>
      <c r="B1660" s="4" t="s">
        <v>17</v>
      </c>
      <c r="C1660" s="5">
        <v>45330</v>
      </c>
      <c r="D1660" s="4">
        <v>0.7</v>
      </c>
      <c r="E1660" s="4">
        <v>0.23</v>
      </c>
    </row>
    <row r="1661" spans="1:5" x14ac:dyDescent="0.25">
      <c r="A1661" s="4" t="s">
        <v>53</v>
      </c>
      <c r="B1661" s="4" t="s">
        <v>17</v>
      </c>
      <c r="C1661" s="5">
        <v>45330</v>
      </c>
      <c r="D1661" s="4">
        <v>0.4</v>
      </c>
      <c r="E1661" s="4">
        <v>0.12</v>
      </c>
    </row>
    <row r="1662" spans="1:5" x14ac:dyDescent="0.25">
      <c r="A1662" s="4" t="s">
        <v>53</v>
      </c>
      <c r="B1662" s="4" t="s">
        <v>17</v>
      </c>
      <c r="C1662" s="5">
        <v>45330</v>
      </c>
      <c r="D1662" s="4">
        <v>11.7</v>
      </c>
      <c r="E1662" s="4">
        <v>3.79</v>
      </c>
    </row>
    <row r="1663" spans="1:5" x14ac:dyDescent="0.25">
      <c r="A1663" s="4" t="s">
        <v>53</v>
      </c>
      <c r="B1663" s="4" t="s">
        <v>17</v>
      </c>
      <c r="C1663" s="5">
        <v>45330</v>
      </c>
      <c r="D1663" s="4">
        <v>10.9</v>
      </c>
      <c r="E1663" s="4">
        <v>3.53</v>
      </c>
    </row>
    <row r="1664" spans="1:5" x14ac:dyDescent="0.25">
      <c r="A1664" s="4" t="s">
        <v>53</v>
      </c>
      <c r="B1664" s="4" t="s">
        <v>17</v>
      </c>
      <c r="C1664" s="5">
        <v>45330</v>
      </c>
      <c r="D1664" s="4">
        <v>0.7</v>
      </c>
      <c r="E1664" s="4">
        <v>0.23</v>
      </c>
    </row>
    <row r="1665" spans="1:5" x14ac:dyDescent="0.25">
      <c r="A1665" s="4" t="s">
        <v>53</v>
      </c>
      <c r="B1665" s="4" t="s">
        <v>17</v>
      </c>
      <c r="C1665" s="5">
        <v>45330</v>
      </c>
      <c r="D1665" s="4">
        <v>0.4</v>
      </c>
      <c r="E1665" s="4">
        <v>0.12</v>
      </c>
    </row>
    <row r="1666" spans="1:5" x14ac:dyDescent="0.25">
      <c r="A1666" s="4" t="s">
        <v>53</v>
      </c>
      <c r="B1666" s="4" t="s">
        <v>17</v>
      </c>
      <c r="C1666" s="5">
        <v>45330</v>
      </c>
      <c r="D1666" s="4">
        <v>11.7</v>
      </c>
      <c r="E1666" s="4">
        <v>3.79</v>
      </c>
    </row>
    <row r="1667" spans="1:5" x14ac:dyDescent="0.25">
      <c r="A1667" s="4" t="s">
        <v>53</v>
      </c>
      <c r="B1667" s="4" t="s">
        <v>17</v>
      </c>
      <c r="C1667" s="5">
        <v>45330</v>
      </c>
      <c r="D1667" s="4">
        <v>10.9</v>
      </c>
      <c r="E1667" s="4">
        <v>3.53</v>
      </c>
    </row>
    <row r="1668" spans="1:5" x14ac:dyDescent="0.25">
      <c r="A1668" s="4" t="s">
        <v>53</v>
      </c>
      <c r="B1668" s="4" t="s">
        <v>17</v>
      </c>
      <c r="C1668" s="5">
        <v>45330</v>
      </c>
      <c r="D1668" s="4">
        <v>0.7</v>
      </c>
      <c r="E1668" s="4">
        <v>0.23</v>
      </c>
    </row>
    <row r="1669" spans="1:5" x14ac:dyDescent="0.25">
      <c r="A1669" s="4" t="s">
        <v>53</v>
      </c>
      <c r="B1669" s="4" t="s">
        <v>17</v>
      </c>
      <c r="C1669" s="5">
        <v>45330</v>
      </c>
      <c r="D1669" s="4">
        <v>0.4</v>
      </c>
      <c r="E1669" s="4">
        <v>0.12</v>
      </c>
    </row>
    <row r="1670" spans="1:5" x14ac:dyDescent="0.25">
      <c r="A1670" s="4" t="s">
        <v>53</v>
      </c>
      <c r="B1670" s="4" t="s">
        <v>17</v>
      </c>
      <c r="C1670" s="5">
        <v>45330</v>
      </c>
      <c r="D1670" s="4">
        <v>11.7</v>
      </c>
      <c r="E1670" s="4">
        <v>3.79</v>
      </c>
    </row>
    <row r="1671" spans="1:5" x14ac:dyDescent="0.25">
      <c r="A1671" s="4" t="s">
        <v>53</v>
      </c>
      <c r="B1671" s="4" t="s">
        <v>17</v>
      </c>
      <c r="C1671" s="5">
        <v>45330</v>
      </c>
      <c r="D1671" s="4">
        <v>10.9</v>
      </c>
      <c r="E1671" s="4">
        <v>3.53</v>
      </c>
    </row>
    <row r="1672" spans="1:5" x14ac:dyDescent="0.25">
      <c r="A1672" s="4" t="s">
        <v>53</v>
      </c>
      <c r="B1672" s="4" t="s">
        <v>17</v>
      </c>
      <c r="C1672" s="5">
        <v>45330</v>
      </c>
      <c r="D1672" s="4">
        <v>0.7</v>
      </c>
      <c r="E1672" s="4">
        <v>0.23</v>
      </c>
    </row>
    <row r="1673" spans="1:5" x14ac:dyDescent="0.25">
      <c r="A1673" s="4" t="s">
        <v>53</v>
      </c>
      <c r="B1673" s="4" t="s">
        <v>17</v>
      </c>
      <c r="C1673" s="5">
        <v>45330</v>
      </c>
      <c r="D1673" s="4">
        <v>25</v>
      </c>
      <c r="E1673" s="4">
        <v>8.07</v>
      </c>
    </row>
    <row r="1674" spans="1:5" x14ac:dyDescent="0.25">
      <c r="A1674" s="4" t="s">
        <v>53</v>
      </c>
      <c r="B1674" s="4" t="s">
        <v>17</v>
      </c>
      <c r="C1674" s="5">
        <v>45331</v>
      </c>
      <c r="D1674" s="4">
        <v>2.4</v>
      </c>
      <c r="E1674" s="4">
        <v>0.75</v>
      </c>
    </row>
    <row r="1675" spans="1:5" x14ac:dyDescent="0.25">
      <c r="A1675" s="4" t="s">
        <v>53</v>
      </c>
      <c r="B1675" s="4" t="s">
        <v>17</v>
      </c>
      <c r="C1675" s="5">
        <v>45331</v>
      </c>
      <c r="D1675" s="4">
        <v>0.8</v>
      </c>
      <c r="E1675" s="4">
        <v>0.26</v>
      </c>
    </row>
    <row r="1676" spans="1:5" x14ac:dyDescent="0.25">
      <c r="A1676" s="4" t="s">
        <v>53</v>
      </c>
      <c r="B1676" s="4" t="s">
        <v>17</v>
      </c>
      <c r="C1676" s="5">
        <v>45331</v>
      </c>
      <c r="D1676" s="4">
        <v>0.4</v>
      </c>
      <c r="E1676" s="4">
        <v>0.12</v>
      </c>
    </row>
    <row r="1677" spans="1:5" x14ac:dyDescent="0.25">
      <c r="A1677" s="4" t="s">
        <v>53</v>
      </c>
      <c r="B1677" s="4" t="s">
        <v>17</v>
      </c>
      <c r="C1677" s="5">
        <v>45331</v>
      </c>
      <c r="D1677" s="4">
        <v>11.7</v>
      </c>
      <c r="E1677" s="4">
        <v>3.79</v>
      </c>
    </row>
    <row r="1678" spans="1:5" x14ac:dyDescent="0.25">
      <c r="A1678" s="4" t="s">
        <v>53</v>
      </c>
      <c r="B1678" s="4" t="s">
        <v>17</v>
      </c>
      <c r="C1678" s="5">
        <v>45331</v>
      </c>
      <c r="D1678" s="4">
        <v>10.9</v>
      </c>
      <c r="E1678" s="4">
        <v>3.53</v>
      </c>
    </row>
    <row r="1679" spans="1:5" x14ac:dyDescent="0.25">
      <c r="A1679" s="4" t="s">
        <v>53</v>
      </c>
      <c r="B1679" s="4" t="s">
        <v>17</v>
      </c>
      <c r="C1679" s="5">
        <v>45331</v>
      </c>
      <c r="D1679" s="4">
        <v>0.7</v>
      </c>
      <c r="E1679" s="4">
        <v>0.23</v>
      </c>
    </row>
    <row r="1680" spans="1:5" x14ac:dyDescent="0.25">
      <c r="A1680" s="4" t="s">
        <v>53</v>
      </c>
      <c r="B1680" s="4" t="s">
        <v>17</v>
      </c>
      <c r="C1680" s="5">
        <v>45331</v>
      </c>
      <c r="D1680" s="4">
        <v>0.4</v>
      </c>
      <c r="E1680" s="4">
        <v>0.12</v>
      </c>
    </row>
    <row r="1681" spans="1:5" x14ac:dyDescent="0.25">
      <c r="A1681" s="4" t="s">
        <v>53</v>
      </c>
      <c r="B1681" s="4" t="s">
        <v>17</v>
      </c>
      <c r="C1681" s="5">
        <v>45331</v>
      </c>
      <c r="D1681" s="4">
        <v>11.7</v>
      </c>
      <c r="E1681" s="4">
        <v>3.79</v>
      </c>
    </row>
    <row r="1682" spans="1:5" x14ac:dyDescent="0.25">
      <c r="A1682" s="4" t="s">
        <v>53</v>
      </c>
      <c r="B1682" s="4" t="s">
        <v>17</v>
      </c>
      <c r="C1682" s="5">
        <v>45331</v>
      </c>
      <c r="D1682" s="4">
        <v>10.9</v>
      </c>
      <c r="E1682" s="4">
        <v>3.53</v>
      </c>
    </row>
    <row r="1683" spans="1:5" x14ac:dyDescent="0.25">
      <c r="A1683" s="4" t="s">
        <v>53</v>
      </c>
      <c r="B1683" s="4" t="s">
        <v>17</v>
      </c>
      <c r="C1683" s="5">
        <v>45331</v>
      </c>
      <c r="D1683" s="4">
        <v>0.7</v>
      </c>
      <c r="E1683" s="4">
        <v>0.23</v>
      </c>
    </row>
    <row r="1684" spans="1:5" x14ac:dyDescent="0.25">
      <c r="A1684" s="4" t="s">
        <v>53</v>
      </c>
      <c r="B1684" s="4" t="s">
        <v>17</v>
      </c>
      <c r="C1684" s="5">
        <v>45331</v>
      </c>
      <c r="D1684" s="4">
        <v>0.4</v>
      </c>
      <c r="E1684" s="4">
        <v>0.12</v>
      </c>
    </row>
    <row r="1685" spans="1:5" x14ac:dyDescent="0.25">
      <c r="A1685" s="4" t="s">
        <v>53</v>
      </c>
      <c r="B1685" s="4" t="s">
        <v>17</v>
      </c>
      <c r="C1685" s="5">
        <v>45331</v>
      </c>
      <c r="D1685" s="4">
        <v>11.7</v>
      </c>
      <c r="E1685" s="4">
        <v>3.79</v>
      </c>
    </row>
    <row r="1686" spans="1:5" x14ac:dyDescent="0.25">
      <c r="A1686" s="4" t="s">
        <v>53</v>
      </c>
      <c r="B1686" s="4" t="s">
        <v>17</v>
      </c>
      <c r="C1686" s="5">
        <v>45331</v>
      </c>
      <c r="D1686" s="4">
        <v>8.6999999999999993</v>
      </c>
      <c r="E1686" s="4">
        <v>2.82</v>
      </c>
    </row>
    <row r="1687" spans="1:5" x14ac:dyDescent="0.25">
      <c r="A1687" s="4" t="s">
        <v>53</v>
      </c>
      <c r="B1687" s="4" t="s">
        <v>17</v>
      </c>
      <c r="C1687" s="5">
        <v>45334</v>
      </c>
      <c r="D1687" s="4">
        <v>2.4</v>
      </c>
      <c r="E1687" s="4">
        <v>0.75</v>
      </c>
    </row>
    <row r="1688" spans="1:5" x14ac:dyDescent="0.25">
      <c r="A1688" s="4" t="s">
        <v>53</v>
      </c>
      <c r="B1688" s="4" t="s">
        <v>17</v>
      </c>
      <c r="C1688" s="5">
        <v>45334</v>
      </c>
      <c r="D1688" s="4">
        <v>0.8</v>
      </c>
      <c r="E1688" s="4">
        <v>0.26</v>
      </c>
    </row>
    <row r="1689" spans="1:5" x14ac:dyDescent="0.25">
      <c r="A1689" s="4" t="s">
        <v>53</v>
      </c>
      <c r="B1689" s="4" t="s">
        <v>17</v>
      </c>
      <c r="C1689" s="5">
        <v>45334</v>
      </c>
      <c r="D1689" s="4">
        <v>1.1000000000000001</v>
      </c>
      <c r="E1689" s="4">
        <v>0.35</v>
      </c>
    </row>
    <row r="1690" spans="1:5" x14ac:dyDescent="0.25">
      <c r="A1690" s="4" t="s">
        <v>53</v>
      </c>
      <c r="B1690" s="4" t="s">
        <v>17</v>
      </c>
      <c r="C1690" s="5">
        <v>45334</v>
      </c>
      <c r="D1690" s="4">
        <v>1.6</v>
      </c>
      <c r="E1690" s="4">
        <v>0.5</v>
      </c>
    </row>
    <row r="1691" spans="1:5" x14ac:dyDescent="0.25">
      <c r="A1691" s="4" t="s">
        <v>53</v>
      </c>
      <c r="B1691" s="4" t="s">
        <v>17</v>
      </c>
      <c r="C1691" s="5">
        <v>45334</v>
      </c>
      <c r="D1691" s="4">
        <v>1.3</v>
      </c>
      <c r="E1691" s="4">
        <v>0.41</v>
      </c>
    </row>
    <row r="1692" spans="1:5" x14ac:dyDescent="0.25">
      <c r="A1692" s="4" t="s">
        <v>53</v>
      </c>
      <c r="B1692" s="4" t="s">
        <v>17</v>
      </c>
      <c r="C1692" s="5">
        <v>45334</v>
      </c>
      <c r="D1692" s="4">
        <v>1.6</v>
      </c>
      <c r="E1692" s="4">
        <v>0.5</v>
      </c>
    </row>
    <row r="1693" spans="1:5" x14ac:dyDescent="0.25">
      <c r="A1693" s="4" t="s">
        <v>53</v>
      </c>
      <c r="B1693" s="4" t="s">
        <v>17</v>
      </c>
      <c r="C1693" s="5">
        <v>45334</v>
      </c>
      <c r="D1693" s="4">
        <v>1.3</v>
      </c>
      <c r="E1693" s="4">
        <v>0.41</v>
      </c>
    </row>
    <row r="1694" spans="1:5" x14ac:dyDescent="0.25">
      <c r="A1694" s="4" t="s">
        <v>53</v>
      </c>
      <c r="B1694" s="4" t="s">
        <v>17</v>
      </c>
      <c r="C1694" s="5">
        <v>45334</v>
      </c>
      <c r="D1694" s="4">
        <v>1.6</v>
      </c>
      <c r="E1694" s="4">
        <v>0.5</v>
      </c>
    </row>
    <row r="1695" spans="1:5" x14ac:dyDescent="0.25">
      <c r="A1695" s="4" t="s">
        <v>53</v>
      </c>
      <c r="B1695" s="4" t="s">
        <v>17</v>
      </c>
      <c r="C1695" s="5">
        <v>45334</v>
      </c>
      <c r="D1695" s="4">
        <v>1.3</v>
      </c>
      <c r="E1695" s="4">
        <v>0.41</v>
      </c>
    </row>
    <row r="1696" spans="1:5" x14ac:dyDescent="0.25">
      <c r="A1696" s="4" t="s">
        <v>53</v>
      </c>
      <c r="B1696" s="4" t="s">
        <v>17</v>
      </c>
      <c r="C1696" s="5">
        <v>45334</v>
      </c>
      <c r="D1696" s="4">
        <v>1.6</v>
      </c>
      <c r="E1696" s="4">
        <v>0.5</v>
      </c>
    </row>
    <row r="1697" spans="1:5" x14ac:dyDescent="0.25">
      <c r="A1697" s="4" t="s">
        <v>53</v>
      </c>
      <c r="B1697" s="4" t="s">
        <v>17</v>
      </c>
      <c r="C1697" s="5">
        <v>45334</v>
      </c>
      <c r="D1697" s="4">
        <v>1.3</v>
      </c>
      <c r="E1697" s="4">
        <v>0.41</v>
      </c>
    </row>
    <row r="1698" spans="1:5" x14ac:dyDescent="0.25">
      <c r="A1698" s="4" t="s">
        <v>53</v>
      </c>
      <c r="B1698" s="4" t="s">
        <v>17</v>
      </c>
      <c r="C1698" s="5">
        <v>45334</v>
      </c>
      <c r="D1698" s="4">
        <v>1.6</v>
      </c>
      <c r="E1698" s="4">
        <v>0.5</v>
      </c>
    </row>
    <row r="1699" spans="1:5" x14ac:dyDescent="0.25">
      <c r="A1699" s="4" t="s">
        <v>53</v>
      </c>
      <c r="B1699" s="4" t="s">
        <v>17</v>
      </c>
      <c r="C1699" s="5">
        <v>45334</v>
      </c>
      <c r="D1699" s="4">
        <v>1.3</v>
      </c>
      <c r="E1699" s="4">
        <v>0.41</v>
      </c>
    </row>
    <row r="1700" spans="1:5" x14ac:dyDescent="0.25">
      <c r="A1700" s="4" t="s">
        <v>53</v>
      </c>
      <c r="B1700" s="4" t="s">
        <v>17</v>
      </c>
      <c r="C1700" s="5">
        <v>45334</v>
      </c>
      <c r="D1700" s="4">
        <v>1.6</v>
      </c>
      <c r="E1700" s="4">
        <v>0.5</v>
      </c>
    </row>
    <row r="1701" spans="1:5" x14ac:dyDescent="0.25">
      <c r="A1701" s="4" t="s">
        <v>53</v>
      </c>
      <c r="B1701" s="4" t="s">
        <v>17</v>
      </c>
      <c r="C1701" s="5">
        <v>45334</v>
      </c>
      <c r="D1701" s="4">
        <v>1.3</v>
      </c>
      <c r="E1701" s="4">
        <v>0.41</v>
      </c>
    </row>
    <row r="1702" spans="1:5" x14ac:dyDescent="0.25">
      <c r="A1702" s="4" t="s">
        <v>53</v>
      </c>
      <c r="B1702" s="4" t="s">
        <v>17</v>
      </c>
      <c r="C1702" s="5">
        <v>45334</v>
      </c>
      <c r="D1702" s="4">
        <v>1.6</v>
      </c>
      <c r="E1702" s="4">
        <v>0.5</v>
      </c>
    </row>
    <row r="1703" spans="1:5" x14ac:dyDescent="0.25">
      <c r="A1703" s="4" t="s">
        <v>53</v>
      </c>
      <c r="B1703" s="4" t="s">
        <v>17</v>
      </c>
      <c r="C1703" s="5">
        <v>45334</v>
      </c>
      <c r="D1703" s="4">
        <v>1.3</v>
      </c>
      <c r="E1703" s="4">
        <v>0.41</v>
      </c>
    </row>
    <row r="1704" spans="1:5" x14ac:dyDescent="0.25">
      <c r="A1704" s="4" t="s">
        <v>53</v>
      </c>
      <c r="B1704" s="4" t="s">
        <v>17</v>
      </c>
      <c r="C1704" s="5">
        <v>45334</v>
      </c>
      <c r="D1704" s="4">
        <v>1.6</v>
      </c>
      <c r="E1704" s="4">
        <v>0.5</v>
      </c>
    </row>
    <row r="1705" spans="1:5" x14ac:dyDescent="0.25">
      <c r="A1705" s="4" t="s">
        <v>53</v>
      </c>
      <c r="B1705" s="4" t="s">
        <v>17</v>
      </c>
      <c r="C1705" s="5">
        <v>45334</v>
      </c>
      <c r="D1705" s="4">
        <v>1.3</v>
      </c>
      <c r="E1705" s="4">
        <v>0.41</v>
      </c>
    </row>
    <row r="1706" spans="1:5" x14ac:dyDescent="0.25">
      <c r="A1706" s="4" t="s">
        <v>53</v>
      </c>
      <c r="B1706" s="4" t="s">
        <v>17</v>
      </c>
      <c r="C1706" s="5">
        <v>45334</v>
      </c>
      <c r="D1706" s="4">
        <v>1.6</v>
      </c>
      <c r="E1706" s="4">
        <v>0.5</v>
      </c>
    </row>
    <row r="1707" spans="1:5" x14ac:dyDescent="0.25">
      <c r="A1707" s="4" t="s">
        <v>53</v>
      </c>
      <c r="B1707" s="4" t="s">
        <v>17</v>
      </c>
      <c r="C1707" s="5">
        <v>45334</v>
      </c>
      <c r="D1707" s="4">
        <v>1.3</v>
      </c>
      <c r="E1707" s="4">
        <v>0.41</v>
      </c>
    </row>
    <row r="1708" spans="1:5" x14ac:dyDescent="0.25">
      <c r="A1708" s="4" t="s">
        <v>53</v>
      </c>
      <c r="B1708" s="4" t="s">
        <v>17</v>
      </c>
      <c r="C1708" s="5">
        <v>45334</v>
      </c>
      <c r="D1708" s="4">
        <v>1.6</v>
      </c>
      <c r="E1708" s="4">
        <v>0.5</v>
      </c>
    </row>
    <row r="1709" spans="1:5" x14ac:dyDescent="0.25">
      <c r="A1709" s="4" t="s">
        <v>53</v>
      </c>
      <c r="B1709" s="4" t="s">
        <v>17</v>
      </c>
      <c r="C1709" s="5">
        <v>45334</v>
      </c>
      <c r="D1709" s="4">
        <v>25</v>
      </c>
      <c r="E1709" s="4">
        <v>8.07</v>
      </c>
    </row>
    <row r="1710" spans="1:5" x14ac:dyDescent="0.25">
      <c r="A1710" s="4" t="s">
        <v>53</v>
      </c>
      <c r="B1710" s="4" t="s">
        <v>17</v>
      </c>
      <c r="C1710" s="5">
        <v>45335</v>
      </c>
      <c r="D1710" s="4">
        <v>2.4</v>
      </c>
      <c r="E1710" s="4">
        <v>0.75</v>
      </c>
    </row>
    <row r="1711" spans="1:5" x14ac:dyDescent="0.25">
      <c r="A1711" s="4" t="s">
        <v>53</v>
      </c>
      <c r="B1711" s="4" t="s">
        <v>17</v>
      </c>
      <c r="C1711" s="5">
        <v>45335</v>
      </c>
      <c r="D1711" s="4">
        <v>0.8</v>
      </c>
      <c r="E1711" s="4">
        <v>0.26</v>
      </c>
    </row>
    <row r="1712" spans="1:5" x14ac:dyDescent="0.25">
      <c r="A1712" s="4" t="s">
        <v>53</v>
      </c>
      <c r="B1712" s="4" t="s">
        <v>17</v>
      </c>
      <c r="C1712" s="5">
        <v>45335</v>
      </c>
      <c r="D1712" s="4">
        <v>0.4</v>
      </c>
      <c r="E1712" s="4">
        <v>0.12</v>
      </c>
    </row>
    <row r="1713" spans="1:5" x14ac:dyDescent="0.25">
      <c r="A1713" s="4" t="s">
        <v>53</v>
      </c>
      <c r="B1713" s="4" t="s">
        <v>17</v>
      </c>
      <c r="C1713" s="5">
        <v>45335</v>
      </c>
      <c r="D1713" s="4">
        <v>11.7</v>
      </c>
      <c r="E1713" s="4">
        <v>3.79</v>
      </c>
    </row>
    <row r="1714" spans="1:5" x14ac:dyDescent="0.25">
      <c r="A1714" s="4" t="s">
        <v>53</v>
      </c>
      <c r="B1714" s="4" t="s">
        <v>17</v>
      </c>
      <c r="C1714" s="5">
        <v>45335</v>
      </c>
      <c r="D1714" s="4">
        <v>10.9</v>
      </c>
      <c r="E1714" s="4">
        <v>3.53</v>
      </c>
    </row>
    <row r="1715" spans="1:5" x14ac:dyDescent="0.25">
      <c r="A1715" s="4" t="s">
        <v>53</v>
      </c>
      <c r="B1715" s="4" t="s">
        <v>17</v>
      </c>
      <c r="C1715" s="5">
        <v>45335</v>
      </c>
      <c r="D1715" s="4">
        <v>0.7</v>
      </c>
      <c r="E1715" s="4">
        <v>0.23</v>
      </c>
    </row>
    <row r="1716" spans="1:5" x14ac:dyDescent="0.25">
      <c r="A1716" s="4" t="s">
        <v>53</v>
      </c>
      <c r="B1716" s="4" t="s">
        <v>17</v>
      </c>
      <c r="C1716" s="5">
        <v>45335</v>
      </c>
      <c r="D1716" s="4">
        <v>0.4</v>
      </c>
      <c r="E1716" s="4">
        <v>0.12</v>
      </c>
    </row>
    <row r="1717" spans="1:5" x14ac:dyDescent="0.25">
      <c r="A1717" s="4" t="s">
        <v>53</v>
      </c>
      <c r="B1717" s="4" t="s">
        <v>17</v>
      </c>
      <c r="C1717" s="5">
        <v>45335</v>
      </c>
      <c r="D1717" s="4">
        <v>11.7</v>
      </c>
      <c r="E1717" s="4">
        <v>3.79</v>
      </c>
    </row>
    <row r="1718" spans="1:5" x14ac:dyDescent="0.25">
      <c r="A1718" s="4" t="s">
        <v>53</v>
      </c>
      <c r="B1718" s="4" t="s">
        <v>17</v>
      </c>
      <c r="C1718" s="5">
        <v>45335</v>
      </c>
      <c r="D1718" s="4">
        <v>10.9</v>
      </c>
      <c r="E1718" s="4">
        <v>3.53</v>
      </c>
    </row>
    <row r="1719" spans="1:5" x14ac:dyDescent="0.25">
      <c r="A1719" s="4" t="s">
        <v>53</v>
      </c>
      <c r="B1719" s="4" t="s">
        <v>17</v>
      </c>
      <c r="C1719" s="5">
        <v>45335</v>
      </c>
      <c r="D1719" s="4">
        <v>0.7</v>
      </c>
      <c r="E1719" s="4">
        <v>0.23</v>
      </c>
    </row>
    <row r="1720" spans="1:5" x14ac:dyDescent="0.25">
      <c r="A1720" s="4" t="s">
        <v>53</v>
      </c>
      <c r="B1720" s="4" t="s">
        <v>17</v>
      </c>
      <c r="C1720" s="5">
        <v>45335</v>
      </c>
      <c r="D1720" s="4">
        <v>2.1</v>
      </c>
      <c r="E1720" s="4">
        <v>0.66</v>
      </c>
    </row>
    <row r="1721" spans="1:5" x14ac:dyDescent="0.25">
      <c r="A1721" s="4" t="s">
        <v>53</v>
      </c>
      <c r="B1721" s="4" t="s">
        <v>17</v>
      </c>
      <c r="C1721" s="5">
        <v>45335</v>
      </c>
      <c r="D1721" s="4">
        <v>1.6</v>
      </c>
      <c r="E1721" s="4">
        <v>0.5</v>
      </c>
    </row>
    <row r="1722" spans="1:5" x14ac:dyDescent="0.25">
      <c r="A1722" s="4" t="s">
        <v>53</v>
      </c>
      <c r="B1722" s="4" t="s">
        <v>17</v>
      </c>
      <c r="C1722" s="5">
        <v>45335</v>
      </c>
      <c r="D1722" s="4">
        <v>1.3</v>
      </c>
      <c r="E1722" s="4">
        <v>0.41</v>
      </c>
    </row>
    <row r="1723" spans="1:5" x14ac:dyDescent="0.25">
      <c r="A1723" s="4" t="s">
        <v>53</v>
      </c>
      <c r="B1723" s="4" t="s">
        <v>17</v>
      </c>
      <c r="C1723" s="5">
        <v>45335</v>
      </c>
      <c r="D1723" s="4">
        <v>1.6</v>
      </c>
      <c r="E1723" s="4">
        <v>0.5</v>
      </c>
    </row>
    <row r="1724" spans="1:5" x14ac:dyDescent="0.25">
      <c r="A1724" s="4" t="s">
        <v>53</v>
      </c>
      <c r="B1724" s="4" t="s">
        <v>17</v>
      </c>
      <c r="C1724" s="5">
        <v>45335</v>
      </c>
      <c r="D1724" s="4">
        <v>1.3</v>
      </c>
      <c r="E1724" s="4">
        <v>0.41</v>
      </c>
    </row>
    <row r="1725" spans="1:5" x14ac:dyDescent="0.25">
      <c r="A1725" s="4" t="s">
        <v>53</v>
      </c>
      <c r="B1725" s="4" t="s">
        <v>17</v>
      </c>
      <c r="C1725" s="5">
        <v>45335</v>
      </c>
      <c r="D1725" s="4">
        <v>1.6</v>
      </c>
      <c r="E1725" s="4">
        <v>0.5</v>
      </c>
    </row>
    <row r="1726" spans="1:5" x14ac:dyDescent="0.25">
      <c r="A1726" s="4" t="s">
        <v>53</v>
      </c>
      <c r="B1726" s="4" t="s">
        <v>17</v>
      </c>
      <c r="C1726" s="5">
        <v>45335</v>
      </c>
      <c r="D1726" s="4">
        <v>0.4</v>
      </c>
      <c r="E1726" s="4">
        <v>0.12</v>
      </c>
    </row>
    <row r="1727" spans="1:5" x14ac:dyDescent="0.25">
      <c r="A1727" s="4" t="s">
        <v>53</v>
      </c>
      <c r="B1727" s="4" t="s">
        <v>17</v>
      </c>
      <c r="C1727" s="5">
        <v>45335</v>
      </c>
      <c r="D1727" s="4">
        <v>11.7</v>
      </c>
      <c r="E1727" s="4">
        <v>3.79</v>
      </c>
    </row>
    <row r="1728" spans="1:5" x14ac:dyDescent="0.25">
      <c r="A1728" s="4" t="s">
        <v>53</v>
      </c>
      <c r="B1728" s="4" t="s">
        <v>17</v>
      </c>
      <c r="C1728" s="5">
        <v>45335</v>
      </c>
      <c r="D1728" s="4">
        <v>10.9</v>
      </c>
      <c r="E1728" s="4">
        <v>3.53</v>
      </c>
    </row>
    <row r="1729" spans="1:5" x14ac:dyDescent="0.25">
      <c r="A1729" s="4" t="s">
        <v>53</v>
      </c>
      <c r="B1729" s="4" t="s">
        <v>17</v>
      </c>
      <c r="C1729" s="5">
        <v>45335</v>
      </c>
      <c r="D1729" s="4">
        <v>0.7</v>
      </c>
      <c r="E1729" s="4">
        <v>0.23</v>
      </c>
    </row>
    <row r="1730" spans="1:5" x14ac:dyDescent="0.25">
      <c r="A1730" s="4" t="s">
        <v>53</v>
      </c>
      <c r="B1730" s="4" t="s">
        <v>17</v>
      </c>
      <c r="C1730" s="5">
        <v>45335</v>
      </c>
      <c r="D1730" s="4">
        <v>0.4</v>
      </c>
      <c r="E1730" s="4">
        <v>0.12</v>
      </c>
    </row>
    <row r="1731" spans="1:5" x14ac:dyDescent="0.25">
      <c r="A1731" s="4" t="s">
        <v>53</v>
      </c>
      <c r="B1731" s="4" t="s">
        <v>17</v>
      </c>
      <c r="C1731" s="5">
        <v>45335</v>
      </c>
      <c r="D1731" s="4">
        <v>11.7</v>
      </c>
      <c r="E1731" s="4">
        <v>3.79</v>
      </c>
    </row>
    <row r="1732" spans="1:5" x14ac:dyDescent="0.25">
      <c r="A1732" s="4" t="s">
        <v>53</v>
      </c>
      <c r="B1732" s="4" t="s">
        <v>17</v>
      </c>
      <c r="C1732" s="5">
        <v>45335</v>
      </c>
      <c r="D1732" s="4">
        <v>10.9</v>
      </c>
      <c r="E1732" s="4">
        <v>3.53</v>
      </c>
    </row>
    <row r="1733" spans="1:5" x14ac:dyDescent="0.25">
      <c r="A1733" s="4" t="s">
        <v>53</v>
      </c>
      <c r="B1733" s="4" t="s">
        <v>17</v>
      </c>
      <c r="C1733" s="5">
        <v>45335</v>
      </c>
      <c r="D1733" s="4">
        <v>0.7</v>
      </c>
      <c r="E1733" s="4">
        <v>0.23</v>
      </c>
    </row>
    <row r="1734" spans="1:5" x14ac:dyDescent="0.25">
      <c r="A1734" s="4" t="s">
        <v>53</v>
      </c>
      <c r="B1734" s="4" t="s">
        <v>17</v>
      </c>
      <c r="C1734" s="5">
        <v>45335</v>
      </c>
      <c r="D1734" s="4">
        <v>1.3</v>
      </c>
      <c r="E1734" s="4">
        <v>0.41</v>
      </c>
    </row>
    <row r="1735" spans="1:5" x14ac:dyDescent="0.25">
      <c r="A1735" s="4" t="s">
        <v>53</v>
      </c>
      <c r="B1735" s="4" t="s">
        <v>17</v>
      </c>
      <c r="C1735" s="5">
        <v>45335</v>
      </c>
      <c r="D1735" s="4">
        <v>23.7</v>
      </c>
      <c r="E1735" s="4">
        <v>7.66</v>
      </c>
    </row>
    <row r="1736" spans="1:5" x14ac:dyDescent="0.25">
      <c r="A1736" s="4" t="s">
        <v>53</v>
      </c>
      <c r="B1736" s="4" t="s">
        <v>17</v>
      </c>
      <c r="C1736" s="5">
        <v>45336</v>
      </c>
      <c r="D1736" s="4">
        <v>30.6</v>
      </c>
      <c r="E1736" s="4">
        <v>9.92</v>
      </c>
    </row>
    <row r="1737" spans="1:5" x14ac:dyDescent="0.25">
      <c r="A1737" s="4" t="s">
        <v>53</v>
      </c>
      <c r="B1737" s="4" t="s">
        <v>17</v>
      </c>
      <c r="C1737" s="5">
        <v>45336</v>
      </c>
      <c r="D1737" s="4">
        <v>17.5</v>
      </c>
      <c r="E1737" s="4">
        <v>5.66</v>
      </c>
    </row>
    <row r="1738" spans="1:5" x14ac:dyDescent="0.25">
      <c r="A1738" s="4" t="s">
        <v>53</v>
      </c>
      <c r="B1738" s="4" t="s">
        <v>17</v>
      </c>
      <c r="C1738" s="5">
        <v>45336</v>
      </c>
      <c r="D1738" s="4">
        <v>17.5</v>
      </c>
      <c r="E1738" s="4">
        <v>5.65</v>
      </c>
    </row>
    <row r="1739" spans="1:5" x14ac:dyDescent="0.25">
      <c r="A1739" s="4" t="s">
        <v>53</v>
      </c>
      <c r="B1739" s="4" t="s">
        <v>17</v>
      </c>
      <c r="C1739" s="5">
        <v>45336</v>
      </c>
      <c r="D1739" s="4">
        <v>17.5</v>
      </c>
      <c r="E1739" s="4">
        <v>5.66</v>
      </c>
    </row>
    <row r="1740" spans="1:5" x14ac:dyDescent="0.25">
      <c r="A1740" s="4" t="s">
        <v>53</v>
      </c>
      <c r="B1740" s="4" t="s">
        <v>17</v>
      </c>
      <c r="C1740" s="5">
        <v>45336</v>
      </c>
      <c r="D1740" s="4">
        <v>17.5</v>
      </c>
      <c r="E1740" s="4">
        <v>5.65</v>
      </c>
    </row>
    <row r="1741" spans="1:5" x14ac:dyDescent="0.25">
      <c r="A1741" s="4" t="s">
        <v>53</v>
      </c>
      <c r="B1741" s="4" t="s">
        <v>17</v>
      </c>
      <c r="C1741" s="5">
        <v>45336</v>
      </c>
      <c r="D1741" s="4">
        <v>17.5</v>
      </c>
      <c r="E1741" s="4">
        <v>5.66</v>
      </c>
    </row>
    <row r="1742" spans="1:5" x14ac:dyDescent="0.25">
      <c r="A1742" s="4" t="s">
        <v>53</v>
      </c>
      <c r="B1742" s="4" t="s">
        <v>17</v>
      </c>
      <c r="C1742" s="5">
        <v>45336</v>
      </c>
      <c r="D1742" s="4">
        <v>17.5</v>
      </c>
      <c r="E1742" s="4">
        <v>5.65</v>
      </c>
    </row>
    <row r="1743" spans="1:5" x14ac:dyDescent="0.25">
      <c r="A1743" s="4" t="s">
        <v>53</v>
      </c>
      <c r="B1743" s="4" t="s">
        <v>17</v>
      </c>
      <c r="C1743" s="5">
        <v>45336</v>
      </c>
      <c r="D1743" s="4">
        <v>17.5</v>
      </c>
      <c r="E1743" s="4">
        <v>5.66</v>
      </c>
    </row>
    <row r="1744" spans="1:5" x14ac:dyDescent="0.25">
      <c r="A1744" s="4" t="s">
        <v>53</v>
      </c>
      <c r="B1744" s="4" t="s">
        <v>17</v>
      </c>
      <c r="C1744" s="5">
        <v>45336</v>
      </c>
      <c r="D1744" s="4">
        <v>17.5</v>
      </c>
      <c r="E1744" s="4">
        <v>5.65</v>
      </c>
    </row>
    <row r="1745" spans="1:5" x14ac:dyDescent="0.25">
      <c r="A1745" s="4" t="s">
        <v>53</v>
      </c>
      <c r="B1745" s="4" t="s">
        <v>17</v>
      </c>
      <c r="C1745" s="5">
        <v>45336</v>
      </c>
      <c r="D1745" s="4">
        <v>17.5</v>
      </c>
      <c r="E1745" s="4">
        <v>5.66</v>
      </c>
    </row>
    <row r="1746" spans="1:5" x14ac:dyDescent="0.25">
      <c r="A1746" s="4" t="s">
        <v>53</v>
      </c>
      <c r="B1746" s="4" t="s">
        <v>17</v>
      </c>
      <c r="C1746" s="5">
        <v>45336</v>
      </c>
      <c r="D1746" s="4">
        <v>5.2</v>
      </c>
      <c r="E1746" s="4">
        <v>1.68</v>
      </c>
    </row>
    <row r="1747" spans="1:5" x14ac:dyDescent="0.25">
      <c r="A1747" s="4" t="s">
        <v>53</v>
      </c>
      <c r="B1747" s="4" t="s">
        <v>17</v>
      </c>
      <c r="C1747" s="5">
        <v>45336</v>
      </c>
      <c r="D1747" s="4">
        <v>42.5</v>
      </c>
      <c r="E1747" s="4">
        <v>13.78</v>
      </c>
    </row>
    <row r="1748" spans="1:5" x14ac:dyDescent="0.25">
      <c r="A1748" s="4" t="s">
        <v>53</v>
      </c>
      <c r="B1748" s="4" t="s">
        <v>17</v>
      </c>
      <c r="C1748" s="5">
        <v>45337</v>
      </c>
      <c r="D1748" s="4">
        <v>2.4</v>
      </c>
      <c r="E1748" s="4">
        <v>0.75</v>
      </c>
    </row>
    <row r="1749" spans="1:5" x14ac:dyDescent="0.25">
      <c r="A1749" s="4" t="s">
        <v>53</v>
      </c>
      <c r="B1749" s="4" t="s">
        <v>17</v>
      </c>
      <c r="C1749" s="5">
        <v>45337</v>
      </c>
      <c r="D1749" s="4">
        <v>0.8</v>
      </c>
      <c r="E1749" s="4">
        <v>0.26</v>
      </c>
    </row>
    <row r="1750" spans="1:5" x14ac:dyDescent="0.25">
      <c r="A1750" s="4" t="s">
        <v>53</v>
      </c>
      <c r="B1750" s="4" t="s">
        <v>17</v>
      </c>
      <c r="C1750" s="5">
        <v>45337</v>
      </c>
      <c r="D1750" s="4">
        <v>0.4</v>
      </c>
      <c r="E1750" s="4">
        <v>0.12</v>
      </c>
    </row>
    <row r="1751" spans="1:5" x14ac:dyDescent="0.25">
      <c r="A1751" s="4" t="s">
        <v>53</v>
      </c>
      <c r="B1751" s="4" t="s">
        <v>17</v>
      </c>
      <c r="C1751" s="5">
        <v>45337</v>
      </c>
      <c r="D1751" s="4">
        <v>11.7</v>
      </c>
      <c r="E1751" s="4">
        <v>3.79</v>
      </c>
    </row>
    <row r="1752" spans="1:5" x14ac:dyDescent="0.25">
      <c r="A1752" s="4" t="s">
        <v>53</v>
      </c>
      <c r="B1752" s="4" t="s">
        <v>17</v>
      </c>
      <c r="C1752" s="5">
        <v>45337</v>
      </c>
      <c r="D1752" s="4">
        <v>10.9</v>
      </c>
      <c r="E1752" s="4">
        <v>3.53</v>
      </c>
    </row>
    <row r="1753" spans="1:5" x14ac:dyDescent="0.25">
      <c r="A1753" s="4" t="s">
        <v>53</v>
      </c>
      <c r="B1753" s="4" t="s">
        <v>17</v>
      </c>
      <c r="C1753" s="5">
        <v>45337</v>
      </c>
      <c r="D1753" s="4">
        <v>0.7</v>
      </c>
      <c r="E1753" s="4">
        <v>0.23</v>
      </c>
    </row>
    <row r="1754" spans="1:5" x14ac:dyDescent="0.25">
      <c r="A1754" s="4" t="s">
        <v>53</v>
      </c>
      <c r="B1754" s="4" t="s">
        <v>17</v>
      </c>
      <c r="C1754" s="5">
        <v>45337</v>
      </c>
      <c r="D1754" s="4">
        <v>0.4</v>
      </c>
      <c r="E1754" s="4">
        <v>0.12</v>
      </c>
    </row>
    <row r="1755" spans="1:5" x14ac:dyDescent="0.25">
      <c r="A1755" s="4" t="s">
        <v>53</v>
      </c>
      <c r="B1755" s="4" t="s">
        <v>17</v>
      </c>
      <c r="C1755" s="5">
        <v>45337</v>
      </c>
      <c r="D1755" s="4">
        <v>11.7</v>
      </c>
      <c r="E1755" s="4">
        <v>3.79</v>
      </c>
    </row>
    <row r="1756" spans="1:5" x14ac:dyDescent="0.25">
      <c r="A1756" s="4" t="s">
        <v>53</v>
      </c>
      <c r="B1756" s="4" t="s">
        <v>17</v>
      </c>
      <c r="C1756" s="5">
        <v>45337</v>
      </c>
      <c r="D1756" s="4">
        <v>10.9</v>
      </c>
      <c r="E1756" s="4">
        <v>3.53</v>
      </c>
    </row>
    <row r="1757" spans="1:5" x14ac:dyDescent="0.25">
      <c r="A1757" s="4" t="s">
        <v>53</v>
      </c>
      <c r="B1757" s="4" t="s">
        <v>17</v>
      </c>
      <c r="C1757" s="5">
        <v>45337</v>
      </c>
      <c r="D1757" s="4">
        <v>0.7</v>
      </c>
      <c r="E1757" s="4">
        <v>0.23</v>
      </c>
    </row>
    <row r="1758" spans="1:5" x14ac:dyDescent="0.25">
      <c r="A1758" s="4" t="s">
        <v>53</v>
      </c>
      <c r="B1758" s="4" t="s">
        <v>17</v>
      </c>
      <c r="C1758" s="5">
        <v>45337</v>
      </c>
      <c r="D1758" s="4">
        <v>1.3</v>
      </c>
      <c r="E1758" s="4">
        <v>0.41</v>
      </c>
    </row>
    <row r="1759" spans="1:5" x14ac:dyDescent="0.25">
      <c r="A1759" s="4" t="s">
        <v>53</v>
      </c>
      <c r="B1759" s="4" t="s">
        <v>17</v>
      </c>
      <c r="C1759" s="5">
        <v>45337</v>
      </c>
      <c r="D1759" s="4">
        <v>1.6</v>
      </c>
      <c r="E1759" s="4">
        <v>0.5</v>
      </c>
    </row>
    <row r="1760" spans="1:5" x14ac:dyDescent="0.25">
      <c r="A1760" s="4" t="s">
        <v>53</v>
      </c>
      <c r="B1760" s="4" t="s">
        <v>17</v>
      </c>
      <c r="C1760" s="5">
        <v>45337</v>
      </c>
      <c r="D1760" s="4">
        <v>1.3</v>
      </c>
      <c r="E1760" s="4">
        <v>0.41</v>
      </c>
    </row>
    <row r="1761" spans="1:5" x14ac:dyDescent="0.25">
      <c r="A1761" s="4" t="s">
        <v>53</v>
      </c>
      <c r="B1761" s="4" t="s">
        <v>17</v>
      </c>
      <c r="C1761" s="5">
        <v>45337</v>
      </c>
      <c r="D1761" s="4">
        <v>1.6</v>
      </c>
      <c r="E1761" s="4">
        <v>0.5</v>
      </c>
    </row>
    <row r="1762" spans="1:5" x14ac:dyDescent="0.25">
      <c r="A1762" s="4" t="s">
        <v>53</v>
      </c>
      <c r="B1762" s="4" t="s">
        <v>17</v>
      </c>
      <c r="C1762" s="5">
        <v>45337</v>
      </c>
      <c r="D1762" s="4">
        <v>1.3</v>
      </c>
      <c r="E1762" s="4">
        <v>0.41</v>
      </c>
    </row>
    <row r="1763" spans="1:5" x14ac:dyDescent="0.25">
      <c r="A1763" s="4" t="s">
        <v>53</v>
      </c>
      <c r="B1763" s="4" t="s">
        <v>17</v>
      </c>
      <c r="C1763" s="5">
        <v>45337</v>
      </c>
      <c r="D1763" s="4">
        <v>1.6</v>
      </c>
      <c r="E1763" s="4">
        <v>0.5</v>
      </c>
    </row>
    <row r="1764" spans="1:5" x14ac:dyDescent="0.25">
      <c r="A1764" s="4" t="s">
        <v>53</v>
      </c>
      <c r="B1764" s="4" t="s">
        <v>17</v>
      </c>
      <c r="C1764" s="5">
        <v>45337</v>
      </c>
      <c r="D1764" s="4">
        <v>1.3</v>
      </c>
      <c r="E1764" s="4">
        <v>0.41</v>
      </c>
    </row>
    <row r="1765" spans="1:5" x14ac:dyDescent="0.25">
      <c r="A1765" s="4" t="s">
        <v>53</v>
      </c>
      <c r="B1765" s="4" t="s">
        <v>17</v>
      </c>
      <c r="C1765" s="5">
        <v>45337</v>
      </c>
      <c r="D1765" s="4">
        <v>1.6</v>
      </c>
      <c r="E1765" s="4">
        <v>0.5</v>
      </c>
    </row>
    <row r="1766" spans="1:5" x14ac:dyDescent="0.25">
      <c r="A1766" s="4" t="s">
        <v>53</v>
      </c>
      <c r="B1766" s="4" t="s">
        <v>17</v>
      </c>
      <c r="C1766" s="5">
        <v>45337</v>
      </c>
      <c r="D1766" s="4">
        <v>1.3</v>
      </c>
      <c r="E1766" s="4">
        <v>0.41</v>
      </c>
    </row>
    <row r="1767" spans="1:5" x14ac:dyDescent="0.25">
      <c r="A1767" s="4" t="s">
        <v>53</v>
      </c>
      <c r="B1767" s="4" t="s">
        <v>17</v>
      </c>
      <c r="C1767" s="5">
        <v>45337</v>
      </c>
      <c r="D1767" s="4">
        <v>1.6</v>
      </c>
      <c r="E1767" s="4">
        <v>0.5</v>
      </c>
    </row>
    <row r="1768" spans="1:5" x14ac:dyDescent="0.25">
      <c r="A1768" s="4" t="s">
        <v>53</v>
      </c>
      <c r="B1768" s="4" t="s">
        <v>17</v>
      </c>
      <c r="C1768" s="5">
        <v>45337</v>
      </c>
      <c r="D1768" s="4">
        <v>1.3</v>
      </c>
      <c r="E1768" s="4">
        <v>0.41</v>
      </c>
    </row>
    <row r="1769" spans="1:5" x14ac:dyDescent="0.25">
      <c r="A1769" s="4" t="s">
        <v>53</v>
      </c>
      <c r="B1769" s="4" t="s">
        <v>17</v>
      </c>
      <c r="C1769" s="5">
        <v>45337</v>
      </c>
      <c r="D1769" s="4">
        <v>1.6</v>
      </c>
      <c r="E1769" s="4">
        <v>0.5</v>
      </c>
    </row>
    <row r="1770" spans="1:5" x14ac:dyDescent="0.25">
      <c r="A1770" s="4" t="s">
        <v>53</v>
      </c>
      <c r="B1770" s="4" t="s">
        <v>17</v>
      </c>
      <c r="C1770" s="5">
        <v>45337</v>
      </c>
      <c r="D1770" s="4">
        <v>1.3</v>
      </c>
      <c r="E1770" s="4">
        <v>0.41</v>
      </c>
    </row>
    <row r="1771" spans="1:5" x14ac:dyDescent="0.25">
      <c r="A1771" s="4" t="s">
        <v>53</v>
      </c>
      <c r="B1771" s="4" t="s">
        <v>17</v>
      </c>
      <c r="C1771" s="5">
        <v>45337</v>
      </c>
      <c r="D1771" s="4">
        <v>1.6</v>
      </c>
      <c r="E1771" s="4">
        <v>0.5</v>
      </c>
    </row>
    <row r="1772" spans="1:5" x14ac:dyDescent="0.25">
      <c r="A1772" s="4" t="s">
        <v>53</v>
      </c>
      <c r="B1772" s="4" t="s">
        <v>17</v>
      </c>
      <c r="C1772" s="5">
        <v>45337</v>
      </c>
      <c r="D1772" s="4">
        <v>25</v>
      </c>
      <c r="E1772" s="4">
        <v>8.07</v>
      </c>
    </row>
    <row r="1773" spans="1:5" x14ac:dyDescent="0.25">
      <c r="A1773" s="4" t="s">
        <v>53</v>
      </c>
      <c r="B1773" s="4" t="s">
        <v>55</v>
      </c>
      <c r="C1773" s="5">
        <v>45320</v>
      </c>
      <c r="D1773" s="4">
        <v>34.299999999999997</v>
      </c>
      <c r="E1773" s="4">
        <v>11.96</v>
      </c>
    </row>
    <row r="1774" spans="1:5" x14ac:dyDescent="0.25">
      <c r="A1774" s="4" t="s">
        <v>53</v>
      </c>
      <c r="B1774" s="4" t="s">
        <v>55</v>
      </c>
      <c r="C1774" s="5">
        <v>45321</v>
      </c>
      <c r="D1774" s="4">
        <v>41.3</v>
      </c>
      <c r="E1774" s="4">
        <v>14.36</v>
      </c>
    </row>
    <row r="1775" spans="1:5" x14ac:dyDescent="0.25">
      <c r="A1775" s="4" t="s">
        <v>53</v>
      </c>
      <c r="B1775" s="4" t="s">
        <v>55</v>
      </c>
      <c r="C1775" s="5">
        <v>45321</v>
      </c>
      <c r="D1775" s="4">
        <v>17.3</v>
      </c>
      <c r="E1775" s="4">
        <v>6.03</v>
      </c>
    </row>
    <row r="1776" spans="1:5" x14ac:dyDescent="0.25">
      <c r="A1776" s="4" t="s">
        <v>53</v>
      </c>
      <c r="B1776" s="4" t="s">
        <v>55</v>
      </c>
      <c r="C1776" s="5">
        <v>45321</v>
      </c>
      <c r="D1776" s="4">
        <v>17.3</v>
      </c>
      <c r="E1776" s="4">
        <v>6.03</v>
      </c>
    </row>
    <row r="1777" spans="1:5" x14ac:dyDescent="0.25">
      <c r="A1777" s="4" t="s">
        <v>53</v>
      </c>
      <c r="B1777" s="4" t="s">
        <v>55</v>
      </c>
      <c r="C1777" s="5">
        <v>45321</v>
      </c>
      <c r="D1777" s="4">
        <v>67.5</v>
      </c>
      <c r="E1777" s="4">
        <v>23.48</v>
      </c>
    </row>
    <row r="1778" spans="1:5" x14ac:dyDescent="0.25">
      <c r="A1778" s="4" t="s">
        <v>53</v>
      </c>
      <c r="B1778" s="4" t="s">
        <v>55</v>
      </c>
      <c r="C1778" s="5">
        <v>45321</v>
      </c>
      <c r="D1778" s="4">
        <v>61.2</v>
      </c>
      <c r="E1778" s="4">
        <v>21.31</v>
      </c>
    </row>
    <row r="1779" spans="1:5" x14ac:dyDescent="0.25">
      <c r="A1779" s="4" t="s">
        <v>53</v>
      </c>
      <c r="B1779" s="4" t="s">
        <v>55</v>
      </c>
      <c r="C1779" s="5">
        <v>45321</v>
      </c>
      <c r="D1779" s="4">
        <v>16</v>
      </c>
      <c r="E1779" s="4">
        <v>5.58</v>
      </c>
    </row>
    <row r="1780" spans="1:5" x14ac:dyDescent="0.25">
      <c r="A1780" s="4" t="s">
        <v>53</v>
      </c>
      <c r="B1780" s="4" t="s">
        <v>55</v>
      </c>
      <c r="C1780" s="5">
        <v>45321</v>
      </c>
      <c r="D1780" s="4">
        <v>16</v>
      </c>
      <c r="E1780" s="4">
        <v>5.58</v>
      </c>
    </row>
    <row r="1781" spans="1:5" x14ac:dyDescent="0.25">
      <c r="A1781" s="4" t="s">
        <v>53</v>
      </c>
      <c r="B1781" s="4" t="s">
        <v>55</v>
      </c>
      <c r="C1781" s="5">
        <v>45321</v>
      </c>
      <c r="D1781" s="4">
        <v>16</v>
      </c>
      <c r="E1781" s="4">
        <v>5.58</v>
      </c>
    </row>
    <row r="1782" spans="1:5" x14ac:dyDescent="0.25">
      <c r="A1782" s="4" t="s">
        <v>53</v>
      </c>
      <c r="B1782" s="4" t="s">
        <v>55</v>
      </c>
      <c r="C1782" s="5">
        <v>45321</v>
      </c>
      <c r="D1782" s="4">
        <v>30.6</v>
      </c>
      <c r="E1782" s="4">
        <v>10.67</v>
      </c>
    </row>
    <row r="1783" spans="1:5" x14ac:dyDescent="0.25">
      <c r="A1783" s="4" t="s">
        <v>53</v>
      </c>
      <c r="B1783" s="4" t="s">
        <v>55</v>
      </c>
      <c r="C1783" s="5">
        <v>45322</v>
      </c>
      <c r="D1783" s="4">
        <v>17.3</v>
      </c>
      <c r="E1783" s="4">
        <v>6.02</v>
      </c>
    </row>
    <row r="1784" spans="1:5" x14ac:dyDescent="0.25">
      <c r="A1784" s="4" t="s">
        <v>53</v>
      </c>
      <c r="B1784" s="4" t="s">
        <v>55</v>
      </c>
      <c r="C1784" s="5">
        <v>45322</v>
      </c>
      <c r="D1784" s="4">
        <v>17.3</v>
      </c>
      <c r="E1784" s="4">
        <v>6.02</v>
      </c>
    </row>
    <row r="1785" spans="1:5" x14ac:dyDescent="0.25">
      <c r="A1785" s="4" t="s">
        <v>53</v>
      </c>
      <c r="B1785" s="4" t="s">
        <v>55</v>
      </c>
      <c r="C1785" s="5">
        <v>45322</v>
      </c>
      <c r="D1785" s="4">
        <v>17.3</v>
      </c>
      <c r="E1785" s="4">
        <v>6.02</v>
      </c>
    </row>
    <row r="1786" spans="1:5" x14ac:dyDescent="0.25">
      <c r="A1786" s="4" t="s">
        <v>53</v>
      </c>
      <c r="B1786" s="4" t="s">
        <v>55</v>
      </c>
      <c r="C1786" s="5">
        <v>45322</v>
      </c>
      <c r="D1786" s="4">
        <v>13</v>
      </c>
      <c r="E1786" s="4">
        <v>4.5</v>
      </c>
    </row>
    <row r="1787" spans="1:5" x14ac:dyDescent="0.25">
      <c r="A1787" s="4" t="s">
        <v>53</v>
      </c>
      <c r="B1787" s="4" t="s">
        <v>55</v>
      </c>
      <c r="C1787" s="5">
        <v>45322</v>
      </c>
      <c r="D1787" s="4">
        <v>13</v>
      </c>
      <c r="E1787" s="4">
        <v>4.5</v>
      </c>
    </row>
    <row r="1788" spans="1:5" x14ac:dyDescent="0.25">
      <c r="A1788" s="4" t="s">
        <v>53</v>
      </c>
      <c r="B1788" s="4" t="s">
        <v>55</v>
      </c>
      <c r="C1788" s="5">
        <v>45322</v>
      </c>
      <c r="D1788" s="4">
        <v>13</v>
      </c>
      <c r="E1788" s="4">
        <v>4.5</v>
      </c>
    </row>
    <row r="1789" spans="1:5" x14ac:dyDescent="0.25">
      <c r="A1789" s="4" t="s">
        <v>53</v>
      </c>
      <c r="B1789" s="4" t="s">
        <v>55</v>
      </c>
      <c r="C1789" s="5">
        <v>45322</v>
      </c>
      <c r="D1789" s="4">
        <v>13</v>
      </c>
      <c r="E1789" s="4">
        <v>4.5</v>
      </c>
    </row>
    <row r="1790" spans="1:5" x14ac:dyDescent="0.25">
      <c r="A1790" s="4" t="s">
        <v>53</v>
      </c>
      <c r="B1790" s="4" t="s">
        <v>55</v>
      </c>
      <c r="C1790" s="5">
        <v>45322</v>
      </c>
      <c r="D1790" s="4">
        <v>13</v>
      </c>
      <c r="E1790" s="4">
        <v>4.5</v>
      </c>
    </row>
    <row r="1791" spans="1:5" x14ac:dyDescent="0.25">
      <c r="A1791" s="4" t="s">
        <v>53</v>
      </c>
      <c r="B1791" s="4" t="s">
        <v>55</v>
      </c>
      <c r="C1791" s="5">
        <v>45322</v>
      </c>
      <c r="D1791" s="4">
        <v>43</v>
      </c>
      <c r="E1791" s="4">
        <v>14.96</v>
      </c>
    </row>
    <row r="1792" spans="1:5" x14ac:dyDescent="0.25">
      <c r="A1792" s="4" t="s">
        <v>53</v>
      </c>
      <c r="B1792" s="4" t="s">
        <v>55</v>
      </c>
      <c r="C1792" s="5">
        <v>45330</v>
      </c>
      <c r="D1792" s="4">
        <v>25.6</v>
      </c>
      <c r="E1792" s="4">
        <v>8.93</v>
      </c>
    </row>
    <row r="1793" spans="1:5" x14ac:dyDescent="0.25">
      <c r="A1793" s="4" t="s">
        <v>53</v>
      </c>
      <c r="B1793" s="4" t="s">
        <v>55</v>
      </c>
      <c r="C1793" s="5">
        <v>45330</v>
      </c>
      <c r="D1793" s="4">
        <v>1.3</v>
      </c>
      <c r="E1793" s="4">
        <v>0.45</v>
      </c>
    </row>
    <row r="1794" spans="1:5" x14ac:dyDescent="0.25">
      <c r="A1794" s="4" t="s">
        <v>53</v>
      </c>
      <c r="B1794" s="4" t="s">
        <v>55</v>
      </c>
      <c r="C1794" s="5">
        <v>45330</v>
      </c>
      <c r="D1794" s="4">
        <v>1.3</v>
      </c>
      <c r="E1794" s="4">
        <v>0.45</v>
      </c>
    </row>
    <row r="1795" spans="1:5" x14ac:dyDescent="0.25">
      <c r="A1795" s="4" t="s">
        <v>53</v>
      </c>
      <c r="B1795" s="4" t="s">
        <v>55</v>
      </c>
      <c r="C1795" s="5">
        <v>45330</v>
      </c>
      <c r="D1795" s="4">
        <v>1.3</v>
      </c>
      <c r="E1795" s="4">
        <v>0.45</v>
      </c>
    </row>
    <row r="1796" spans="1:5" x14ac:dyDescent="0.25">
      <c r="A1796" s="4" t="s">
        <v>53</v>
      </c>
      <c r="B1796" s="4" t="s">
        <v>55</v>
      </c>
      <c r="C1796" s="5">
        <v>45330</v>
      </c>
      <c r="D1796" s="4">
        <v>1.3</v>
      </c>
      <c r="E1796" s="4">
        <v>0.45</v>
      </c>
    </row>
    <row r="1797" spans="1:5" x14ac:dyDescent="0.25">
      <c r="A1797" s="4" t="s">
        <v>53</v>
      </c>
      <c r="B1797" s="4" t="s">
        <v>55</v>
      </c>
      <c r="C1797" s="5">
        <v>45330</v>
      </c>
      <c r="D1797" s="4">
        <v>1.3</v>
      </c>
      <c r="E1797" s="4">
        <v>0.45</v>
      </c>
    </row>
    <row r="1798" spans="1:5" x14ac:dyDescent="0.25">
      <c r="A1798" s="4" t="s">
        <v>53</v>
      </c>
      <c r="B1798" s="4" t="s">
        <v>55</v>
      </c>
      <c r="C1798" s="5">
        <v>45330</v>
      </c>
      <c r="D1798" s="4">
        <v>1.3</v>
      </c>
      <c r="E1798" s="4">
        <v>0.45</v>
      </c>
    </row>
    <row r="1799" spans="1:5" x14ac:dyDescent="0.25">
      <c r="A1799" s="4" t="s">
        <v>53</v>
      </c>
      <c r="B1799" s="4" t="s">
        <v>55</v>
      </c>
      <c r="C1799" s="5">
        <v>45330</v>
      </c>
      <c r="D1799" s="4">
        <v>1.3</v>
      </c>
      <c r="E1799" s="4">
        <v>0.45</v>
      </c>
    </row>
    <row r="1800" spans="1:5" x14ac:dyDescent="0.25">
      <c r="A1800" s="4" t="s">
        <v>53</v>
      </c>
      <c r="B1800" s="4" t="s">
        <v>55</v>
      </c>
      <c r="C1800" s="5">
        <v>45330</v>
      </c>
      <c r="D1800" s="4">
        <v>1.3</v>
      </c>
      <c r="E1800" s="4">
        <v>0.45</v>
      </c>
    </row>
    <row r="1801" spans="1:5" x14ac:dyDescent="0.25">
      <c r="A1801" s="4" t="s">
        <v>53</v>
      </c>
      <c r="B1801" s="4" t="s">
        <v>55</v>
      </c>
      <c r="C1801" s="5">
        <v>45330</v>
      </c>
      <c r="D1801" s="4">
        <v>1.3</v>
      </c>
      <c r="E1801" s="4">
        <v>0.45</v>
      </c>
    </row>
    <row r="1802" spans="1:5" x14ac:dyDescent="0.25">
      <c r="A1802" s="4" t="s">
        <v>53</v>
      </c>
      <c r="B1802" s="4" t="s">
        <v>55</v>
      </c>
      <c r="C1802" s="5">
        <v>45330</v>
      </c>
      <c r="D1802" s="4">
        <v>22.6</v>
      </c>
      <c r="E1802" s="4">
        <v>7.88</v>
      </c>
    </row>
    <row r="1803" spans="1:5" x14ac:dyDescent="0.25">
      <c r="A1803" s="4" t="s">
        <v>53</v>
      </c>
      <c r="B1803" s="4" t="s">
        <v>55</v>
      </c>
      <c r="C1803" s="5">
        <v>45335</v>
      </c>
      <c r="D1803" s="4">
        <v>30.5</v>
      </c>
      <c r="E1803" s="4">
        <v>10.62</v>
      </c>
    </row>
    <row r="1804" spans="1:5" x14ac:dyDescent="0.25">
      <c r="A1804" s="4" t="s">
        <v>53</v>
      </c>
      <c r="B1804" s="4" t="s">
        <v>55</v>
      </c>
      <c r="C1804" s="5">
        <v>45335</v>
      </c>
      <c r="D1804" s="4">
        <v>30.6</v>
      </c>
      <c r="E1804" s="4">
        <v>10.67</v>
      </c>
    </row>
    <row r="1805" spans="1:5" x14ac:dyDescent="0.25">
      <c r="A1805" s="4" t="s">
        <v>53</v>
      </c>
      <c r="B1805" s="4" t="s">
        <v>55</v>
      </c>
      <c r="C1805" s="5">
        <v>45337</v>
      </c>
      <c r="D1805" s="4">
        <v>11</v>
      </c>
      <c r="E1805" s="4">
        <v>3.83</v>
      </c>
    </row>
    <row r="1806" spans="1:5" x14ac:dyDescent="0.25">
      <c r="A1806" s="4" t="s">
        <v>53</v>
      </c>
      <c r="B1806" s="4" t="s">
        <v>55</v>
      </c>
      <c r="C1806" s="5">
        <v>45337</v>
      </c>
      <c r="D1806" s="4">
        <v>27.9</v>
      </c>
      <c r="E1806" s="4">
        <v>9.6999999999999993</v>
      </c>
    </row>
    <row r="1807" spans="1:5" x14ac:dyDescent="0.25">
      <c r="A1807" s="4" t="s">
        <v>53</v>
      </c>
      <c r="B1807" s="4" t="s">
        <v>55</v>
      </c>
      <c r="C1807" s="5">
        <v>45337</v>
      </c>
      <c r="D1807" s="4">
        <v>11.5</v>
      </c>
      <c r="E1807" s="4">
        <v>4</v>
      </c>
    </row>
    <row r="1808" spans="1:5" x14ac:dyDescent="0.25">
      <c r="A1808" s="4" t="s">
        <v>53</v>
      </c>
      <c r="B1808" s="4" t="s">
        <v>55</v>
      </c>
      <c r="C1808" s="5">
        <v>45337</v>
      </c>
      <c r="D1808" s="4">
        <v>11.5</v>
      </c>
      <c r="E1808" s="4">
        <v>4</v>
      </c>
    </row>
    <row r="1809" spans="1:5" x14ac:dyDescent="0.25">
      <c r="A1809" s="4" t="s">
        <v>53</v>
      </c>
      <c r="B1809" s="4" t="s">
        <v>55</v>
      </c>
      <c r="C1809" s="5">
        <v>45337</v>
      </c>
      <c r="D1809" s="4">
        <v>11.5</v>
      </c>
      <c r="E1809" s="4">
        <v>4</v>
      </c>
    </row>
    <row r="1810" spans="1:5" x14ac:dyDescent="0.25">
      <c r="A1810" s="4" t="s">
        <v>53</v>
      </c>
      <c r="B1810" s="4" t="s">
        <v>55</v>
      </c>
      <c r="C1810" s="5">
        <v>45337</v>
      </c>
      <c r="D1810" s="4">
        <v>11.5</v>
      </c>
      <c r="E1810" s="4">
        <v>4</v>
      </c>
    </row>
    <row r="1811" spans="1:5" x14ac:dyDescent="0.25">
      <c r="A1811" s="4" t="s">
        <v>53</v>
      </c>
      <c r="B1811" s="4" t="s">
        <v>55</v>
      </c>
      <c r="C1811" s="5">
        <v>45337</v>
      </c>
      <c r="D1811" s="4">
        <v>14.4</v>
      </c>
      <c r="E1811" s="4">
        <v>5</v>
      </c>
    </row>
    <row r="1812" spans="1:5" x14ac:dyDescent="0.25">
      <c r="A1812" s="4" t="s">
        <v>53</v>
      </c>
      <c r="B1812" s="4" t="s">
        <v>55</v>
      </c>
      <c r="C1812" s="5">
        <v>45337</v>
      </c>
      <c r="D1812" s="4">
        <v>4.5</v>
      </c>
      <c r="E1812" s="4">
        <v>1.55</v>
      </c>
    </row>
    <row r="1813" spans="1:5" x14ac:dyDescent="0.25">
      <c r="A1813" s="4" t="s">
        <v>53</v>
      </c>
      <c r="B1813" s="4" t="s">
        <v>55</v>
      </c>
      <c r="C1813" s="5">
        <v>45337</v>
      </c>
      <c r="D1813" s="4">
        <v>9.9</v>
      </c>
      <c r="E1813" s="4">
        <v>3.45</v>
      </c>
    </row>
    <row r="1814" spans="1:5" x14ac:dyDescent="0.25">
      <c r="A1814" s="4" t="s">
        <v>53</v>
      </c>
      <c r="B1814" s="4" t="s">
        <v>55</v>
      </c>
      <c r="C1814" s="5">
        <v>45337</v>
      </c>
      <c r="D1814" s="4">
        <v>14.4</v>
      </c>
      <c r="E1814" s="4">
        <v>5</v>
      </c>
    </row>
    <row r="1815" spans="1:5" x14ac:dyDescent="0.25">
      <c r="A1815" s="4" t="s">
        <v>53</v>
      </c>
      <c r="B1815" s="4" t="s">
        <v>55</v>
      </c>
      <c r="C1815" s="5">
        <v>45337</v>
      </c>
      <c r="D1815" s="4">
        <v>2</v>
      </c>
      <c r="E1815" s="4">
        <v>0.69</v>
      </c>
    </row>
    <row r="1816" spans="1:5" x14ac:dyDescent="0.25">
      <c r="A1816" s="4" t="s">
        <v>53</v>
      </c>
      <c r="B1816" s="4" t="s">
        <v>55</v>
      </c>
      <c r="C1816" s="5">
        <v>45337</v>
      </c>
      <c r="D1816" s="4">
        <v>16.399999999999999</v>
      </c>
      <c r="E1816" s="4">
        <v>5.71</v>
      </c>
    </row>
    <row r="1817" spans="1:5" x14ac:dyDescent="0.25">
      <c r="A1817" s="4" t="s">
        <v>53</v>
      </c>
      <c r="B1817" s="4" t="s">
        <v>32</v>
      </c>
      <c r="C1817" s="5">
        <v>45329</v>
      </c>
      <c r="D1817" s="4">
        <v>0.9</v>
      </c>
      <c r="E1817" s="4">
        <v>0.31</v>
      </c>
    </row>
    <row r="1818" spans="1:5" x14ac:dyDescent="0.25">
      <c r="A1818" s="4" t="s">
        <v>53</v>
      </c>
      <c r="B1818" s="4" t="s">
        <v>32</v>
      </c>
      <c r="C1818" s="5">
        <v>45329</v>
      </c>
      <c r="D1818" s="4">
        <v>0.3</v>
      </c>
      <c r="E1818" s="4">
        <v>0.1</v>
      </c>
    </row>
    <row r="1819" spans="1:5" x14ac:dyDescent="0.25">
      <c r="A1819" s="4" t="s">
        <v>53</v>
      </c>
      <c r="B1819" s="4" t="s">
        <v>32</v>
      </c>
      <c r="C1819" s="5">
        <v>45329</v>
      </c>
      <c r="D1819" s="4">
        <v>42.7</v>
      </c>
      <c r="E1819" s="4">
        <v>14.86</v>
      </c>
    </row>
    <row r="1820" spans="1:5" x14ac:dyDescent="0.25">
      <c r="A1820" s="4" t="s">
        <v>53</v>
      </c>
      <c r="B1820" s="4" t="s">
        <v>32</v>
      </c>
      <c r="C1820" s="5">
        <v>45329</v>
      </c>
      <c r="D1820" s="4">
        <v>42.7</v>
      </c>
      <c r="E1820" s="4">
        <v>14.86</v>
      </c>
    </row>
    <row r="1821" spans="1:5" x14ac:dyDescent="0.25">
      <c r="A1821" s="4" t="s">
        <v>53</v>
      </c>
      <c r="B1821" s="4" t="s">
        <v>32</v>
      </c>
      <c r="C1821" s="5">
        <v>45329</v>
      </c>
      <c r="D1821" s="4">
        <v>31.3</v>
      </c>
      <c r="E1821" s="4">
        <v>10.86</v>
      </c>
    </row>
    <row r="1822" spans="1:5" x14ac:dyDescent="0.25">
      <c r="A1822" s="4" t="s">
        <v>53</v>
      </c>
      <c r="B1822" s="4" t="s">
        <v>32</v>
      </c>
      <c r="C1822" s="5">
        <v>45329</v>
      </c>
      <c r="D1822" s="4">
        <v>15.4</v>
      </c>
      <c r="E1822" s="4">
        <v>5.35</v>
      </c>
    </row>
    <row r="1823" spans="1:5" x14ac:dyDescent="0.25">
      <c r="A1823" s="4" t="s">
        <v>53</v>
      </c>
      <c r="B1823" s="4" t="s">
        <v>32</v>
      </c>
      <c r="C1823" s="5">
        <v>45329</v>
      </c>
      <c r="D1823" s="4">
        <v>1.2</v>
      </c>
      <c r="E1823" s="4">
        <v>0.41</v>
      </c>
    </row>
    <row r="1824" spans="1:5" x14ac:dyDescent="0.25">
      <c r="A1824" s="4" t="s">
        <v>53</v>
      </c>
      <c r="B1824" s="4" t="s">
        <v>32</v>
      </c>
      <c r="C1824" s="5">
        <v>45329</v>
      </c>
      <c r="D1824" s="4">
        <v>30.2</v>
      </c>
      <c r="E1824" s="4">
        <v>10.49</v>
      </c>
    </row>
    <row r="1825" spans="1:5" x14ac:dyDescent="0.25">
      <c r="A1825" s="4" t="s">
        <v>53</v>
      </c>
      <c r="B1825" s="4" t="s">
        <v>32</v>
      </c>
      <c r="C1825" s="5">
        <v>45329</v>
      </c>
      <c r="D1825" s="4">
        <v>15.4</v>
      </c>
      <c r="E1825" s="4">
        <v>5.35</v>
      </c>
    </row>
    <row r="1826" spans="1:5" x14ac:dyDescent="0.25">
      <c r="A1826" s="4" t="s">
        <v>53</v>
      </c>
      <c r="B1826" s="4" t="s">
        <v>32</v>
      </c>
      <c r="C1826" s="5">
        <v>45329</v>
      </c>
      <c r="D1826" s="4">
        <v>0.9</v>
      </c>
      <c r="E1826" s="4">
        <v>0.31</v>
      </c>
    </row>
    <row r="1827" spans="1:5" x14ac:dyDescent="0.25">
      <c r="A1827" s="4" t="s">
        <v>53</v>
      </c>
      <c r="B1827" s="4" t="s">
        <v>32</v>
      </c>
      <c r="C1827" s="5">
        <v>45329</v>
      </c>
      <c r="D1827" s="4">
        <v>0.9</v>
      </c>
      <c r="E1827" s="4">
        <v>0.31</v>
      </c>
    </row>
    <row r="1828" spans="1:5" x14ac:dyDescent="0.25">
      <c r="A1828" s="4" t="s">
        <v>53</v>
      </c>
      <c r="B1828" s="4" t="s">
        <v>32</v>
      </c>
      <c r="C1828" s="5">
        <v>45330</v>
      </c>
      <c r="D1828" s="4">
        <v>1.2</v>
      </c>
      <c r="E1828" s="4">
        <v>0.41</v>
      </c>
    </row>
    <row r="1829" spans="1:5" x14ac:dyDescent="0.25">
      <c r="A1829" s="4" t="s">
        <v>53</v>
      </c>
      <c r="B1829" s="4" t="s">
        <v>32</v>
      </c>
      <c r="C1829" s="5">
        <v>45330</v>
      </c>
      <c r="D1829" s="4">
        <v>42.7</v>
      </c>
      <c r="E1829" s="4">
        <v>14.86</v>
      </c>
    </row>
    <row r="1830" spans="1:5" x14ac:dyDescent="0.25">
      <c r="A1830" s="4" t="s">
        <v>53</v>
      </c>
      <c r="B1830" s="4" t="s">
        <v>32</v>
      </c>
      <c r="C1830" s="5">
        <v>45330</v>
      </c>
      <c r="D1830" s="4">
        <v>42.7</v>
      </c>
      <c r="E1830" s="4">
        <v>14.86</v>
      </c>
    </row>
    <row r="1831" spans="1:5" x14ac:dyDescent="0.25">
      <c r="A1831" s="4" t="s">
        <v>53</v>
      </c>
      <c r="B1831" s="4" t="s">
        <v>32</v>
      </c>
      <c r="C1831" s="5">
        <v>45330</v>
      </c>
      <c r="D1831" s="4">
        <v>42.7</v>
      </c>
      <c r="E1831" s="4">
        <v>14.86</v>
      </c>
    </row>
    <row r="1832" spans="1:5" x14ac:dyDescent="0.25">
      <c r="A1832" s="4" t="s">
        <v>53</v>
      </c>
      <c r="B1832" s="4" t="s">
        <v>32</v>
      </c>
      <c r="C1832" s="5">
        <v>45330</v>
      </c>
      <c r="D1832" s="4">
        <v>42.7</v>
      </c>
      <c r="E1832" s="4">
        <v>14.86</v>
      </c>
    </row>
    <row r="1833" spans="1:5" x14ac:dyDescent="0.25">
      <c r="A1833" s="4" t="s">
        <v>53</v>
      </c>
      <c r="B1833" s="4" t="s">
        <v>32</v>
      </c>
      <c r="C1833" s="5">
        <v>45330</v>
      </c>
      <c r="D1833" s="4">
        <v>42.7</v>
      </c>
      <c r="E1833" s="4">
        <v>14.86</v>
      </c>
    </row>
    <row r="1834" spans="1:5" x14ac:dyDescent="0.25">
      <c r="A1834" s="4" t="s">
        <v>53</v>
      </c>
      <c r="B1834" s="4" t="s">
        <v>32</v>
      </c>
      <c r="C1834" s="5">
        <v>45330</v>
      </c>
      <c r="D1834" s="4">
        <v>39.5</v>
      </c>
      <c r="E1834" s="4">
        <v>13.76</v>
      </c>
    </row>
    <row r="1835" spans="1:5" x14ac:dyDescent="0.25">
      <c r="A1835" s="4" t="s">
        <v>53</v>
      </c>
      <c r="B1835" s="4" t="s">
        <v>32</v>
      </c>
      <c r="C1835" s="5">
        <v>45334</v>
      </c>
      <c r="D1835" s="4">
        <v>30.6</v>
      </c>
      <c r="E1835" s="4">
        <v>10.67</v>
      </c>
    </row>
    <row r="1836" spans="1:5" x14ac:dyDescent="0.25">
      <c r="A1836" s="4" t="s">
        <v>53</v>
      </c>
      <c r="B1836" s="4" t="s">
        <v>32</v>
      </c>
      <c r="C1836" s="5">
        <v>45334</v>
      </c>
      <c r="D1836" s="4">
        <v>30.6</v>
      </c>
      <c r="E1836" s="4">
        <v>10.67</v>
      </c>
    </row>
    <row r="1837" spans="1:5" x14ac:dyDescent="0.25">
      <c r="A1837" s="4" t="s">
        <v>53</v>
      </c>
      <c r="B1837" s="4" t="s">
        <v>32</v>
      </c>
      <c r="C1837" s="5">
        <v>45336</v>
      </c>
      <c r="D1837" s="4">
        <v>41.3</v>
      </c>
      <c r="E1837" s="4">
        <v>14.36</v>
      </c>
    </row>
    <row r="1838" spans="1:5" x14ac:dyDescent="0.25">
      <c r="A1838" s="4" t="s">
        <v>53</v>
      </c>
      <c r="B1838" s="4" t="s">
        <v>32</v>
      </c>
      <c r="C1838" s="5">
        <v>45336</v>
      </c>
      <c r="D1838" s="4">
        <v>17.3</v>
      </c>
      <c r="E1838" s="4">
        <v>6.03</v>
      </c>
    </row>
    <row r="1839" spans="1:5" x14ac:dyDescent="0.25">
      <c r="A1839" s="4" t="s">
        <v>53</v>
      </c>
      <c r="B1839" s="4" t="s">
        <v>32</v>
      </c>
      <c r="C1839" s="5">
        <v>45336</v>
      </c>
      <c r="D1839" s="4">
        <v>17.3</v>
      </c>
      <c r="E1839" s="4">
        <v>6.03</v>
      </c>
    </row>
    <row r="1840" spans="1:5" x14ac:dyDescent="0.25">
      <c r="A1840" s="4" t="s">
        <v>53</v>
      </c>
      <c r="B1840" s="4" t="s">
        <v>32</v>
      </c>
      <c r="C1840" s="5">
        <v>45336</v>
      </c>
      <c r="D1840" s="4">
        <v>41.3</v>
      </c>
      <c r="E1840" s="4">
        <v>14.36</v>
      </c>
    </row>
    <row r="1841" spans="1:5" x14ac:dyDescent="0.25">
      <c r="A1841" s="4" t="s">
        <v>53</v>
      </c>
      <c r="B1841" s="4" t="s">
        <v>32</v>
      </c>
      <c r="C1841" s="5">
        <v>45336</v>
      </c>
      <c r="D1841" s="4">
        <v>26.2</v>
      </c>
      <c r="E1841" s="4">
        <v>9.1199999999999992</v>
      </c>
    </row>
    <row r="1842" spans="1:5" x14ac:dyDescent="0.25">
      <c r="A1842" s="4" t="s">
        <v>53</v>
      </c>
      <c r="B1842" s="4" t="s">
        <v>32</v>
      </c>
      <c r="C1842" s="5">
        <v>45336</v>
      </c>
      <c r="D1842" s="4">
        <v>67.5</v>
      </c>
      <c r="E1842" s="4">
        <v>23.49</v>
      </c>
    </row>
    <row r="1843" spans="1:5" x14ac:dyDescent="0.25">
      <c r="A1843" s="4" t="s">
        <v>53</v>
      </c>
      <c r="B1843" s="4" t="s">
        <v>32</v>
      </c>
      <c r="C1843" s="5">
        <v>45336</v>
      </c>
      <c r="D1843" s="4">
        <v>9.6</v>
      </c>
      <c r="E1843" s="4">
        <v>3.34</v>
      </c>
    </row>
    <row r="1844" spans="1:5" x14ac:dyDescent="0.25">
      <c r="A1844" s="4" t="s">
        <v>53</v>
      </c>
      <c r="B1844" s="4" t="s">
        <v>32</v>
      </c>
      <c r="C1844" s="5">
        <v>45336</v>
      </c>
      <c r="D1844" s="4">
        <v>20.3</v>
      </c>
      <c r="E1844" s="4">
        <v>7.06</v>
      </c>
    </row>
    <row r="1845" spans="1:5" x14ac:dyDescent="0.25">
      <c r="A1845" s="4" t="s">
        <v>53</v>
      </c>
      <c r="B1845" s="4" t="s">
        <v>32</v>
      </c>
      <c r="C1845" s="5">
        <v>45336</v>
      </c>
      <c r="D1845" s="4">
        <v>17.3</v>
      </c>
      <c r="E1845" s="4">
        <v>6.03</v>
      </c>
    </row>
    <row r="1846" spans="1:5" x14ac:dyDescent="0.25">
      <c r="A1846" s="4" t="s">
        <v>53</v>
      </c>
      <c r="B1846" s="4" t="s">
        <v>32</v>
      </c>
      <c r="C1846" s="5">
        <v>45336</v>
      </c>
      <c r="D1846" s="4">
        <v>67.5</v>
      </c>
      <c r="E1846" s="4">
        <v>23.48</v>
      </c>
    </row>
    <row r="1847" spans="1:5" x14ac:dyDescent="0.25">
      <c r="A1847" s="4" t="s">
        <v>53</v>
      </c>
      <c r="B1847" s="4" t="s">
        <v>32</v>
      </c>
      <c r="C1847" s="5">
        <v>45336</v>
      </c>
      <c r="D1847" s="4">
        <v>1.1000000000000001</v>
      </c>
      <c r="E1847" s="4">
        <v>0.38</v>
      </c>
    </row>
    <row r="1848" spans="1:5" x14ac:dyDescent="0.25">
      <c r="A1848" s="4" t="s">
        <v>53</v>
      </c>
      <c r="B1848" s="4" t="s">
        <v>32</v>
      </c>
      <c r="C1848" s="5">
        <v>45336</v>
      </c>
      <c r="D1848" s="4">
        <v>16</v>
      </c>
      <c r="E1848" s="4">
        <v>5.57</v>
      </c>
    </row>
    <row r="1849" spans="1:5" x14ac:dyDescent="0.25">
      <c r="A1849" s="4" t="s">
        <v>53</v>
      </c>
      <c r="B1849" s="4" t="s">
        <v>32</v>
      </c>
      <c r="C1849" s="5">
        <v>45337</v>
      </c>
      <c r="D1849" s="4">
        <v>18.7</v>
      </c>
      <c r="E1849" s="4">
        <v>6.52</v>
      </c>
    </row>
    <row r="1850" spans="1:5" x14ac:dyDescent="0.25">
      <c r="A1850" s="4" t="s">
        <v>53</v>
      </c>
      <c r="B1850" s="4" t="s">
        <v>32</v>
      </c>
      <c r="C1850" s="5">
        <v>45337</v>
      </c>
      <c r="D1850" s="4">
        <v>2.2999999999999998</v>
      </c>
      <c r="E1850" s="4">
        <v>0.79</v>
      </c>
    </row>
    <row r="1851" spans="1:5" x14ac:dyDescent="0.25">
      <c r="A1851" s="4" t="s">
        <v>53</v>
      </c>
      <c r="B1851" s="4" t="s">
        <v>32</v>
      </c>
      <c r="C1851" s="5">
        <v>45337</v>
      </c>
      <c r="D1851" s="4">
        <v>3.9</v>
      </c>
      <c r="E1851" s="4">
        <v>1.34</v>
      </c>
    </row>
    <row r="1852" spans="1:5" x14ac:dyDescent="0.25">
      <c r="A1852" s="4" t="s">
        <v>53</v>
      </c>
      <c r="B1852" s="4" t="s">
        <v>32</v>
      </c>
      <c r="C1852" s="5">
        <v>45337</v>
      </c>
      <c r="D1852" s="4">
        <v>1.2</v>
      </c>
      <c r="E1852" s="4">
        <v>0.41</v>
      </c>
    </row>
    <row r="1853" spans="1:5" x14ac:dyDescent="0.25">
      <c r="A1853" s="4" t="s">
        <v>53</v>
      </c>
      <c r="B1853" s="4" t="s">
        <v>32</v>
      </c>
      <c r="C1853" s="5">
        <v>45337</v>
      </c>
      <c r="D1853" s="4">
        <v>1.2</v>
      </c>
      <c r="E1853" s="4">
        <v>0.41</v>
      </c>
    </row>
    <row r="1854" spans="1:5" x14ac:dyDescent="0.25">
      <c r="A1854" s="4" t="s">
        <v>53</v>
      </c>
      <c r="B1854" s="4" t="s">
        <v>32</v>
      </c>
      <c r="C1854" s="5">
        <v>45337</v>
      </c>
      <c r="D1854" s="4">
        <v>1.2</v>
      </c>
      <c r="E1854" s="4">
        <v>0.41</v>
      </c>
    </row>
    <row r="1855" spans="1:5" x14ac:dyDescent="0.25">
      <c r="A1855" s="4" t="s">
        <v>53</v>
      </c>
      <c r="B1855" s="4" t="s">
        <v>32</v>
      </c>
      <c r="C1855" s="5">
        <v>45337</v>
      </c>
      <c r="D1855" s="4">
        <v>1.2</v>
      </c>
      <c r="E1855" s="4">
        <v>0.41</v>
      </c>
    </row>
    <row r="1856" spans="1:5" x14ac:dyDescent="0.25">
      <c r="A1856" s="4" t="s">
        <v>53</v>
      </c>
      <c r="B1856" s="4" t="s">
        <v>32</v>
      </c>
      <c r="C1856" s="5">
        <v>45337</v>
      </c>
      <c r="D1856" s="4">
        <v>1.2</v>
      </c>
      <c r="E1856" s="4">
        <v>0.41</v>
      </c>
    </row>
    <row r="1857" spans="1:5" x14ac:dyDescent="0.25">
      <c r="A1857" s="4" t="s">
        <v>53</v>
      </c>
      <c r="B1857" s="4" t="s">
        <v>32</v>
      </c>
      <c r="C1857" s="5">
        <v>45337</v>
      </c>
      <c r="D1857" s="4">
        <v>30.6</v>
      </c>
      <c r="E1857" s="4">
        <v>10.67</v>
      </c>
    </row>
    <row r="1858" spans="1:5" x14ac:dyDescent="0.25">
      <c r="A1858" s="4" t="s">
        <v>53</v>
      </c>
      <c r="B1858" s="4" t="s">
        <v>56</v>
      </c>
      <c r="C1858" s="5">
        <v>45308</v>
      </c>
      <c r="D1858" s="4">
        <v>9.6</v>
      </c>
      <c r="E1858" s="4">
        <v>2.91</v>
      </c>
    </row>
    <row r="1859" spans="1:5" x14ac:dyDescent="0.25">
      <c r="A1859" s="4" t="s">
        <v>53</v>
      </c>
      <c r="B1859" s="4" t="s">
        <v>56</v>
      </c>
      <c r="C1859" s="5">
        <v>45308</v>
      </c>
      <c r="D1859" s="4">
        <v>9.6</v>
      </c>
      <c r="E1859" s="4">
        <v>2.91</v>
      </c>
    </row>
    <row r="1860" spans="1:5" x14ac:dyDescent="0.25">
      <c r="A1860" s="4" t="s">
        <v>53</v>
      </c>
      <c r="B1860" s="4" t="s">
        <v>56</v>
      </c>
      <c r="C1860" s="5">
        <v>45308</v>
      </c>
      <c r="D1860" s="4">
        <v>8.9</v>
      </c>
      <c r="E1860" s="4">
        <v>2.69</v>
      </c>
    </row>
    <row r="1861" spans="1:5" x14ac:dyDescent="0.25">
      <c r="A1861" s="4" t="s">
        <v>53</v>
      </c>
      <c r="B1861" s="4" t="s">
        <v>56</v>
      </c>
      <c r="C1861" s="5">
        <v>45308</v>
      </c>
      <c r="D1861" s="4">
        <v>5.7</v>
      </c>
      <c r="E1861" s="4">
        <v>1.73</v>
      </c>
    </row>
    <row r="1862" spans="1:5" x14ac:dyDescent="0.25">
      <c r="A1862" s="4" t="s">
        <v>53</v>
      </c>
      <c r="B1862" s="4" t="s">
        <v>56</v>
      </c>
      <c r="C1862" s="5">
        <v>45308</v>
      </c>
      <c r="D1862" s="4">
        <v>6.4</v>
      </c>
      <c r="E1862" s="4">
        <v>1.92</v>
      </c>
    </row>
    <row r="1863" spans="1:5" x14ac:dyDescent="0.25">
      <c r="A1863" s="4" t="s">
        <v>53</v>
      </c>
      <c r="B1863" s="4" t="s">
        <v>56</v>
      </c>
      <c r="C1863" s="5">
        <v>45309</v>
      </c>
      <c r="D1863" s="4">
        <v>4.8</v>
      </c>
      <c r="E1863" s="4">
        <v>1.44</v>
      </c>
    </row>
    <row r="1864" spans="1:5" x14ac:dyDescent="0.25">
      <c r="A1864" s="4" t="s">
        <v>53</v>
      </c>
      <c r="B1864" s="4" t="s">
        <v>56</v>
      </c>
      <c r="C1864" s="5">
        <v>45309</v>
      </c>
      <c r="D1864" s="4">
        <v>9.6</v>
      </c>
      <c r="E1864" s="4">
        <v>2.91</v>
      </c>
    </row>
    <row r="1865" spans="1:5" x14ac:dyDescent="0.25">
      <c r="A1865" s="4" t="s">
        <v>53</v>
      </c>
      <c r="B1865" s="4" t="s">
        <v>56</v>
      </c>
      <c r="C1865" s="5">
        <v>45309</v>
      </c>
      <c r="D1865" s="4">
        <v>18.399999999999999</v>
      </c>
      <c r="E1865" s="4">
        <v>5.57</v>
      </c>
    </row>
    <row r="1866" spans="1:5" x14ac:dyDescent="0.25">
      <c r="A1866" s="4" t="s">
        <v>53</v>
      </c>
      <c r="B1866" s="4" t="s">
        <v>56</v>
      </c>
      <c r="C1866" s="5">
        <v>45309</v>
      </c>
      <c r="D1866" s="4">
        <v>5.7</v>
      </c>
      <c r="E1866" s="4">
        <v>1.73</v>
      </c>
    </row>
    <row r="1867" spans="1:5" x14ac:dyDescent="0.25">
      <c r="A1867" s="4" t="s">
        <v>53</v>
      </c>
      <c r="B1867" s="4" t="s">
        <v>56</v>
      </c>
      <c r="C1867" s="5">
        <v>45309</v>
      </c>
      <c r="D1867" s="4">
        <v>13.1</v>
      </c>
      <c r="E1867" s="4">
        <v>3.96</v>
      </c>
    </row>
    <row r="1868" spans="1:5" x14ac:dyDescent="0.25">
      <c r="A1868" s="4" t="s">
        <v>53</v>
      </c>
      <c r="B1868" s="4" t="s">
        <v>56</v>
      </c>
      <c r="C1868" s="5">
        <v>45309</v>
      </c>
      <c r="D1868" s="4">
        <v>9.6</v>
      </c>
      <c r="E1868" s="4">
        <v>2.91</v>
      </c>
    </row>
    <row r="1869" spans="1:5" x14ac:dyDescent="0.25">
      <c r="A1869" s="4" t="s">
        <v>53</v>
      </c>
      <c r="B1869" s="4" t="s">
        <v>56</v>
      </c>
      <c r="C1869" s="5">
        <v>45309</v>
      </c>
      <c r="D1869" s="4">
        <v>8.6999999999999993</v>
      </c>
      <c r="E1869" s="4">
        <v>2.63</v>
      </c>
    </row>
    <row r="1870" spans="1:5" x14ac:dyDescent="0.25">
      <c r="A1870" s="4" t="s">
        <v>53</v>
      </c>
      <c r="B1870" s="4" t="s">
        <v>56</v>
      </c>
      <c r="C1870" s="5">
        <v>45309</v>
      </c>
      <c r="D1870" s="4">
        <v>5.7</v>
      </c>
      <c r="E1870" s="4">
        <v>1.73</v>
      </c>
    </row>
    <row r="1871" spans="1:5" x14ac:dyDescent="0.25">
      <c r="A1871" s="4" t="s">
        <v>53</v>
      </c>
      <c r="B1871" s="4" t="s">
        <v>56</v>
      </c>
      <c r="C1871" s="5">
        <v>45309</v>
      </c>
      <c r="D1871" s="4">
        <v>3.4</v>
      </c>
      <c r="E1871" s="4">
        <v>1.02</v>
      </c>
    </row>
    <row r="1872" spans="1:5" x14ac:dyDescent="0.25">
      <c r="A1872" s="4" t="s">
        <v>53</v>
      </c>
      <c r="B1872" s="4" t="s">
        <v>56</v>
      </c>
      <c r="C1872" s="5">
        <v>45310</v>
      </c>
      <c r="D1872" s="4">
        <v>9.6999999999999993</v>
      </c>
      <c r="E1872" s="4">
        <v>2.94</v>
      </c>
    </row>
    <row r="1873" spans="1:5" x14ac:dyDescent="0.25">
      <c r="A1873" s="4" t="s">
        <v>53</v>
      </c>
      <c r="B1873" s="4" t="s">
        <v>56</v>
      </c>
      <c r="C1873" s="5">
        <v>45310</v>
      </c>
      <c r="D1873" s="4">
        <v>9.6</v>
      </c>
      <c r="E1873" s="4">
        <v>2.91</v>
      </c>
    </row>
    <row r="1874" spans="1:5" x14ac:dyDescent="0.25">
      <c r="A1874" s="4" t="s">
        <v>53</v>
      </c>
      <c r="B1874" s="4" t="s">
        <v>56</v>
      </c>
      <c r="C1874" s="5">
        <v>45310</v>
      </c>
      <c r="D1874" s="4">
        <v>8.6999999999999993</v>
      </c>
      <c r="E1874" s="4">
        <v>2.63</v>
      </c>
    </row>
    <row r="1875" spans="1:5" x14ac:dyDescent="0.25">
      <c r="A1875" s="4" t="s">
        <v>53</v>
      </c>
      <c r="B1875" s="4" t="s">
        <v>56</v>
      </c>
      <c r="C1875" s="5">
        <v>45310</v>
      </c>
      <c r="D1875" s="4">
        <v>5.7</v>
      </c>
      <c r="E1875" s="4">
        <v>1.73</v>
      </c>
    </row>
    <row r="1876" spans="1:5" x14ac:dyDescent="0.25">
      <c r="A1876" s="4" t="s">
        <v>53</v>
      </c>
      <c r="B1876" s="4" t="s">
        <v>56</v>
      </c>
      <c r="C1876" s="5">
        <v>45310</v>
      </c>
      <c r="D1876" s="4">
        <v>6.4</v>
      </c>
      <c r="E1876" s="4">
        <v>1.92</v>
      </c>
    </row>
    <row r="1877" spans="1:5" x14ac:dyDescent="0.25">
      <c r="A1877" s="4" t="s">
        <v>53</v>
      </c>
      <c r="B1877" s="4" t="s">
        <v>56</v>
      </c>
      <c r="C1877" s="5">
        <v>45310</v>
      </c>
      <c r="D1877" s="4">
        <v>4.8</v>
      </c>
      <c r="E1877" s="4">
        <v>1.44</v>
      </c>
    </row>
    <row r="1878" spans="1:5" x14ac:dyDescent="0.25">
      <c r="A1878" s="4" t="s">
        <v>53</v>
      </c>
      <c r="B1878" s="4" t="s">
        <v>15</v>
      </c>
      <c r="C1878" s="5">
        <v>45307</v>
      </c>
      <c r="D1878" s="4">
        <v>28.2</v>
      </c>
      <c r="E1878" s="4">
        <v>9.09</v>
      </c>
    </row>
    <row r="1879" spans="1:5" x14ac:dyDescent="0.25">
      <c r="A1879" s="4" t="s">
        <v>53</v>
      </c>
      <c r="B1879" s="4" t="s">
        <v>15</v>
      </c>
      <c r="C1879" s="5">
        <v>45307</v>
      </c>
      <c r="D1879" s="4">
        <v>33.5</v>
      </c>
      <c r="E1879" s="4">
        <v>10.81</v>
      </c>
    </row>
    <row r="1880" spans="1:5" x14ac:dyDescent="0.25">
      <c r="A1880" s="4" t="s">
        <v>53</v>
      </c>
      <c r="B1880" s="4" t="s">
        <v>15</v>
      </c>
      <c r="C1880" s="5">
        <v>45307</v>
      </c>
      <c r="D1880" s="4">
        <v>36.6</v>
      </c>
      <c r="E1880" s="4">
        <v>11.84</v>
      </c>
    </row>
    <row r="1881" spans="1:5" x14ac:dyDescent="0.25">
      <c r="A1881" s="4" t="s">
        <v>53</v>
      </c>
      <c r="B1881" s="4" t="s">
        <v>15</v>
      </c>
      <c r="C1881" s="5">
        <v>45307</v>
      </c>
      <c r="D1881" s="4">
        <v>33.5</v>
      </c>
      <c r="E1881" s="4">
        <v>10.81</v>
      </c>
    </row>
    <row r="1882" spans="1:5" x14ac:dyDescent="0.25">
      <c r="A1882" s="4" t="s">
        <v>53</v>
      </c>
      <c r="B1882" s="4" t="s">
        <v>15</v>
      </c>
      <c r="C1882" s="5">
        <v>45307</v>
      </c>
      <c r="D1882" s="4">
        <v>33.5</v>
      </c>
      <c r="E1882" s="4">
        <v>10.81</v>
      </c>
    </row>
    <row r="1883" spans="1:5" x14ac:dyDescent="0.25">
      <c r="A1883" s="4" t="s">
        <v>53</v>
      </c>
      <c r="B1883" s="4" t="s">
        <v>15</v>
      </c>
      <c r="C1883" s="5">
        <v>45307</v>
      </c>
      <c r="D1883" s="4">
        <v>33.5</v>
      </c>
      <c r="E1883" s="4">
        <v>10.81</v>
      </c>
    </row>
    <row r="1884" spans="1:5" x14ac:dyDescent="0.25">
      <c r="A1884" s="4" t="s">
        <v>53</v>
      </c>
      <c r="B1884" s="4" t="s">
        <v>15</v>
      </c>
      <c r="C1884" s="5">
        <v>45307</v>
      </c>
      <c r="D1884" s="4">
        <v>33.5</v>
      </c>
      <c r="E1884" s="4">
        <v>10.81</v>
      </c>
    </row>
    <row r="1885" spans="1:5" x14ac:dyDescent="0.25">
      <c r="A1885" s="4" t="s">
        <v>53</v>
      </c>
      <c r="B1885" s="4" t="s">
        <v>15</v>
      </c>
      <c r="C1885" s="5">
        <v>45307</v>
      </c>
      <c r="D1885" s="4">
        <v>38.5</v>
      </c>
      <c r="E1885" s="4">
        <v>12.47</v>
      </c>
    </row>
    <row r="1886" spans="1:5" x14ac:dyDescent="0.25">
      <c r="A1886" s="4" t="s">
        <v>53</v>
      </c>
      <c r="B1886" s="4" t="s">
        <v>15</v>
      </c>
      <c r="C1886" s="5">
        <v>45308</v>
      </c>
      <c r="D1886" s="4">
        <v>24.8</v>
      </c>
      <c r="E1886" s="4">
        <v>8</v>
      </c>
    </row>
    <row r="1887" spans="1:5" x14ac:dyDescent="0.25">
      <c r="A1887" s="4" t="s">
        <v>53</v>
      </c>
      <c r="B1887" s="4" t="s">
        <v>15</v>
      </c>
      <c r="C1887" s="5">
        <v>45308</v>
      </c>
      <c r="D1887" s="4">
        <v>33.5</v>
      </c>
      <c r="E1887" s="4">
        <v>10.81</v>
      </c>
    </row>
    <row r="1888" spans="1:5" x14ac:dyDescent="0.25">
      <c r="A1888" s="4" t="s">
        <v>53</v>
      </c>
      <c r="B1888" s="4" t="s">
        <v>15</v>
      </c>
      <c r="C1888" s="5">
        <v>45308</v>
      </c>
      <c r="D1888" s="4">
        <v>25.7</v>
      </c>
      <c r="E1888" s="4">
        <v>8.31</v>
      </c>
    </row>
    <row r="1889" spans="1:5" x14ac:dyDescent="0.25">
      <c r="A1889" s="4" t="s">
        <v>53</v>
      </c>
      <c r="B1889" s="4" t="s">
        <v>15</v>
      </c>
      <c r="C1889" s="5">
        <v>45308</v>
      </c>
      <c r="D1889" s="4">
        <v>8.4</v>
      </c>
      <c r="E1889" s="4">
        <v>2.68</v>
      </c>
    </row>
    <row r="1890" spans="1:5" x14ac:dyDescent="0.25">
      <c r="A1890" s="4" t="s">
        <v>53</v>
      </c>
      <c r="B1890" s="4" t="s">
        <v>15</v>
      </c>
      <c r="C1890" s="5">
        <v>45308</v>
      </c>
      <c r="D1890" s="4">
        <v>38.5</v>
      </c>
      <c r="E1890" s="4">
        <v>12.47</v>
      </c>
    </row>
    <row r="1891" spans="1:5" x14ac:dyDescent="0.25">
      <c r="A1891" s="4" t="s">
        <v>53</v>
      </c>
      <c r="B1891" s="4" t="s">
        <v>15</v>
      </c>
      <c r="C1891" s="5">
        <v>45310</v>
      </c>
      <c r="D1891" s="4">
        <v>13.8</v>
      </c>
      <c r="E1891" s="4">
        <v>4.47</v>
      </c>
    </row>
    <row r="1892" spans="1:5" x14ac:dyDescent="0.25">
      <c r="A1892" s="4" t="s">
        <v>53</v>
      </c>
      <c r="B1892" s="4" t="s">
        <v>15</v>
      </c>
      <c r="C1892" s="5">
        <v>45310</v>
      </c>
      <c r="D1892" s="4">
        <v>11.7</v>
      </c>
      <c r="E1892" s="4">
        <v>3.79</v>
      </c>
    </row>
    <row r="1893" spans="1:5" x14ac:dyDescent="0.25">
      <c r="A1893" s="4" t="s">
        <v>53</v>
      </c>
      <c r="B1893" s="4" t="s">
        <v>15</v>
      </c>
      <c r="C1893" s="5">
        <v>45310</v>
      </c>
      <c r="D1893" s="4">
        <v>10.9</v>
      </c>
      <c r="E1893" s="4">
        <v>3.53</v>
      </c>
    </row>
    <row r="1894" spans="1:5" x14ac:dyDescent="0.25">
      <c r="A1894" s="4" t="s">
        <v>53</v>
      </c>
      <c r="B1894" s="4" t="s">
        <v>15</v>
      </c>
      <c r="C1894" s="5">
        <v>45310</v>
      </c>
      <c r="D1894" s="4">
        <v>11.7</v>
      </c>
      <c r="E1894" s="4">
        <v>3.79</v>
      </c>
    </row>
    <row r="1895" spans="1:5" x14ac:dyDescent="0.25">
      <c r="A1895" s="4" t="s">
        <v>53</v>
      </c>
      <c r="B1895" s="4" t="s">
        <v>15</v>
      </c>
      <c r="C1895" s="5">
        <v>45310</v>
      </c>
      <c r="D1895" s="4">
        <v>10.9</v>
      </c>
      <c r="E1895" s="4">
        <v>3.53</v>
      </c>
    </row>
    <row r="1896" spans="1:5" x14ac:dyDescent="0.25">
      <c r="A1896" s="4" t="s">
        <v>53</v>
      </c>
      <c r="B1896" s="4" t="s">
        <v>15</v>
      </c>
      <c r="C1896" s="5">
        <v>45310</v>
      </c>
      <c r="D1896" s="4">
        <v>11.7</v>
      </c>
      <c r="E1896" s="4">
        <v>3.79</v>
      </c>
    </row>
    <row r="1897" spans="1:5" x14ac:dyDescent="0.25">
      <c r="A1897" s="4" t="s">
        <v>53</v>
      </c>
      <c r="B1897" s="4" t="s">
        <v>15</v>
      </c>
      <c r="C1897" s="5">
        <v>45310</v>
      </c>
      <c r="D1897" s="4">
        <v>10.9</v>
      </c>
      <c r="E1897" s="4">
        <v>3.53</v>
      </c>
    </row>
    <row r="1898" spans="1:5" x14ac:dyDescent="0.25">
      <c r="A1898" s="4" t="s">
        <v>53</v>
      </c>
      <c r="B1898" s="4" t="s">
        <v>15</v>
      </c>
      <c r="C1898" s="5">
        <v>45310</v>
      </c>
      <c r="D1898" s="4">
        <v>11.7</v>
      </c>
      <c r="E1898" s="4">
        <v>3.79</v>
      </c>
    </row>
    <row r="1899" spans="1:5" x14ac:dyDescent="0.25">
      <c r="A1899" s="4" t="s">
        <v>53</v>
      </c>
      <c r="B1899" s="4" t="s">
        <v>15</v>
      </c>
      <c r="C1899" s="5">
        <v>45310</v>
      </c>
      <c r="D1899" s="4">
        <v>10.9</v>
      </c>
      <c r="E1899" s="4">
        <v>3.53</v>
      </c>
    </row>
    <row r="1900" spans="1:5" x14ac:dyDescent="0.25">
      <c r="A1900" s="4" t="s">
        <v>53</v>
      </c>
      <c r="B1900" s="4" t="s">
        <v>15</v>
      </c>
      <c r="C1900" s="5">
        <v>45310</v>
      </c>
      <c r="D1900" s="4">
        <v>11.7</v>
      </c>
      <c r="E1900" s="4">
        <v>3.79</v>
      </c>
    </row>
    <row r="1901" spans="1:5" x14ac:dyDescent="0.25">
      <c r="A1901" s="4" t="s">
        <v>53</v>
      </c>
      <c r="B1901" s="4" t="s">
        <v>15</v>
      </c>
      <c r="C1901" s="5">
        <v>45310</v>
      </c>
      <c r="D1901" s="4">
        <v>8.6999999999999993</v>
      </c>
      <c r="E1901" s="4">
        <v>2.82</v>
      </c>
    </row>
    <row r="1902" spans="1:5" x14ac:dyDescent="0.25">
      <c r="A1902" s="4" t="s">
        <v>53</v>
      </c>
      <c r="B1902" s="4" t="s">
        <v>15</v>
      </c>
      <c r="C1902" s="5">
        <v>45313</v>
      </c>
      <c r="D1902" s="4">
        <v>24.8</v>
      </c>
      <c r="E1902" s="4">
        <v>8</v>
      </c>
    </row>
    <row r="1903" spans="1:5" x14ac:dyDescent="0.25">
      <c r="A1903" s="4" t="s">
        <v>53</v>
      </c>
      <c r="B1903" s="4" t="s">
        <v>15</v>
      </c>
      <c r="C1903" s="5">
        <v>45313</v>
      </c>
      <c r="D1903" s="4">
        <v>18.600000000000001</v>
      </c>
      <c r="E1903" s="4">
        <v>6.02</v>
      </c>
    </row>
    <row r="1904" spans="1:5" x14ac:dyDescent="0.25">
      <c r="A1904" s="4" t="s">
        <v>53</v>
      </c>
      <c r="B1904" s="4" t="s">
        <v>15</v>
      </c>
      <c r="C1904" s="5">
        <v>45313</v>
      </c>
      <c r="D1904" s="4">
        <v>1.9</v>
      </c>
      <c r="E1904" s="4">
        <v>0.62</v>
      </c>
    </row>
    <row r="1905" spans="1:5" x14ac:dyDescent="0.25">
      <c r="A1905" s="4" t="s">
        <v>53</v>
      </c>
      <c r="B1905" s="4" t="s">
        <v>15</v>
      </c>
      <c r="C1905" s="5">
        <v>45313</v>
      </c>
      <c r="D1905" s="4">
        <v>58.8</v>
      </c>
      <c r="E1905" s="4">
        <v>19.05</v>
      </c>
    </row>
    <row r="1906" spans="1:5" x14ac:dyDescent="0.25">
      <c r="A1906" s="4" t="s">
        <v>53</v>
      </c>
      <c r="B1906" s="4" t="s">
        <v>15</v>
      </c>
      <c r="C1906" s="5">
        <v>45313</v>
      </c>
      <c r="D1906" s="4">
        <v>3.6</v>
      </c>
      <c r="E1906" s="4">
        <v>1.17</v>
      </c>
    </row>
    <row r="1907" spans="1:5" x14ac:dyDescent="0.25">
      <c r="A1907" s="4" t="s">
        <v>53</v>
      </c>
      <c r="B1907" s="4" t="s">
        <v>15</v>
      </c>
      <c r="C1907" s="5">
        <v>45314</v>
      </c>
      <c r="D1907" s="4">
        <v>56.4</v>
      </c>
      <c r="E1907" s="4">
        <v>18.22</v>
      </c>
    </row>
    <row r="1908" spans="1:5" x14ac:dyDescent="0.25">
      <c r="A1908" s="4" t="s">
        <v>53</v>
      </c>
      <c r="B1908" s="4" t="s">
        <v>15</v>
      </c>
      <c r="C1908" s="5">
        <v>45314</v>
      </c>
      <c r="D1908" s="4">
        <v>33.5</v>
      </c>
      <c r="E1908" s="4">
        <v>10.81</v>
      </c>
    </row>
    <row r="1909" spans="1:5" x14ac:dyDescent="0.25">
      <c r="A1909" s="4" t="s">
        <v>53</v>
      </c>
      <c r="B1909" s="4" t="s">
        <v>15</v>
      </c>
      <c r="C1909" s="5">
        <v>45314</v>
      </c>
      <c r="D1909" s="4">
        <v>33.5</v>
      </c>
      <c r="E1909" s="4">
        <v>10.81</v>
      </c>
    </row>
    <row r="1910" spans="1:5" x14ac:dyDescent="0.25">
      <c r="A1910" s="4" t="s">
        <v>53</v>
      </c>
      <c r="B1910" s="4" t="s">
        <v>15</v>
      </c>
      <c r="C1910" s="5">
        <v>45314</v>
      </c>
      <c r="D1910" s="4">
        <v>5.2</v>
      </c>
      <c r="E1910" s="4">
        <v>1.65</v>
      </c>
    </row>
    <row r="1911" spans="1:5" x14ac:dyDescent="0.25">
      <c r="A1911" s="4" t="s">
        <v>53</v>
      </c>
      <c r="B1911" s="4" t="s">
        <v>15</v>
      </c>
      <c r="C1911" s="5">
        <v>45314</v>
      </c>
      <c r="D1911" s="4">
        <v>3.5</v>
      </c>
      <c r="E1911" s="4">
        <v>1.1200000000000001</v>
      </c>
    </row>
    <row r="1912" spans="1:5" x14ac:dyDescent="0.25">
      <c r="A1912" s="4" t="s">
        <v>53</v>
      </c>
      <c r="B1912" s="4" t="s">
        <v>15</v>
      </c>
      <c r="C1912" s="5">
        <v>45315</v>
      </c>
      <c r="D1912" s="4">
        <v>27.9</v>
      </c>
      <c r="E1912" s="4">
        <v>9.0299999999999994</v>
      </c>
    </row>
    <row r="1913" spans="1:5" x14ac:dyDescent="0.25">
      <c r="A1913" s="4" t="s">
        <v>53</v>
      </c>
      <c r="B1913" s="4" t="s">
        <v>15</v>
      </c>
      <c r="C1913" s="5">
        <v>45315</v>
      </c>
      <c r="D1913" s="4">
        <v>38.5</v>
      </c>
      <c r="E1913" s="4">
        <v>12.47</v>
      </c>
    </row>
    <row r="1914" spans="1:5" x14ac:dyDescent="0.25">
      <c r="A1914" s="4" t="s">
        <v>53</v>
      </c>
      <c r="B1914" s="4" t="s">
        <v>15</v>
      </c>
      <c r="C1914" s="5">
        <v>45315</v>
      </c>
      <c r="D1914" s="4">
        <v>48</v>
      </c>
      <c r="E1914" s="4">
        <v>15.54</v>
      </c>
    </row>
    <row r="1915" spans="1:5" x14ac:dyDescent="0.25">
      <c r="A1915" s="4" t="s">
        <v>53</v>
      </c>
      <c r="B1915" s="4" t="s">
        <v>15</v>
      </c>
      <c r="C1915" s="5">
        <v>45315</v>
      </c>
      <c r="D1915" s="4">
        <v>8.4</v>
      </c>
      <c r="E1915" s="4">
        <v>2.68</v>
      </c>
    </row>
    <row r="1916" spans="1:5" x14ac:dyDescent="0.25">
      <c r="A1916" s="4" t="s">
        <v>53</v>
      </c>
      <c r="B1916" s="4" t="s">
        <v>15</v>
      </c>
      <c r="C1916" s="5">
        <v>45315</v>
      </c>
      <c r="D1916" s="4">
        <v>23.6</v>
      </c>
      <c r="E1916" s="4">
        <v>7.64</v>
      </c>
    </row>
    <row r="1917" spans="1:5" x14ac:dyDescent="0.25">
      <c r="A1917" s="4" t="s">
        <v>53</v>
      </c>
      <c r="B1917" s="4" t="s">
        <v>15</v>
      </c>
      <c r="C1917" s="5">
        <v>45315</v>
      </c>
      <c r="D1917" s="4">
        <v>13</v>
      </c>
      <c r="E1917" s="4">
        <v>4.2</v>
      </c>
    </row>
    <row r="1918" spans="1:5" x14ac:dyDescent="0.25">
      <c r="A1918" s="4" t="s">
        <v>53</v>
      </c>
      <c r="B1918" s="4" t="s">
        <v>15</v>
      </c>
      <c r="C1918" s="5">
        <v>45315</v>
      </c>
      <c r="D1918" s="4">
        <v>38.5</v>
      </c>
      <c r="E1918" s="4">
        <v>12.47</v>
      </c>
    </row>
    <row r="1919" spans="1:5" x14ac:dyDescent="0.25">
      <c r="A1919" s="4" t="s">
        <v>53</v>
      </c>
      <c r="B1919" s="4" t="s">
        <v>15</v>
      </c>
      <c r="C1919" s="5">
        <v>45316</v>
      </c>
      <c r="D1919" s="4">
        <v>24.8</v>
      </c>
      <c r="E1919" s="4">
        <v>8</v>
      </c>
    </row>
    <row r="1920" spans="1:5" x14ac:dyDescent="0.25">
      <c r="A1920" s="4" t="s">
        <v>53</v>
      </c>
      <c r="B1920" s="4" t="s">
        <v>15</v>
      </c>
      <c r="C1920" s="5">
        <v>45316</v>
      </c>
      <c r="D1920" s="4">
        <v>33.5</v>
      </c>
      <c r="E1920" s="4">
        <v>10.81</v>
      </c>
    </row>
    <row r="1921" spans="1:5" x14ac:dyDescent="0.25">
      <c r="A1921" s="4" t="s">
        <v>53</v>
      </c>
      <c r="B1921" s="4" t="s">
        <v>15</v>
      </c>
      <c r="C1921" s="5">
        <v>45316</v>
      </c>
      <c r="D1921" s="4">
        <v>65.099999999999994</v>
      </c>
      <c r="E1921" s="4">
        <v>21.03</v>
      </c>
    </row>
    <row r="1922" spans="1:5" x14ac:dyDescent="0.25">
      <c r="A1922" s="4" t="s">
        <v>53</v>
      </c>
      <c r="B1922" s="4" t="s">
        <v>15</v>
      </c>
      <c r="C1922" s="5">
        <v>45316</v>
      </c>
      <c r="D1922" s="4">
        <v>24.8</v>
      </c>
      <c r="E1922" s="4">
        <v>8</v>
      </c>
    </row>
    <row r="1923" spans="1:5" x14ac:dyDescent="0.25">
      <c r="A1923" s="4" t="s">
        <v>53</v>
      </c>
      <c r="B1923" s="4" t="s">
        <v>15</v>
      </c>
      <c r="C1923" s="5">
        <v>45317</v>
      </c>
      <c r="D1923" s="4">
        <v>59.5</v>
      </c>
      <c r="E1923" s="4">
        <v>19.25</v>
      </c>
    </row>
    <row r="1924" spans="1:5" x14ac:dyDescent="0.25">
      <c r="A1924" s="4" t="s">
        <v>53</v>
      </c>
      <c r="B1924" s="4" t="s">
        <v>15</v>
      </c>
      <c r="C1924" s="5">
        <v>45317</v>
      </c>
      <c r="D1924" s="4">
        <v>23.6</v>
      </c>
      <c r="E1924" s="4">
        <v>7.64</v>
      </c>
    </row>
    <row r="1925" spans="1:5" x14ac:dyDescent="0.25">
      <c r="A1925" s="4" t="s">
        <v>53</v>
      </c>
      <c r="B1925" s="4" t="s">
        <v>15</v>
      </c>
      <c r="C1925" s="5">
        <v>45317</v>
      </c>
      <c r="D1925" s="4">
        <v>2.9</v>
      </c>
      <c r="E1925" s="4">
        <v>0.94</v>
      </c>
    </row>
    <row r="1926" spans="1:5" x14ac:dyDescent="0.25">
      <c r="A1926" s="4" t="s">
        <v>53</v>
      </c>
      <c r="B1926" s="4" t="s">
        <v>15</v>
      </c>
      <c r="C1926" s="5">
        <v>45317</v>
      </c>
      <c r="D1926" s="4">
        <v>9.8000000000000007</v>
      </c>
      <c r="E1926" s="4">
        <v>3.17</v>
      </c>
    </row>
    <row r="1927" spans="1:5" x14ac:dyDescent="0.25">
      <c r="A1927" s="4" t="s">
        <v>53</v>
      </c>
      <c r="B1927" s="4" t="s">
        <v>15</v>
      </c>
      <c r="C1927" s="5">
        <v>45317</v>
      </c>
      <c r="D1927" s="4">
        <v>3.6</v>
      </c>
      <c r="E1927" s="4">
        <v>1.1599999999999999</v>
      </c>
    </row>
    <row r="1928" spans="1:5" x14ac:dyDescent="0.25">
      <c r="A1928" s="4" t="s">
        <v>53</v>
      </c>
      <c r="B1928" s="4" t="s">
        <v>15</v>
      </c>
      <c r="C1928" s="5">
        <v>45317</v>
      </c>
      <c r="D1928" s="4">
        <v>8.6999999999999993</v>
      </c>
      <c r="E1928" s="4">
        <v>2.82</v>
      </c>
    </row>
    <row r="1929" spans="1:5" x14ac:dyDescent="0.25">
      <c r="A1929" s="4" t="s">
        <v>53</v>
      </c>
      <c r="B1929" s="4" t="s">
        <v>15</v>
      </c>
      <c r="C1929" s="5">
        <v>45320</v>
      </c>
      <c r="D1929" s="4">
        <v>56.4</v>
      </c>
      <c r="E1929" s="4">
        <v>18.22</v>
      </c>
    </row>
    <row r="1930" spans="1:5" x14ac:dyDescent="0.25">
      <c r="A1930" s="4" t="s">
        <v>53</v>
      </c>
      <c r="B1930" s="4" t="s">
        <v>15</v>
      </c>
      <c r="C1930" s="5">
        <v>45320</v>
      </c>
      <c r="D1930" s="4">
        <v>36.6</v>
      </c>
      <c r="E1930" s="4">
        <v>11.84</v>
      </c>
    </row>
    <row r="1931" spans="1:5" x14ac:dyDescent="0.25">
      <c r="A1931" s="4" t="s">
        <v>53</v>
      </c>
      <c r="B1931" s="4" t="s">
        <v>15</v>
      </c>
      <c r="C1931" s="5">
        <v>45320</v>
      </c>
      <c r="D1931" s="4">
        <v>33.5</v>
      </c>
      <c r="E1931" s="4">
        <v>10.81</v>
      </c>
    </row>
    <row r="1932" spans="1:5" x14ac:dyDescent="0.25">
      <c r="A1932" s="4" t="s">
        <v>53</v>
      </c>
      <c r="B1932" s="4" t="s">
        <v>15</v>
      </c>
      <c r="C1932" s="5">
        <v>45320</v>
      </c>
      <c r="D1932" s="4">
        <v>33.5</v>
      </c>
      <c r="E1932" s="4">
        <v>10.81</v>
      </c>
    </row>
    <row r="1933" spans="1:5" x14ac:dyDescent="0.25">
      <c r="A1933" s="4" t="s">
        <v>53</v>
      </c>
      <c r="B1933" s="4" t="s">
        <v>15</v>
      </c>
      <c r="C1933" s="5">
        <v>45320</v>
      </c>
      <c r="D1933" s="4">
        <v>24.8</v>
      </c>
      <c r="E1933" s="4">
        <v>8</v>
      </c>
    </row>
    <row r="1934" spans="1:5" x14ac:dyDescent="0.25">
      <c r="A1934" s="4" t="s">
        <v>53</v>
      </c>
      <c r="B1934" s="4" t="s">
        <v>15</v>
      </c>
      <c r="C1934" s="5">
        <v>45321</v>
      </c>
      <c r="D1934" s="4">
        <v>26.2</v>
      </c>
      <c r="E1934" s="4">
        <v>8.49</v>
      </c>
    </row>
    <row r="1935" spans="1:5" x14ac:dyDescent="0.25">
      <c r="A1935" s="4" t="s">
        <v>53</v>
      </c>
      <c r="B1935" s="4" t="s">
        <v>15</v>
      </c>
      <c r="C1935" s="5">
        <v>45321</v>
      </c>
      <c r="D1935" s="4">
        <v>32.4</v>
      </c>
      <c r="E1935" s="4">
        <v>10.45</v>
      </c>
    </row>
    <row r="1936" spans="1:5" x14ac:dyDescent="0.25">
      <c r="A1936" s="4" t="s">
        <v>53</v>
      </c>
      <c r="B1936" s="4" t="s">
        <v>15</v>
      </c>
      <c r="C1936" s="5">
        <v>45321</v>
      </c>
      <c r="D1936" s="4">
        <v>38.5</v>
      </c>
      <c r="E1936" s="4">
        <v>12.47</v>
      </c>
    </row>
    <row r="1937" spans="1:5" x14ac:dyDescent="0.25">
      <c r="A1937" s="4" t="s">
        <v>53</v>
      </c>
      <c r="B1937" s="4" t="s">
        <v>15</v>
      </c>
      <c r="C1937" s="5">
        <v>45321</v>
      </c>
      <c r="D1937" s="4">
        <v>12</v>
      </c>
      <c r="E1937" s="4">
        <v>3.89</v>
      </c>
    </row>
    <row r="1938" spans="1:5" x14ac:dyDescent="0.25">
      <c r="A1938" s="4" t="s">
        <v>53</v>
      </c>
      <c r="B1938" s="4" t="s">
        <v>15</v>
      </c>
      <c r="C1938" s="5">
        <v>45321</v>
      </c>
      <c r="D1938" s="4">
        <v>49.4</v>
      </c>
      <c r="E1938" s="4">
        <v>15.99</v>
      </c>
    </row>
    <row r="1939" spans="1:5" x14ac:dyDescent="0.25">
      <c r="A1939" s="4" t="s">
        <v>53</v>
      </c>
      <c r="B1939" s="4" t="s">
        <v>15</v>
      </c>
      <c r="C1939" s="5">
        <v>45322</v>
      </c>
      <c r="D1939" s="4">
        <v>56.4</v>
      </c>
      <c r="E1939" s="4">
        <v>18.22</v>
      </c>
    </row>
    <row r="1940" spans="1:5" x14ac:dyDescent="0.25">
      <c r="A1940" s="4" t="s">
        <v>53</v>
      </c>
      <c r="B1940" s="4" t="s">
        <v>15</v>
      </c>
      <c r="C1940" s="5">
        <v>45322</v>
      </c>
      <c r="D1940" s="4">
        <v>12.8</v>
      </c>
      <c r="E1940" s="4">
        <v>4.1100000000000003</v>
      </c>
    </row>
    <row r="1941" spans="1:5" x14ac:dyDescent="0.25">
      <c r="A1941" s="4" t="s">
        <v>53</v>
      </c>
      <c r="B1941" s="4" t="s">
        <v>15</v>
      </c>
      <c r="C1941" s="5">
        <v>45322</v>
      </c>
      <c r="D1941" s="4">
        <v>44.4</v>
      </c>
      <c r="E1941" s="4">
        <v>14.33</v>
      </c>
    </row>
    <row r="1942" spans="1:5" x14ac:dyDescent="0.25">
      <c r="A1942" s="4" t="s">
        <v>53</v>
      </c>
      <c r="B1942" s="4" t="s">
        <v>15</v>
      </c>
      <c r="C1942" s="5">
        <v>45322</v>
      </c>
      <c r="D1942" s="4">
        <v>56.4</v>
      </c>
      <c r="E1942" s="4">
        <v>18.22</v>
      </c>
    </row>
    <row r="1943" spans="1:5" x14ac:dyDescent="0.25">
      <c r="A1943" s="4" t="s">
        <v>53</v>
      </c>
      <c r="B1943" s="4" t="s">
        <v>15</v>
      </c>
      <c r="C1943" s="5">
        <v>45323</v>
      </c>
      <c r="D1943" s="4">
        <v>12</v>
      </c>
      <c r="E1943" s="4">
        <v>3.89</v>
      </c>
    </row>
    <row r="1944" spans="1:5" x14ac:dyDescent="0.25">
      <c r="A1944" s="4" t="s">
        <v>53</v>
      </c>
      <c r="B1944" s="4" t="s">
        <v>15</v>
      </c>
      <c r="C1944" s="5">
        <v>45323</v>
      </c>
      <c r="D1944" s="4">
        <v>12.8</v>
      </c>
      <c r="E1944" s="4">
        <v>4.1100000000000003</v>
      </c>
    </row>
    <row r="1945" spans="1:5" x14ac:dyDescent="0.25">
      <c r="A1945" s="4" t="s">
        <v>53</v>
      </c>
      <c r="B1945" s="4" t="s">
        <v>15</v>
      </c>
      <c r="C1945" s="5">
        <v>45323</v>
      </c>
      <c r="D1945" s="4">
        <v>47.2</v>
      </c>
      <c r="E1945" s="4">
        <v>15.28</v>
      </c>
    </row>
    <row r="1946" spans="1:5" x14ac:dyDescent="0.25">
      <c r="A1946" s="4" t="s">
        <v>53</v>
      </c>
      <c r="B1946" s="4" t="s">
        <v>15</v>
      </c>
      <c r="C1946" s="5">
        <v>45323</v>
      </c>
      <c r="D1946" s="4">
        <v>1</v>
      </c>
      <c r="E1946" s="4">
        <v>0.31</v>
      </c>
    </row>
    <row r="1947" spans="1:5" x14ac:dyDescent="0.25">
      <c r="A1947" s="4" t="s">
        <v>53</v>
      </c>
      <c r="B1947" s="4" t="s">
        <v>15</v>
      </c>
      <c r="C1947" s="5">
        <v>45323</v>
      </c>
      <c r="D1947" s="4">
        <v>15.2</v>
      </c>
      <c r="E1947" s="4">
        <v>4.93</v>
      </c>
    </row>
    <row r="1948" spans="1:5" x14ac:dyDescent="0.25">
      <c r="A1948" s="4" t="s">
        <v>53</v>
      </c>
      <c r="B1948" s="4" t="s">
        <v>15</v>
      </c>
      <c r="C1948" s="5">
        <v>45323</v>
      </c>
      <c r="D1948" s="4">
        <v>2.8</v>
      </c>
      <c r="E1948" s="4">
        <v>0.9</v>
      </c>
    </row>
    <row r="1949" spans="1:5" x14ac:dyDescent="0.25">
      <c r="A1949" s="4" t="s">
        <v>53</v>
      </c>
      <c r="B1949" s="4" t="s">
        <v>15</v>
      </c>
      <c r="C1949" s="5">
        <v>45323</v>
      </c>
      <c r="D1949" s="4">
        <v>7.8</v>
      </c>
      <c r="E1949" s="4">
        <v>2.5299999999999998</v>
      </c>
    </row>
    <row r="1950" spans="1:5" x14ac:dyDescent="0.25">
      <c r="A1950" s="4" t="s">
        <v>53</v>
      </c>
      <c r="B1950" s="4" t="s">
        <v>15</v>
      </c>
      <c r="C1950" s="5">
        <v>45323</v>
      </c>
      <c r="D1950" s="4">
        <v>36.6</v>
      </c>
      <c r="E1950" s="4">
        <v>11.84</v>
      </c>
    </row>
    <row r="1951" spans="1:5" x14ac:dyDescent="0.25">
      <c r="A1951" s="4" t="s">
        <v>53</v>
      </c>
      <c r="B1951" s="4" t="s">
        <v>15</v>
      </c>
      <c r="C1951" s="5">
        <v>45323</v>
      </c>
      <c r="D1951" s="4">
        <v>24.8</v>
      </c>
      <c r="E1951" s="4">
        <v>8</v>
      </c>
    </row>
    <row r="1952" spans="1:5" x14ac:dyDescent="0.25">
      <c r="A1952" s="4" t="s">
        <v>53</v>
      </c>
      <c r="B1952" s="4" t="s">
        <v>15</v>
      </c>
      <c r="C1952" s="5">
        <v>45324</v>
      </c>
      <c r="D1952" s="4">
        <v>38.5</v>
      </c>
      <c r="E1952" s="4">
        <v>12.47</v>
      </c>
    </row>
    <row r="1953" spans="1:5" x14ac:dyDescent="0.25">
      <c r="A1953" s="4" t="s">
        <v>53</v>
      </c>
      <c r="B1953" s="4" t="s">
        <v>15</v>
      </c>
      <c r="C1953" s="5">
        <v>45324</v>
      </c>
      <c r="D1953" s="4">
        <v>16.2</v>
      </c>
      <c r="E1953" s="4">
        <v>5.24</v>
      </c>
    </row>
    <row r="1954" spans="1:5" x14ac:dyDescent="0.25">
      <c r="A1954" s="4" t="s">
        <v>53</v>
      </c>
      <c r="B1954" s="4" t="s">
        <v>15</v>
      </c>
      <c r="C1954" s="5">
        <v>45324</v>
      </c>
      <c r="D1954" s="4">
        <v>16.2</v>
      </c>
      <c r="E1954" s="4">
        <v>5.24</v>
      </c>
    </row>
    <row r="1955" spans="1:5" x14ac:dyDescent="0.25">
      <c r="A1955" s="4" t="s">
        <v>53</v>
      </c>
      <c r="B1955" s="4" t="s">
        <v>15</v>
      </c>
      <c r="C1955" s="5">
        <v>45324</v>
      </c>
      <c r="D1955" s="4">
        <v>39.9</v>
      </c>
      <c r="E1955" s="4">
        <v>12.91</v>
      </c>
    </row>
    <row r="1956" spans="1:5" x14ac:dyDescent="0.25">
      <c r="A1956" s="4" t="s">
        <v>53</v>
      </c>
      <c r="B1956" s="4" t="s">
        <v>15</v>
      </c>
      <c r="C1956" s="5">
        <v>45327</v>
      </c>
      <c r="D1956" s="4">
        <v>11</v>
      </c>
      <c r="E1956" s="4">
        <v>3.57</v>
      </c>
    </row>
    <row r="1957" spans="1:5" x14ac:dyDescent="0.25">
      <c r="A1957" s="4" t="s">
        <v>53</v>
      </c>
      <c r="B1957" s="4" t="s">
        <v>15</v>
      </c>
      <c r="C1957" s="5">
        <v>45327</v>
      </c>
      <c r="D1957" s="4">
        <v>124.4</v>
      </c>
      <c r="E1957" s="4">
        <v>40.28</v>
      </c>
    </row>
    <row r="1958" spans="1:5" x14ac:dyDescent="0.25">
      <c r="A1958" s="4" t="s">
        <v>53</v>
      </c>
      <c r="B1958" s="4" t="s">
        <v>15</v>
      </c>
      <c r="C1958" s="5">
        <v>45327</v>
      </c>
      <c r="D1958" s="4">
        <v>81.8</v>
      </c>
      <c r="E1958" s="4">
        <v>26.49</v>
      </c>
    </row>
    <row r="1959" spans="1:5" x14ac:dyDescent="0.25">
      <c r="A1959" s="4" t="s">
        <v>53</v>
      </c>
      <c r="B1959" s="4" t="s">
        <v>15</v>
      </c>
      <c r="C1959" s="5">
        <v>45328</v>
      </c>
      <c r="D1959" s="4">
        <v>38.5</v>
      </c>
      <c r="E1959" s="4">
        <v>12.47</v>
      </c>
    </row>
    <row r="1960" spans="1:5" x14ac:dyDescent="0.25">
      <c r="A1960" s="4" t="s">
        <v>53</v>
      </c>
      <c r="B1960" s="4" t="s">
        <v>15</v>
      </c>
      <c r="C1960" s="5">
        <v>45328</v>
      </c>
      <c r="D1960" s="4">
        <v>16.2</v>
      </c>
      <c r="E1960" s="4">
        <v>5.24</v>
      </c>
    </row>
    <row r="1961" spans="1:5" x14ac:dyDescent="0.25">
      <c r="A1961" s="4" t="s">
        <v>53</v>
      </c>
      <c r="B1961" s="4" t="s">
        <v>15</v>
      </c>
      <c r="C1961" s="5">
        <v>45328</v>
      </c>
      <c r="D1961" s="4">
        <v>17</v>
      </c>
      <c r="E1961" s="4">
        <v>5.5</v>
      </c>
    </row>
    <row r="1962" spans="1:5" x14ac:dyDescent="0.25">
      <c r="A1962" s="4" t="s">
        <v>53</v>
      </c>
      <c r="B1962" s="4" t="s">
        <v>15</v>
      </c>
      <c r="C1962" s="5">
        <v>45328</v>
      </c>
      <c r="D1962" s="4">
        <v>24.8</v>
      </c>
      <c r="E1962" s="4">
        <v>8</v>
      </c>
    </row>
    <row r="1963" spans="1:5" x14ac:dyDescent="0.25">
      <c r="A1963" s="4" t="s">
        <v>53</v>
      </c>
      <c r="B1963" s="4" t="s">
        <v>15</v>
      </c>
      <c r="C1963" s="5">
        <v>45329</v>
      </c>
      <c r="D1963" s="4">
        <v>11</v>
      </c>
      <c r="E1963" s="4">
        <v>3.57</v>
      </c>
    </row>
    <row r="1964" spans="1:5" x14ac:dyDescent="0.25">
      <c r="A1964" s="4" t="s">
        <v>53</v>
      </c>
      <c r="B1964" s="4" t="s">
        <v>15</v>
      </c>
      <c r="C1964" s="5">
        <v>45329</v>
      </c>
      <c r="D1964" s="4">
        <v>69.8</v>
      </c>
      <c r="E1964" s="4">
        <v>22.6</v>
      </c>
    </row>
    <row r="1965" spans="1:5" x14ac:dyDescent="0.25">
      <c r="A1965" s="4" t="s">
        <v>53</v>
      </c>
      <c r="B1965" s="4" t="s">
        <v>15</v>
      </c>
      <c r="C1965" s="5">
        <v>45329</v>
      </c>
      <c r="D1965" s="4">
        <v>23</v>
      </c>
      <c r="E1965" s="4">
        <v>7.46</v>
      </c>
    </row>
    <row r="1966" spans="1:5" x14ac:dyDescent="0.25">
      <c r="A1966" s="4" t="s">
        <v>53</v>
      </c>
      <c r="B1966" s="4" t="s">
        <v>15</v>
      </c>
      <c r="C1966" s="5">
        <v>45329</v>
      </c>
      <c r="D1966" s="4">
        <v>92.8</v>
      </c>
      <c r="E1966" s="4">
        <v>30.06</v>
      </c>
    </row>
    <row r="1967" spans="1:5" x14ac:dyDescent="0.25">
      <c r="A1967" s="4" t="s">
        <v>53</v>
      </c>
      <c r="B1967" s="4" t="s">
        <v>15</v>
      </c>
      <c r="C1967" s="5">
        <v>45329</v>
      </c>
      <c r="D1967" s="4">
        <v>45.2</v>
      </c>
      <c r="E1967" s="4">
        <v>14.61</v>
      </c>
    </row>
    <row r="1968" spans="1:5" x14ac:dyDescent="0.25">
      <c r="A1968" s="4" t="s">
        <v>53</v>
      </c>
      <c r="B1968" s="4" t="s">
        <v>15</v>
      </c>
      <c r="C1968" s="5">
        <v>45329</v>
      </c>
      <c r="D1968" s="4">
        <v>2.1</v>
      </c>
      <c r="E1968" s="4">
        <v>0.67</v>
      </c>
    </row>
    <row r="1969" spans="1:5" x14ac:dyDescent="0.25">
      <c r="A1969" s="4" t="s">
        <v>53</v>
      </c>
      <c r="B1969" s="4" t="s">
        <v>15</v>
      </c>
      <c r="C1969" s="5">
        <v>45329</v>
      </c>
      <c r="D1969" s="4">
        <v>9.4</v>
      </c>
      <c r="E1969" s="4">
        <v>2.98</v>
      </c>
    </row>
    <row r="1970" spans="1:5" x14ac:dyDescent="0.25">
      <c r="A1970" s="4" t="s">
        <v>53</v>
      </c>
      <c r="B1970" s="4" t="s">
        <v>15</v>
      </c>
      <c r="C1970" s="5">
        <v>45329</v>
      </c>
      <c r="D1970" s="4">
        <v>5</v>
      </c>
      <c r="E1970" s="4">
        <v>1.62</v>
      </c>
    </row>
    <row r="1971" spans="1:5" x14ac:dyDescent="0.25">
      <c r="A1971" s="4" t="s">
        <v>53</v>
      </c>
      <c r="B1971" s="4" t="s">
        <v>15</v>
      </c>
      <c r="C1971" s="5">
        <v>45330</v>
      </c>
      <c r="D1971" s="4">
        <v>11</v>
      </c>
      <c r="E1971" s="4">
        <v>3.57</v>
      </c>
    </row>
    <row r="1972" spans="1:5" x14ac:dyDescent="0.25">
      <c r="A1972" s="4" t="s">
        <v>53</v>
      </c>
      <c r="B1972" s="4" t="s">
        <v>15</v>
      </c>
      <c r="C1972" s="5">
        <v>45330</v>
      </c>
      <c r="D1972" s="4">
        <v>81.8</v>
      </c>
      <c r="E1972" s="4">
        <v>26.49</v>
      </c>
    </row>
    <row r="1973" spans="1:5" x14ac:dyDescent="0.25">
      <c r="A1973" s="4" t="s">
        <v>53</v>
      </c>
      <c r="B1973" s="4" t="s">
        <v>15</v>
      </c>
      <c r="C1973" s="5">
        <v>45330</v>
      </c>
      <c r="D1973" s="4">
        <v>11</v>
      </c>
      <c r="E1973" s="4">
        <v>3.57</v>
      </c>
    </row>
    <row r="1974" spans="1:5" x14ac:dyDescent="0.25">
      <c r="A1974" s="4" t="s">
        <v>53</v>
      </c>
      <c r="B1974" s="4" t="s">
        <v>15</v>
      </c>
      <c r="C1974" s="5">
        <v>45330</v>
      </c>
      <c r="D1974" s="4">
        <v>81.8</v>
      </c>
      <c r="E1974" s="4">
        <v>26.49</v>
      </c>
    </row>
    <row r="1975" spans="1:5" x14ac:dyDescent="0.25">
      <c r="A1975" s="4" t="s">
        <v>53</v>
      </c>
      <c r="B1975" s="4" t="s">
        <v>15</v>
      </c>
      <c r="C1975" s="5">
        <v>45334</v>
      </c>
      <c r="D1975" s="4">
        <v>11</v>
      </c>
      <c r="E1975" s="4">
        <v>3.57</v>
      </c>
    </row>
    <row r="1976" spans="1:5" x14ac:dyDescent="0.25">
      <c r="A1976" s="4" t="s">
        <v>53</v>
      </c>
      <c r="B1976" s="4" t="s">
        <v>15</v>
      </c>
      <c r="C1976" s="5">
        <v>45334</v>
      </c>
      <c r="D1976" s="4">
        <v>92.8</v>
      </c>
      <c r="E1976" s="4">
        <v>30.06</v>
      </c>
    </row>
    <row r="1977" spans="1:5" x14ac:dyDescent="0.25">
      <c r="A1977" s="4" t="s">
        <v>53</v>
      </c>
      <c r="B1977" s="4" t="s">
        <v>15</v>
      </c>
      <c r="C1977" s="5">
        <v>45334</v>
      </c>
      <c r="D1977" s="4">
        <v>92.8</v>
      </c>
      <c r="E1977" s="4">
        <v>30.06</v>
      </c>
    </row>
    <row r="1978" spans="1:5" x14ac:dyDescent="0.25">
      <c r="A1978" s="4" t="s">
        <v>53</v>
      </c>
      <c r="B1978" s="4" t="s">
        <v>15</v>
      </c>
      <c r="C1978" s="5">
        <v>45334</v>
      </c>
      <c r="D1978" s="4">
        <v>66.900000000000006</v>
      </c>
      <c r="E1978" s="4">
        <v>21.66</v>
      </c>
    </row>
    <row r="1979" spans="1:5" x14ac:dyDescent="0.25">
      <c r="A1979" s="4" t="s">
        <v>53</v>
      </c>
      <c r="B1979" s="4" t="s">
        <v>15</v>
      </c>
      <c r="C1979" s="5">
        <v>45334</v>
      </c>
      <c r="D1979" s="4">
        <v>14.9</v>
      </c>
      <c r="E1979" s="4">
        <v>4.83</v>
      </c>
    </row>
    <row r="1980" spans="1:5" x14ac:dyDescent="0.25">
      <c r="A1980" s="4" t="s">
        <v>53</v>
      </c>
      <c r="B1980" s="4" t="s">
        <v>15</v>
      </c>
      <c r="C1980" s="5">
        <v>45335</v>
      </c>
      <c r="D1980" s="4">
        <v>11</v>
      </c>
      <c r="E1980" s="4">
        <v>3.57</v>
      </c>
    </row>
    <row r="1981" spans="1:5" x14ac:dyDescent="0.25">
      <c r="A1981" s="4" t="s">
        <v>53</v>
      </c>
      <c r="B1981" s="4" t="s">
        <v>15</v>
      </c>
      <c r="C1981" s="5">
        <v>45335</v>
      </c>
      <c r="D1981" s="4">
        <v>92.8</v>
      </c>
      <c r="E1981" s="4">
        <v>30.06</v>
      </c>
    </row>
    <row r="1982" spans="1:5" x14ac:dyDescent="0.25">
      <c r="A1982" s="4" t="s">
        <v>53</v>
      </c>
      <c r="B1982" s="4" t="s">
        <v>15</v>
      </c>
      <c r="C1982" s="5">
        <v>45335</v>
      </c>
      <c r="D1982" s="4">
        <v>76.8</v>
      </c>
      <c r="E1982" s="4">
        <v>24.83</v>
      </c>
    </row>
    <row r="1983" spans="1:5" x14ac:dyDescent="0.25">
      <c r="A1983" s="4" t="s">
        <v>53</v>
      </c>
      <c r="B1983" s="4" t="s">
        <v>15</v>
      </c>
      <c r="C1983" s="5">
        <v>45335</v>
      </c>
      <c r="D1983" s="4">
        <v>33.5</v>
      </c>
      <c r="E1983" s="4">
        <v>10.81</v>
      </c>
    </row>
    <row r="1984" spans="1:5" x14ac:dyDescent="0.25">
      <c r="A1984" s="4" t="s">
        <v>53</v>
      </c>
      <c r="B1984" s="4" t="s">
        <v>15</v>
      </c>
      <c r="C1984" s="5">
        <v>45335</v>
      </c>
      <c r="D1984" s="4">
        <v>33.5</v>
      </c>
      <c r="E1984" s="4">
        <v>10.81</v>
      </c>
    </row>
    <row r="1985" spans="1:5" x14ac:dyDescent="0.25">
      <c r="A1985" s="4" t="s">
        <v>53</v>
      </c>
      <c r="B1985" s="4" t="s">
        <v>15</v>
      </c>
      <c r="C1985" s="5">
        <v>45335</v>
      </c>
      <c r="D1985" s="4">
        <v>24.8</v>
      </c>
      <c r="E1985" s="4">
        <v>8</v>
      </c>
    </row>
    <row r="1986" spans="1:5" x14ac:dyDescent="0.25">
      <c r="A1986" s="4" t="s">
        <v>53</v>
      </c>
      <c r="B1986" s="4" t="s">
        <v>15</v>
      </c>
      <c r="C1986" s="5">
        <v>45336</v>
      </c>
      <c r="D1986" s="4">
        <v>41.3</v>
      </c>
      <c r="E1986" s="4">
        <v>13.4</v>
      </c>
    </row>
    <row r="1987" spans="1:5" x14ac:dyDescent="0.25">
      <c r="A1987" s="4" t="s">
        <v>53</v>
      </c>
      <c r="B1987" s="4" t="s">
        <v>15</v>
      </c>
      <c r="C1987" s="5">
        <v>45336</v>
      </c>
      <c r="D1987" s="4">
        <v>148.19999999999999</v>
      </c>
      <c r="E1987" s="4">
        <v>48.03</v>
      </c>
    </row>
    <row r="1988" spans="1:5" x14ac:dyDescent="0.25">
      <c r="A1988" s="4" t="s">
        <v>53</v>
      </c>
      <c r="B1988" s="4" t="s">
        <v>15</v>
      </c>
      <c r="C1988" s="5">
        <v>45336</v>
      </c>
      <c r="D1988" s="4">
        <v>93.4</v>
      </c>
      <c r="E1988" s="4">
        <v>30.27</v>
      </c>
    </row>
    <row r="1989" spans="1:5" x14ac:dyDescent="0.25">
      <c r="A1989" s="4" t="s">
        <v>53</v>
      </c>
      <c r="B1989" s="4" t="s">
        <v>15</v>
      </c>
      <c r="C1989" s="5">
        <v>45336</v>
      </c>
      <c r="D1989" s="4">
        <v>24.8</v>
      </c>
      <c r="E1989" s="4">
        <v>8</v>
      </c>
    </row>
    <row r="1990" spans="1:5" x14ac:dyDescent="0.25">
      <c r="A1990" s="4" t="s">
        <v>53</v>
      </c>
      <c r="B1990" s="4" t="s">
        <v>15</v>
      </c>
      <c r="C1990" s="5">
        <v>45337</v>
      </c>
      <c r="D1990" s="4">
        <v>11</v>
      </c>
      <c r="E1990" s="4">
        <v>3.57</v>
      </c>
    </row>
    <row r="1991" spans="1:5" x14ac:dyDescent="0.25">
      <c r="A1991" s="4" t="s">
        <v>53</v>
      </c>
      <c r="B1991" s="4" t="s">
        <v>15</v>
      </c>
      <c r="C1991" s="5">
        <v>45337</v>
      </c>
      <c r="D1991" s="4">
        <v>106.4</v>
      </c>
      <c r="E1991" s="4">
        <v>34.46</v>
      </c>
    </row>
    <row r="1992" spans="1:5" x14ac:dyDescent="0.25">
      <c r="A1992" s="4" t="s">
        <v>53</v>
      </c>
      <c r="B1992" s="4" t="s">
        <v>15</v>
      </c>
      <c r="C1992" s="5">
        <v>45337</v>
      </c>
      <c r="D1992" s="4">
        <v>106.4</v>
      </c>
      <c r="E1992" s="4">
        <v>34.46</v>
      </c>
    </row>
    <row r="1993" spans="1:5" x14ac:dyDescent="0.25">
      <c r="A1993" s="4" t="s">
        <v>53</v>
      </c>
      <c r="B1993" s="4" t="s">
        <v>15</v>
      </c>
      <c r="C1993" s="5">
        <v>45337</v>
      </c>
      <c r="D1993" s="4">
        <v>72.5</v>
      </c>
      <c r="E1993" s="4">
        <v>23.48</v>
      </c>
    </row>
    <row r="1994" spans="1:5" x14ac:dyDescent="0.25">
      <c r="A1994" s="4" t="s">
        <v>53</v>
      </c>
      <c r="B1994" s="4" t="s">
        <v>15</v>
      </c>
      <c r="C1994" s="5">
        <v>45337</v>
      </c>
      <c r="D1994" s="4">
        <v>24.8</v>
      </c>
      <c r="E1994" s="4">
        <v>8</v>
      </c>
    </row>
    <row r="1995" spans="1:5" x14ac:dyDescent="0.25">
      <c r="A1995" s="4" t="s">
        <v>53</v>
      </c>
      <c r="B1995" s="4" t="s">
        <v>18</v>
      </c>
      <c r="C1995" s="5">
        <v>45324</v>
      </c>
      <c r="D1995" s="4">
        <v>18.100000000000001</v>
      </c>
      <c r="E1995" s="4">
        <v>5.87</v>
      </c>
    </row>
    <row r="1996" spans="1:5" x14ac:dyDescent="0.25">
      <c r="A1996" s="4" t="s">
        <v>53</v>
      </c>
      <c r="B1996" s="4" t="s">
        <v>19</v>
      </c>
      <c r="C1996" s="5">
        <v>45307</v>
      </c>
      <c r="D1996" s="4">
        <v>3.2</v>
      </c>
      <c r="E1996" s="4">
        <v>1.04</v>
      </c>
    </row>
    <row r="1997" spans="1:5" x14ac:dyDescent="0.25">
      <c r="A1997" s="4" t="s">
        <v>53</v>
      </c>
      <c r="B1997" s="4" t="s">
        <v>19</v>
      </c>
      <c r="C1997" s="5">
        <v>45307</v>
      </c>
      <c r="D1997" s="4">
        <v>11.7</v>
      </c>
      <c r="E1997" s="4">
        <v>3.79</v>
      </c>
    </row>
    <row r="1998" spans="1:5" x14ac:dyDescent="0.25">
      <c r="A1998" s="4" t="s">
        <v>53</v>
      </c>
      <c r="B1998" s="4" t="s">
        <v>19</v>
      </c>
      <c r="C1998" s="5">
        <v>45307</v>
      </c>
      <c r="D1998" s="4">
        <v>2.2999999999999998</v>
      </c>
      <c r="E1998" s="4">
        <v>0.74</v>
      </c>
    </row>
    <row r="1999" spans="1:5" x14ac:dyDescent="0.25">
      <c r="A1999" s="4" t="s">
        <v>53</v>
      </c>
      <c r="B1999" s="4" t="s">
        <v>19</v>
      </c>
      <c r="C1999" s="5">
        <v>45307</v>
      </c>
      <c r="D1999" s="4">
        <v>2.2999999999999998</v>
      </c>
      <c r="E1999" s="4">
        <v>0.74</v>
      </c>
    </row>
    <row r="2000" spans="1:5" x14ac:dyDescent="0.25">
      <c r="A2000" s="4" t="s">
        <v>53</v>
      </c>
      <c r="B2000" s="4" t="s">
        <v>19</v>
      </c>
      <c r="C2000" s="5">
        <v>45307</v>
      </c>
      <c r="D2000" s="4">
        <v>10.9</v>
      </c>
      <c r="E2000" s="4">
        <v>3.53</v>
      </c>
    </row>
    <row r="2001" spans="1:5" x14ac:dyDescent="0.25">
      <c r="A2001" s="4" t="s">
        <v>53</v>
      </c>
      <c r="B2001" s="4" t="s">
        <v>19</v>
      </c>
      <c r="C2001" s="5">
        <v>45307</v>
      </c>
      <c r="D2001" s="4">
        <v>11.7</v>
      </c>
      <c r="E2001" s="4">
        <v>3.79</v>
      </c>
    </row>
    <row r="2002" spans="1:5" x14ac:dyDescent="0.25">
      <c r="A2002" s="4" t="s">
        <v>53</v>
      </c>
      <c r="B2002" s="4" t="s">
        <v>19</v>
      </c>
      <c r="C2002" s="5">
        <v>45307</v>
      </c>
      <c r="D2002" s="4">
        <v>2.2999999999999998</v>
      </c>
      <c r="E2002" s="4">
        <v>0.74</v>
      </c>
    </row>
    <row r="2003" spans="1:5" x14ac:dyDescent="0.25">
      <c r="A2003" s="4" t="s">
        <v>53</v>
      </c>
      <c r="B2003" s="4" t="s">
        <v>19</v>
      </c>
      <c r="C2003" s="5">
        <v>45307</v>
      </c>
      <c r="D2003" s="4">
        <v>2.2999999999999998</v>
      </c>
      <c r="E2003" s="4">
        <v>0.74</v>
      </c>
    </row>
    <row r="2004" spans="1:5" x14ac:dyDescent="0.25">
      <c r="A2004" s="4" t="s">
        <v>53</v>
      </c>
      <c r="B2004" s="4" t="s">
        <v>19</v>
      </c>
      <c r="C2004" s="5">
        <v>45307</v>
      </c>
      <c r="D2004" s="4">
        <v>10.9</v>
      </c>
      <c r="E2004" s="4">
        <v>3.53</v>
      </c>
    </row>
    <row r="2005" spans="1:5" x14ac:dyDescent="0.25">
      <c r="A2005" s="4" t="s">
        <v>53</v>
      </c>
      <c r="B2005" s="4" t="s">
        <v>19</v>
      </c>
      <c r="C2005" s="5">
        <v>45307</v>
      </c>
      <c r="D2005" s="4">
        <v>11.7</v>
      </c>
      <c r="E2005" s="4">
        <v>3.79</v>
      </c>
    </row>
    <row r="2006" spans="1:5" x14ac:dyDescent="0.25">
      <c r="A2006" s="4" t="s">
        <v>53</v>
      </c>
      <c r="B2006" s="4" t="s">
        <v>19</v>
      </c>
      <c r="C2006" s="5">
        <v>45307</v>
      </c>
      <c r="D2006" s="4">
        <v>2.2999999999999998</v>
      </c>
      <c r="E2006" s="4">
        <v>0.74</v>
      </c>
    </row>
    <row r="2007" spans="1:5" x14ac:dyDescent="0.25">
      <c r="A2007" s="4" t="s">
        <v>53</v>
      </c>
      <c r="B2007" s="4" t="s">
        <v>19</v>
      </c>
      <c r="C2007" s="5">
        <v>45307</v>
      </c>
      <c r="D2007" s="4">
        <v>2.2999999999999998</v>
      </c>
      <c r="E2007" s="4">
        <v>0.74</v>
      </c>
    </row>
    <row r="2008" spans="1:5" x14ac:dyDescent="0.25">
      <c r="A2008" s="4" t="s">
        <v>53</v>
      </c>
      <c r="B2008" s="4" t="s">
        <v>19</v>
      </c>
      <c r="C2008" s="5">
        <v>45307</v>
      </c>
      <c r="D2008" s="4">
        <v>4.9000000000000004</v>
      </c>
      <c r="E2008" s="4">
        <v>1.58</v>
      </c>
    </row>
    <row r="2009" spans="1:5" x14ac:dyDescent="0.25">
      <c r="A2009" s="4" t="s">
        <v>53</v>
      </c>
      <c r="B2009" s="4" t="s">
        <v>19</v>
      </c>
      <c r="C2009" s="5">
        <v>45307</v>
      </c>
      <c r="D2009" s="4">
        <v>10.9</v>
      </c>
      <c r="E2009" s="4">
        <v>3.53</v>
      </c>
    </row>
    <row r="2010" spans="1:5" x14ac:dyDescent="0.25">
      <c r="A2010" s="4" t="s">
        <v>53</v>
      </c>
      <c r="B2010" s="4" t="s">
        <v>19</v>
      </c>
      <c r="C2010" s="5">
        <v>45307</v>
      </c>
      <c r="D2010" s="4">
        <v>11.7</v>
      </c>
      <c r="E2010" s="4">
        <v>3.79</v>
      </c>
    </row>
    <row r="2011" spans="1:5" x14ac:dyDescent="0.25">
      <c r="A2011" s="4" t="s">
        <v>53</v>
      </c>
      <c r="B2011" s="4" t="s">
        <v>19</v>
      </c>
      <c r="C2011" s="5">
        <v>45307</v>
      </c>
      <c r="D2011" s="4">
        <v>2.2999999999999998</v>
      </c>
      <c r="E2011" s="4">
        <v>0.74</v>
      </c>
    </row>
    <row r="2012" spans="1:5" x14ac:dyDescent="0.25">
      <c r="A2012" s="4" t="s">
        <v>53</v>
      </c>
      <c r="B2012" s="4" t="s">
        <v>19</v>
      </c>
      <c r="C2012" s="5">
        <v>45307</v>
      </c>
      <c r="D2012" s="4">
        <v>2.2999999999999998</v>
      </c>
      <c r="E2012" s="4">
        <v>0.74</v>
      </c>
    </row>
    <row r="2013" spans="1:5" x14ac:dyDescent="0.25">
      <c r="A2013" s="4" t="s">
        <v>53</v>
      </c>
      <c r="B2013" s="4" t="s">
        <v>19</v>
      </c>
      <c r="C2013" s="5">
        <v>45307</v>
      </c>
      <c r="D2013" s="4">
        <v>10.9</v>
      </c>
      <c r="E2013" s="4">
        <v>3.53</v>
      </c>
    </row>
    <row r="2014" spans="1:5" x14ac:dyDescent="0.25">
      <c r="A2014" s="4" t="s">
        <v>53</v>
      </c>
      <c r="B2014" s="4" t="s">
        <v>19</v>
      </c>
      <c r="C2014" s="5">
        <v>45307</v>
      </c>
      <c r="D2014" s="4">
        <v>11.7</v>
      </c>
      <c r="E2014" s="4">
        <v>3.79</v>
      </c>
    </row>
    <row r="2015" spans="1:5" x14ac:dyDescent="0.25">
      <c r="A2015" s="4" t="s">
        <v>53</v>
      </c>
      <c r="B2015" s="4" t="s">
        <v>19</v>
      </c>
      <c r="C2015" s="5">
        <v>45307</v>
      </c>
      <c r="D2015" s="4">
        <v>2.2999999999999998</v>
      </c>
      <c r="E2015" s="4">
        <v>0.74</v>
      </c>
    </row>
    <row r="2016" spans="1:5" x14ac:dyDescent="0.25">
      <c r="A2016" s="4" t="s">
        <v>53</v>
      </c>
      <c r="B2016" s="4" t="s">
        <v>19</v>
      </c>
      <c r="C2016" s="5">
        <v>45307</v>
      </c>
      <c r="D2016" s="4">
        <v>2.2999999999999998</v>
      </c>
      <c r="E2016" s="4">
        <v>0.74</v>
      </c>
    </row>
    <row r="2017" spans="1:5" x14ac:dyDescent="0.25">
      <c r="A2017" s="4" t="s">
        <v>53</v>
      </c>
      <c r="B2017" s="4" t="s">
        <v>19</v>
      </c>
      <c r="C2017" s="5">
        <v>45307</v>
      </c>
      <c r="D2017" s="4">
        <v>8.6999999999999993</v>
      </c>
      <c r="E2017" s="4">
        <v>2.82</v>
      </c>
    </row>
    <row r="2018" spans="1:5" x14ac:dyDescent="0.25">
      <c r="A2018" s="4" t="s">
        <v>53</v>
      </c>
      <c r="B2018" s="4" t="s">
        <v>19</v>
      </c>
      <c r="C2018" s="5">
        <v>45308</v>
      </c>
      <c r="D2018" s="4">
        <v>15.4</v>
      </c>
      <c r="E2018" s="4">
        <v>5</v>
      </c>
    </row>
    <row r="2019" spans="1:5" x14ac:dyDescent="0.25">
      <c r="A2019" s="4" t="s">
        <v>53</v>
      </c>
      <c r="B2019" s="4" t="s">
        <v>19</v>
      </c>
      <c r="C2019" s="5">
        <v>45308</v>
      </c>
      <c r="D2019" s="4">
        <v>26</v>
      </c>
      <c r="E2019" s="4">
        <v>8.43</v>
      </c>
    </row>
    <row r="2020" spans="1:5" x14ac:dyDescent="0.25">
      <c r="A2020" s="4" t="s">
        <v>53</v>
      </c>
      <c r="B2020" s="4" t="s">
        <v>19</v>
      </c>
      <c r="C2020" s="5">
        <v>45308</v>
      </c>
      <c r="D2020" s="4">
        <v>8.5</v>
      </c>
      <c r="E2020" s="4">
        <v>2.75</v>
      </c>
    </row>
    <row r="2021" spans="1:5" x14ac:dyDescent="0.25">
      <c r="A2021" s="4" t="s">
        <v>53</v>
      </c>
      <c r="B2021" s="4" t="s">
        <v>19</v>
      </c>
      <c r="C2021" s="5">
        <v>45308</v>
      </c>
      <c r="D2021" s="4">
        <v>21.9</v>
      </c>
      <c r="E2021" s="4">
        <v>7.06</v>
      </c>
    </row>
    <row r="2022" spans="1:5" x14ac:dyDescent="0.25">
      <c r="A2022" s="4" t="s">
        <v>53</v>
      </c>
      <c r="B2022" s="4" t="s">
        <v>19</v>
      </c>
      <c r="C2022" s="5">
        <v>45308</v>
      </c>
      <c r="D2022" s="4">
        <v>23.8</v>
      </c>
      <c r="E2022" s="4">
        <v>7.67</v>
      </c>
    </row>
    <row r="2023" spans="1:5" x14ac:dyDescent="0.25">
      <c r="A2023" s="4" t="s">
        <v>53</v>
      </c>
      <c r="B2023" s="4" t="s">
        <v>19</v>
      </c>
      <c r="C2023" s="5">
        <v>45308</v>
      </c>
      <c r="D2023" s="4">
        <v>8.5</v>
      </c>
      <c r="E2023" s="4">
        <v>2.75</v>
      </c>
    </row>
    <row r="2024" spans="1:5" x14ac:dyDescent="0.25">
      <c r="A2024" s="4" t="s">
        <v>53</v>
      </c>
      <c r="B2024" s="4" t="s">
        <v>19</v>
      </c>
      <c r="C2024" s="5">
        <v>45308</v>
      </c>
      <c r="D2024" s="4">
        <v>7.7</v>
      </c>
      <c r="E2024" s="4">
        <v>2.4900000000000002</v>
      </c>
    </row>
    <row r="2025" spans="1:5" x14ac:dyDescent="0.25">
      <c r="A2025" s="4" t="s">
        <v>53</v>
      </c>
      <c r="B2025" s="4" t="s">
        <v>19</v>
      </c>
      <c r="C2025" s="5">
        <v>45308</v>
      </c>
      <c r="D2025" s="4">
        <v>8.5</v>
      </c>
      <c r="E2025" s="4">
        <v>2.75</v>
      </c>
    </row>
    <row r="2026" spans="1:5" x14ac:dyDescent="0.25">
      <c r="A2026" s="4" t="s">
        <v>53</v>
      </c>
      <c r="B2026" s="4" t="s">
        <v>19</v>
      </c>
      <c r="C2026" s="5">
        <v>45308</v>
      </c>
      <c r="D2026" s="4">
        <v>7.7</v>
      </c>
      <c r="E2026" s="4">
        <v>2.4900000000000002</v>
      </c>
    </row>
    <row r="2027" spans="1:5" x14ac:dyDescent="0.25">
      <c r="A2027" s="4" t="s">
        <v>53</v>
      </c>
      <c r="B2027" s="4" t="s">
        <v>19</v>
      </c>
      <c r="C2027" s="5">
        <v>45308</v>
      </c>
      <c r="D2027" s="4">
        <v>8.5</v>
      </c>
      <c r="E2027" s="4">
        <v>2.75</v>
      </c>
    </row>
    <row r="2028" spans="1:5" x14ac:dyDescent="0.25">
      <c r="A2028" s="4" t="s">
        <v>53</v>
      </c>
      <c r="B2028" s="4" t="s">
        <v>19</v>
      </c>
      <c r="C2028" s="5">
        <v>45308</v>
      </c>
      <c r="D2028" s="4">
        <v>24.1</v>
      </c>
      <c r="E2028" s="4">
        <v>7.82</v>
      </c>
    </row>
    <row r="2029" spans="1:5" x14ac:dyDescent="0.25">
      <c r="A2029" s="4" t="s">
        <v>53</v>
      </c>
      <c r="B2029" s="4" t="s">
        <v>19</v>
      </c>
      <c r="C2029" s="5">
        <v>45308</v>
      </c>
      <c r="D2029" s="4">
        <v>26</v>
      </c>
      <c r="E2029" s="4">
        <v>8.43</v>
      </c>
    </row>
    <row r="2030" spans="1:5" x14ac:dyDescent="0.25">
      <c r="A2030" s="4" t="s">
        <v>53</v>
      </c>
      <c r="B2030" s="4" t="s">
        <v>19</v>
      </c>
      <c r="C2030" s="5">
        <v>45308</v>
      </c>
      <c r="D2030" s="4">
        <v>1.8</v>
      </c>
      <c r="E2030" s="4">
        <v>0.57999999999999996</v>
      </c>
    </row>
    <row r="2031" spans="1:5" x14ac:dyDescent="0.25">
      <c r="A2031" s="4" t="s">
        <v>53</v>
      </c>
      <c r="B2031" s="4" t="s">
        <v>19</v>
      </c>
      <c r="C2031" s="5">
        <v>45309</v>
      </c>
      <c r="D2031" s="4">
        <v>11</v>
      </c>
      <c r="E2031" s="4">
        <v>3.57</v>
      </c>
    </row>
    <row r="2032" spans="1:5" x14ac:dyDescent="0.25">
      <c r="A2032" s="4" t="s">
        <v>53</v>
      </c>
      <c r="B2032" s="4" t="s">
        <v>19</v>
      </c>
      <c r="C2032" s="5">
        <v>45310</v>
      </c>
      <c r="D2032" s="4">
        <v>13.8</v>
      </c>
      <c r="E2032" s="4">
        <v>4.47</v>
      </c>
    </row>
    <row r="2033" spans="1:5" x14ac:dyDescent="0.25">
      <c r="A2033" s="4" t="s">
        <v>53</v>
      </c>
      <c r="B2033" s="4" t="s">
        <v>19</v>
      </c>
      <c r="C2033" s="5">
        <v>45310</v>
      </c>
      <c r="D2033" s="4">
        <v>11.7</v>
      </c>
      <c r="E2033" s="4">
        <v>3.79</v>
      </c>
    </row>
    <row r="2034" spans="1:5" x14ac:dyDescent="0.25">
      <c r="A2034" s="4" t="s">
        <v>53</v>
      </c>
      <c r="B2034" s="4" t="s">
        <v>19</v>
      </c>
      <c r="C2034" s="5">
        <v>45310</v>
      </c>
      <c r="D2034" s="4">
        <v>10.9</v>
      </c>
      <c r="E2034" s="4">
        <v>3.53</v>
      </c>
    </row>
    <row r="2035" spans="1:5" x14ac:dyDescent="0.25">
      <c r="A2035" s="4" t="s">
        <v>53</v>
      </c>
      <c r="B2035" s="4" t="s">
        <v>19</v>
      </c>
      <c r="C2035" s="5">
        <v>45310</v>
      </c>
      <c r="D2035" s="4">
        <v>11.7</v>
      </c>
      <c r="E2035" s="4">
        <v>3.79</v>
      </c>
    </row>
    <row r="2036" spans="1:5" x14ac:dyDescent="0.25">
      <c r="A2036" s="4" t="s">
        <v>53</v>
      </c>
      <c r="B2036" s="4" t="s">
        <v>19</v>
      </c>
      <c r="C2036" s="5">
        <v>45310</v>
      </c>
      <c r="D2036" s="4">
        <v>10.9</v>
      </c>
      <c r="E2036" s="4">
        <v>3.53</v>
      </c>
    </row>
    <row r="2037" spans="1:5" x14ac:dyDescent="0.25">
      <c r="A2037" s="4" t="s">
        <v>53</v>
      </c>
      <c r="B2037" s="4" t="s">
        <v>19</v>
      </c>
      <c r="C2037" s="5">
        <v>45310</v>
      </c>
      <c r="D2037" s="4">
        <v>11.7</v>
      </c>
      <c r="E2037" s="4">
        <v>3.79</v>
      </c>
    </row>
    <row r="2038" spans="1:5" x14ac:dyDescent="0.25">
      <c r="A2038" s="4" t="s">
        <v>53</v>
      </c>
      <c r="B2038" s="4" t="s">
        <v>19</v>
      </c>
      <c r="C2038" s="5">
        <v>45310</v>
      </c>
      <c r="D2038" s="4">
        <v>10.9</v>
      </c>
      <c r="E2038" s="4">
        <v>3.53</v>
      </c>
    </row>
    <row r="2039" spans="1:5" x14ac:dyDescent="0.25">
      <c r="A2039" s="4" t="s">
        <v>53</v>
      </c>
      <c r="B2039" s="4" t="s">
        <v>19</v>
      </c>
      <c r="C2039" s="5">
        <v>45310</v>
      </c>
      <c r="D2039" s="4">
        <v>11.7</v>
      </c>
      <c r="E2039" s="4">
        <v>3.79</v>
      </c>
    </row>
    <row r="2040" spans="1:5" x14ac:dyDescent="0.25">
      <c r="A2040" s="4" t="s">
        <v>53</v>
      </c>
      <c r="B2040" s="4" t="s">
        <v>19</v>
      </c>
      <c r="C2040" s="5">
        <v>45310</v>
      </c>
      <c r="D2040" s="4">
        <v>10.9</v>
      </c>
      <c r="E2040" s="4">
        <v>3.53</v>
      </c>
    </row>
    <row r="2041" spans="1:5" x14ac:dyDescent="0.25">
      <c r="A2041" s="4" t="s">
        <v>53</v>
      </c>
      <c r="B2041" s="4" t="s">
        <v>19</v>
      </c>
      <c r="C2041" s="5">
        <v>45310</v>
      </c>
      <c r="D2041" s="4">
        <v>11.7</v>
      </c>
      <c r="E2041" s="4">
        <v>3.79</v>
      </c>
    </row>
    <row r="2042" spans="1:5" x14ac:dyDescent="0.25">
      <c r="A2042" s="4" t="s">
        <v>53</v>
      </c>
      <c r="B2042" s="4" t="s">
        <v>19</v>
      </c>
      <c r="C2042" s="5">
        <v>45310</v>
      </c>
      <c r="D2042" s="4">
        <v>8.6999999999999993</v>
      </c>
      <c r="E2042" s="4">
        <v>2.82</v>
      </c>
    </row>
    <row r="2043" spans="1:5" x14ac:dyDescent="0.25">
      <c r="A2043" s="4" t="s">
        <v>53</v>
      </c>
      <c r="B2043" s="4" t="s">
        <v>19</v>
      </c>
      <c r="C2043" s="5">
        <v>45310</v>
      </c>
      <c r="D2043" s="4">
        <v>3.6</v>
      </c>
      <c r="E2043" s="4">
        <v>1.17</v>
      </c>
    </row>
    <row r="2044" spans="1:5" x14ac:dyDescent="0.25">
      <c r="A2044" s="4" t="s">
        <v>53</v>
      </c>
      <c r="B2044" s="4" t="s">
        <v>19</v>
      </c>
      <c r="C2044" s="5">
        <v>45313</v>
      </c>
      <c r="D2044" s="4">
        <v>24.8</v>
      </c>
      <c r="E2044" s="4">
        <v>8</v>
      </c>
    </row>
    <row r="2045" spans="1:5" x14ac:dyDescent="0.25">
      <c r="A2045" s="4" t="s">
        <v>53</v>
      </c>
      <c r="B2045" s="4" t="s">
        <v>19</v>
      </c>
      <c r="C2045" s="5">
        <v>45313</v>
      </c>
      <c r="D2045" s="4">
        <v>26</v>
      </c>
      <c r="E2045" s="4">
        <v>8.4</v>
      </c>
    </row>
    <row r="2046" spans="1:5" x14ac:dyDescent="0.25">
      <c r="A2046" s="4" t="s">
        <v>53</v>
      </c>
      <c r="B2046" s="4" t="s">
        <v>19</v>
      </c>
      <c r="C2046" s="5">
        <v>45313</v>
      </c>
      <c r="D2046" s="4">
        <v>36.6</v>
      </c>
      <c r="E2046" s="4">
        <v>11.84</v>
      </c>
    </row>
    <row r="2047" spans="1:5" x14ac:dyDescent="0.25">
      <c r="A2047" s="4" t="s">
        <v>53</v>
      </c>
      <c r="B2047" s="4" t="s">
        <v>19</v>
      </c>
      <c r="C2047" s="5">
        <v>45313</v>
      </c>
      <c r="D2047" s="4">
        <v>36.6</v>
      </c>
      <c r="E2047" s="4">
        <v>11.84</v>
      </c>
    </row>
    <row r="2048" spans="1:5" x14ac:dyDescent="0.25">
      <c r="A2048" s="4" t="s">
        <v>53</v>
      </c>
      <c r="B2048" s="4" t="s">
        <v>19</v>
      </c>
      <c r="C2048" s="5">
        <v>45313</v>
      </c>
      <c r="D2048" s="4">
        <v>33.5</v>
      </c>
      <c r="E2048" s="4">
        <v>10.81</v>
      </c>
    </row>
    <row r="2049" spans="1:5" x14ac:dyDescent="0.25">
      <c r="A2049" s="4" t="s">
        <v>53</v>
      </c>
      <c r="B2049" s="4" t="s">
        <v>19</v>
      </c>
      <c r="C2049" s="5">
        <v>45313</v>
      </c>
      <c r="D2049" s="4">
        <v>33.5</v>
      </c>
      <c r="E2049" s="4">
        <v>10.81</v>
      </c>
    </row>
    <row r="2050" spans="1:5" x14ac:dyDescent="0.25">
      <c r="A2050" s="4" t="s">
        <v>53</v>
      </c>
      <c r="B2050" s="4" t="s">
        <v>19</v>
      </c>
      <c r="C2050" s="5">
        <v>45313</v>
      </c>
      <c r="D2050" s="4">
        <v>38.5</v>
      </c>
      <c r="E2050" s="4">
        <v>12.47</v>
      </c>
    </row>
    <row r="2051" spans="1:5" x14ac:dyDescent="0.25">
      <c r="A2051" s="4" t="s">
        <v>53</v>
      </c>
      <c r="B2051" s="4" t="s">
        <v>19</v>
      </c>
      <c r="C2051" s="5">
        <v>45314</v>
      </c>
      <c r="D2051" s="4">
        <v>15.4</v>
      </c>
      <c r="E2051" s="4">
        <v>5</v>
      </c>
    </row>
    <row r="2052" spans="1:5" x14ac:dyDescent="0.25">
      <c r="A2052" s="4" t="s">
        <v>53</v>
      </c>
      <c r="B2052" s="4" t="s">
        <v>19</v>
      </c>
      <c r="C2052" s="5">
        <v>45314</v>
      </c>
      <c r="D2052" s="4">
        <v>3.6</v>
      </c>
      <c r="E2052" s="4">
        <v>1.17</v>
      </c>
    </row>
    <row r="2053" spans="1:5" x14ac:dyDescent="0.25">
      <c r="A2053" s="4" t="s">
        <v>53</v>
      </c>
      <c r="B2053" s="4" t="s">
        <v>19</v>
      </c>
      <c r="C2053" s="5">
        <v>45314</v>
      </c>
      <c r="D2053" s="4">
        <v>5</v>
      </c>
      <c r="E2053" s="4">
        <v>1.62</v>
      </c>
    </row>
    <row r="2054" spans="1:5" x14ac:dyDescent="0.25">
      <c r="A2054" s="4" t="s">
        <v>53</v>
      </c>
      <c r="B2054" s="4" t="s">
        <v>19</v>
      </c>
      <c r="C2054" s="5">
        <v>45314</v>
      </c>
      <c r="D2054" s="4">
        <v>11.7</v>
      </c>
      <c r="E2054" s="4">
        <v>3.79</v>
      </c>
    </row>
    <row r="2055" spans="1:5" x14ac:dyDescent="0.25">
      <c r="A2055" s="4" t="s">
        <v>53</v>
      </c>
      <c r="B2055" s="4" t="s">
        <v>19</v>
      </c>
      <c r="C2055" s="5">
        <v>45314</v>
      </c>
      <c r="D2055" s="4">
        <v>2.2999999999999998</v>
      </c>
      <c r="E2055" s="4">
        <v>0.74</v>
      </c>
    </row>
    <row r="2056" spans="1:5" x14ac:dyDescent="0.25">
      <c r="A2056" s="4" t="s">
        <v>53</v>
      </c>
      <c r="B2056" s="4" t="s">
        <v>19</v>
      </c>
      <c r="C2056" s="5">
        <v>45314</v>
      </c>
      <c r="D2056" s="4">
        <v>2.2999999999999998</v>
      </c>
      <c r="E2056" s="4">
        <v>0.74</v>
      </c>
    </row>
    <row r="2057" spans="1:5" x14ac:dyDescent="0.25">
      <c r="A2057" s="4" t="s">
        <v>53</v>
      </c>
      <c r="B2057" s="4" t="s">
        <v>19</v>
      </c>
      <c r="C2057" s="5">
        <v>45314</v>
      </c>
      <c r="D2057" s="4">
        <v>4.9000000000000004</v>
      </c>
      <c r="E2057" s="4">
        <v>1.58</v>
      </c>
    </row>
    <row r="2058" spans="1:5" x14ac:dyDescent="0.25">
      <c r="A2058" s="4" t="s">
        <v>53</v>
      </c>
      <c r="B2058" s="4" t="s">
        <v>19</v>
      </c>
      <c r="C2058" s="5">
        <v>45314</v>
      </c>
      <c r="D2058" s="4">
        <v>24.1</v>
      </c>
      <c r="E2058" s="4">
        <v>7.82</v>
      </c>
    </row>
    <row r="2059" spans="1:5" x14ac:dyDescent="0.25">
      <c r="A2059" s="4" t="s">
        <v>53</v>
      </c>
      <c r="B2059" s="4" t="s">
        <v>19</v>
      </c>
      <c r="C2059" s="5">
        <v>45314</v>
      </c>
      <c r="D2059" s="4">
        <v>23.7</v>
      </c>
      <c r="E2059" s="4">
        <v>7.69</v>
      </c>
    </row>
    <row r="2060" spans="1:5" x14ac:dyDescent="0.25">
      <c r="A2060" s="4" t="s">
        <v>53</v>
      </c>
      <c r="B2060" s="4" t="s">
        <v>19</v>
      </c>
      <c r="C2060" s="5">
        <v>45314</v>
      </c>
      <c r="D2060" s="4">
        <v>8.6999999999999993</v>
      </c>
      <c r="E2060" s="4">
        <v>2.82</v>
      </c>
    </row>
    <row r="2061" spans="1:5" x14ac:dyDescent="0.25">
      <c r="A2061" s="4" t="s">
        <v>53</v>
      </c>
      <c r="B2061" s="4" t="s">
        <v>19</v>
      </c>
      <c r="C2061" s="5">
        <v>45314</v>
      </c>
      <c r="D2061" s="4">
        <v>15.4</v>
      </c>
      <c r="E2061" s="4">
        <v>5</v>
      </c>
    </row>
    <row r="2062" spans="1:5" x14ac:dyDescent="0.25">
      <c r="A2062" s="4" t="s">
        <v>53</v>
      </c>
      <c r="B2062" s="4" t="s">
        <v>19</v>
      </c>
      <c r="C2062" s="5">
        <v>45314</v>
      </c>
      <c r="D2062" s="4">
        <v>23.7</v>
      </c>
      <c r="E2062" s="4">
        <v>7.69</v>
      </c>
    </row>
    <row r="2063" spans="1:5" x14ac:dyDescent="0.25">
      <c r="A2063" s="4" t="s">
        <v>53</v>
      </c>
      <c r="B2063" s="4" t="s">
        <v>19</v>
      </c>
      <c r="C2063" s="5">
        <v>45315</v>
      </c>
      <c r="D2063" s="4">
        <v>3.2</v>
      </c>
      <c r="E2063" s="4">
        <v>1.04</v>
      </c>
    </row>
    <row r="2064" spans="1:5" x14ac:dyDescent="0.25">
      <c r="A2064" s="4" t="s">
        <v>53</v>
      </c>
      <c r="B2064" s="4" t="s">
        <v>19</v>
      </c>
      <c r="C2064" s="5">
        <v>45315</v>
      </c>
      <c r="D2064" s="4">
        <v>11.7</v>
      </c>
      <c r="E2064" s="4">
        <v>3.79</v>
      </c>
    </row>
    <row r="2065" spans="1:5" x14ac:dyDescent="0.25">
      <c r="A2065" s="4" t="s">
        <v>53</v>
      </c>
      <c r="B2065" s="4" t="s">
        <v>19</v>
      </c>
      <c r="C2065" s="5">
        <v>45315</v>
      </c>
      <c r="D2065" s="4">
        <v>2.2999999999999998</v>
      </c>
      <c r="E2065" s="4">
        <v>0.74</v>
      </c>
    </row>
    <row r="2066" spans="1:5" x14ac:dyDescent="0.25">
      <c r="A2066" s="4" t="s">
        <v>53</v>
      </c>
      <c r="B2066" s="4" t="s">
        <v>19</v>
      </c>
      <c r="C2066" s="5">
        <v>45315</v>
      </c>
      <c r="D2066" s="4">
        <v>2.2999999999999998</v>
      </c>
      <c r="E2066" s="4">
        <v>0.74</v>
      </c>
    </row>
    <row r="2067" spans="1:5" x14ac:dyDescent="0.25">
      <c r="A2067" s="4" t="s">
        <v>53</v>
      </c>
      <c r="B2067" s="4" t="s">
        <v>19</v>
      </c>
      <c r="C2067" s="5">
        <v>45315</v>
      </c>
      <c r="D2067" s="4">
        <v>10.9</v>
      </c>
      <c r="E2067" s="4">
        <v>3.53</v>
      </c>
    </row>
    <row r="2068" spans="1:5" x14ac:dyDescent="0.25">
      <c r="A2068" s="4" t="s">
        <v>53</v>
      </c>
      <c r="B2068" s="4" t="s">
        <v>19</v>
      </c>
      <c r="C2068" s="5">
        <v>45315</v>
      </c>
      <c r="D2068" s="4">
        <v>11.7</v>
      </c>
      <c r="E2068" s="4">
        <v>3.79</v>
      </c>
    </row>
    <row r="2069" spans="1:5" x14ac:dyDescent="0.25">
      <c r="A2069" s="4" t="s">
        <v>53</v>
      </c>
      <c r="B2069" s="4" t="s">
        <v>19</v>
      </c>
      <c r="C2069" s="5">
        <v>45315</v>
      </c>
      <c r="D2069" s="4">
        <v>2.2999999999999998</v>
      </c>
      <c r="E2069" s="4">
        <v>0.74</v>
      </c>
    </row>
    <row r="2070" spans="1:5" x14ac:dyDescent="0.25">
      <c r="A2070" s="4" t="s">
        <v>53</v>
      </c>
      <c r="B2070" s="4" t="s">
        <v>19</v>
      </c>
      <c r="C2070" s="5">
        <v>45315</v>
      </c>
      <c r="D2070" s="4">
        <v>2.2999999999999998</v>
      </c>
      <c r="E2070" s="4">
        <v>0.74</v>
      </c>
    </row>
    <row r="2071" spans="1:5" x14ac:dyDescent="0.25">
      <c r="A2071" s="4" t="s">
        <v>53</v>
      </c>
      <c r="B2071" s="4" t="s">
        <v>19</v>
      </c>
      <c r="C2071" s="5">
        <v>45315</v>
      </c>
      <c r="D2071" s="4">
        <v>10.9</v>
      </c>
      <c r="E2071" s="4">
        <v>3.53</v>
      </c>
    </row>
    <row r="2072" spans="1:5" x14ac:dyDescent="0.25">
      <c r="A2072" s="4" t="s">
        <v>53</v>
      </c>
      <c r="B2072" s="4" t="s">
        <v>19</v>
      </c>
      <c r="C2072" s="5">
        <v>45315</v>
      </c>
      <c r="D2072" s="4">
        <v>11.7</v>
      </c>
      <c r="E2072" s="4">
        <v>3.79</v>
      </c>
    </row>
    <row r="2073" spans="1:5" x14ac:dyDescent="0.25">
      <c r="A2073" s="4" t="s">
        <v>53</v>
      </c>
      <c r="B2073" s="4" t="s">
        <v>19</v>
      </c>
      <c r="C2073" s="5">
        <v>45315</v>
      </c>
      <c r="D2073" s="4">
        <v>2.2999999999999998</v>
      </c>
      <c r="E2073" s="4">
        <v>0.74</v>
      </c>
    </row>
    <row r="2074" spans="1:5" x14ac:dyDescent="0.25">
      <c r="A2074" s="4" t="s">
        <v>53</v>
      </c>
      <c r="B2074" s="4" t="s">
        <v>19</v>
      </c>
      <c r="C2074" s="5">
        <v>45315</v>
      </c>
      <c r="D2074" s="4">
        <v>2.2999999999999998</v>
      </c>
      <c r="E2074" s="4">
        <v>0.74</v>
      </c>
    </row>
    <row r="2075" spans="1:5" x14ac:dyDescent="0.25">
      <c r="A2075" s="4" t="s">
        <v>53</v>
      </c>
      <c r="B2075" s="4" t="s">
        <v>19</v>
      </c>
      <c r="C2075" s="5">
        <v>45315</v>
      </c>
      <c r="D2075" s="4">
        <v>4.9000000000000004</v>
      </c>
      <c r="E2075" s="4">
        <v>1.58</v>
      </c>
    </row>
    <row r="2076" spans="1:5" x14ac:dyDescent="0.25">
      <c r="A2076" s="4" t="s">
        <v>53</v>
      </c>
      <c r="B2076" s="4" t="s">
        <v>19</v>
      </c>
      <c r="C2076" s="5">
        <v>45315</v>
      </c>
      <c r="D2076" s="4">
        <v>10.9</v>
      </c>
      <c r="E2076" s="4">
        <v>3.53</v>
      </c>
    </row>
    <row r="2077" spans="1:5" x14ac:dyDescent="0.25">
      <c r="A2077" s="4" t="s">
        <v>53</v>
      </c>
      <c r="B2077" s="4" t="s">
        <v>19</v>
      </c>
      <c r="C2077" s="5">
        <v>45315</v>
      </c>
      <c r="D2077" s="4">
        <v>11.7</v>
      </c>
      <c r="E2077" s="4">
        <v>3.79</v>
      </c>
    </row>
    <row r="2078" spans="1:5" x14ac:dyDescent="0.25">
      <c r="A2078" s="4" t="s">
        <v>53</v>
      </c>
      <c r="B2078" s="4" t="s">
        <v>19</v>
      </c>
      <c r="C2078" s="5">
        <v>45315</v>
      </c>
      <c r="D2078" s="4">
        <v>10.9</v>
      </c>
      <c r="E2078" s="4">
        <v>3.53</v>
      </c>
    </row>
    <row r="2079" spans="1:5" x14ac:dyDescent="0.25">
      <c r="A2079" s="4" t="s">
        <v>53</v>
      </c>
      <c r="B2079" s="4" t="s">
        <v>19</v>
      </c>
      <c r="C2079" s="5">
        <v>45315</v>
      </c>
      <c r="D2079" s="4">
        <v>11.7</v>
      </c>
      <c r="E2079" s="4">
        <v>3.79</v>
      </c>
    </row>
    <row r="2080" spans="1:5" x14ac:dyDescent="0.25">
      <c r="A2080" s="4" t="s">
        <v>53</v>
      </c>
      <c r="B2080" s="4" t="s">
        <v>19</v>
      </c>
      <c r="C2080" s="5">
        <v>45315</v>
      </c>
      <c r="D2080" s="4">
        <v>10.9</v>
      </c>
      <c r="E2080" s="4">
        <v>3.53</v>
      </c>
    </row>
    <row r="2081" spans="1:5" x14ac:dyDescent="0.25">
      <c r="A2081" s="4" t="s">
        <v>53</v>
      </c>
      <c r="B2081" s="4" t="s">
        <v>19</v>
      </c>
      <c r="C2081" s="5">
        <v>45315</v>
      </c>
      <c r="D2081" s="4">
        <v>11.7</v>
      </c>
      <c r="E2081" s="4">
        <v>3.79</v>
      </c>
    </row>
    <row r="2082" spans="1:5" x14ac:dyDescent="0.25">
      <c r="A2082" s="4" t="s">
        <v>53</v>
      </c>
      <c r="B2082" s="4" t="s">
        <v>19</v>
      </c>
      <c r="C2082" s="5">
        <v>45315</v>
      </c>
      <c r="D2082" s="4">
        <v>8.6999999999999993</v>
      </c>
      <c r="E2082" s="4">
        <v>2.82</v>
      </c>
    </row>
    <row r="2083" spans="1:5" x14ac:dyDescent="0.25">
      <c r="A2083" s="4" t="s">
        <v>53</v>
      </c>
      <c r="B2083" s="4" t="s">
        <v>19</v>
      </c>
      <c r="C2083" s="5">
        <v>45321</v>
      </c>
      <c r="D2083" s="4">
        <v>2.4</v>
      </c>
      <c r="E2083" s="4">
        <v>0.75</v>
      </c>
    </row>
    <row r="2084" spans="1:5" x14ac:dyDescent="0.25">
      <c r="A2084" s="4" t="s">
        <v>53</v>
      </c>
      <c r="B2084" s="4" t="s">
        <v>19</v>
      </c>
      <c r="C2084" s="5">
        <v>45321</v>
      </c>
      <c r="D2084" s="4">
        <v>1.3</v>
      </c>
      <c r="E2084" s="4">
        <v>0.41</v>
      </c>
    </row>
    <row r="2085" spans="1:5" x14ac:dyDescent="0.25">
      <c r="A2085" s="4" t="s">
        <v>53</v>
      </c>
      <c r="B2085" s="4" t="s">
        <v>19</v>
      </c>
      <c r="C2085" s="5">
        <v>45321</v>
      </c>
      <c r="D2085" s="4">
        <v>1.6</v>
      </c>
      <c r="E2085" s="4">
        <v>0.5</v>
      </c>
    </row>
    <row r="2086" spans="1:5" x14ac:dyDescent="0.25">
      <c r="A2086" s="4" t="s">
        <v>53</v>
      </c>
      <c r="B2086" s="4" t="s">
        <v>19</v>
      </c>
      <c r="C2086" s="5">
        <v>45321</v>
      </c>
      <c r="D2086" s="4">
        <v>1.3</v>
      </c>
      <c r="E2086" s="4">
        <v>0.41</v>
      </c>
    </row>
    <row r="2087" spans="1:5" x14ac:dyDescent="0.25">
      <c r="A2087" s="4" t="s">
        <v>53</v>
      </c>
      <c r="B2087" s="4" t="s">
        <v>19</v>
      </c>
      <c r="C2087" s="5">
        <v>45321</v>
      </c>
      <c r="D2087" s="4">
        <v>1.6</v>
      </c>
      <c r="E2087" s="4">
        <v>0.5</v>
      </c>
    </row>
    <row r="2088" spans="1:5" x14ac:dyDescent="0.25">
      <c r="A2088" s="4" t="s">
        <v>53</v>
      </c>
      <c r="B2088" s="4" t="s">
        <v>19</v>
      </c>
      <c r="C2088" s="5">
        <v>45321</v>
      </c>
      <c r="D2088" s="4">
        <v>1.3</v>
      </c>
      <c r="E2088" s="4">
        <v>0.41</v>
      </c>
    </row>
    <row r="2089" spans="1:5" x14ac:dyDescent="0.25">
      <c r="A2089" s="4" t="s">
        <v>53</v>
      </c>
      <c r="B2089" s="4" t="s">
        <v>19</v>
      </c>
      <c r="C2089" s="5">
        <v>45321</v>
      </c>
      <c r="D2089" s="4">
        <v>1.6</v>
      </c>
      <c r="E2089" s="4">
        <v>0.5</v>
      </c>
    </row>
    <row r="2090" spans="1:5" x14ac:dyDescent="0.25">
      <c r="A2090" s="4" t="s">
        <v>53</v>
      </c>
      <c r="B2090" s="4" t="s">
        <v>19</v>
      </c>
      <c r="C2090" s="5">
        <v>45321</v>
      </c>
      <c r="D2090" s="4">
        <v>1.3</v>
      </c>
      <c r="E2090" s="4">
        <v>0.41</v>
      </c>
    </row>
    <row r="2091" spans="1:5" x14ac:dyDescent="0.25">
      <c r="A2091" s="4" t="s">
        <v>53</v>
      </c>
      <c r="B2091" s="4" t="s">
        <v>19</v>
      </c>
      <c r="C2091" s="5">
        <v>45321</v>
      </c>
      <c r="D2091" s="4">
        <v>1.6</v>
      </c>
      <c r="E2091" s="4">
        <v>0.5</v>
      </c>
    </row>
    <row r="2092" spans="1:5" x14ac:dyDescent="0.25">
      <c r="A2092" s="4" t="s">
        <v>53</v>
      </c>
      <c r="B2092" s="4" t="s">
        <v>19</v>
      </c>
      <c r="C2092" s="5">
        <v>45321</v>
      </c>
      <c r="D2092" s="4">
        <v>1.3</v>
      </c>
      <c r="E2092" s="4">
        <v>0.41</v>
      </c>
    </row>
    <row r="2093" spans="1:5" x14ac:dyDescent="0.25">
      <c r="A2093" s="4" t="s">
        <v>53</v>
      </c>
      <c r="B2093" s="4" t="s">
        <v>19</v>
      </c>
      <c r="C2093" s="5">
        <v>45321</v>
      </c>
      <c r="D2093" s="4">
        <v>1.6</v>
      </c>
      <c r="E2093" s="4">
        <v>0.5</v>
      </c>
    </row>
    <row r="2094" spans="1:5" x14ac:dyDescent="0.25">
      <c r="A2094" s="4" t="s">
        <v>53</v>
      </c>
      <c r="B2094" s="4" t="s">
        <v>19</v>
      </c>
      <c r="C2094" s="5">
        <v>45321</v>
      </c>
      <c r="D2094" s="4">
        <v>1.3</v>
      </c>
      <c r="E2094" s="4">
        <v>0.41</v>
      </c>
    </row>
    <row r="2095" spans="1:5" x14ac:dyDescent="0.25">
      <c r="A2095" s="4" t="s">
        <v>53</v>
      </c>
      <c r="B2095" s="4" t="s">
        <v>19</v>
      </c>
      <c r="C2095" s="5">
        <v>45321</v>
      </c>
      <c r="D2095" s="4">
        <v>1.6</v>
      </c>
      <c r="E2095" s="4">
        <v>0.5</v>
      </c>
    </row>
    <row r="2096" spans="1:5" x14ac:dyDescent="0.25">
      <c r="A2096" s="4" t="s">
        <v>53</v>
      </c>
      <c r="B2096" s="4" t="s">
        <v>19</v>
      </c>
      <c r="C2096" s="5">
        <v>45321</v>
      </c>
      <c r="D2096" s="4">
        <v>1.3</v>
      </c>
      <c r="E2096" s="4">
        <v>0.41</v>
      </c>
    </row>
    <row r="2097" spans="1:5" x14ac:dyDescent="0.25">
      <c r="A2097" s="4" t="s">
        <v>53</v>
      </c>
      <c r="B2097" s="4" t="s">
        <v>19</v>
      </c>
      <c r="C2097" s="5">
        <v>45321</v>
      </c>
      <c r="D2097" s="4">
        <v>1.6</v>
      </c>
      <c r="E2097" s="4">
        <v>0.5</v>
      </c>
    </row>
    <row r="2098" spans="1:5" x14ac:dyDescent="0.25">
      <c r="A2098" s="4" t="s">
        <v>53</v>
      </c>
      <c r="B2098" s="4" t="s">
        <v>19</v>
      </c>
      <c r="C2098" s="5">
        <v>45321</v>
      </c>
      <c r="D2098" s="4">
        <v>1.3</v>
      </c>
      <c r="E2098" s="4">
        <v>0.41</v>
      </c>
    </row>
    <row r="2099" spans="1:5" x14ac:dyDescent="0.25">
      <c r="A2099" s="4" t="s">
        <v>53</v>
      </c>
      <c r="B2099" s="4" t="s">
        <v>19</v>
      </c>
      <c r="C2099" s="5">
        <v>45321</v>
      </c>
      <c r="D2099" s="4">
        <v>1.6</v>
      </c>
      <c r="E2099" s="4">
        <v>0.5</v>
      </c>
    </row>
    <row r="2100" spans="1:5" x14ac:dyDescent="0.25">
      <c r="A2100" s="4" t="s">
        <v>53</v>
      </c>
      <c r="B2100" s="4" t="s">
        <v>19</v>
      </c>
      <c r="C2100" s="5">
        <v>45321</v>
      </c>
      <c r="D2100" s="4">
        <v>1.3</v>
      </c>
      <c r="E2100" s="4">
        <v>0.41</v>
      </c>
    </row>
    <row r="2101" spans="1:5" x14ac:dyDescent="0.25">
      <c r="A2101" s="4" t="s">
        <v>53</v>
      </c>
      <c r="B2101" s="4" t="s">
        <v>19</v>
      </c>
      <c r="C2101" s="5">
        <v>45321</v>
      </c>
      <c r="D2101" s="4">
        <v>1.6</v>
      </c>
      <c r="E2101" s="4">
        <v>0.5</v>
      </c>
    </row>
    <row r="2102" spans="1:5" x14ac:dyDescent="0.25">
      <c r="A2102" s="4" t="s">
        <v>53</v>
      </c>
      <c r="B2102" s="4" t="s">
        <v>19</v>
      </c>
      <c r="C2102" s="5">
        <v>45321</v>
      </c>
      <c r="D2102" s="4">
        <v>1.3</v>
      </c>
      <c r="E2102" s="4">
        <v>0.41</v>
      </c>
    </row>
    <row r="2103" spans="1:5" x14ac:dyDescent="0.25">
      <c r="A2103" s="4" t="s">
        <v>53</v>
      </c>
      <c r="B2103" s="4" t="s">
        <v>19</v>
      </c>
      <c r="C2103" s="5">
        <v>45321</v>
      </c>
      <c r="D2103" s="4">
        <v>1.6</v>
      </c>
      <c r="E2103" s="4">
        <v>0.5</v>
      </c>
    </row>
    <row r="2104" spans="1:5" x14ac:dyDescent="0.25">
      <c r="A2104" s="4" t="s">
        <v>53</v>
      </c>
      <c r="B2104" s="4" t="s">
        <v>19</v>
      </c>
      <c r="C2104" s="5">
        <v>45321</v>
      </c>
      <c r="D2104" s="4">
        <v>1.3</v>
      </c>
      <c r="E2104" s="4">
        <v>0.41</v>
      </c>
    </row>
    <row r="2105" spans="1:5" x14ac:dyDescent="0.25">
      <c r="A2105" s="4" t="s">
        <v>53</v>
      </c>
      <c r="B2105" s="4" t="s">
        <v>19</v>
      </c>
      <c r="C2105" s="5">
        <v>45321</v>
      </c>
      <c r="D2105" s="4">
        <v>1.6</v>
      </c>
      <c r="E2105" s="4">
        <v>0.5</v>
      </c>
    </row>
    <row r="2106" spans="1:5" x14ac:dyDescent="0.25">
      <c r="A2106" s="4" t="s">
        <v>53</v>
      </c>
      <c r="B2106" s="4" t="s">
        <v>19</v>
      </c>
      <c r="C2106" s="5">
        <v>45321</v>
      </c>
      <c r="D2106" s="4">
        <v>1.3</v>
      </c>
      <c r="E2106" s="4">
        <v>0.41</v>
      </c>
    </row>
    <row r="2107" spans="1:5" x14ac:dyDescent="0.25">
      <c r="A2107" s="4" t="s">
        <v>53</v>
      </c>
      <c r="B2107" s="4" t="s">
        <v>19</v>
      </c>
      <c r="C2107" s="5">
        <v>45321</v>
      </c>
      <c r="D2107" s="4">
        <v>1.6</v>
      </c>
      <c r="E2107" s="4">
        <v>0.5</v>
      </c>
    </row>
    <row r="2108" spans="1:5" x14ac:dyDescent="0.25">
      <c r="A2108" s="4" t="s">
        <v>53</v>
      </c>
      <c r="B2108" s="4" t="s">
        <v>19</v>
      </c>
      <c r="C2108" s="5">
        <v>45321</v>
      </c>
      <c r="D2108" s="4">
        <v>0.5</v>
      </c>
      <c r="E2108" s="4">
        <v>0.16</v>
      </c>
    </row>
    <row r="2109" spans="1:5" x14ac:dyDescent="0.25">
      <c r="A2109" s="4" t="s">
        <v>53</v>
      </c>
      <c r="B2109" s="4" t="s">
        <v>19</v>
      </c>
      <c r="C2109" s="5">
        <v>45321</v>
      </c>
      <c r="D2109" s="4">
        <v>2.5</v>
      </c>
      <c r="E2109" s="4">
        <v>0.81</v>
      </c>
    </row>
    <row r="2110" spans="1:5" x14ac:dyDescent="0.25">
      <c r="A2110" s="4" t="s">
        <v>53</v>
      </c>
      <c r="B2110" s="4" t="s">
        <v>19</v>
      </c>
      <c r="C2110" s="5">
        <v>45322</v>
      </c>
      <c r="D2110" s="4">
        <v>1.2</v>
      </c>
      <c r="E2110" s="4">
        <v>0.37</v>
      </c>
    </row>
    <row r="2111" spans="1:5" x14ac:dyDescent="0.25">
      <c r="A2111" s="4" t="s">
        <v>53</v>
      </c>
      <c r="B2111" s="4" t="s">
        <v>19</v>
      </c>
      <c r="C2111" s="5">
        <v>45322</v>
      </c>
      <c r="D2111" s="4">
        <v>1.6</v>
      </c>
      <c r="E2111" s="4">
        <v>0.5</v>
      </c>
    </row>
    <row r="2112" spans="1:5" x14ac:dyDescent="0.25">
      <c r="A2112" s="4" t="s">
        <v>53</v>
      </c>
      <c r="B2112" s="4" t="s">
        <v>19</v>
      </c>
      <c r="C2112" s="5">
        <v>45322</v>
      </c>
      <c r="D2112" s="4">
        <v>0.4</v>
      </c>
      <c r="E2112" s="4">
        <v>0.12</v>
      </c>
    </row>
    <row r="2113" spans="1:5" x14ac:dyDescent="0.25">
      <c r="A2113" s="4" t="s">
        <v>53</v>
      </c>
      <c r="B2113" s="4" t="s">
        <v>19</v>
      </c>
      <c r="C2113" s="5">
        <v>45322</v>
      </c>
      <c r="D2113" s="4">
        <v>11.7</v>
      </c>
      <c r="E2113" s="4">
        <v>3.79</v>
      </c>
    </row>
    <row r="2114" spans="1:5" x14ac:dyDescent="0.25">
      <c r="A2114" s="4" t="s">
        <v>53</v>
      </c>
      <c r="B2114" s="4" t="s">
        <v>19</v>
      </c>
      <c r="C2114" s="5">
        <v>45322</v>
      </c>
      <c r="D2114" s="4">
        <v>10.9</v>
      </c>
      <c r="E2114" s="4">
        <v>3.53</v>
      </c>
    </row>
    <row r="2115" spans="1:5" x14ac:dyDescent="0.25">
      <c r="A2115" s="4" t="s">
        <v>53</v>
      </c>
      <c r="B2115" s="4" t="s">
        <v>19</v>
      </c>
      <c r="C2115" s="5">
        <v>45322</v>
      </c>
      <c r="D2115" s="4">
        <v>1.3</v>
      </c>
      <c r="E2115" s="4">
        <v>0.41</v>
      </c>
    </row>
    <row r="2116" spans="1:5" x14ac:dyDescent="0.25">
      <c r="A2116" s="4" t="s">
        <v>53</v>
      </c>
      <c r="B2116" s="4" t="s">
        <v>19</v>
      </c>
      <c r="C2116" s="5">
        <v>45322</v>
      </c>
      <c r="D2116" s="4">
        <v>1.6</v>
      </c>
      <c r="E2116" s="4">
        <v>0.5</v>
      </c>
    </row>
    <row r="2117" spans="1:5" x14ac:dyDescent="0.25">
      <c r="A2117" s="4" t="s">
        <v>53</v>
      </c>
      <c r="B2117" s="4" t="s">
        <v>19</v>
      </c>
      <c r="C2117" s="5">
        <v>45322</v>
      </c>
      <c r="D2117" s="4">
        <v>1.3</v>
      </c>
      <c r="E2117" s="4">
        <v>0.41</v>
      </c>
    </row>
    <row r="2118" spans="1:5" x14ac:dyDescent="0.25">
      <c r="A2118" s="4" t="s">
        <v>53</v>
      </c>
      <c r="B2118" s="4" t="s">
        <v>19</v>
      </c>
      <c r="C2118" s="5">
        <v>45322</v>
      </c>
      <c r="D2118" s="4">
        <v>1.6</v>
      </c>
      <c r="E2118" s="4">
        <v>0.5</v>
      </c>
    </row>
    <row r="2119" spans="1:5" x14ac:dyDescent="0.25">
      <c r="A2119" s="4" t="s">
        <v>53</v>
      </c>
      <c r="B2119" s="4" t="s">
        <v>19</v>
      </c>
      <c r="C2119" s="5">
        <v>45322</v>
      </c>
      <c r="D2119" s="4">
        <v>1.3</v>
      </c>
      <c r="E2119" s="4">
        <v>0.41</v>
      </c>
    </row>
    <row r="2120" spans="1:5" x14ac:dyDescent="0.25">
      <c r="A2120" s="4" t="s">
        <v>53</v>
      </c>
      <c r="B2120" s="4" t="s">
        <v>19</v>
      </c>
      <c r="C2120" s="5">
        <v>45322</v>
      </c>
      <c r="D2120" s="4">
        <v>1.6</v>
      </c>
      <c r="E2120" s="4">
        <v>0.5</v>
      </c>
    </row>
    <row r="2121" spans="1:5" x14ac:dyDescent="0.25">
      <c r="A2121" s="4" t="s">
        <v>53</v>
      </c>
      <c r="B2121" s="4" t="s">
        <v>19</v>
      </c>
      <c r="C2121" s="5">
        <v>45322</v>
      </c>
      <c r="D2121" s="4">
        <v>1.3</v>
      </c>
      <c r="E2121" s="4">
        <v>0.41</v>
      </c>
    </row>
    <row r="2122" spans="1:5" x14ac:dyDescent="0.25">
      <c r="A2122" s="4" t="s">
        <v>53</v>
      </c>
      <c r="B2122" s="4" t="s">
        <v>19</v>
      </c>
      <c r="C2122" s="5">
        <v>45322</v>
      </c>
      <c r="D2122" s="4">
        <v>1.6</v>
      </c>
      <c r="E2122" s="4">
        <v>0.5</v>
      </c>
    </row>
    <row r="2123" spans="1:5" x14ac:dyDescent="0.25">
      <c r="A2123" s="4" t="s">
        <v>53</v>
      </c>
      <c r="B2123" s="4" t="s">
        <v>19</v>
      </c>
      <c r="C2123" s="5">
        <v>45322</v>
      </c>
      <c r="D2123" s="4">
        <v>1.3</v>
      </c>
      <c r="E2123" s="4">
        <v>0.41</v>
      </c>
    </row>
    <row r="2124" spans="1:5" x14ac:dyDescent="0.25">
      <c r="A2124" s="4" t="s">
        <v>53</v>
      </c>
      <c r="B2124" s="4" t="s">
        <v>19</v>
      </c>
      <c r="C2124" s="5">
        <v>45322</v>
      </c>
      <c r="D2124" s="4">
        <v>1.6</v>
      </c>
      <c r="E2124" s="4">
        <v>0.5</v>
      </c>
    </row>
    <row r="2125" spans="1:5" x14ac:dyDescent="0.25">
      <c r="A2125" s="4" t="s">
        <v>53</v>
      </c>
      <c r="B2125" s="4" t="s">
        <v>19</v>
      </c>
      <c r="C2125" s="5">
        <v>45322</v>
      </c>
      <c r="D2125" s="4">
        <v>1.3</v>
      </c>
      <c r="E2125" s="4">
        <v>0.41</v>
      </c>
    </row>
    <row r="2126" spans="1:5" x14ac:dyDescent="0.25">
      <c r="A2126" s="4" t="s">
        <v>53</v>
      </c>
      <c r="B2126" s="4" t="s">
        <v>19</v>
      </c>
      <c r="C2126" s="5">
        <v>45322</v>
      </c>
      <c r="D2126" s="4">
        <v>1.6</v>
      </c>
      <c r="E2126" s="4">
        <v>0.5</v>
      </c>
    </row>
    <row r="2127" spans="1:5" x14ac:dyDescent="0.25">
      <c r="A2127" s="4" t="s">
        <v>53</v>
      </c>
      <c r="B2127" s="4" t="s">
        <v>19</v>
      </c>
      <c r="C2127" s="5">
        <v>45322</v>
      </c>
      <c r="D2127" s="4">
        <v>1.3</v>
      </c>
      <c r="E2127" s="4">
        <v>0.41</v>
      </c>
    </row>
    <row r="2128" spans="1:5" x14ac:dyDescent="0.25">
      <c r="A2128" s="4" t="s">
        <v>53</v>
      </c>
      <c r="B2128" s="4" t="s">
        <v>19</v>
      </c>
      <c r="C2128" s="5">
        <v>45322</v>
      </c>
      <c r="D2128" s="4">
        <v>1.6</v>
      </c>
      <c r="E2128" s="4">
        <v>0.5</v>
      </c>
    </row>
    <row r="2129" spans="1:5" x14ac:dyDescent="0.25">
      <c r="A2129" s="4" t="s">
        <v>53</v>
      </c>
      <c r="B2129" s="4" t="s">
        <v>19</v>
      </c>
      <c r="C2129" s="5">
        <v>45322</v>
      </c>
      <c r="D2129" s="4">
        <v>1.3</v>
      </c>
      <c r="E2129" s="4">
        <v>0.41</v>
      </c>
    </row>
    <row r="2130" spans="1:5" x14ac:dyDescent="0.25">
      <c r="A2130" s="4" t="s">
        <v>53</v>
      </c>
      <c r="B2130" s="4" t="s">
        <v>19</v>
      </c>
      <c r="C2130" s="5">
        <v>45322</v>
      </c>
      <c r="D2130" s="4">
        <v>1.6</v>
      </c>
      <c r="E2130" s="4">
        <v>0.5</v>
      </c>
    </row>
    <row r="2131" spans="1:5" x14ac:dyDescent="0.25">
      <c r="A2131" s="4" t="s">
        <v>53</v>
      </c>
      <c r="B2131" s="4" t="s">
        <v>19</v>
      </c>
      <c r="C2131" s="5">
        <v>45322</v>
      </c>
      <c r="D2131" s="4">
        <v>1.3</v>
      </c>
      <c r="E2131" s="4">
        <v>0.41</v>
      </c>
    </row>
    <row r="2132" spans="1:5" x14ac:dyDescent="0.25">
      <c r="A2132" s="4" t="s">
        <v>53</v>
      </c>
      <c r="B2132" s="4" t="s">
        <v>19</v>
      </c>
      <c r="C2132" s="5">
        <v>45322</v>
      </c>
      <c r="D2132" s="4">
        <v>1.6</v>
      </c>
      <c r="E2132" s="4">
        <v>0.5</v>
      </c>
    </row>
    <row r="2133" spans="1:5" x14ac:dyDescent="0.25">
      <c r="A2133" s="4" t="s">
        <v>53</v>
      </c>
      <c r="B2133" s="4" t="s">
        <v>19</v>
      </c>
      <c r="C2133" s="5">
        <v>45322</v>
      </c>
      <c r="D2133" s="4">
        <v>1.3</v>
      </c>
      <c r="E2133" s="4">
        <v>0.41</v>
      </c>
    </row>
    <row r="2134" spans="1:5" x14ac:dyDescent="0.25">
      <c r="A2134" s="4" t="s">
        <v>53</v>
      </c>
      <c r="B2134" s="4" t="s">
        <v>19</v>
      </c>
      <c r="C2134" s="5">
        <v>45322</v>
      </c>
      <c r="D2134" s="4">
        <v>1.6</v>
      </c>
      <c r="E2134" s="4">
        <v>0.5</v>
      </c>
    </row>
    <row r="2135" spans="1:5" x14ac:dyDescent="0.25">
      <c r="A2135" s="4" t="s">
        <v>53</v>
      </c>
      <c r="B2135" s="4" t="s">
        <v>19</v>
      </c>
      <c r="C2135" s="5">
        <v>45322</v>
      </c>
      <c r="D2135" s="4">
        <v>1.3</v>
      </c>
      <c r="E2135" s="4">
        <v>0.41</v>
      </c>
    </row>
    <row r="2136" spans="1:5" x14ac:dyDescent="0.25">
      <c r="A2136" s="4" t="s">
        <v>53</v>
      </c>
      <c r="B2136" s="4" t="s">
        <v>19</v>
      </c>
      <c r="C2136" s="5">
        <v>45322</v>
      </c>
      <c r="D2136" s="4">
        <v>1.6</v>
      </c>
      <c r="E2136" s="4">
        <v>0.5</v>
      </c>
    </row>
    <row r="2137" spans="1:5" x14ac:dyDescent="0.25">
      <c r="A2137" s="4" t="s">
        <v>53</v>
      </c>
      <c r="B2137" s="4" t="s">
        <v>19</v>
      </c>
      <c r="C2137" s="5">
        <v>45322</v>
      </c>
      <c r="D2137" s="4">
        <v>1.3</v>
      </c>
      <c r="E2137" s="4">
        <v>0.41</v>
      </c>
    </row>
    <row r="2138" spans="1:5" x14ac:dyDescent="0.25">
      <c r="A2138" s="4" t="s">
        <v>53</v>
      </c>
      <c r="B2138" s="4" t="s">
        <v>19</v>
      </c>
      <c r="C2138" s="5">
        <v>45323</v>
      </c>
      <c r="D2138" s="4">
        <v>2.4</v>
      </c>
      <c r="E2138" s="4">
        <v>0.75</v>
      </c>
    </row>
    <row r="2139" spans="1:5" x14ac:dyDescent="0.25">
      <c r="A2139" s="4" t="s">
        <v>53</v>
      </c>
      <c r="B2139" s="4" t="s">
        <v>19</v>
      </c>
      <c r="C2139" s="5">
        <v>45323</v>
      </c>
      <c r="D2139" s="4">
        <v>1.3</v>
      </c>
      <c r="E2139" s="4">
        <v>0.41</v>
      </c>
    </row>
    <row r="2140" spans="1:5" x14ac:dyDescent="0.25">
      <c r="A2140" s="4" t="s">
        <v>53</v>
      </c>
      <c r="B2140" s="4" t="s">
        <v>19</v>
      </c>
      <c r="C2140" s="5">
        <v>45323</v>
      </c>
      <c r="D2140" s="4">
        <v>1.6</v>
      </c>
      <c r="E2140" s="4">
        <v>0.5</v>
      </c>
    </row>
    <row r="2141" spans="1:5" x14ac:dyDescent="0.25">
      <c r="A2141" s="4" t="s">
        <v>53</v>
      </c>
      <c r="B2141" s="4" t="s">
        <v>19</v>
      </c>
      <c r="C2141" s="5">
        <v>45323</v>
      </c>
      <c r="D2141" s="4">
        <v>1.3</v>
      </c>
      <c r="E2141" s="4">
        <v>0.41</v>
      </c>
    </row>
    <row r="2142" spans="1:5" x14ac:dyDescent="0.25">
      <c r="A2142" s="4" t="s">
        <v>53</v>
      </c>
      <c r="B2142" s="4" t="s">
        <v>19</v>
      </c>
      <c r="C2142" s="5">
        <v>45323</v>
      </c>
      <c r="D2142" s="4">
        <v>1.6</v>
      </c>
      <c r="E2142" s="4">
        <v>0.5</v>
      </c>
    </row>
    <row r="2143" spans="1:5" x14ac:dyDescent="0.25">
      <c r="A2143" s="4" t="s">
        <v>53</v>
      </c>
      <c r="B2143" s="4" t="s">
        <v>19</v>
      </c>
      <c r="C2143" s="5">
        <v>45323</v>
      </c>
      <c r="D2143" s="4">
        <v>1.3</v>
      </c>
      <c r="E2143" s="4">
        <v>0.41</v>
      </c>
    </row>
    <row r="2144" spans="1:5" x14ac:dyDescent="0.25">
      <c r="A2144" s="4" t="s">
        <v>53</v>
      </c>
      <c r="B2144" s="4" t="s">
        <v>19</v>
      </c>
      <c r="C2144" s="5">
        <v>45323</v>
      </c>
      <c r="D2144" s="4">
        <v>1.6</v>
      </c>
      <c r="E2144" s="4">
        <v>0.5</v>
      </c>
    </row>
    <row r="2145" spans="1:5" x14ac:dyDescent="0.25">
      <c r="A2145" s="4" t="s">
        <v>53</v>
      </c>
      <c r="B2145" s="4" t="s">
        <v>19</v>
      </c>
      <c r="C2145" s="5">
        <v>45323</v>
      </c>
      <c r="D2145" s="4">
        <v>1.3</v>
      </c>
      <c r="E2145" s="4">
        <v>0.41</v>
      </c>
    </row>
    <row r="2146" spans="1:5" x14ac:dyDescent="0.25">
      <c r="A2146" s="4" t="s">
        <v>53</v>
      </c>
      <c r="B2146" s="4" t="s">
        <v>19</v>
      </c>
      <c r="C2146" s="5">
        <v>45323</v>
      </c>
      <c r="D2146" s="4">
        <v>1.6</v>
      </c>
      <c r="E2146" s="4">
        <v>0.5</v>
      </c>
    </row>
    <row r="2147" spans="1:5" x14ac:dyDescent="0.25">
      <c r="A2147" s="4" t="s">
        <v>53</v>
      </c>
      <c r="B2147" s="4" t="s">
        <v>19</v>
      </c>
      <c r="C2147" s="5">
        <v>45323</v>
      </c>
      <c r="D2147" s="4">
        <v>1.3</v>
      </c>
      <c r="E2147" s="4">
        <v>0.41</v>
      </c>
    </row>
    <row r="2148" spans="1:5" x14ac:dyDescent="0.25">
      <c r="A2148" s="4" t="s">
        <v>53</v>
      </c>
      <c r="B2148" s="4" t="s">
        <v>19</v>
      </c>
      <c r="C2148" s="5">
        <v>45323</v>
      </c>
      <c r="D2148" s="4">
        <v>1.6</v>
      </c>
      <c r="E2148" s="4">
        <v>0.5</v>
      </c>
    </row>
    <row r="2149" spans="1:5" x14ac:dyDescent="0.25">
      <c r="A2149" s="4" t="s">
        <v>53</v>
      </c>
      <c r="B2149" s="4" t="s">
        <v>19</v>
      </c>
      <c r="C2149" s="5">
        <v>45323</v>
      </c>
      <c r="D2149" s="4">
        <v>1.3</v>
      </c>
      <c r="E2149" s="4">
        <v>0.41</v>
      </c>
    </row>
    <row r="2150" spans="1:5" x14ac:dyDescent="0.25">
      <c r="A2150" s="4" t="s">
        <v>53</v>
      </c>
      <c r="B2150" s="4" t="s">
        <v>19</v>
      </c>
      <c r="C2150" s="5">
        <v>45323</v>
      </c>
      <c r="D2150" s="4">
        <v>1.6</v>
      </c>
      <c r="E2150" s="4">
        <v>0.5</v>
      </c>
    </row>
    <row r="2151" spans="1:5" x14ac:dyDescent="0.25">
      <c r="A2151" s="4" t="s">
        <v>53</v>
      </c>
      <c r="B2151" s="4" t="s">
        <v>19</v>
      </c>
      <c r="C2151" s="5">
        <v>45323</v>
      </c>
      <c r="D2151" s="4">
        <v>1.3</v>
      </c>
      <c r="E2151" s="4">
        <v>0.41</v>
      </c>
    </row>
    <row r="2152" spans="1:5" x14ac:dyDescent="0.25">
      <c r="A2152" s="4" t="s">
        <v>53</v>
      </c>
      <c r="B2152" s="4" t="s">
        <v>19</v>
      </c>
      <c r="C2152" s="5">
        <v>45323</v>
      </c>
      <c r="D2152" s="4">
        <v>1.6</v>
      </c>
      <c r="E2152" s="4">
        <v>0.5</v>
      </c>
    </row>
    <row r="2153" spans="1:5" x14ac:dyDescent="0.25">
      <c r="A2153" s="4" t="s">
        <v>53</v>
      </c>
      <c r="B2153" s="4" t="s">
        <v>19</v>
      </c>
      <c r="C2153" s="5">
        <v>45323</v>
      </c>
      <c r="D2153" s="4">
        <v>1.3</v>
      </c>
      <c r="E2153" s="4">
        <v>0.41</v>
      </c>
    </row>
    <row r="2154" spans="1:5" x14ac:dyDescent="0.25">
      <c r="A2154" s="4" t="s">
        <v>53</v>
      </c>
      <c r="B2154" s="4" t="s">
        <v>19</v>
      </c>
      <c r="C2154" s="5">
        <v>45323</v>
      </c>
      <c r="D2154" s="4">
        <v>1.6</v>
      </c>
      <c r="E2154" s="4">
        <v>0.5</v>
      </c>
    </row>
    <row r="2155" spans="1:5" x14ac:dyDescent="0.25">
      <c r="A2155" s="4" t="s">
        <v>53</v>
      </c>
      <c r="B2155" s="4" t="s">
        <v>19</v>
      </c>
      <c r="C2155" s="5">
        <v>45323</v>
      </c>
      <c r="D2155" s="4">
        <v>1.3</v>
      </c>
      <c r="E2155" s="4">
        <v>0.41</v>
      </c>
    </row>
    <row r="2156" spans="1:5" x14ac:dyDescent="0.25">
      <c r="A2156" s="4" t="s">
        <v>53</v>
      </c>
      <c r="B2156" s="4" t="s">
        <v>19</v>
      </c>
      <c r="C2156" s="5">
        <v>45323</v>
      </c>
      <c r="D2156" s="4">
        <v>1.6</v>
      </c>
      <c r="E2156" s="4">
        <v>0.5</v>
      </c>
    </row>
    <row r="2157" spans="1:5" x14ac:dyDescent="0.25">
      <c r="A2157" s="4" t="s">
        <v>53</v>
      </c>
      <c r="B2157" s="4" t="s">
        <v>19</v>
      </c>
      <c r="C2157" s="5">
        <v>45323</v>
      </c>
      <c r="D2157" s="4">
        <v>1.3</v>
      </c>
      <c r="E2157" s="4">
        <v>0.41</v>
      </c>
    </row>
    <row r="2158" spans="1:5" x14ac:dyDescent="0.25">
      <c r="A2158" s="4" t="s">
        <v>53</v>
      </c>
      <c r="B2158" s="4" t="s">
        <v>19</v>
      </c>
      <c r="C2158" s="5">
        <v>45323</v>
      </c>
      <c r="D2158" s="4">
        <v>1.6</v>
      </c>
      <c r="E2158" s="4">
        <v>0.5</v>
      </c>
    </row>
    <row r="2159" spans="1:5" x14ac:dyDescent="0.25">
      <c r="A2159" s="4" t="s">
        <v>53</v>
      </c>
      <c r="B2159" s="4" t="s">
        <v>19</v>
      </c>
      <c r="C2159" s="5">
        <v>45323</v>
      </c>
      <c r="D2159" s="4">
        <v>1.3</v>
      </c>
      <c r="E2159" s="4">
        <v>0.41</v>
      </c>
    </row>
    <row r="2160" spans="1:5" x14ac:dyDescent="0.25">
      <c r="A2160" s="4" t="s">
        <v>53</v>
      </c>
      <c r="B2160" s="4" t="s">
        <v>19</v>
      </c>
      <c r="C2160" s="5">
        <v>45323</v>
      </c>
      <c r="D2160" s="4">
        <v>1.6</v>
      </c>
      <c r="E2160" s="4">
        <v>0.5</v>
      </c>
    </row>
    <row r="2161" spans="1:5" x14ac:dyDescent="0.25">
      <c r="A2161" s="4" t="s">
        <v>53</v>
      </c>
      <c r="B2161" s="4" t="s">
        <v>19</v>
      </c>
      <c r="C2161" s="5">
        <v>45323</v>
      </c>
      <c r="D2161" s="4">
        <v>1.3</v>
      </c>
      <c r="E2161" s="4">
        <v>0.41</v>
      </c>
    </row>
    <row r="2162" spans="1:5" x14ac:dyDescent="0.25">
      <c r="A2162" s="4" t="s">
        <v>53</v>
      </c>
      <c r="B2162" s="4" t="s">
        <v>19</v>
      </c>
      <c r="C2162" s="5">
        <v>45323</v>
      </c>
      <c r="D2162" s="4">
        <v>1.6</v>
      </c>
      <c r="E2162" s="4">
        <v>0.5</v>
      </c>
    </row>
    <row r="2163" spans="1:5" x14ac:dyDescent="0.25">
      <c r="A2163" s="4" t="s">
        <v>53</v>
      </c>
      <c r="B2163" s="4" t="s">
        <v>19</v>
      </c>
      <c r="C2163" s="5">
        <v>45323</v>
      </c>
      <c r="D2163" s="4">
        <v>1.3</v>
      </c>
      <c r="E2163" s="4">
        <v>0.41</v>
      </c>
    </row>
    <row r="2164" spans="1:5" x14ac:dyDescent="0.25">
      <c r="A2164" s="4" t="s">
        <v>53</v>
      </c>
      <c r="B2164" s="4" t="s">
        <v>19</v>
      </c>
      <c r="C2164" s="5">
        <v>45324</v>
      </c>
      <c r="D2164" s="4">
        <v>3.6</v>
      </c>
      <c r="E2164" s="4">
        <v>1.17</v>
      </c>
    </row>
    <row r="2165" spans="1:5" x14ac:dyDescent="0.25">
      <c r="A2165" s="4" t="s">
        <v>53</v>
      </c>
      <c r="B2165" s="4" t="s">
        <v>19</v>
      </c>
      <c r="C2165" s="5">
        <v>45324</v>
      </c>
      <c r="D2165" s="4">
        <v>29.2</v>
      </c>
      <c r="E2165" s="4">
        <v>9.4700000000000006</v>
      </c>
    </row>
    <row r="2166" spans="1:5" x14ac:dyDescent="0.25">
      <c r="A2166" s="4" t="s">
        <v>53</v>
      </c>
      <c r="B2166" s="4" t="s">
        <v>19</v>
      </c>
      <c r="C2166" s="5">
        <v>45324</v>
      </c>
      <c r="D2166" s="4">
        <v>13.8</v>
      </c>
      <c r="E2166" s="4">
        <v>4.47</v>
      </c>
    </row>
    <row r="2167" spans="1:5" x14ac:dyDescent="0.25">
      <c r="A2167" s="4" t="s">
        <v>53</v>
      </c>
      <c r="B2167" s="4" t="s">
        <v>19</v>
      </c>
      <c r="C2167" s="5">
        <v>45324</v>
      </c>
      <c r="D2167" s="4">
        <v>15.4</v>
      </c>
      <c r="E2167" s="4">
        <v>5</v>
      </c>
    </row>
    <row r="2168" spans="1:5" x14ac:dyDescent="0.25">
      <c r="A2168" s="4" t="s">
        <v>53</v>
      </c>
      <c r="B2168" s="4" t="s">
        <v>19</v>
      </c>
      <c r="C2168" s="5">
        <v>45328</v>
      </c>
      <c r="D2168" s="4">
        <v>18.7</v>
      </c>
      <c r="E2168" s="4">
        <v>6.06</v>
      </c>
    </row>
    <row r="2169" spans="1:5" x14ac:dyDescent="0.25">
      <c r="A2169" s="4" t="s">
        <v>53</v>
      </c>
      <c r="B2169" s="4" t="s">
        <v>19</v>
      </c>
      <c r="C2169" s="5">
        <v>45328</v>
      </c>
      <c r="D2169" s="4">
        <v>1.2</v>
      </c>
      <c r="E2169" s="4">
        <v>0.38</v>
      </c>
    </row>
    <row r="2170" spans="1:5" x14ac:dyDescent="0.25">
      <c r="A2170" s="4" t="s">
        <v>53</v>
      </c>
      <c r="B2170" s="4" t="s">
        <v>19</v>
      </c>
      <c r="C2170" s="5">
        <v>45328</v>
      </c>
      <c r="D2170" s="4">
        <v>13.1</v>
      </c>
      <c r="E2170" s="4">
        <v>4.24</v>
      </c>
    </row>
    <row r="2171" spans="1:5" x14ac:dyDescent="0.25">
      <c r="A2171" s="4" t="s">
        <v>53</v>
      </c>
      <c r="B2171" s="4" t="s">
        <v>19</v>
      </c>
      <c r="C2171" s="5">
        <v>45328</v>
      </c>
      <c r="D2171" s="4">
        <v>13.1</v>
      </c>
      <c r="E2171" s="4">
        <v>4.24</v>
      </c>
    </row>
    <row r="2172" spans="1:5" x14ac:dyDescent="0.25">
      <c r="A2172" s="4" t="s">
        <v>53</v>
      </c>
      <c r="B2172" s="4" t="s">
        <v>19</v>
      </c>
      <c r="C2172" s="5">
        <v>45328</v>
      </c>
      <c r="D2172" s="4">
        <v>13.3</v>
      </c>
      <c r="E2172" s="4">
        <v>4.3099999999999996</v>
      </c>
    </row>
    <row r="2173" spans="1:5" x14ac:dyDescent="0.25">
      <c r="A2173" s="4" t="s">
        <v>53</v>
      </c>
      <c r="B2173" s="4" t="s">
        <v>19</v>
      </c>
      <c r="C2173" s="5">
        <v>45328</v>
      </c>
      <c r="D2173" s="4">
        <v>21.3</v>
      </c>
      <c r="E2173" s="4">
        <v>6.91</v>
      </c>
    </row>
    <row r="2174" spans="1:5" x14ac:dyDescent="0.25">
      <c r="A2174" s="4" t="s">
        <v>53</v>
      </c>
      <c r="B2174" s="4" t="s">
        <v>19</v>
      </c>
      <c r="C2174" s="5">
        <v>45328</v>
      </c>
      <c r="D2174" s="4">
        <v>2.2999999999999998</v>
      </c>
      <c r="E2174" s="4">
        <v>0.74</v>
      </c>
    </row>
    <row r="2175" spans="1:5" x14ac:dyDescent="0.25">
      <c r="A2175" s="4" t="s">
        <v>53</v>
      </c>
      <c r="B2175" s="4" t="s">
        <v>19</v>
      </c>
      <c r="C2175" s="5">
        <v>45328</v>
      </c>
      <c r="D2175" s="4">
        <v>2.2999999999999998</v>
      </c>
      <c r="E2175" s="4">
        <v>0.74</v>
      </c>
    </row>
    <row r="2176" spans="1:5" x14ac:dyDescent="0.25">
      <c r="A2176" s="4" t="s">
        <v>53</v>
      </c>
      <c r="B2176" s="4" t="s">
        <v>19</v>
      </c>
      <c r="C2176" s="5">
        <v>45328</v>
      </c>
      <c r="D2176" s="4">
        <v>27.4</v>
      </c>
      <c r="E2176" s="4">
        <v>8.8800000000000008</v>
      </c>
    </row>
    <row r="2177" spans="1:5" x14ac:dyDescent="0.25">
      <c r="A2177" s="4" t="s">
        <v>53</v>
      </c>
      <c r="B2177" s="4" t="s">
        <v>19</v>
      </c>
      <c r="C2177" s="5">
        <v>45328</v>
      </c>
      <c r="D2177" s="4">
        <v>28.2</v>
      </c>
      <c r="E2177" s="4">
        <v>9.14</v>
      </c>
    </row>
    <row r="2178" spans="1:5" x14ac:dyDescent="0.25">
      <c r="A2178" s="4" t="s">
        <v>53</v>
      </c>
      <c r="B2178" s="4" t="s">
        <v>19</v>
      </c>
      <c r="C2178" s="5">
        <v>45328</v>
      </c>
      <c r="D2178" s="4">
        <v>2.2999999999999998</v>
      </c>
      <c r="E2178" s="4">
        <v>0.74</v>
      </c>
    </row>
    <row r="2179" spans="1:5" x14ac:dyDescent="0.25">
      <c r="A2179" s="4" t="s">
        <v>53</v>
      </c>
      <c r="B2179" s="4" t="s">
        <v>19</v>
      </c>
      <c r="C2179" s="5">
        <v>45328</v>
      </c>
      <c r="D2179" s="4">
        <v>2.2999999999999998</v>
      </c>
      <c r="E2179" s="4">
        <v>0.74</v>
      </c>
    </row>
    <row r="2180" spans="1:5" x14ac:dyDescent="0.25">
      <c r="A2180" s="4" t="s">
        <v>53</v>
      </c>
      <c r="B2180" s="4" t="s">
        <v>19</v>
      </c>
      <c r="C2180" s="5">
        <v>45328</v>
      </c>
      <c r="D2180" s="4">
        <v>27.4</v>
      </c>
      <c r="E2180" s="4">
        <v>8.8800000000000008</v>
      </c>
    </row>
    <row r="2181" spans="1:5" x14ac:dyDescent="0.25">
      <c r="A2181" s="4" t="s">
        <v>53</v>
      </c>
      <c r="B2181" s="4" t="s">
        <v>19</v>
      </c>
      <c r="C2181" s="5">
        <v>45328</v>
      </c>
      <c r="D2181" s="4">
        <v>18.7</v>
      </c>
      <c r="E2181" s="4">
        <v>6.06</v>
      </c>
    </row>
    <row r="2182" spans="1:5" x14ac:dyDescent="0.25">
      <c r="A2182" s="4" t="s">
        <v>53</v>
      </c>
      <c r="B2182" s="4" t="s">
        <v>19</v>
      </c>
      <c r="C2182" s="5">
        <v>45329</v>
      </c>
      <c r="D2182" s="4">
        <v>13.1</v>
      </c>
      <c r="E2182" s="4">
        <v>4.24</v>
      </c>
    </row>
    <row r="2183" spans="1:5" x14ac:dyDescent="0.25">
      <c r="A2183" s="4" t="s">
        <v>53</v>
      </c>
      <c r="B2183" s="4" t="s">
        <v>19</v>
      </c>
      <c r="C2183" s="5">
        <v>45329</v>
      </c>
      <c r="D2183" s="4">
        <v>13.1</v>
      </c>
      <c r="E2183" s="4">
        <v>4.24</v>
      </c>
    </row>
    <row r="2184" spans="1:5" x14ac:dyDescent="0.25">
      <c r="A2184" s="4" t="s">
        <v>53</v>
      </c>
      <c r="B2184" s="4" t="s">
        <v>19</v>
      </c>
      <c r="C2184" s="5">
        <v>45329</v>
      </c>
      <c r="D2184" s="4">
        <v>2.1</v>
      </c>
      <c r="E2184" s="4">
        <v>0.68</v>
      </c>
    </row>
    <row r="2185" spans="1:5" x14ac:dyDescent="0.25">
      <c r="A2185" s="4" t="s">
        <v>53</v>
      </c>
      <c r="B2185" s="4" t="s">
        <v>19</v>
      </c>
      <c r="C2185" s="5">
        <v>45329</v>
      </c>
      <c r="D2185" s="4">
        <v>13.1</v>
      </c>
      <c r="E2185" s="4">
        <v>4.24</v>
      </c>
    </row>
    <row r="2186" spans="1:5" x14ac:dyDescent="0.25">
      <c r="A2186" s="4" t="s">
        <v>53</v>
      </c>
      <c r="B2186" s="4" t="s">
        <v>19</v>
      </c>
      <c r="C2186" s="5">
        <v>45329</v>
      </c>
      <c r="D2186" s="4">
        <v>13.1</v>
      </c>
      <c r="E2186" s="4">
        <v>4.24</v>
      </c>
    </row>
    <row r="2187" spans="1:5" x14ac:dyDescent="0.25">
      <c r="A2187" s="4" t="s">
        <v>53</v>
      </c>
      <c r="B2187" s="4" t="s">
        <v>19</v>
      </c>
      <c r="C2187" s="5">
        <v>45329</v>
      </c>
      <c r="D2187" s="4">
        <v>13.1</v>
      </c>
      <c r="E2187" s="4">
        <v>4.24</v>
      </c>
    </row>
    <row r="2188" spans="1:5" x14ac:dyDescent="0.25">
      <c r="A2188" s="4" t="s">
        <v>53</v>
      </c>
      <c r="B2188" s="4" t="s">
        <v>19</v>
      </c>
      <c r="C2188" s="5">
        <v>45329</v>
      </c>
      <c r="D2188" s="4">
        <v>1.2</v>
      </c>
      <c r="E2188" s="4">
        <v>0.38</v>
      </c>
    </row>
    <row r="2189" spans="1:5" x14ac:dyDescent="0.25">
      <c r="A2189" s="4" t="s">
        <v>53</v>
      </c>
      <c r="B2189" s="4" t="s">
        <v>19</v>
      </c>
      <c r="C2189" s="5">
        <v>45329</v>
      </c>
      <c r="D2189" s="4">
        <v>13.1</v>
      </c>
      <c r="E2189" s="4">
        <v>4.24</v>
      </c>
    </row>
    <row r="2190" spans="1:5" x14ac:dyDescent="0.25">
      <c r="A2190" s="4" t="s">
        <v>53</v>
      </c>
      <c r="B2190" s="4" t="s">
        <v>19</v>
      </c>
      <c r="C2190" s="5">
        <v>45329</v>
      </c>
      <c r="D2190" s="4">
        <v>13.1</v>
      </c>
      <c r="E2190" s="4">
        <v>4.24</v>
      </c>
    </row>
    <row r="2191" spans="1:5" x14ac:dyDescent="0.25">
      <c r="A2191" s="4" t="s">
        <v>53</v>
      </c>
      <c r="B2191" s="4" t="s">
        <v>19</v>
      </c>
      <c r="C2191" s="5">
        <v>45329</v>
      </c>
      <c r="D2191" s="4">
        <v>13.1</v>
      </c>
      <c r="E2191" s="4">
        <v>4.24</v>
      </c>
    </row>
    <row r="2192" spans="1:5" x14ac:dyDescent="0.25">
      <c r="A2192" s="4" t="s">
        <v>53</v>
      </c>
      <c r="B2192" s="4" t="s">
        <v>19</v>
      </c>
      <c r="C2192" s="5">
        <v>45329</v>
      </c>
      <c r="D2192" s="4">
        <v>30.6</v>
      </c>
      <c r="E2192" s="4">
        <v>9.92</v>
      </c>
    </row>
    <row r="2193" spans="1:5" x14ac:dyDescent="0.25">
      <c r="A2193" s="4" t="s">
        <v>53</v>
      </c>
      <c r="B2193" s="4" t="s">
        <v>19</v>
      </c>
      <c r="C2193" s="5">
        <v>45330</v>
      </c>
      <c r="D2193" s="4">
        <v>2.4</v>
      </c>
      <c r="E2193" s="4">
        <v>0.75</v>
      </c>
    </row>
    <row r="2194" spans="1:5" x14ac:dyDescent="0.25">
      <c r="A2194" s="4" t="s">
        <v>53</v>
      </c>
      <c r="B2194" s="4" t="s">
        <v>19</v>
      </c>
      <c r="C2194" s="5">
        <v>45330</v>
      </c>
      <c r="D2194" s="4">
        <v>0.2</v>
      </c>
      <c r="E2194" s="4">
        <v>0.06</v>
      </c>
    </row>
    <row r="2195" spans="1:5" x14ac:dyDescent="0.25">
      <c r="A2195" s="4" t="s">
        <v>53</v>
      </c>
      <c r="B2195" s="4" t="s">
        <v>19</v>
      </c>
      <c r="C2195" s="5">
        <v>45330</v>
      </c>
      <c r="D2195" s="4">
        <v>1</v>
      </c>
      <c r="E2195" s="4">
        <v>0.31</v>
      </c>
    </row>
    <row r="2196" spans="1:5" x14ac:dyDescent="0.25">
      <c r="A2196" s="4" t="s">
        <v>53</v>
      </c>
      <c r="B2196" s="4" t="s">
        <v>19</v>
      </c>
      <c r="C2196" s="5">
        <v>45330</v>
      </c>
      <c r="D2196" s="4">
        <v>7.3</v>
      </c>
      <c r="E2196" s="4">
        <v>2.2999999999999998</v>
      </c>
    </row>
    <row r="2197" spans="1:5" x14ac:dyDescent="0.25">
      <c r="A2197" s="4" t="s">
        <v>53</v>
      </c>
      <c r="B2197" s="4" t="s">
        <v>19</v>
      </c>
      <c r="C2197" s="5">
        <v>45330</v>
      </c>
      <c r="D2197" s="4">
        <v>6.5</v>
      </c>
      <c r="E2197" s="4">
        <v>2.0499999999999998</v>
      </c>
    </row>
    <row r="2198" spans="1:5" x14ac:dyDescent="0.25">
      <c r="A2198" s="4" t="s">
        <v>53</v>
      </c>
      <c r="B2198" s="4" t="s">
        <v>19</v>
      </c>
      <c r="C2198" s="5">
        <v>45330</v>
      </c>
      <c r="D2198" s="4">
        <v>2</v>
      </c>
      <c r="E2198" s="4">
        <v>0.63</v>
      </c>
    </row>
    <row r="2199" spans="1:5" x14ac:dyDescent="0.25">
      <c r="A2199" s="4" t="s">
        <v>53</v>
      </c>
      <c r="B2199" s="4" t="s">
        <v>19</v>
      </c>
      <c r="C2199" s="5">
        <v>45330</v>
      </c>
      <c r="D2199" s="4">
        <v>0.2</v>
      </c>
      <c r="E2199" s="4">
        <v>0.06</v>
      </c>
    </row>
    <row r="2200" spans="1:5" x14ac:dyDescent="0.25">
      <c r="A2200" s="4" t="s">
        <v>53</v>
      </c>
      <c r="B2200" s="4" t="s">
        <v>19</v>
      </c>
      <c r="C2200" s="5">
        <v>45330</v>
      </c>
      <c r="D2200" s="4">
        <v>1</v>
      </c>
      <c r="E2200" s="4">
        <v>0.31</v>
      </c>
    </row>
    <row r="2201" spans="1:5" x14ac:dyDescent="0.25">
      <c r="A2201" s="4" t="s">
        <v>53</v>
      </c>
      <c r="B2201" s="4" t="s">
        <v>19</v>
      </c>
      <c r="C2201" s="5">
        <v>45330</v>
      </c>
      <c r="D2201" s="4">
        <v>7.3</v>
      </c>
      <c r="E2201" s="4">
        <v>2.2999999999999998</v>
      </c>
    </row>
    <row r="2202" spans="1:5" x14ac:dyDescent="0.25">
      <c r="A2202" s="4" t="s">
        <v>53</v>
      </c>
      <c r="B2202" s="4" t="s">
        <v>19</v>
      </c>
      <c r="C2202" s="5">
        <v>45330</v>
      </c>
      <c r="D2202" s="4">
        <v>26.7</v>
      </c>
      <c r="E2202" s="4">
        <v>8.61</v>
      </c>
    </row>
    <row r="2203" spans="1:5" x14ac:dyDescent="0.25">
      <c r="A2203" s="4" t="s">
        <v>53</v>
      </c>
      <c r="B2203" s="4" t="s">
        <v>19</v>
      </c>
      <c r="C2203" s="5">
        <v>45330</v>
      </c>
      <c r="D2203" s="4">
        <v>27.4</v>
      </c>
      <c r="E2203" s="4">
        <v>8.8800000000000008</v>
      </c>
    </row>
    <row r="2204" spans="1:5" x14ac:dyDescent="0.25">
      <c r="A2204" s="4" t="s">
        <v>53</v>
      </c>
      <c r="B2204" s="4" t="s">
        <v>19</v>
      </c>
      <c r="C2204" s="5">
        <v>45330</v>
      </c>
      <c r="D2204" s="4">
        <v>1.1000000000000001</v>
      </c>
      <c r="E2204" s="4">
        <v>0.36</v>
      </c>
    </row>
    <row r="2205" spans="1:5" x14ac:dyDescent="0.25">
      <c r="A2205" s="4" t="s">
        <v>53</v>
      </c>
      <c r="B2205" s="4" t="s">
        <v>19</v>
      </c>
      <c r="C2205" s="5">
        <v>45330</v>
      </c>
      <c r="D2205" s="4">
        <v>7.3</v>
      </c>
      <c r="E2205" s="4">
        <v>2.2999999999999998</v>
      </c>
    </row>
    <row r="2206" spans="1:5" x14ac:dyDescent="0.25">
      <c r="A2206" s="4" t="s">
        <v>53</v>
      </c>
      <c r="B2206" s="4" t="s">
        <v>19</v>
      </c>
      <c r="C2206" s="5">
        <v>45330</v>
      </c>
      <c r="D2206" s="4">
        <v>43.5</v>
      </c>
      <c r="E2206" s="4">
        <v>14.06</v>
      </c>
    </row>
    <row r="2207" spans="1:5" x14ac:dyDescent="0.25">
      <c r="A2207" s="4" t="s">
        <v>53</v>
      </c>
      <c r="B2207" s="4" t="s">
        <v>19</v>
      </c>
      <c r="C2207" s="5">
        <v>45330</v>
      </c>
      <c r="D2207" s="4">
        <v>30.6</v>
      </c>
      <c r="E2207" s="4">
        <v>9.92</v>
      </c>
    </row>
    <row r="2208" spans="1:5" x14ac:dyDescent="0.25">
      <c r="A2208" s="4" t="s">
        <v>53</v>
      </c>
      <c r="B2208" s="4" t="s">
        <v>19</v>
      </c>
      <c r="C2208" s="5">
        <v>45330</v>
      </c>
      <c r="D2208" s="4">
        <v>1</v>
      </c>
      <c r="E2208" s="4">
        <v>0.31</v>
      </c>
    </row>
    <row r="2209" spans="1:5" x14ac:dyDescent="0.25">
      <c r="A2209" s="4" t="s">
        <v>53</v>
      </c>
      <c r="B2209" s="4" t="s">
        <v>19</v>
      </c>
      <c r="C2209" s="5">
        <v>45330</v>
      </c>
      <c r="D2209" s="4">
        <v>7.3</v>
      </c>
      <c r="E2209" s="4">
        <v>2.2999999999999998</v>
      </c>
    </row>
    <row r="2210" spans="1:5" x14ac:dyDescent="0.25">
      <c r="A2210" s="4" t="s">
        <v>53</v>
      </c>
      <c r="B2210" s="4" t="s">
        <v>19</v>
      </c>
      <c r="C2210" s="5">
        <v>45330</v>
      </c>
      <c r="D2210" s="4">
        <v>0.6</v>
      </c>
      <c r="E2210" s="4">
        <v>0.19</v>
      </c>
    </row>
    <row r="2211" spans="1:5" x14ac:dyDescent="0.25">
      <c r="A2211" s="4" t="s">
        <v>53</v>
      </c>
      <c r="B2211" s="4" t="s">
        <v>19</v>
      </c>
      <c r="C2211" s="5">
        <v>45330</v>
      </c>
      <c r="D2211" s="4">
        <v>22.4</v>
      </c>
      <c r="E2211" s="4">
        <v>7.22</v>
      </c>
    </row>
    <row r="2212" spans="1:5" x14ac:dyDescent="0.25">
      <c r="A2212" s="4" t="s">
        <v>53</v>
      </c>
      <c r="B2212" s="4" t="s">
        <v>19</v>
      </c>
      <c r="C2212" s="5">
        <v>45331</v>
      </c>
      <c r="D2212" s="4">
        <v>58</v>
      </c>
      <c r="E2212" s="4">
        <v>18.8</v>
      </c>
    </row>
    <row r="2213" spans="1:5" x14ac:dyDescent="0.25">
      <c r="A2213" s="4" t="s">
        <v>53</v>
      </c>
      <c r="B2213" s="4" t="s">
        <v>19</v>
      </c>
      <c r="C2213" s="5">
        <v>45331</v>
      </c>
      <c r="D2213" s="4">
        <v>6.2</v>
      </c>
      <c r="E2213" s="4">
        <v>1.96</v>
      </c>
    </row>
    <row r="2214" spans="1:5" x14ac:dyDescent="0.25">
      <c r="A2214" s="4" t="s">
        <v>53</v>
      </c>
      <c r="B2214" s="4" t="s">
        <v>19</v>
      </c>
      <c r="C2214" s="5">
        <v>45331</v>
      </c>
      <c r="D2214" s="4">
        <v>6.6</v>
      </c>
      <c r="E2214" s="4">
        <v>2.09</v>
      </c>
    </row>
    <row r="2215" spans="1:5" x14ac:dyDescent="0.25">
      <c r="A2215" s="4" t="s">
        <v>53</v>
      </c>
      <c r="B2215" s="4" t="s">
        <v>19</v>
      </c>
      <c r="C2215" s="5">
        <v>45331</v>
      </c>
      <c r="D2215" s="4">
        <v>6.2</v>
      </c>
      <c r="E2215" s="4">
        <v>1.96</v>
      </c>
    </row>
    <row r="2216" spans="1:5" x14ac:dyDescent="0.25">
      <c r="A2216" s="4" t="s">
        <v>53</v>
      </c>
      <c r="B2216" s="4" t="s">
        <v>19</v>
      </c>
      <c r="C2216" s="5">
        <v>45331</v>
      </c>
      <c r="D2216" s="4">
        <v>6.2</v>
      </c>
      <c r="E2216" s="4">
        <v>1.96</v>
      </c>
    </row>
    <row r="2217" spans="1:5" x14ac:dyDescent="0.25">
      <c r="A2217" s="4" t="s">
        <v>53</v>
      </c>
      <c r="B2217" s="4" t="s">
        <v>19</v>
      </c>
      <c r="C2217" s="5">
        <v>45331</v>
      </c>
      <c r="D2217" s="4">
        <v>6.2</v>
      </c>
      <c r="E2217" s="4">
        <v>1.96</v>
      </c>
    </row>
    <row r="2218" spans="1:5" x14ac:dyDescent="0.25">
      <c r="A2218" s="4" t="s">
        <v>53</v>
      </c>
      <c r="B2218" s="4" t="s">
        <v>19</v>
      </c>
      <c r="C2218" s="5">
        <v>45331</v>
      </c>
      <c r="D2218" s="4">
        <v>6.2</v>
      </c>
      <c r="E2218" s="4">
        <v>1.96</v>
      </c>
    </row>
    <row r="2219" spans="1:5" x14ac:dyDescent="0.25">
      <c r="A2219" s="4" t="s">
        <v>53</v>
      </c>
      <c r="B2219" s="4" t="s">
        <v>19</v>
      </c>
      <c r="C2219" s="5">
        <v>45331</v>
      </c>
      <c r="D2219" s="4">
        <v>6.2</v>
      </c>
      <c r="E2219" s="4">
        <v>1.96</v>
      </c>
    </row>
    <row r="2220" spans="1:5" x14ac:dyDescent="0.25">
      <c r="A2220" s="4" t="s">
        <v>53</v>
      </c>
      <c r="B2220" s="4" t="s">
        <v>19</v>
      </c>
      <c r="C2220" s="5">
        <v>45331</v>
      </c>
      <c r="D2220" s="4">
        <v>7.2</v>
      </c>
      <c r="E2220" s="4">
        <v>2.2999999999999998</v>
      </c>
    </row>
    <row r="2221" spans="1:5" x14ac:dyDescent="0.25">
      <c r="A2221" s="4" t="s">
        <v>53</v>
      </c>
      <c r="B2221" s="4" t="s">
        <v>19</v>
      </c>
      <c r="C2221" s="5">
        <v>45331</v>
      </c>
      <c r="D2221" s="4">
        <v>22.4</v>
      </c>
      <c r="E2221" s="4">
        <v>7.22</v>
      </c>
    </row>
    <row r="2222" spans="1:5" x14ac:dyDescent="0.25">
      <c r="A2222" s="4" t="s">
        <v>53</v>
      </c>
      <c r="B2222" s="4" t="s">
        <v>19</v>
      </c>
      <c r="C2222" s="5">
        <v>45335</v>
      </c>
      <c r="D2222" s="4">
        <v>11</v>
      </c>
      <c r="E2222" s="4">
        <v>3.57</v>
      </c>
    </row>
    <row r="2223" spans="1:5" x14ac:dyDescent="0.25">
      <c r="A2223" s="4" t="s">
        <v>53</v>
      </c>
      <c r="B2223" s="4" t="s">
        <v>19</v>
      </c>
      <c r="C2223" s="5">
        <v>45335</v>
      </c>
      <c r="D2223" s="4">
        <v>16</v>
      </c>
      <c r="E2223" s="4">
        <v>5.19</v>
      </c>
    </row>
    <row r="2224" spans="1:5" x14ac:dyDescent="0.25">
      <c r="A2224" s="4" t="s">
        <v>53</v>
      </c>
      <c r="B2224" s="4" t="s">
        <v>19</v>
      </c>
      <c r="C2224" s="5">
        <v>45335</v>
      </c>
      <c r="D2224" s="4">
        <v>31.4</v>
      </c>
      <c r="E2224" s="4">
        <v>10.19</v>
      </c>
    </row>
    <row r="2225" spans="1:5" x14ac:dyDescent="0.25">
      <c r="A2225" s="4" t="s">
        <v>53</v>
      </c>
      <c r="B2225" s="4" t="s">
        <v>19</v>
      </c>
      <c r="C2225" s="5">
        <v>45335</v>
      </c>
      <c r="D2225" s="4">
        <v>15.4</v>
      </c>
      <c r="E2225" s="4">
        <v>5</v>
      </c>
    </row>
    <row r="2226" spans="1:5" x14ac:dyDescent="0.25">
      <c r="A2226" s="4" t="s">
        <v>53</v>
      </c>
      <c r="B2226" s="4" t="s">
        <v>19</v>
      </c>
      <c r="C2226" s="5">
        <v>45335</v>
      </c>
      <c r="D2226" s="4">
        <v>13.8</v>
      </c>
      <c r="E2226" s="4">
        <v>4.47</v>
      </c>
    </row>
    <row r="2227" spans="1:5" x14ac:dyDescent="0.25">
      <c r="A2227" s="4" t="s">
        <v>53</v>
      </c>
      <c r="B2227" s="4" t="s">
        <v>19</v>
      </c>
      <c r="C2227" s="5">
        <v>45335</v>
      </c>
      <c r="D2227" s="4">
        <v>1</v>
      </c>
      <c r="E2227" s="4">
        <v>0.31</v>
      </c>
    </row>
    <row r="2228" spans="1:5" x14ac:dyDescent="0.25">
      <c r="A2228" s="4" t="s">
        <v>53</v>
      </c>
      <c r="B2228" s="4" t="s">
        <v>19</v>
      </c>
      <c r="C2228" s="5">
        <v>45335</v>
      </c>
      <c r="D2228" s="4">
        <v>2.2000000000000002</v>
      </c>
      <c r="E2228" s="4">
        <v>0.69</v>
      </c>
    </row>
    <row r="2229" spans="1:5" x14ac:dyDescent="0.25">
      <c r="A2229" s="4" t="s">
        <v>53</v>
      </c>
      <c r="B2229" s="4" t="s">
        <v>19</v>
      </c>
      <c r="C2229" s="5">
        <v>45335</v>
      </c>
      <c r="D2229" s="4">
        <v>2.2000000000000002</v>
      </c>
      <c r="E2229" s="4">
        <v>0.69</v>
      </c>
    </row>
    <row r="2230" spans="1:5" x14ac:dyDescent="0.25">
      <c r="A2230" s="4" t="s">
        <v>53</v>
      </c>
      <c r="B2230" s="4" t="s">
        <v>19</v>
      </c>
      <c r="C2230" s="5">
        <v>45335</v>
      </c>
      <c r="D2230" s="4">
        <v>2.2000000000000002</v>
      </c>
      <c r="E2230" s="4">
        <v>0.69</v>
      </c>
    </row>
    <row r="2231" spans="1:5" x14ac:dyDescent="0.25">
      <c r="A2231" s="4" t="s">
        <v>53</v>
      </c>
      <c r="B2231" s="4" t="s">
        <v>19</v>
      </c>
      <c r="C2231" s="5">
        <v>45335</v>
      </c>
      <c r="D2231" s="4">
        <v>14.4</v>
      </c>
      <c r="E2231" s="4">
        <v>4.59</v>
      </c>
    </row>
    <row r="2232" spans="1:5" x14ac:dyDescent="0.25">
      <c r="A2232" s="4" t="s">
        <v>53</v>
      </c>
      <c r="B2232" s="4" t="s">
        <v>19</v>
      </c>
      <c r="C2232" s="5">
        <v>45335</v>
      </c>
      <c r="D2232" s="4">
        <v>5.6</v>
      </c>
      <c r="E2232" s="4">
        <v>1.78</v>
      </c>
    </row>
    <row r="2233" spans="1:5" x14ac:dyDescent="0.25">
      <c r="A2233" s="4" t="s">
        <v>53</v>
      </c>
      <c r="B2233" s="4" t="s">
        <v>19</v>
      </c>
      <c r="C2233" s="5">
        <v>45335</v>
      </c>
      <c r="D2233" s="4">
        <v>4.5</v>
      </c>
      <c r="E2233" s="4">
        <v>1.42</v>
      </c>
    </row>
    <row r="2234" spans="1:5" x14ac:dyDescent="0.25">
      <c r="A2234" s="4" t="s">
        <v>53</v>
      </c>
      <c r="B2234" s="4" t="s">
        <v>19</v>
      </c>
      <c r="C2234" s="5">
        <v>45335</v>
      </c>
      <c r="D2234" s="4">
        <v>2</v>
      </c>
      <c r="E2234" s="4">
        <v>0.63</v>
      </c>
    </row>
    <row r="2235" spans="1:5" x14ac:dyDescent="0.25">
      <c r="A2235" s="4" t="s">
        <v>53</v>
      </c>
      <c r="B2235" s="4" t="s">
        <v>19</v>
      </c>
      <c r="C2235" s="5">
        <v>45335</v>
      </c>
      <c r="D2235" s="4">
        <v>29.2</v>
      </c>
      <c r="E2235" s="4">
        <v>9.4700000000000006</v>
      </c>
    </row>
    <row r="2236" spans="1:5" x14ac:dyDescent="0.25">
      <c r="A2236" s="4" t="s">
        <v>53</v>
      </c>
      <c r="B2236" s="4" t="s">
        <v>19</v>
      </c>
      <c r="C2236" s="5">
        <v>45335</v>
      </c>
      <c r="D2236" s="4">
        <v>28.8</v>
      </c>
      <c r="E2236" s="4">
        <v>9.34</v>
      </c>
    </row>
    <row r="2237" spans="1:5" x14ac:dyDescent="0.25">
      <c r="A2237" s="4" t="s">
        <v>53</v>
      </c>
      <c r="B2237" s="4" t="s">
        <v>19</v>
      </c>
      <c r="C2237" s="5">
        <v>45335</v>
      </c>
      <c r="D2237" s="4">
        <v>2.4</v>
      </c>
      <c r="E2237" s="4">
        <v>0.78</v>
      </c>
    </row>
    <row r="2238" spans="1:5" x14ac:dyDescent="0.25">
      <c r="A2238" s="4" t="s">
        <v>53</v>
      </c>
      <c r="B2238" s="4" t="s">
        <v>19</v>
      </c>
      <c r="C2238" s="5">
        <v>45335</v>
      </c>
      <c r="D2238" s="4">
        <v>31.8</v>
      </c>
      <c r="E2238" s="4">
        <v>10.25</v>
      </c>
    </row>
    <row r="2239" spans="1:5" x14ac:dyDescent="0.25">
      <c r="A2239" s="4" t="s">
        <v>53</v>
      </c>
      <c r="B2239" s="4" t="s">
        <v>19</v>
      </c>
      <c r="C2239" s="5">
        <v>45337</v>
      </c>
      <c r="D2239" s="4">
        <v>11</v>
      </c>
      <c r="E2239" s="4">
        <v>3.57</v>
      </c>
    </row>
    <row r="2240" spans="1:5" x14ac:dyDescent="0.25">
      <c r="A2240" s="4" t="s">
        <v>53</v>
      </c>
      <c r="B2240" s="4" t="s">
        <v>19</v>
      </c>
      <c r="C2240" s="5">
        <v>45337</v>
      </c>
      <c r="D2240" s="4">
        <v>15.3</v>
      </c>
      <c r="E2240" s="4">
        <v>4.96</v>
      </c>
    </row>
    <row r="2241" spans="1:5" x14ac:dyDescent="0.25">
      <c r="A2241" s="4" t="s">
        <v>53</v>
      </c>
      <c r="B2241" s="4" t="s">
        <v>19</v>
      </c>
      <c r="C2241" s="5">
        <v>45337</v>
      </c>
      <c r="D2241" s="4">
        <v>1.1000000000000001</v>
      </c>
      <c r="E2241" s="4">
        <v>0.35</v>
      </c>
    </row>
    <row r="2242" spans="1:5" x14ac:dyDescent="0.25">
      <c r="A2242" s="4" t="s">
        <v>53</v>
      </c>
      <c r="B2242" s="4" t="s">
        <v>19</v>
      </c>
      <c r="C2242" s="5">
        <v>45337</v>
      </c>
      <c r="D2242" s="4">
        <v>27.5</v>
      </c>
      <c r="E2242" s="4">
        <v>8.92</v>
      </c>
    </row>
    <row r="2243" spans="1:5" x14ac:dyDescent="0.25">
      <c r="A2243" s="4" t="s">
        <v>53</v>
      </c>
      <c r="B2243" s="4" t="s">
        <v>19</v>
      </c>
      <c r="C2243" s="5">
        <v>45337</v>
      </c>
      <c r="D2243" s="4">
        <v>15.4</v>
      </c>
      <c r="E2243" s="4">
        <v>5</v>
      </c>
    </row>
    <row r="2244" spans="1:5" x14ac:dyDescent="0.25">
      <c r="A2244" s="4" t="s">
        <v>53</v>
      </c>
      <c r="B2244" s="4" t="s">
        <v>19</v>
      </c>
      <c r="C2244" s="5">
        <v>45337</v>
      </c>
      <c r="D2244" s="4">
        <v>15.4</v>
      </c>
      <c r="E2244" s="4">
        <v>5</v>
      </c>
    </row>
    <row r="2245" spans="1:5" x14ac:dyDescent="0.25">
      <c r="A2245" s="4" t="s">
        <v>53</v>
      </c>
      <c r="B2245" s="4" t="s">
        <v>19</v>
      </c>
      <c r="C2245" s="5">
        <v>45337</v>
      </c>
      <c r="D2245" s="4">
        <v>15.4</v>
      </c>
      <c r="E2245" s="4">
        <v>5</v>
      </c>
    </row>
    <row r="2246" spans="1:5" x14ac:dyDescent="0.25">
      <c r="A2246" s="4" t="s">
        <v>53</v>
      </c>
      <c r="B2246" s="4" t="s">
        <v>19</v>
      </c>
      <c r="C2246" s="5">
        <v>45337</v>
      </c>
      <c r="D2246" s="4">
        <v>15.4</v>
      </c>
      <c r="E2246" s="4">
        <v>5</v>
      </c>
    </row>
    <row r="2247" spans="1:5" x14ac:dyDescent="0.25">
      <c r="A2247" s="4" t="s">
        <v>53</v>
      </c>
      <c r="B2247" s="4" t="s">
        <v>19</v>
      </c>
      <c r="C2247" s="5">
        <v>45337</v>
      </c>
      <c r="D2247" s="4">
        <v>15.4</v>
      </c>
      <c r="E2247" s="4">
        <v>5</v>
      </c>
    </row>
    <row r="2248" spans="1:5" x14ac:dyDescent="0.25">
      <c r="A2248" s="4" t="s">
        <v>53</v>
      </c>
      <c r="B2248" s="4" t="s">
        <v>19</v>
      </c>
      <c r="C2248" s="5">
        <v>45337</v>
      </c>
      <c r="D2248" s="4">
        <v>15.4</v>
      </c>
      <c r="E2248" s="4">
        <v>5</v>
      </c>
    </row>
    <row r="2249" spans="1:5" x14ac:dyDescent="0.25">
      <c r="A2249" s="4" t="s">
        <v>53</v>
      </c>
      <c r="B2249" s="4" t="s">
        <v>19</v>
      </c>
      <c r="C2249" s="5">
        <v>45337</v>
      </c>
      <c r="D2249" s="4">
        <v>15.4</v>
      </c>
      <c r="E2249" s="4">
        <v>5</v>
      </c>
    </row>
    <row r="2250" spans="1:5" x14ac:dyDescent="0.25">
      <c r="A2250" s="4" t="s">
        <v>53</v>
      </c>
      <c r="B2250" s="4" t="s">
        <v>19</v>
      </c>
      <c r="C2250" s="5">
        <v>45337</v>
      </c>
      <c r="D2250" s="4">
        <v>15.4</v>
      </c>
      <c r="E2250" s="4">
        <v>5</v>
      </c>
    </row>
    <row r="2251" spans="1:5" x14ac:dyDescent="0.25">
      <c r="A2251" s="4" t="s">
        <v>53</v>
      </c>
      <c r="B2251" s="4" t="s">
        <v>19</v>
      </c>
      <c r="C2251" s="5">
        <v>45337</v>
      </c>
      <c r="D2251" s="4">
        <v>15.4</v>
      </c>
      <c r="E2251" s="4">
        <v>5</v>
      </c>
    </row>
    <row r="2252" spans="1:5" x14ac:dyDescent="0.25">
      <c r="A2252" s="4" t="s">
        <v>53</v>
      </c>
      <c r="B2252" s="4" t="s">
        <v>20</v>
      </c>
      <c r="C2252" s="5">
        <v>45328</v>
      </c>
      <c r="D2252" s="4">
        <v>4.0999999999999996</v>
      </c>
      <c r="E2252" s="4">
        <v>1.28</v>
      </c>
    </row>
    <row r="2253" spans="1:5" x14ac:dyDescent="0.25">
      <c r="A2253" s="4" t="s">
        <v>53</v>
      </c>
      <c r="B2253" s="4" t="s">
        <v>20</v>
      </c>
      <c r="C2253" s="5">
        <v>45328</v>
      </c>
      <c r="D2253" s="4">
        <v>13.1</v>
      </c>
      <c r="E2253" s="4">
        <v>4.22</v>
      </c>
    </row>
    <row r="2254" spans="1:5" x14ac:dyDescent="0.25">
      <c r="A2254" s="4" t="s">
        <v>53</v>
      </c>
      <c r="B2254" s="4" t="s">
        <v>20</v>
      </c>
      <c r="C2254" s="5">
        <v>45328</v>
      </c>
      <c r="D2254" s="4">
        <v>0.9</v>
      </c>
      <c r="E2254" s="4">
        <v>0.28000000000000003</v>
      </c>
    </row>
    <row r="2255" spans="1:5" x14ac:dyDescent="0.25">
      <c r="A2255" s="4" t="s">
        <v>53</v>
      </c>
      <c r="B2255" s="4" t="s">
        <v>20</v>
      </c>
      <c r="C2255" s="5">
        <v>45328</v>
      </c>
      <c r="D2255" s="4">
        <v>0.9</v>
      </c>
      <c r="E2255" s="4">
        <v>0.28000000000000003</v>
      </c>
    </row>
    <row r="2256" spans="1:5" x14ac:dyDescent="0.25">
      <c r="A2256" s="4" t="s">
        <v>53</v>
      </c>
      <c r="B2256" s="4" t="s">
        <v>20</v>
      </c>
      <c r="C2256" s="5">
        <v>45328</v>
      </c>
      <c r="D2256" s="4">
        <v>0.9</v>
      </c>
      <c r="E2256" s="4">
        <v>0.28000000000000003</v>
      </c>
    </row>
    <row r="2257" spans="1:5" x14ac:dyDescent="0.25">
      <c r="A2257" s="4" t="s">
        <v>53</v>
      </c>
      <c r="B2257" s="4" t="s">
        <v>20</v>
      </c>
      <c r="C2257" s="5">
        <v>45328</v>
      </c>
      <c r="D2257" s="4">
        <v>1.1000000000000001</v>
      </c>
      <c r="E2257" s="4">
        <v>0.36</v>
      </c>
    </row>
    <row r="2258" spans="1:5" x14ac:dyDescent="0.25">
      <c r="A2258" s="4" t="s">
        <v>53</v>
      </c>
      <c r="B2258" s="4" t="s">
        <v>20</v>
      </c>
      <c r="C2258" s="5">
        <v>45328</v>
      </c>
      <c r="D2258" s="4">
        <v>16.399999999999999</v>
      </c>
      <c r="E2258" s="4">
        <v>5.32</v>
      </c>
    </row>
    <row r="2259" spans="1:5" x14ac:dyDescent="0.25">
      <c r="A2259" s="4" t="s">
        <v>53</v>
      </c>
      <c r="B2259" s="4" t="s">
        <v>20</v>
      </c>
      <c r="C2259" s="5">
        <v>45330</v>
      </c>
      <c r="D2259" s="4">
        <v>58</v>
      </c>
      <c r="E2259" s="4">
        <v>18.8</v>
      </c>
    </row>
    <row r="2260" spans="1:5" x14ac:dyDescent="0.25">
      <c r="A2260" s="4" t="s">
        <v>53</v>
      </c>
      <c r="B2260" s="4" t="s">
        <v>20</v>
      </c>
      <c r="C2260" s="5">
        <v>45330</v>
      </c>
      <c r="D2260" s="4">
        <v>6.2</v>
      </c>
      <c r="E2260" s="4">
        <v>1.96</v>
      </c>
    </row>
    <row r="2261" spans="1:5" x14ac:dyDescent="0.25">
      <c r="A2261" s="4" t="s">
        <v>53</v>
      </c>
      <c r="B2261" s="4" t="s">
        <v>20</v>
      </c>
      <c r="C2261" s="5">
        <v>45330</v>
      </c>
      <c r="D2261" s="4">
        <v>6.6</v>
      </c>
      <c r="E2261" s="4">
        <v>2.09</v>
      </c>
    </row>
    <row r="2262" spans="1:5" x14ac:dyDescent="0.25">
      <c r="A2262" s="4" t="s">
        <v>53</v>
      </c>
      <c r="B2262" s="4" t="s">
        <v>20</v>
      </c>
      <c r="C2262" s="5">
        <v>45330</v>
      </c>
      <c r="D2262" s="4">
        <v>6.2</v>
      </c>
      <c r="E2262" s="4">
        <v>1.96</v>
      </c>
    </row>
    <row r="2263" spans="1:5" x14ac:dyDescent="0.25">
      <c r="A2263" s="4" t="s">
        <v>53</v>
      </c>
      <c r="B2263" s="4" t="s">
        <v>20</v>
      </c>
      <c r="C2263" s="5">
        <v>45330</v>
      </c>
      <c r="D2263" s="4">
        <v>6.6</v>
      </c>
      <c r="E2263" s="4">
        <v>2.09</v>
      </c>
    </row>
    <row r="2264" spans="1:5" x14ac:dyDescent="0.25">
      <c r="A2264" s="4" t="s">
        <v>53</v>
      </c>
      <c r="B2264" s="4" t="s">
        <v>20</v>
      </c>
      <c r="C2264" s="5">
        <v>45330</v>
      </c>
      <c r="D2264" s="4">
        <v>6.2</v>
      </c>
      <c r="E2264" s="4">
        <v>1.96</v>
      </c>
    </row>
    <row r="2265" spans="1:5" x14ac:dyDescent="0.25">
      <c r="A2265" s="4" t="s">
        <v>53</v>
      </c>
      <c r="B2265" s="4" t="s">
        <v>20</v>
      </c>
      <c r="C2265" s="5">
        <v>45330</v>
      </c>
      <c r="D2265" s="4">
        <v>6.6</v>
      </c>
      <c r="E2265" s="4">
        <v>2.09</v>
      </c>
    </row>
    <row r="2266" spans="1:5" x14ac:dyDescent="0.25">
      <c r="A2266" s="4" t="s">
        <v>53</v>
      </c>
      <c r="B2266" s="4" t="s">
        <v>20</v>
      </c>
      <c r="C2266" s="5">
        <v>45330</v>
      </c>
      <c r="D2266" s="4">
        <v>6.2</v>
      </c>
      <c r="E2266" s="4">
        <v>1.96</v>
      </c>
    </row>
    <row r="2267" spans="1:5" x14ac:dyDescent="0.25">
      <c r="A2267" s="4" t="s">
        <v>53</v>
      </c>
      <c r="B2267" s="4" t="s">
        <v>20</v>
      </c>
      <c r="C2267" s="5">
        <v>45330</v>
      </c>
      <c r="D2267" s="4">
        <v>6.6</v>
      </c>
      <c r="E2267" s="4">
        <v>2.09</v>
      </c>
    </row>
    <row r="2268" spans="1:5" x14ac:dyDescent="0.25">
      <c r="A2268" s="4" t="s">
        <v>53</v>
      </c>
      <c r="B2268" s="4" t="s">
        <v>20</v>
      </c>
      <c r="C2268" s="5">
        <v>45330</v>
      </c>
      <c r="D2268" s="4">
        <v>6.2</v>
      </c>
      <c r="E2268" s="4">
        <v>1.96</v>
      </c>
    </row>
    <row r="2269" spans="1:5" x14ac:dyDescent="0.25">
      <c r="A2269" s="4" t="s">
        <v>53</v>
      </c>
      <c r="B2269" s="4" t="s">
        <v>20</v>
      </c>
      <c r="C2269" s="5">
        <v>45330</v>
      </c>
      <c r="D2269" s="4">
        <v>6.6</v>
      </c>
      <c r="E2269" s="4">
        <v>2.09</v>
      </c>
    </row>
    <row r="2270" spans="1:5" x14ac:dyDescent="0.25">
      <c r="A2270" s="4" t="s">
        <v>53</v>
      </c>
      <c r="B2270" s="4" t="s">
        <v>20</v>
      </c>
      <c r="C2270" s="5">
        <v>45330</v>
      </c>
      <c r="D2270" s="4">
        <v>6.2</v>
      </c>
      <c r="E2270" s="4">
        <v>1.96</v>
      </c>
    </row>
    <row r="2271" spans="1:5" x14ac:dyDescent="0.25">
      <c r="A2271" s="4" t="s">
        <v>53</v>
      </c>
      <c r="B2271" s="4" t="s">
        <v>20</v>
      </c>
      <c r="C2271" s="5">
        <v>45330</v>
      </c>
      <c r="D2271" s="4">
        <v>0.1</v>
      </c>
      <c r="E2271" s="4">
        <v>0.03</v>
      </c>
    </row>
    <row r="2272" spans="1:5" x14ac:dyDescent="0.25">
      <c r="A2272" s="4" t="s">
        <v>53</v>
      </c>
      <c r="B2272" s="4" t="s">
        <v>20</v>
      </c>
      <c r="C2272" s="5">
        <v>45330</v>
      </c>
      <c r="D2272" s="4">
        <v>42.5</v>
      </c>
      <c r="E2272" s="4">
        <v>13.78</v>
      </c>
    </row>
    <row r="2273" spans="1:5" x14ac:dyDescent="0.25">
      <c r="A2273" s="4" t="s">
        <v>53</v>
      </c>
      <c r="B2273" s="4" t="s">
        <v>21</v>
      </c>
      <c r="C2273" s="5">
        <v>45308</v>
      </c>
      <c r="D2273" s="4">
        <v>13.8</v>
      </c>
      <c r="E2273" s="4">
        <v>4.47</v>
      </c>
    </row>
    <row r="2274" spans="1:5" x14ac:dyDescent="0.25">
      <c r="A2274" s="4" t="s">
        <v>53</v>
      </c>
      <c r="B2274" s="4" t="s">
        <v>21</v>
      </c>
      <c r="C2274" s="5">
        <v>45308</v>
      </c>
      <c r="D2274" s="4">
        <v>13.1</v>
      </c>
      <c r="E2274" s="4">
        <v>4.2</v>
      </c>
    </row>
    <row r="2275" spans="1:5" x14ac:dyDescent="0.25">
      <c r="A2275" s="4" t="s">
        <v>53</v>
      </c>
      <c r="B2275" s="4" t="s">
        <v>21</v>
      </c>
      <c r="C2275" s="5">
        <v>45308</v>
      </c>
      <c r="D2275" s="4">
        <v>1.5</v>
      </c>
      <c r="E2275" s="4">
        <v>0.49</v>
      </c>
    </row>
    <row r="2276" spans="1:5" x14ac:dyDescent="0.25">
      <c r="A2276" s="4" t="s">
        <v>53</v>
      </c>
      <c r="B2276" s="4" t="s">
        <v>21</v>
      </c>
      <c r="C2276" s="5">
        <v>45308</v>
      </c>
      <c r="D2276" s="4">
        <v>16.3</v>
      </c>
      <c r="E2276" s="4">
        <v>5.26</v>
      </c>
    </row>
    <row r="2277" spans="1:5" x14ac:dyDescent="0.25">
      <c r="A2277" s="4" t="s">
        <v>53</v>
      </c>
      <c r="B2277" s="4" t="s">
        <v>21</v>
      </c>
      <c r="C2277" s="5">
        <v>45308</v>
      </c>
      <c r="D2277" s="4">
        <v>16</v>
      </c>
      <c r="E2277" s="4">
        <v>5.19</v>
      </c>
    </row>
    <row r="2278" spans="1:5" x14ac:dyDescent="0.25">
      <c r="A2278" s="4" t="s">
        <v>53</v>
      </c>
      <c r="B2278" s="4" t="s">
        <v>21</v>
      </c>
      <c r="C2278" s="5">
        <v>45313</v>
      </c>
      <c r="D2278" s="4">
        <v>15.4</v>
      </c>
      <c r="E2278" s="4">
        <v>5</v>
      </c>
    </row>
    <row r="2279" spans="1:5" x14ac:dyDescent="0.25">
      <c r="A2279" s="4" t="s">
        <v>53</v>
      </c>
      <c r="B2279" s="4" t="s">
        <v>21</v>
      </c>
      <c r="C2279" s="5">
        <v>45313</v>
      </c>
      <c r="D2279" s="4">
        <v>26</v>
      </c>
      <c r="E2279" s="4">
        <v>8.43</v>
      </c>
    </row>
    <row r="2280" spans="1:5" x14ac:dyDescent="0.25">
      <c r="A2280" s="4" t="s">
        <v>53</v>
      </c>
      <c r="B2280" s="4" t="s">
        <v>21</v>
      </c>
      <c r="C2280" s="5">
        <v>45313</v>
      </c>
      <c r="D2280" s="4">
        <v>10.6</v>
      </c>
      <c r="E2280" s="4">
        <v>3.43</v>
      </c>
    </row>
    <row r="2281" spans="1:5" x14ac:dyDescent="0.25">
      <c r="A2281" s="4" t="s">
        <v>53</v>
      </c>
      <c r="B2281" s="4" t="s">
        <v>21</v>
      </c>
      <c r="C2281" s="5">
        <v>45320</v>
      </c>
      <c r="D2281" s="4">
        <v>26.3</v>
      </c>
      <c r="E2281" s="4">
        <v>8.5299999999999994</v>
      </c>
    </row>
    <row r="2282" spans="1:5" x14ac:dyDescent="0.25">
      <c r="A2282" s="4" t="s">
        <v>53</v>
      </c>
      <c r="B2282" s="4" t="s">
        <v>21</v>
      </c>
      <c r="C2282" s="5">
        <v>45320</v>
      </c>
      <c r="D2282" s="4">
        <v>22.6</v>
      </c>
      <c r="E2282" s="4">
        <v>7.33</v>
      </c>
    </row>
    <row r="2283" spans="1:5" x14ac:dyDescent="0.25">
      <c r="A2283" s="4" t="s">
        <v>53</v>
      </c>
      <c r="B2283" s="4" t="s">
        <v>21</v>
      </c>
      <c r="C2283" s="5">
        <v>45320</v>
      </c>
      <c r="D2283" s="4">
        <v>19.100000000000001</v>
      </c>
      <c r="E2283" s="4">
        <v>6.2</v>
      </c>
    </row>
    <row r="2284" spans="1:5" x14ac:dyDescent="0.25">
      <c r="A2284" s="4" t="s">
        <v>53</v>
      </c>
      <c r="B2284" s="4" t="s">
        <v>21</v>
      </c>
      <c r="C2284" s="5">
        <v>45323</v>
      </c>
      <c r="D2284" s="4">
        <v>22.6</v>
      </c>
      <c r="E2284" s="4">
        <v>7.33</v>
      </c>
    </row>
    <row r="2285" spans="1:5" x14ac:dyDescent="0.25">
      <c r="A2285" s="4" t="s">
        <v>53</v>
      </c>
      <c r="B2285" s="4" t="s">
        <v>21</v>
      </c>
      <c r="C2285" s="5">
        <v>45323</v>
      </c>
      <c r="D2285" s="4">
        <v>1.7</v>
      </c>
      <c r="E2285" s="4">
        <v>0.54</v>
      </c>
    </row>
    <row r="2286" spans="1:5" x14ac:dyDescent="0.25">
      <c r="A2286" s="4" t="s">
        <v>53</v>
      </c>
      <c r="B2286" s="4" t="s">
        <v>21</v>
      </c>
      <c r="C2286" s="5">
        <v>45323</v>
      </c>
      <c r="D2286" s="4">
        <v>1</v>
      </c>
      <c r="E2286" s="4">
        <v>0.31</v>
      </c>
    </row>
    <row r="2287" spans="1:5" x14ac:dyDescent="0.25">
      <c r="A2287" s="4" t="s">
        <v>53</v>
      </c>
      <c r="B2287" s="4" t="s">
        <v>21</v>
      </c>
      <c r="C2287" s="5">
        <v>45323</v>
      </c>
      <c r="D2287" s="4">
        <v>0.2</v>
      </c>
      <c r="E2287" s="4">
        <v>0.06</v>
      </c>
    </row>
    <row r="2288" spans="1:5" x14ac:dyDescent="0.25">
      <c r="A2288" s="4" t="s">
        <v>53</v>
      </c>
      <c r="B2288" s="4" t="s">
        <v>21</v>
      </c>
      <c r="C2288" s="5">
        <v>45323</v>
      </c>
      <c r="D2288" s="4">
        <v>13.8</v>
      </c>
      <c r="E2288" s="4">
        <v>4.47</v>
      </c>
    </row>
    <row r="2289" spans="1:5" x14ac:dyDescent="0.25">
      <c r="A2289" s="4" t="s">
        <v>53</v>
      </c>
      <c r="B2289" s="4" t="s">
        <v>21</v>
      </c>
      <c r="C2289" s="5">
        <v>45324</v>
      </c>
      <c r="D2289" s="4">
        <v>22.6</v>
      </c>
      <c r="E2289" s="4">
        <v>7.33</v>
      </c>
    </row>
    <row r="2290" spans="1:5" x14ac:dyDescent="0.25">
      <c r="A2290" s="4" t="s">
        <v>53</v>
      </c>
      <c r="B2290" s="4" t="s">
        <v>21</v>
      </c>
      <c r="C2290" s="5">
        <v>45324</v>
      </c>
      <c r="D2290" s="4">
        <v>27.3</v>
      </c>
      <c r="E2290" s="4">
        <v>8.85</v>
      </c>
    </row>
    <row r="2291" spans="1:5" x14ac:dyDescent="0.25">
      <c r="A2291" s="4" t="s">
        <v>53</v>
      </c>
      <c r="B2291" s="4" t="s">
        <v>21</v>
      </c>
      <c r="C2291" s="5">
        <v>45327</v>
      </c>
      <c r="D2291" s="4">
        <v>22.6</v>
      </c>
      <c r="E2291" s="4">
        <v>7.33</v>
      </c>
    </row>
    <row r="2292" spans="1:5" x14ac:dyDescent="0.25">
      <c r="A2292" s="4" t="s">
        <v>53</v>
      </c>
      <c r="B2292" s="4" t="s">
        <v>21</v>
      </c>
      <c r="C2292" s="5">
        <v>45327</v>
      </c>
      <c r="D2292" s="4">
        <v>22.6</v>
      </c>
      <c r="E2292" s="4">
        <v>7.33</v>
      </c>
    </row>
    <row r="2293" spans="1:5" x14ac:dyDescent="0.25">
      <c r="A2293" s="4" t="s">
        <v>53</v>
      </c>
      <c r="B2293" s="4" t="s">
        <v>21</v>
      </c>
      <c r="C2293" s="5">
        <v>45328</v>
      </c>
      <c r="D2293" s="4">
        <v>22.6</v>
      </c>
      <c r="E2293" s="4">
        <v>7.33</v>
      </c>
    </row>
    <row r="2294" spans="1:5" x14ac:dyDescent="0.25">
      <c r="A2294" s="4" t="s">
        <v>53</v>
      </c>
      <c r="B2294" s="4" t="s">
        <v>21</v>
      </c>
      <c r="C2294" s="5">
        <v>45328</v>
      </c>
      <c r="D2294" s="4">
        <v>0.9</v>
      </c>
      <c r="E2294" s="4">
        <v>0.28999999999999998</v>
      </c>
    </row>
    <row r="2295" spans="1:5" x14ac:dyDescent="0.25">
      <c r="A2295" s="4" t="s">
        <v>53</v>
      </c>
      <c r="B2295" s="4" t="s">
        <v>21</v>
      </c>
      <c r="C2295" s="5">
        <v>45328</v>
      </c>
      <c r="D2295" s="4">
        <v>29.3</v>
      </c>
      <c r="E2295" s="4">
        <v>9.5</v>
      </c>
    </row>
    <row r="2296" spans="1:5" x14ac:dyDescent="0.25">
      <c r="A2296" s="4" t="s">
        <v>53</v>
      </c>
      <c r="B2296" s="4" t="s">
        <v>21</v>
      </c>
      <c r="C2296" s="5">
        <v>45328</v>
      </c>
      <c r="D2296" s="4">
        <v>15.4</v>
      </c>
      <c r="E2296" s="4">
        <v>5</v>
      </c>
    </row>
    <row r="2297" spans="1:5" x14ac:dyDescent="0.25">
      <c r="A2297" s="4" t="s">
        <v>53</v>
      </c>
      <c r="B2297" s="4" t="s">
        <v>21</v>
      </c>
      <c r="C2297" s="5">
        <v>45328</v>
      </c>
      <c r="D2297" s="4">
        <v>19.8</v>
      </c>
      <c r="E2297" s="4">
        <v>6.4</v>
      </c>
    </row>
    <row r="2298" spans="1:5" x14ac:dyDescent="0.25">
      <c r="A2298" s="4" t="s">
        <v>53</v>
      </c>
      <c r="B2298" s="4" t="s">
        <v>21</v>
      </c>
      <c r="C2298" s="5">
        <v>45328</v>
      </c>
      <c r="D2298" s="4">
        <v>0.6</v>
      </c>
      <c r="E2298" s="4">
        <v>0.19</v>
      </c>
    </row>
    <row r="2299" spans="1:5" x14ac:dyDescent="0.25">
      <c r="A2299" s="4" t="s">
        <v>53</v>
      </c>
      <c r="B2299" s="4" t="s">
        <v>21</v>
      </c>
      <c r="C2299" s="5">
        <v>45328</v>
      </c>
      <c r="D2299" s="4">
        <v>21</v>
      </c>
      <c r="E2299" s="4">
        <v>6.79</v>
      </c>
    </row>
    <row r="2300" spans="1:5" x14ac:dyDescent="0.25">
      <c r="A2300" s="4" t="s">
        <v>53</v>
      </c>
      <c r="B2300" s="4" t="s">
        <v>21</v>
      </c>
      <c r="C2300" s="5">
        <v>45329</v>
      </c>
      <c r="D2300" s="4">
        <v>28.4</v>
      </c>
      <c r="E2300" s="4">
        <v>9.2100000000000009</v>
      </c>
    </row>
    <row r="2301" spans="1:5" x14ac:dyDescent="0.25">
      <c r="A2301" s="4" t="s">
        <v>53</v>
      </c>
      <c r="B2301" s="4" t="s">
        <v>21</v>
      </c>
      <c r="C2301" s="5">
        <v>45329</v>
      </c>
      <c r="D2301" s="4">
        <v>9</v>
      </c>
      <c r="E2301" s="4">
        <v>2.91</v>
      </c>
    </row>
    <row r="2302" spans="1:5" x14ac:dyDescent="0.25">
      <c r="A2302" s="4" t="s">
        <v>53</v>
      </c>
      <c r="B2302" s="4" t="s">
        <v>21</v>
      </c>
      <c r="C2302" s="5">
        <v>45329</v>
      </c>
      <c r="D2302" s="4">
        <v>9</v>
      </c>
      <c r="E2302" s="4">
        <v>2.91</v>
      </c>
    </row>
    <row r="2303" spans="1:5" x14ac:dyDescent="0.25">
      <c r="A2303" s="4" t="s">
        <v>53</v>
      </c>
      <c r="B2303" s="4" t="s">
        <v>21</v>
      </c>
      <c r="C2303" s="5">
        <v>45329</v>
      </c>
      <c r="D2303" s="4">
        <v>9</v>
      </c>
      <c r="E2303" s="4">
        <v>2.91</v>
      </c>
    </row>
    <row r="2304" spans="1:5" x14ac:dyDescent="0.25">
      <c r="A2304" s="4" t="s">
        <v>53</v>
      </c>
      <c r="B2304" s="4" t="s">
        <v>21</v>
      </c>
      <c r="C2304" s="5">
        <v>45329</v>
      </c>
      <c r="D2304" s="4">
        <v>9</v>
      </c>
      <c r="E2304" s="4">
        <v>2.91</v>
      </c>
    </row>
    <row r="2305" spans="1:5" x14ac:dyDescent="0.25">
      <c r="A2305" s="4" t="s">
        <v>53</v>
      </c>
      <c r="B2305" s="4" t="s">
        <v>21</v>
      </c>
      <c r="C2305" s="5">
        <v>45329</v>
      </c>
      <c r="D2305" s="4">
        <v>9</v>
      </c>
      <c r="E2305" s="4">
        <v>2.91</v>
      </c>
    </row>
    <row r="2306" spans="1:5" x14ac:dyDescent="0.25">
      <c r="A2306" s="4" t="s">
        <v>53</v>
      </c>
      <c r="B2306" s="4" t="s">
        <v>21</v>
      </c>
      <c r="C2306" s="5">
        <v>45329</v>
      </c>
      <c r="D2306" s="4">
        <v>9</v>
      </c>
      <c r="E2306" s="4">
        <v>2.91</v>
      </c>
    </row>
    <row r="2307" spans="1:5" x14ac:dyDescent="0.25">
      <c r="A2307" s="4" t="s">
        <v>53</v>
      </c>
      <c r="B2307" s="4" t="s">
        <v>21</v>
      </c>
      <c r="C2307" s="5">
        <v>45329</v>
      </c>
      <c r="D2307" s="4">
        <v>9</v>
      </c>
      <c r="E2307" s="4">
        <v>2.91</v>
      </c>
    </row>
    <row r="2308" spans="1:5" x14ac:dyDescent="0.25">
      <c r="A2308" s="4" t="s">
        <v>53</v>
      </c>
      <c r="B2308" s="4" t="s">
        <v>21</v>
      </c>
      <c r="C2308" s="5">
        <v>45329</v>
      </c>
      <c r="D2308" s="4">
        <v>9</v>
      </c>
      <c r="E2308" s="4">
        <v>2.91</v>
      </c>
    </row>
    <row r="2309" spans="1:5" x14ac:dyDescent="0.25">
      <c r="A2309" s="4" t="s">
        <v>53</v>
      </c>
      <c r="B2309" s="4" t="s">
        <v>21</v>
      </c>
      <c r="C2309" s="5">
        <v>45329</v>
      </c>
      <c r="D2309" s="4">
        <v>2.1</v>
      </c>
      <c r="E2309" s="4">
        <v>0.67</v>
      </c>
    </row>
    <row r="2310" spans="1:5" x14ac:dyDescent="0.25">
      <c r="A2310" s="4" t="s">
        <v>53</v>
      </c>
      <c r="B2310" s="4" t="s">
        <v>21</v>
      </c>
      <c r="C2310" s="5">
        <v>45329</v>
      </c>
      <c r="D2310" s="4">
        <v>1</v>
      </c>
      <c r="E2310" s="4">
        <v>0.31</v>
      </c>
    </row>
    <row r="2311" spans="1:5" x14ac:dyDescent="0.25">
      <c r="A2311" s="4" t="s">
        <v>53</v>
      </c>
      <c r="B2311" s="4" t="s">
        <v>21</v>
      </c>
      <c r="C2311" s="5">
        <v>45329</v>
      </c>
      <c r="D2311" s="4">
        <v>3.7</v>
      </c>
      <c r="E2311" s="4">
        <v>1.1399999999999999</v>
      </c>
    </row>
    <row r="2312" spans="1:5" x14ac:dyDescent="0.25">
      <c r="A2312" s="4" t="s">
        <v>53</v>
      </c>
      <c r="B2312" s="4" t="s">
        <v>21</v>
      </c>
      <c r="C2312" s="5">
        <v>45329</v>
      </c>
      <c r="D2312" s="4">
        <v>13.8</v>
      </c>
      <c r="E2312" s="4">
        <v>4.47</v>
      </c>
    </row>
    <row r="2313" spans="1:5" x14ac:dyDescent="0.25">
      <c r="A2313" s="4" t="s">
        <v>53</v>
      </c>
      <c r="B2313" s="4" t="s">
        <v>21</v>
      </c>
      <c r="C2313" s="5">
        <v>45330</v>
      </c>
      <c r="D2313" s="4">
        <v>28.4</v>
      </c>
      <c r="E2313" s="4">
        <v>9.2100000000000009</v>
      </c>
    </row>
    <row r="2314" spans="1:5" x14ac:dyDescent="0.25">
      <c r="A2314" s="4" t="s">
        <v>53</v>
      </c>
      <c r="B2314" s="4" t="s">
        <v>21</v>
      </c>
      <c r="C2314" s="5">
        <v>45330</v>
      </c>
      <c r="D2314" s="4">
        <v>28.4</v>
      </c>
      <c r="E2314" s="4">
        <v>9.2100000000000009</v>
      </c>
    </row>
    <row r="2315" spans="1:5" x14ac:dyDescent="0.25">
      <c r="A2315" s="4" t="s">
        <v>53</v>
      </c>
      <c r="B2315" s="4" t="s">
        <v>21</v>
      </c>
      <c r="C2315" s="5">
        <v>45331</v>
      </c>
      <c r="D2315" s="4">
        <v>41.3</v>
      </c>
      <c r="E2315" s="4">
        <v>13.4</v>
      </c>
    </row>
    <row r="2316" spans="1:5" x14ac:dyDescent="0.25">
      <c r="A2316" s="4" t="s">
        <v>53</v>
      </c>
      <c r="B2316" s="4" t="s">
        <v>21</v>
      </c>
      <c r="C2316" s="5">
        <v>45331</v>
      </c>
      <c r="D2316" s="4">
        <v>11.3</v>
      </c>
      <c r="E2316" s="4">
        <v>3.63</v>
      </c>
    </row>
    <row r="2317" spans="1:5" x14ac:dyDescent="0.25">
      <c r="A2317" s="4" t="s">
        <v>53</v>
      </c>
      <c r="B2317" s="4" t="s">
        <v>21</v>
      </c>
      <c r="C2317" s="5">
        <v>45331</v>
      </c>
      <c r="D2317" s="4">
        <v>19.100000000000001</v>
      </c>
      <c r="E2317" s="4">
        <v>6.15</v>
      </c>
    </row>
    <row r="2318" spans="1:5" x14ac:dyDescent="0.25">
      <c r="A2318" s="4" t="s">
        <v>53</v>
      </c>
      <c r="B2318" s="4" t="s">
        <v>21</v>
      </c>
      <c r="C2318" s="5">
        <v>45331</v>
      </c>
      <c r="D2318" s="4">
        <v>67.5</v>
      </c>
      <c r="E2318" s="4">
        <v>21.89</v>
      </c>
    </row>
    <row r="2319" spans="1:5" x14ac:dyDescent="0.25">
      <c r="A2319" s="4" t="s">
        <v>53</v>
      </c>
      <c r="B2319" s="4" t="s">
        <v>21</v>
      </c>
      <c r="C2319" s="5">
        <v>45331</v>
      </c>
      <c r="D2319" s="4">
        <v>71.2</v>
      </c>
      <c r="E2319" s="4">
        <v>23.03</v>
      </c>
    </row>
    <row r="2320" spans="1:5" x14ac:dyDescent="0.25">
      <c r="A2320" s="4" t="s">
        <v>53</v>
      </c>
      <c r="B2320" s="4" t="s">
        <v>21</v>
      </c>
      <c r="C2320" s="5">
        <v>45331</v>
      </c>
      <c r="D2320" s="4">
        <v>17.3</v>
      </c>
      <c r="E2320" s="4">
        <v>5.57</v>
      </c>
    </row>
    <row r="2321" spans="1:5" x14ac:dyDescent="0.25">
      <c r="A2321" s="4" t="s">
        <v>53</v>
      </c>
      <c r="B2321" s="4" t="s">
        <v>21</v>
      </c>
      <c r="C2321" s="5">
        <v>45331</v>
      </c>
      <c r="D2321" s="4">
        <v>17.3</v>
      </c>
      <c r="E2321" s="4">
        <v>5.57</v>
      </c>
    </row>
    <row r="2322" spans="1:5" x14ac:dyDescent="0.25">
      <c r="A2322" s="4" t="s">
        <v>53</v>
      </c>
      <c r="B2322" s="4" t="s">
        <v>21</v>
      </c>
      <c r="C2322" s="5">
        <v>45331</v>
      </c>
      <c r="D2322" s="4">
        <v>67.5</v>
      </c>
      <c r="E2322" s="4">
        <v>21.89</v>
      </c>
    </row>
    <row r="2323" spans="1:5" x14ac:dyDescent="0.25">
      <c r="A2323" s="4" t="s">
        <v>53</v>
      </c>
      <c r="B2323" s="4" t="s">
        <v>21</v>
      </c>
      <c r="C2323" s="5">
        <v>45331</v>
      </c>
      <c r="D2323" s="4">
        <v>29.9</v>
      </c>
      <c r="E2323" s="4">
        <v>9.6300000000000008</v>
      </c>
    </row>
    <row r="2324" spans="1:5" x14ac:dyDescent="0.25">
      <c r="A2324" s="4" t="s">
        <v>53</v>
      </c>
      <c r="B2324" s="4" t="s">
        <v>21</v>
      </c>
      <c r="C2324" s="5">
        <v>45334</v>
      </c>
      <c r="D2324" s="4">
        <v>28.4</v>
      </c>
      <c r="E2324" s="4">
        <v>9.2100000000000009</v>
      </c>
    </row>
    <row r="2325" spans="1:5" x14ac:dyDescent="0.25">
      <c r="A2325" s="4" t="s">
        <v>53</v>
      </c>
      <c r="B2325" s="4" t="s">
        <v>21</v>
      </c>
      <c r="C2325" s="5">
        <v>45334</v>
      </c>
      <c r="D2325" s="4">
        <v>22.6</v>
      </c>
      <c r="E2325" s="4">
        <v>7.33</v>
      </c>
    </row>
    <row r="2326" spans="1:5" x14ac:dyDescent="0.25">
      <c r="A2326" s="4" t="s">
        <v>53</v>
      </c>
      <c r="B2326" s="4" t="s">
        <v>21</v>
      </c>
      <c r="C2326" s="5">
        <v>45335</v>
      </c>
      <c r="D2326" s="4">
        <v>28.4</v>
      </c>
      <c r="E2326" s="4">
        <v>9.2100000000000009</v>
      </c>
    </row>
    <row r="2327" spans="1:5" x14ac:dyDescent="0.25">
      <c r="A2327" s="4" t="s">
        <v>53</v>
      </c>
      <c r="B2327" s="4" t="s">
        <v>21</v>
      </c>
      <c r="C2327" s="5">
        <v>45335</v>
      </c>
      <c r="D2327" s="4">
        <v>28.4</v>
      </c>
      <c r="E2327" s="4">
        <v>9.2100000000000009</v>
      </c>
    </row>
    <row r="2328" spans="1:5" x14ac:dyDescent="0.25">
      <c r="A2328" s="4" t="s">
        <v>53</v>
      </c>
      <c r="B2328" s="4" t="s">
        <v>21</v>
      </c>
      <c r="C2328" s="5">
        <v>45336</v>
      </c>
      <c r="D2328" s="4">
        <v>15.4</v>
      </c>
      <c r="E2328" s="4">
        <v>5</v>
      </c>
    </row>
    <row r="2329" spans="1:5" x14ac:dyDescent="0.25">
      <c r="A2329" s="4" t="s">
        <v>53</v>
      </c>
      <c r="B2329" s="4" t="s">
        <v>21</v>
      </c>
      <c r="C2329" s="5">
        <v>45336</v>
      </c>
      <c r="D2329" s="4">
        <v>26.6</v>
      </c>
      <c r="E2329" s="4">
        <v>8.6300000000000008</v>
      </c>
    </row>
    <row r="2330" spans="1:5" x14ac:dyDescent="0.25">
      <c r="A2330" s="4" t="s">
        <v>53</v>
      </c>
      <c r="B2330" s="4" t="s">
        <v>21</v>
      </c>
      <c r="C2330" s="5">
        <v>45336</v>
      </c>
      <c r="D2330" s="4">
        <v>22.6</v>
      </c>
      <c r="E2330" s="4">
        <v>7.33</v>
      </c>
    </row>
    <row r="2331" spans="1:5" x14ac:dyDescent="0.25">
      <c r="A2331" s="4" t="s">
        <v>53</v>
      </c>
      <c r="B2331" s="4" t="s">
        <v>21</v>
      </c>
      <c r="C2331" s="5">
        <v>45337</v>
      </c>
      <c r="D2331" s="4">
        <v>28.4</v>
      </c>
      <c r="E2331" s="4">
        <v>9.2100000000000009</v>
      </c>
    </row>
    <row r="2332" spans="1:5" x14ac:dyDescent="0.25">
      <c r="A2332" s="4" t="s">
        <v>53</v>
      </c>
      <c r="B2332" s="4" t="s">
        <v>21</v>
      </c>
      <c r="C2332" s="5">
        <v>45337</v>
      </c>
      <c r="D2332" s="4">
        <v>28.4</v>
      </c>
      <c r="E2332" s="4">
        <v>9.2100000000000009</v>
      </c>
    </row>
    <row r="2333" spans="1:5" x14ac:dyDescent="0.25">
      <c r="A2333" s="4" t="s">
        <v>53</v>
      </c>
      <c r="B2333" s="4" t="s">
        <v>22</v>
      </c>
      <c r="C2333" s="5">
        <v>45307</v>
      </c>
      <c r="D2333" s="4">
        <v>30.6</v>
      </c>
      <c r="E2333" s="4">
        <v>9.92</v>
      </c>
    </row>
    <row r="2334" spans="1:5" x14ac:dyDescent="0.25">
      <c r="A2334" s="4" t="s">
        <v>53</v>
      </c>
      <c r="B2334" s="4" t="s">
        <v>22</v>
      </c>
      <c r="C2334" s="5">
        <v>45307</v>
      </c>
      <c r="D2334" s="4">
        <v>28.8</v>
      </c>
      <c r="E2334" s="4">
        <v>9.34</v>
      </c>
    </row>
    <row r="2335" spans="1:5" x14ac:dyDescent="0.25">
      <c r="A2335" s="4" t="s">
        <v>53</v>
      </c>
      <c r="B2335" s="4" t="s">
        <v>22</v>
      </c>
      <c r="C2335" s="5">
        <v>45307</v>
      </c>
      <c r="D2335" s="4">
        <v>28.8</v>
      </c>
      <c r="E2335" s="4">
        <v>9.34</v>
      </c>
    </row>
    <row r="2336" spans="1:5" x14ac:dyDescent="0.25">
      <c r="A2336" s="4" t="s">
        <v>53</v>
      </c>
      <c r="B2336" s="4" t="s">
        <v>22</v>
      </c>
      <c r="C2336" s="5">
        <v>45307</v>
      </c>
      <c r="D2336" s="4">
        <v>28.8</v>
      </c>
      <c r="E2336" s="4">
        <v>9.34</v>
      </c>
    </row>
    <row r="2337" spans="1:5" x14ac:dyDescent="0.25">
      <c r="A2337" s="4" t="s">
        <v>53</v>
      </c>
      <c r="B2337" s="4" t="s">
        <v>22</v>
      </c>
      <c r="C2337" s="5">
        <v>45307</v>
      </c>
      <c r="D2337" s="4">
        <v>28.8</v>
      </c>
      <c r="E2337" s="4">
        <v>9.34</v>
      </c>
    </row>
    <row r="2338" spans="1:5" x14ac:dyDescent="0.25">
      <c r="A2338" s="4" t="s">
        <v>53</v>
      </c>
      <c r="B2338" s="4" t="s">
        <v>22</v>
      </c>
      <c r="C2338" s="5">
        <v>45307</v>
      </c>
      <c r="D2338" s="4">
        <v>30.6</v>
      </c>
      <c r="E2338" s="4">
        <v>9.92</v>
      </c>
    </row>
    <row r="2339" spans="1:5" x14ac:dyDescent="0.25">
      <c r="A2339" s="4" t="s">
        <v>53</v>
      </c>
      <c r="B2339" s="4" t="s">
        <v>22</v>
      </c>
      <c r="C2339" s="5">
        <v>45307</v>
      </c>
      <c r="D2339" s="4">
        <v>15.4</v>
      </c>
      <c r="E2339" s="4">
        <v>5</v>
      </c>
    </row>
    <row r="2340" spans="1:5" x14ac:dyDescent="0.25">
      <c r="A2340" s="4" t="s">
        <v>53</v>
      </c>
      <c r="B2340" s="4" t="s">
        <v>22</v>
      </c>
      <c r="C2340" s="5">
        <v>45307</v>
      </c>
      <c r="D2340" s="4">
        <v>28.8</v>
      </c>
      <c r="E2340" s="4">
        <v>9.34</v>
      </c>
    </row>
    <row r="2341" spans="1:5" x14ac:dyDescent="0.25">
      <c r="A2341" s="4" t="s">
        <v>53</v>
      </c>
      <c r="B2341" s="4" t="s">
        <v>22</v>
      </c>
      <c r="C2341" s="5">
        <v>45307</v>
      </c>
      <c r="D2341" s="4">
        <v>30.6</v>
      </c>
      <c r="E2341" s="4">
        <v>9.92</v>
      </c>
    </row>
    <row r="2342" spans="1:5" x14ac:dyDescent="0.25">
      <c r="A2342" s="4" t="s">
        <v>53</v>
      </c>
      <c r="B2342" s="4" t="s">
        <v>22</v>
      </c>
      <c r="C2342" s="5">
        <v>45308</v>
      </c>
      <c r="D2342" s="4">
        <v>30.6</v>
      </c>
      <c r="E2342" s="4">
        <v>9.92</v>
      </c>
    </row>
    <row r="2343" spans="1:5" x14ac:dyDescent="0.25">
      <c r="A2343" s="4" t="s">
        <v>53</v>
      </c>
      <c r="B2343" s="4" t="s">
        <v>22</v>
      </c>
      <c r="C2343" s="5">
        <v>45308</v>
      </c>
      <c r="D2343" s="4">
        <v>28.8</v>
      </c>
      <c r="E2343" s="4">
        <v>9.34</v>
      </c>
    </row>
    <row r="2344" spans="1:5" x14ac:dyDescent="0.25">
      <c r="A2344" s="4" t="s">
        <v>53</v>
      </c>
      <c r="B2344" s="4" t="s">
        <v>22</v>
      </c>
      <c r="C2344" s="5">
        <v>45308</v>
      </c>
      <c r="D2344" s="4">
        <v>28.8</v>
      </c>
      <c r="E2344" s="4">
        <v>9.34</v>
      </c>
    </row>
    <row r="2345" spans="1:5" x14ac:dyDescent="0.25">
      <c r="A2345" s="4" t="s">
        <v>53</v>
      </c>
      <c r="B2345" s="4" t="s">
        <v>22</v>
      </c>
      <c r="C2345" s="5">
        <v>45308</v>
      </c>
      <c r="D2345" s="4">
        <v>30.6</v>
      </c>
      <c r="E2345" s="4">
        <v>9.92</v>
      </c>
    </row>
    <row r="2346" spans="1:5" x14ac:dyDescent="0.25">
      <c r="A2346" s="4" t="s">
        <v>53</v>
      </c>
      <c r="B2346" s="4" t="s">
        <v>22</v>
      </c>
      <c r="C2346" s="5">
        <v>45309</v>
      </c>
      <c r="D2346" s="4">
        <v>30.6</v>
      </c>
      <c r="E2346" s="4">
        <v>9.92</v>
      </c>
    </row>
    <row r="2347" spans="1:5" x14ac:dyDescent="0.25">
      <c r="A2347" s="4" t="s">
        <v>53</v>
      </c>
      <c r="B2347" s="4" t="s">
        <v>22</v>
      </c>
      <c r="C2347" s="5">
        <v>45309</v>
      </c>
      <c r="D2347" s="4">
        <v>14.5</v>
      </c>
      <c r="E2347" s="4">
        <v>4.68</v>
      </c>
    </row>
    <row r="2348" spans="1:5" x14ac:dyDescent="0.25">
      <c r="A2348" s="4" t="s">
        <v>53</v>
      </c>
      <c r="B2348" s="4" t="s">
        <v>22</v>
      </c>
      <c r="C2348" s="5">
        <v>45310</v>
      </c>
      <c r="D2348" s="4">
        <v>30.6</v>
      </c>
      <c r="E2348" s="4">
        <v>9.92</v>
      </c>
    </row>
    <row r="2349" spans="1:5" x14ac:dyDescent="0.25">
      <c r="A2349" s="4" t="s">
        <v>53</v>
      </c>
      <c r="B2349" s="4" t="s">
        <v>22</v>
      </c>
      <c r="C2349" s="5">
        <v>45310</v>
      </c>
      <c r="D2349" s="4">
        <v>20.100000000000001</v>
      </c>
      <c r="E2349" s="4">
        <v>6.52</v>
      </c>
    </row>
    <row r="2350" spans="1:5" x14ac:dyDescent="0.25">
      <c r="A2350" s="4" t="s">
        <v>53</v>
      </c>
      <c r="B2350" s="4" t="s">
        <v>22</v>
      </c>
      <c r="C2350" s="5">
        <v>45310</v>
      </c>
      <c r="D2350" s="4">
        <v>20.100000000000001</v>
      </c>
      <c r="E2350" s="4">
        <v>6.51</v>
      </c>
    </row>
    <row r="2351" spans="1:5" x14ac:dyDescent="0.25">
      <c r="A2351" s="4" t="s">
        <v>53</v>
      </c>
      <c r="B2351" s="4" t="s">
        <v>22</v>
      </c>
      <c r="C2351" s="5">
        <v>45310</v>
      </c>
      <c r="D2351" s="4">
        <v>20.100000000000001</v>
      </c>
      <c r="E2351" s="4">
        <v>6.52</v>
      </c>
    </row>
    <row r="2352" spans="1:5" x14ac:dyDescent="0.25">
      <c r="A2352" s="4" t="s">
        <v>53</v>
      </c>
      <c r="B2352" s="4" t="s">
        <v>22</v>
      </c>
      <c r="C2352" s="5">
        <v>45310</v>
      </c>
      <c r="D2352" s="4">
        <v>20.100000000000001</v>
      </c>
      <c r="E2352" s="4">
        <v>6.51</v>
      </c>
    </row>
    <row r="2353" spans="1:5" x14ac:dyDescent="0.25">
      <c r="A2353" s="4" t="s">
        <v>53</v>
      </c>
      <c r="B2353" s="4" t="s">
        <v>22</v>
      </c>
      <c r="C2353" s="5">
        <v>45310</v>
      </c>
      <c r="D2353" s="4">
        <v>30.6</v>
      </c>
      <c r="E2353" s="4">
        <v>9.92</v>
      </c>
    </row>
    <row r="2354" spans="1:5" x14ac:dyDescent="0.25">
      <c r="A2354" s="4" t="s">
        <v>53</v>
      </c>
      <c r="B2354" s="4" t="s">
        <v>22</v>
      </c>
      <c r="C2354" s="5">
        <v>45313</v>
      </c>
      <c r="D2354" s="4">
        <v>2.4</v>
      </c>
      <c r="E2354" s="4">
        <v>0.75</v>
      </c>
    </row>
    <row r="2355" spans="1:5" x14ac:dyDescent="0.25">
      <c r="A2355" s="4" t="s">
        <v>53</v>
      </c>
      <c r="B2355" s="4" t="s">
        <v>22</v>
      </c>
      <c r="C2355" s="5">
        <v>45313</v>
      </c>
      <c r="D2355" s="4">
        <v>0.7</v>
      </c>
      <c r="E2355" s="4">
        <v>0.23</v>
      </c>
    </row>
    <row r="2356" spans="1:5" x14ac:dyDescent="0.25">
      <c r="A2356" s="4" t="s">
        <v>53</v>
      </c>
      <c r="B2356" s="4" t="s">
        <v>22</v>
      </c>
      <c r="C2356" s="5">
        <v>45313</v>
      </c>
      <c r="D2356" s="4">
        <v>1.3</v>
      </c>
      <c r="E2356" s="4">
        <v>0.41</v>
      </c>
    </row>
    <row r="2357" spans="1:5" x14ac:dyDescent="0.25">
      <c r="A2357" s="4" t="s">
        <v>53</v>
      </c>
      <c r="B2357" s="4" t="s">
        <v>22</v>
      </c>
      <c r="C2357" s="5">
        <v>45313</v>
      </c>
      <c r="D2357" s="4">
        <v>1.6</v>
      </c>
      <c r="E2357" s="4">
        <v>0.5</v>
      </c>
    </row>
    <row r="2358" spans="1:5" x14ac:dyDescent="0.25">
      <c r="A2358" s="4" t="s">
        <v>53</v>
      </c>
      <c r="B2358" s="4" t="s">
        <v>22</v>
      </c>
      <c r="C2358" s="5">
        <v>45313</v>
      </c>
      <c r="D2358" s="4">
        <v>1.3</v>
      </c>
      <c r="E2358" s="4">
        <v>0.41</v>
      </c>
    </row>
    <row r="2359" spans="1:5" x14ac:dyDescent="0.25">
      <c r="A2359" s="4" t="s">
        <v>53</v>
      </c>
      <c r="B2359" s="4" t="s">
        <v>22</v>
      </c>
      <c r="C2359" s="5">
        <v>45313</v>
      </c>
      <c r="D2359" s="4">
        <v>1.6</v>
      </c>
      <c r="E2359" s="4">
        <v>0.5</v>
      </c>
    </row>
    <row r="2360" spans="1:5" x14ac:dyDescent="0.25">
      <c r="A2360" s="4" t="s">
        <v>53</v>
      </c>
      <c r="B2360" s="4" t="s">
        <v>22</v>
      </c>
      <c r="C2360" s="5">
        <v>45313</v>
      </c>
      <c r="D2360" s="4">
        <v>1.3</v>
      </c>
      <c r="E2360" s="4">
        <v>0.41</v>
      </c>
    </row>
    <row r="2361" spans="1:5" x14ac:dyDescent="0.25">
      <c r="A2361" s="4" t="s">
        <v>53</v>
      </c>
      <c r="B2361" s="4" t="s">
        <v>22</v>
      </c>
      <c r="C2361" s="5">
        <v>45313</v>
      </c>
      <c r="D2361" s="4">
        <v>1.6</v>
      </c>
      <c r="E2361" s="4">
        <v>0.5</v>
      </c>
    </row>
    <row r="2362" spans="1:5" x14ac:dyDescent="0.25">
      <c r="A2362" s="4" t="s">
        <v>53</v>
      </c>
      <c r="B2362" s="4" t="s">
        <v>22</v>
      </c>
      <c r="C2362" s="5">
        <v>45313</v>
      </c>
      <c r="D2362" s="4">
        <v>1.3</v>
      </c>
      <c r="E2362" s="4">
        <v>0.41</v>
      </c>
    </row>
    <row r="2363" spans="1:5" x14ac:dyDescent="0.25">
      <c r="A2363" s="4" t="s">
        <v>53</v>
      </c>
      <c r="B2363" s="4" t="s">
        <v>22</v>
      </c>
      <c r="C2363" s="5">
        <v>45313</v>
      </c>
      <c r="D2363" s="4">
        <v>1.6</v>
      </c>
      <c r="E2363" s="4">
        <v>0.5</v>
      </c>
    </row>
    <row r="2364" spans="1:5" x14ac:dyDescent="0.25">
      <c r="A2364" s="4" t="s">
        <v>53</v>
      </c>
      <c r="B2364" s="4" t="s">
        <v>22</v>
      </c>
      <c r="C2364" s="5">
        <v>45313</v>
      </c>
      <c r="D2364" s="4">
        <v>1.3</v>
      </c>
      <c r="E2364" s="4">
        <v>0.41</v>
      </c>
    </row>
    <row r="2365" spans="1:5" x14ac:dyDescent="0.25">
      <c r="A2365" s="4" t="s">
        <v>53</v>
      </c>
      <c r="B2365" s="4" t="s">
        <v>22</v>
      </c>
      <c r="C2365" s="5">
        <v>45313</v>
      </c>
      <c r="D2365" s="4">
        <v>1.6</v>
      </c>
      <c r="E2365" s="4">
        <v>0.5</v>
      </c>
    </row>
    <row r="2366" spans="1:5" x14ac:dyDescent="0.25">
      <c r="A2366" s="4" t="s">
        <v>53</v>
      </c>
      <c r="B2366" s="4" t="s">
        <v>22</v>
      </c>
      <c r="C2366" s="5">
        <v>45313</v>
      </c>
      <c r="D2366" s="4">
        <v>1.3</v>
      </c>
      <c r="E2366" s="4">
        <v>0.41</v>
      </c>
    </row>
    <row r="2367" spans="1:5" x14ac:dyDescent="0.25">
      <c r="A2367" s="4" t="s">
        <v>53</v>
      </c>
      <c r="B2367" s="4" t="s">
        <v>22</v>
      </c>
      <c r="C2367" s="5">
        <v>45313</v>
      </c>
      <c r="D2367" s="4">
        <v>1.6</v>
      </c>
      <c r="E2367" s="4">
        <v>0.5</v>
      </c>
    </row>
    <row r="2368" spans="1:5" x14ac:dyDescent="0.25">
      <c r="A2368" s="4" t="s">
        <v>53</v>
      </c>
      <c r="B2368" s="4" t="s">
        <v>22</v>
      </c>
      <c r="C2368" s="5">
        <v>45313</v>
      </c>
      <c r="D2368" s="4">
        <v>1.3</v>
      </c>
      <c r="E2368" s="4">
        <v>0.41</v>
      </c>
    </row>
    <row r="2369" spans="1:5" x14ac:dyDescent="0.25">
      <c r="A2369" s="4" t="s">
        <v>53</v>
      </c>
      <c r="B2369" s="4" t="s">
        <v>22</v>
      </c>
      <c r="C2369" s="5">
        <v>45313</v>
      </c>
      <c r="D2369" s="4">
        <v>1.6</v>
      </c>
      <c r="E2369" s="4">
        <v>0.5</v>
      </c>
    </row>
    <row r="2370" spans="1:5" x14ac:dyDescent="0.25">
      <c r="A2370" s="4" t="s">
        <v>53</v>
      </c>
      <c r="B2370" s="4" t="s">
        <v>22</v>
      </c>
      <c r="C2370" s="5">
        <v>45313</v>
      </c>
      <c r="D2370" s="4">
        <v>1.3</v>
      </c>
      <c r="E2370" s="4">
        <v>0.41</v>
      </c>
    </row>
    <row r="2371" spans="1:5" x14ac:dyDescent="0.25">
      <c r="A2371" s="4" t="s">
        <v>53</v>
      </c>
      <c r="B2371" s="4" t="s">
        <v>22</v>
      </c>
      <c r="C2371" s="5">
        <v>45313</v>
      </c>
      <c r="D2371" s="4">
        <v>1.6</v>
      </c>
      <c r="E2371" s="4">
        <v>0.5</v>
      </c>
    </row>
    <row r="2372" spans="1:5" x14ac:dyDescent="0.25">
      <c r="A2372" s="4" t="s">
        <v>53</v>
      </c>
      <c r="B2372" s="4" t="s">
        <v>22</v>
      </c>
      <c r="C2372" s="5">
        <v>45313</v>
      </c>
      <c r="D2372" s="4">
        <v>1.3</v>
      </c>
      <c r="E2372" s="4">
        <v>0.41</v>
      </c>
    </row>
    <row r="2373" spans="1:5" x14ac:dyDescent="0.25">
      <c r="A2373" s="4" t="s">
        <v>53</v>
      </c>
      <c r="B2373" s="4" t="s">
        <v>22</v>
      </c>
      <c r="C2373" s="5">
        <v>45313</v>
      </c>
      <c r="D2373" s="4">
        <v>1.6</v>
      </c>
      <c r="E2373" s="4">
        <v>0.5</v>
      </c>
    </row>
    <row r="2374" spans="1:5" x14ac:dyDescent="0.25">
      <c r="A2374" s="4" t="s">
        <v>53</v>
      </c>
      <c r="B2374" s="4" t="s">
        <v>22</v>
      </c>
      <c r="C2374" s="5">
        <v>45313</v>
      </c>
      <c r="D2374" s="4">
        <v>1.3</v>
      </c>
      <c r="E2374" s="4">
        <v>0.41</v>
      </c>
    </row>
    <row r="2375" spans="1:5" x14ac:dyDescent="0.25">
      <c r="A2375" s="4" t="s">
        <v>53</v>
      </c>
      <c r="B2375" s="4" t="s">
        <v>22</v>
      </c>
      <c r="C2375" s="5">
        <v>45313</v>
      </c>
      <c r="D2375" s="4">
        <v>1.6</v>
      </c>
      <c r="E2375" s="4">
        <v>0.5</v>
      </c>
    </row>
    <row r="2376" spans="1:5" x14ac:dyDescent="0.25">
      <c r="A2376" s="4" t="s">
        <v>53</v>
      </c>
      <c r="B2376" s="4" t="s">
        <v>22</v>
      </c>
      <c r="C2376" s="5">
        <v>45313</v>
      </c>
      <c r="D2376" s="4">
        <v>0.5</v>
      </c>
      <c r="E2376" s="4">
        <v>0.16</v>
      </c>
    </row>
    <row r="2377" spans="1:5" x14ac:dyDescent="0.25">
      <c r="A2377" s="4" t="s">
        <v>53</v>
      </c>
      <c r="B2377" s="4" t="s">
        <v>22</v>
      </c>
      <c r="C2377" s="5">
        <v>45313</v>
      </c>
      <c r="D2377" s="4">
        <v>2.5</v>
      </c>
      <c r="E2377" s="4">
        <v>0.81</v>
      </c>
    </row>
    <row r="2378" spans="1:5" x14ac:dyDescent="0.25">
      <c r="A2378" s="4" t="s">
        <v>53</v>
      </c>
      <c r="B2378" s="4" t="s">
        <v>22</v>
      </c>
      <c r="C2378" s="5">
        <v>45315</v>
      </c>
      <c r="D2378" s="4">
        <v>30.6</v>
      </c>
      <c r="E2378" s="4">
        <v>9.92</v>
      </c>
    </row>
    <row r="2379" spans="1:5" x14ac:dyDescent="0.25">
      <c r="A2379" s="4" t="s">
        <v>53</v>
      </c>
      <c r="B2379" s="4" t="s">
        <v>22</v>
      </c>
      <c r="C2379" s="5">
        <v>45315</v>
      </c>
      <c r="D2379" s="4">
        <v>20.100000000000001</v>
      </c>
      <c r="E2379" s="4">
        <v>6.52</v>
      </c>
    </row>
    <row r="2380" spans="1:5" x14ac:dyDescent="0.25">
      <c r="A2380" s="4" t="s">
        <v>53</v>
      </c>
      <c r="B2380" s="4" t="s">
        <v>22</v>
      </c>
      <c r="C2380" s="5">
        <v>45315</v>
      </c>
      <c r="D2380" s="4">
        <v>15</v>
      </c>
      <c r="E2380" s="4">
        <v>4.8099999999999996</v>
      </c>
    </row>
    <row r="2381" spans="1:5" x14ac:dyDescent="0.25">
      <c r="A2381" s="4" t="s">
        <v>53</v>
      </c>
      <c r="B2381" s="4" t="s">
        <v>22</v>
      </c>
      <c r="C2381" s="5">
        <v>45315</v>
      </c>
      <c r="D2381" s="4">
        <v>2.4</v>
      </c>
      <c r="E2381" s="4">
        <v>0.78</v>
      </c>
    </row>
    <row r="2382" spans="1:5" x14ac:dyDescent="0.25">
      <c r="A2382" s="4" t="s">
        <v>53</v>
      </c>
      <c r="B2382" s="4" t="s">
        <v>22</v>
      </c>
      <c r="C2382" s="5">
        <v>45315</v>
      </c>
      <c r="D2382" s="4">
        <v>28.8</v>
      </c>
      <c r="E2382" s="4">
        <v>9.34</v>
      </c>
    </row>
    <row r="2383" spans="1:5" x14ac:dyDescent="0.25">
      <c r="A2383" s="4" t="s">
        <v>53</v>
      </c>
      <c r="B2383" s="4" t="s">
        <v>22</v>
      </c>
      <c r="C2383" s="5">
        <v>45315</v>
      </c>
      <c r="D2383" s="4">
        <v>28.8</v>
      </c>
      <c r="E2383" s="4">
        <v>9.34</v>
      </c>
    </row>
    <row r="2384" spans="1:5" x14ac:dyDescent="0.25">
      <c r="A2384" s="4" t="s">
        <v>53</v>
      </c>
      <c r="B2384" s="4" t="s">
        <v>22</v>
      </c>
      <c r="C2384" s="5">
        <v>45315</v>
      </c>
      <c r="D2384" s="4">
        <v>20.100000000000001</v>
      </c>
      <c r="E2384" s="4">
        <v>6.52</v>
      </c>
    </row>
    <row r="2385" spans="1:5" x14ac:dyDescent="0.25">
      <c r="A2385" s="4" t="s">
        <v>53</v>
      </c>
      <c r="B2385" s="4" t="s">
        <v>22</v>
      </c>
      <c r="C2385" s="5">
        <v>45315</v>
      </c>
      <c r="D2385" s="4">
        <v>20.100000000000001</v>
      </c>
      <c r="E2385" s="4">
        <v>6.51</v>
      </c>
    </row>
    <row r="2386" spans="1:5" x14ac:dyDescent="0.25">
      <c r="A2386" s="4" t="s">
        <v>53</v>
      </c>
      <c r="B2386" s="4" t="s">
        <v>22</v>
      </c>
      <c r="C2386" s="5">
        <v>45315</v>
      </c>
      <c r="D2386" s="4">
        <v>30.6</v>
      </c>
      <c r="E2386" s="4">
        <v>9.92</v>
      </c>
    </row>
    <row r="2387" spans="1:5" x14ac:dyDescent="0.25">
      <c r="A2387" s="4" t="s">
        <v>53</v>
      </c>
      <c r="B2387" s="4" t="s">
        <v>22</v>
      </c>
      <c r="C2387" s="5">
        <v>45316</v>
      </c>
      <c r="D2387" s="4">
        <v>30.6</v>
      </c>
      <c r="E2387" s="4">
        <v>9.92</v>
      </c>
    </row>
    <row r="2388" spans="1:5" x14ac:dyDescent="0.25">
      <c r="A2388" s="4" t="s">
        <v>53</v>
      </c>
      <c r="B2388" s="4" t="s">
        <v>22</v>
      </c>
      <c r="C2388" s="5">
        <v>45316</v>
      </c>
      <c r="D2388" s="4">
        <v>20.100000000000001</v>
      </c>
      <c r="E2388" s="4">
        <v>6.52</v>
      </c>
    </row>
    <row r="2389" spans="1:5" x14ac:dyDescent="0.25">
      <c r="A2389" s="4" t="s">
        <v>53</v>
      </c>
      <c r="B2389" s="4" t="s">
        <v>22</v>
      </c>
      <c r="C2389" s="5">
        <v>45316</v>
      </c>
      <c r="D2389" s="4">
        <v>15</v>
      </c>
      <c r="E2389" s="4">
        <v>4.8099999999999996</v>
      </c>
    </row>
    <row r="2390" spans="1:5" x14ac:dyDescent="0.25">
      <c r="A2390" s="4" t="s">
        <v>53</v>
      </c>
      <c r="B2390" s="4" t="s">
        <v>22</v>
      </c>
      <c r="C2390" s="5">
        <v>45316</v>
      </c>
      <c r="D2390" s="4">
        <v>2.4</v>
      </c>
      <c r="E2390" s="4">
        <v>0.78</v>
      </c>
    </row>
    <row r="2391" spans="1:5" x14ac:dyDescent="0.25">
      <c r="A2391" s="4" t="s">
        <v>53</v>
      </c>
      <c r="B2391" s="4" t="s">
        <v>22</v>
      </c>
      <c r="C2391" s="5">
        <v>45316</v>
      </c>
      <c r="D2391" s="4">
        <v>30.6</v>
      </c>
      <c r="E2391" s="4">
        <v>9.92</v>
      </c>
    </row>
    <row r="2392" spans="1:5" x14ac:dyDescent="0.25">
      <c r="A2392" s="4" t="s">
        <v>53</v>
      </c>
      <c r="B2392" s="4" t="s">
        <v>22</v>
      </c>
      <c r="C2392" s="5">
        <v>45317</v>
      </c>
      <c r="D2392" s="4">
        <v>30.6</v>
      </c>
      <c r="E2392" s="4">
        <v>9.92</v>
      </c>
    </row>
    <row r="2393" spans="1:5" x14ac:dyDescent="0.25">
      <c r="A2393" s="4" t="s">
        <v>53</v>
      </c>
      <c r="B2393" s="4" t="s">
        <v>22</v>
      </c>
      <c r="C2393" s="5">
        <v>45317</v>
      </c>
      <c r="D2393" s="4">
        <v>20.100000000000001</v>
      </c>
      <c r="E2393" s="4">
        <v>6.52</v>
      </c>
    </row>
    <row r="2394" spans="1:5" x14ac:dyDescent="0.25">
      <c r="A2394" s="4" t="s">
        <v>53</v>
      </c>
      <c r="B2394" s="4" t="s">
        <v>22</v>
      </c>
      <c r="C2394" s="5">
        <v>45317</v>
      </c>
      <c r="D2394" s="4">
        <v>20.100000000000001</v>
      </c>
      <c r="E2394" s="4">
        <v>6.51</v>
      </c>
    </row>
    <row r="2395" spans="1:5" x14ac:dyDescent="0.25">
      <c r="A2395" s="4" t="s">
        <v>53</v>
      </c>
      <c r="B2395" s="4" t="s">
        <v>22</v>
      </c>
      <c r="C2395" s="5">
        <v>45317</v>
      </c>
      <c r="D2395" s="4">
        <v>30.6</v>
      </c>
      <c r="E2395" s="4">
        <v>9.92</v>
      </c>
    </row>
    <row r="2396" spans="1:5" x14ac:dyDescent="0.25">
      <c r="A2396" s="4" t="s">
        <v>53</v>
      </c>
      <c r="B2396" s="4" t="s">
        <v>22</v>
      </c>
      <c r="C2396" s="5">
        <v>45320</v>
      </c>
      <c r="D2396" s="4">
        <v>9.6999999999999993</v>
      </c>
      <c r="E2396" s="4">
        <v>3.15</v>
      </c>
    </row>
    <row r="2397" spans="1:5" x14ac:dyDescent="0.25">
      <c r="A2397" s="4" t="s">
        <v>53</v>
      </c>
      <c r="B2397" s="4" t="s">
        <v>22</v>
      </c>
      <c r="C2397" s="5">
        <v>45320</v>
      </c>
      <c r="D2397" s="4">
        <v>9.6999999999999993</v>
      </c>
      <c r="E2397" s="4">
        <v>3.15</v>
      </c>
    </row>
    <row r="2398" spans="1:5" x14ac:dyDescent="0.25">
      <c r="A2398" s="4" t="s">
        <v>53</v>
      </c>
      <c r="B2398" s="4" t="s">
        <v>22</v>
      </c>
      <c r="C2398" s="5">
        <v>45320</v>
      </c>
      <c r="D2398" s="4">
        <v>9.6999999999999993</v>
      </c>
      <c r="E2398" s="4">
        <v>3.15</v>
      </c>
    </row>
    <row r="2399" spans="1:5" x14ac:dyDescent="0.25">
      <c r="A2399" s="4" t="s">
        <v>53</v>
      </c>
      <c r="B2399" s="4" t="s">
        <v>22</v>
      </c>
      <c r="C2399" s="5">
        <v>45320</v>
      </c>
      <c r="D2399" s="4">
        <v>9.6999999999999993</v>
      </c>
      <c r="E2399" s="4">
        <v>3.15</v>
      </c>
    </row>
    <row r="2400" spans="1:5" x14ac:dyDescent="0.25">
      <c r="A2400" s="4" t="s">
        <v>53</v>
      </c>
      <c r="B2400" s="4" t="s">
        <v>22</v>
      </c>
      <c r="C2400" s="5">
        <v>45320</v>
      </c>
      <c r="D2400" s="4">
        <v>9.6999999999999993</v>
      </c>
      <c r="E2400" s="4">
        <v>3.15</v>
      </c>
    </row>
    <row r="2401" spans="1:5" x14ac:dyDescent="0.25">
      <c r="A2401" s="4" t="s">
        <v>53</v>
      </c>
      <c r="B2401" s="4" t="s">
        <v>22</v>
      </c>
      <c r="C2401" s="5">
        <v>45320</v>
      </c>
      <c r="D2401" s="4">
        <v>9.6999999999999993</v>
      </c>
      <c r="E2401" s="4">
        <v>3.15</v>
      </c>
    </row>
    <row r="2402" spans="1:5" x14ac:dyDescent="0.25">
      <c r="A2402" s="4" t="s">
        <v>53</v>
      </c>
      <c r="B2402" s="4" t="s">
        <v>22</v>
      </c>
      <c r="C2402" s="5">
        <v>45320</v>
      </c>
      <c r="D2402" s="4">
        <v>9.6999999999999993</v>
      </c>
      <c r="E2402" s="4">
        <v>3.15</v>
      </c>
    </row>
    <row r="2403" spans="1:5" x14ac:dyDescent="0.25">
      <c r="A2403" s="4" t="s">
        <v>53</v>
      </c>
      <c r="B2403" s="4" t="s">
        <v>22</v>
      </c>
      <c r="C2403" s="5">
        <v>45320</v>
      </c>
      <c r="D2403" s="4">
        <v>9.6999999999999993</v>
      </c>
      <c r="E2403" s="4">
        <v>3.15</v>
      </c>
    </row>
    <row r="2404" spans="1:5" x14ac:dyDescent="0.25">
      <c r="A2404" s="4" t="s">
        <v>53</v>
      </c>
      <c r="B2404" s="4" t="s">
        <v>22</v>
      </c>
      <c r="C2404" s="5">
        <v>45321</v>
      </c>
      <c r="D2404" s="4">
        <v>30.6</v>
      </c>
      <c r="E2404" s="4">
        <v>9.92</v>
      </c>
    </row>
    <row r="2405" spans="1:5" x14ac:dyDescent="0.25">
      <c r="A2405" s="4" t="s">
        <v>53</v>
      </c>
      <c r="B2405" s="4" t="s">
        <v>22</v>
      </c>
      <c r="C2405" s="5">
        <v>45321</v>
      </c>
      <c r="D2405" s="4">
        <v>2.4</v>
      </c>
      <c r="E2405" s="4">
        <v>0.78</v>
      </c>
    </row>
    <row r="2406" spans="1:5" x14ac:dyDescent="0.25">
      <c r="A2406" s="4" t="s">
        <v>53</v>
      </c>
      <c r="B2406" s="4" t="s">
        <v>22</v>
      </c>
      <c r="C2406" s="5">
        <v>45321</v>
      </c>
      <c r="D2406" s="4">
        <v>15</v>
      </c>
      <c r="E2406" s="4">
        <v>4.8099999999999996</v>
      </c>
    </row>
    <row r="2407" spans="1:5" x14ac:dyDescent="0.25">
      <c r="A2407" s="4" t="s">
        <v>53</v>
      </c>
      <c r="B2407" s="4" t="s">
        <v>22</v>
      </c>
      <c r="C2407" s="5">
        <v>45321</v>
      </c>
      <c r="D2407" s="4">
        <v>20.100000000000001</v>
      </c>
      <c r="E2407" s="4">
        <v>6.51</v>
      </c>
    </row>
    <row r="2408" spans="1:5" x14ac:dyDescent="0.25">
      <c r="A2408" s="4" t="s">
        <v>53</v>
      </c>
      <c r="B2408" s="4" t="s">
        <v>22</v>
      </c>
      <c r="C2408" s="5">
        <v>45321</v>
      </c>
      <c r="D2408" s="4">
        <v>30.6</v>
      </c>
      <c r="E2408" s="4">
        <v>9.92</v>
      </c>
    </row>
    <row r="2409" spans="1:5" x14ac:dyDescent="0.25">
      <c r="A2409" s="4" t="s">
        <v>53</v>
      </c>
      <c r="B2409" s="4" t="s">
        <v>22</v>
      </c>
      <c r="C2409" s="5">
        <v>45322</v>
      </c>
      <c r="D2409" s="4">
        <v>27.9</v>
      </c>
      <c r="E2409" s="4">
        <v>9.0299999999999994</v>
      </c>
    </row>
    <row r="2410" spans="1:5" x14ac:dyDescent="0.25">
      <c r="A2410" s="4" t="s">
        <v>53</v>
      </c>
      <c r="B2410" s="4" t="s">
        <v>22</v>
      </c>
      <c r="C2410" s="5">
        <v>45322</v>
      </c>
      <c r="D2410" s="4">
        <v>20.100000000000001</v>
      </c>
      <c r="E2410" s="4">
        <v>6.51</v>
      </c>
    </row>
    <row r="2411" spans="1:5" x14ac:dyDescent="0.25">
      <c r="A2411" s="4" t="s">
        <v>53</v>
      </c>
      <c r="B2411" s="4" t="s">
        <v>22</v>
      </c>
      <c r="C2411" s="5">
        <v>45322</v>
      </c>
      <c r="D2411" s="4">
        <v>30.6</v>
      </c>
      <c r="E2411" s="4">
        <v>9.92</v>
      </c>
    </row>
    <row r="2412" spans="1:5" x14ac:dyDescent="0.25">
      <c r="A2412" s="4" t="s">
        <v>53</v>
      </c>
      <c r="B2412" s="4" t="s">
        <v>22</v>
      </c>
      <c r="C2412" s="5">
        <v>45323</v>
      </c>
      <c r="D2412" s="4">
        <v>27.9</v>
      </c>
      <c r="E2412" s="4">
        <v>9.0299999999999994</v>
      </c>
    </row>
    <row r="2413" spans="1:5" x14ac:dyDescent="0.25">
      <c r="A2413" s="4" t="s">
        <v>53</v>
      </c>
      <c r="B2413" s="4" t="s">
        <v>22</v>
      </c>
      <c r="C2413" s="5">
        <v>45323</v>
      </c>
      <c r="D2413" s="4">
        <v>20.100000000000001</v>
      </c>
      <c r="E2413" s="4">
        <v>6.51</v>
      </c>
    </row>
    <row r="2414" spans="1:5" x14ac:dyDescent="0.25">
      <c r="A2414" s="4" t="s">
        <v>53</v>
      </c>
      <c r="B2414" s="4" t="s">
        <v>22</v>
      </c>
      <c r="C2414" s="5">
        <v>45323</v>
      </c>
      <c r="D2414" s="4">
        <v>19.600000000000001</v>
      </c>
      <c r="E2414" s="4">
        <v>6.35</v>
      </c>
    </row>
    <row r="2415" spans="1:5" x14ac:dyDescent="0.25">
      <c r="A2415" s="4" t="s">
        <v>53</v>
      </c>
      <c r="B2415" s="4" t="s">
        <v>22</v>
      </c>
      <c r="C2415" s="5">
        <v>45323</v>
      </c>
      <c r="D2415" s="4">
        <v>19.600000000000001</v>
      </c>
      <c r="E2415" s="4">
        <v>6.35</v>
      </c>
    </row>
    <row r="2416" spans="1:5" x14ac:dyDescent="0.25">
      <c r="A2416" s="4" t="s">
        <v>53</v>
      </c>
      <c r="B2416" s="4" t="s">
        <v>22</v>
      </c>
      <c r="C2416" s="5">
        <v>45323</v>
      </c>
      <c r="D2416" s="4">
        <v>30.6</v>
      </c>
      <c r="E2416" s="4">
        <v>9.92</v>
      </c>
    </row>
    <row r="2417" spans="1:5" x14ac:dyDescent="0.25">
      <c r="A2417" s="4" t="s">
        <v>53</v>
      </c>
      <c r="B2417" s="4" t="s">
        <v>22</v>
      </c>
      <c r="C2417" s="5">
        <v>45324</v>
      </c>
      <c r="D2417" s="4">
        <v>25.1</v>
      </c>
      <c r="E2417" s="4">
        <v>8.1300000000000008</v>
      </c>
    </row>
    <row r="2418" spans="1:5" x14ac:dyDescent="0.25">
      <c r="A2418" s="4" t="s">
        <v>53</v>
      </c>
      <c r="B2418" s="4" t="s">
        <v>22</v>
      </c>
      <c r="C2418" s="5">
        <v>45324</v>
      </c>
      <c r="D2418" s="4">
        <v>0.6</v>
      </c>
      <c r="E2418" s="4">
        <v>0.18</v>
      </c>
    </row>
    <row r="2419" spans="1:5" x14ac:dyDescent="0.25">
      <c r="A2419" s="4" t="s">
        <v>53</v>
      </c>
      <c r="B2419" s="4" t="s">
        <v>22</v>
      </c>
      <c r="C2419" s="5">
        <v>45324</v>
      </c>
      <c r="D2419" s="4">
        <v>20.100000000000001</v>
      </c>
      <c r="E2419" s="4">
        <v>6.51</v>
      </c>
    </row>
    <row r="2420" spans="1:5" x14ac:dyDescent="0.25">
      <c r="A2420" s="4" t="s">
        <v>53</v>
      </c>
      <c r="B2420" s="4" t="s">
        <v>22</v>
      </c>
      <c r="C2420" s="5">
        <v>45324</v>
      </c>
      <c r="D2420" s="4">
        <v>30.6</v>
      </c>
      <c r="E2420" s="4">
        <v>9.92</v>
      </c>
    </row>
    <row r="2421" spans="1:5" x14ac:dyDescent="0.25">
      <c r="A2421" s="4" t="s">
        <v>53</v>
      </c>
      <c r="B2421" s="4" t="s">
        <v>22</v>
      </c>
      <c r="C2421" s="5">
        <v>45327</v>
      </c>
      <c r="D2421" s="4">
        <v>30.6</v>
      </c>
      <c r="E2421" s="4">
        <v>9.92</v>
      </c>
    </row>
    <row r="2422" spans="1:5" x14ac:dyDescent="0.25">
      <c r="A2422" s="4" t="s">
        <v>53</v>
      </c>
      <c r="B2422" s="4" t="s">
        <v>22</v>
      </c>
      <c r="C2422" s="5">
        <v>45327</v>
      </c>
      <c r="D2422" s="4">
        <v>30.6</v>
      </c>
      <c r="E2422" s="4">
        <v>9.92</v>
      </c>
    </row>
    <row r="2423" spans="1:5" x14ac:dyDescent="0.25">
      <c r="A2423" s="4" t="s">
        <v>53</v>
      </c>
      <c r="B2423" s="4" t="s">
        <v>22</v>
      </c>
      <c r="C2423" s="5">
        <v>45328</v>
      </c>
      <c r="D2423" s="4">
        <v>30.6</v>
      </c>
      <c r="E2423" s="4">
        <v>9.92</v>
      </c>
    </row>
    <row r="2424" spans="1:5" x14ac:dyDescent="0.25">
      <c r="A2424" s="4" t="s">
        <v>53</v>
      </c>
      <c r="B2424" s="4" t="s">
        <v>22</v>
      </c>
      <c r="C2424" s="5">
        <v>45328</v>
      </c>
      <c r="D2424" s="4">
        <v>20.100000000000001</v>
      </c>
      <c r="E2424" s="4">
        <v>6.52</v>
      </c>
    </row>
    <row r="2425" spans="1:5" x14ac:dyDescent="0.25">
      <c r="A2425" s="4" t="s">
        <v>53</v>
      </c>
      <c r="B2425" s="4" t="s">
        <v>22</v>
      </c>
      <c r="C2425" s="5">
        <v>45328</v>
      </c>
      <c r="D2425" s="4">
        <v>20.100000000000001</v>
      </c>
      <c r="E2425" s="4">
        <v>6.51</v>
      </c>
    </row>
    <row r="2426" spans="1:5" x14ac:dyDescent="0.25">
      <c r="A2426" s="4" t="s">
        <v>53</v>
      </c>
      <c r="B2426" s="4" t="s">
        <v>22</v>
      </c>
      <c r="C2426" s="5">
        <v>45328</v>
      </c>
      <c r="D2426" s="4">
        <v>30.6</v>
      </c>
      <c r="E2426" s="4">
        <v>9.92</v>
      </c>
    </row>
    <row r="2427" spans="1:5" x14ac:dyDescent="0.25">
      <c r="A2427" s="4" t="s">
        <v>53</v>
      </c>
      <c r="B2427" s="4" t="s">
        <v>22</v>
      </c>
      <c r="C2427" s="5">
        <v>45329</v>
      </c>
      <c r="D2427" s="4">
        <v>30.6</v>
      </c>
      <c r="E2427" s="4">
        <v>9.92</v>
      </c>
    </row>
    <row r="2428" spans="1:5" x14ac:dyDescent="0.25">
      <c r="A2428" s="4" t="s">
        <v>53</v>
      </c>
      <c r="B2428" s="4" t="s">
        <v>22</v>
      </c>
      <c r="C2428" s="5">
        <v>45329</v>
      </c>
      <c r="D2428" s="4">
        <v>28.8</v>
      </c>
      <c r="E2428" s="4">
        <v>9.34</v>
      </c>
    </row>
    <row r="2429" spans="1:5" x14ac:dyDescent="0.25">
      <c r="A2429" s="4" t="s">
        <v>53</v>
      </c>
      <c r="B2429" s="4" t="s">
        <v>22</v>
      </c>
      <c r="C2429" s="5">
        <v>45329</v>
      </c>
      <c r="D2429" s="4">
        <v>28.8</v>
      </c>
      <c r="E2429" s="4">
        <v>9.34</v>
      </c>
    </row>
    <row r="2430" spans="1:5" x14ac:dyDescent="0.25">
      <c r="A2430" s="4" t="s">
        <v>53</v>
      </c>
      <c r="B2430" s="4" t="s">
        <v>22</v>
      </c>
      <c r="C2430" s="5">
        <v>45329</v>
      </c>
      <c r="D2430" s="4">
        <v>28.8</v>
      </c>
      <c r="E2430" s="4">
        <v>9.34</v>
      </c>
    </row>
    <row r="2431" spans="1:5" x14ac:dyDescent="0.25">
      <c r="A2431" s="4" t="s">
        <v>53</v>
      </c>
      <c r="B2431" s="4" t="s">
        <v>22</v>
      </c>
      <c r="C2431" s="5">
        <v>45329</v>
      </c>
      <c r="D2431" s="4">
        <v>28.8</v>
      </c>
      <c r="E2431" s="4">
        <v>9.34</v>
      </c>
    </row>
    <row r="2432" spans="1:5" x14ac:dyDescent="0.25">
      <c r="A2432" s="4" t="s">
        <v>53</v>
      </c>
      <c r="B2432" s="4" t="s">
        <v>22</v>
      </c>
      <c r="C2432" s="5">
        <v>45329</v>
      </c>
      <c r="D2432" s="4">
        <v>28.8</v>
      </c>
      <c r="E2432" s="4">
        <v>9.34</v>
      </c>
    </row>
    <row r="2433" spans="1:5" x14ac:dyDescent="0.25">
      <c r="A2433" s="4" t="s">
        <v>53</v>
      </c>
      <c r="B2433" s="4" t="s">
        <v>22</v>
      </c>
      <c r="C2433" s="5">
        <v>45329</v>
      </c>
      <c r="D2433" s="4">
        <v>28.8</v>
      </c>
      <c r="E2433" s="4">
        <v>9.34</v>
      </c>
    </row>
    <row r="2434" spans="1:5" x14ac:dyDescent="0.25">
      <c r="A2434" s="4" t="s">
        <v>53</v>
      </c>
      <c r="B2434" s="4" t="s">
        <v>22</v>
      </c>
      <c r="C2434" s="5">
        <v>45329</v>
      </c>
      <c r="D2434" s="4">
        <v>20.100000000000001</v>
      </c>
      <c r="E2434" s="4">
        <v>6.52</v>
      </c>
    </row>
    <row r="2435" spans="1:5" x14ac:dyDescent="0.25">
      <c r="A2435" s="4" t="s">
        <v>53</v>
      </c>
      <c r="B2435" s="4" t="s">
        <v>22</v>
      </c>
      <c r="C2435" s="5">
        <v>45329</v>
      </c>
      <c r="D2435" s="4">
        <v>20.100000000000001</v>
      </c>
      <c r="E2435" s="4">
        <v>6.51</v>
      </c>
    </row>
    <row r="2436" spans="1:5" x14ac:dyDescent="0.25">
      <c r="A2436" s="4" t="s">
        <v>53</v>
      </c>
      <c r="B2436" s="4" t="s">
        <v>22</v>
      </c>
      <c r="C2436" s="5">
        <v>45329</v>
      </c>
      <c r="D2436" s="4">
        <v>30.6</v>
      </c>
      <c r="E2436" s="4">
        <v>9.92</v>
      </c>
    </row>
    <row r="2437" spans="1:5" x14ac:dyDescent="0.25">
      <c r="A2437" s="4" t="s">
        <v>53</v>
      </c>
      <c r="B2437" s="4" t="s">
        <v>22</v>
      </c>
      <c r="C2437" s="5">
        <v>45330</v>
      </c>
      <c r="D2437" s="4">
        <v>30.6</v>
      </c>
      <c r="E2437" s="4">
        <v>9.92</v>
      </c>
    </row>
    <row r="2438" spans="1:5" x14ac:dyDescent="0.25">
      <c r="A2438" s="4" t="s">
        <v>53</v>
      </c>
      <c r="B2438" s="4" t="s">
        <v>22</v>
      </c>
      <c r="C2438" s="5">
        <v>45330</v>
      </c>
      <c r="D2438" s="4">
        <v>19.600000000000001</v>
      </c>
      <c r="E2438" s="4">
        <v>6.35</v>
      </c>
    </row>
    <row r="2439" spans="1:5" x14ac:dyDescent="0.25">
      <c r="A2439" s="4" t="s">
        <v>53</v>
      </c>
      <c r="B2439" s="4" t="s">
        <v>22</v>
      </c>
      <c r="C2439" s="5">
        <v>45330</v>
      </c>
      <c r="D2439" s="4">
        <v>19.600000000000001</v>
      </c>
      <c r="E2439" s="4">
        <v>6.35</v>
      </c>
    </row>
    <row r="2440" spans="1:5" x14ac:dyDescent="0.25">
      <c r="A2440" s="4" t="s">
        <v>53</v>
      </c>
      <c r="B2440" s="4" t="s">
        <v>22</v>
      </c>
      <c r="C2440" s="5">
        <v>45330</v>
      </c>
      <c r="D2440" s="4">
        <v>30.6</v>
      </c>
      <c r="E2440" s="4">
        <v>9.92</v>
      </c>
    </row>
    <row r="2441" spans="1:5" x14ac:dyDescent="0.25">
      <c r="A2441" s="4" t="s">
        <v>53</v>
      </c>
      <c r="B2441" s="4" t="s">
        <v>22</v>
      </c>
      <c r="C2441" s="5">
        <v>45331</v>
      </c>
      <c r="D2441" s="4">
        <v>18.100000000000001</v>
      </c>
      <c r="E2441" s="4">
        <v>5.87</v>
      </c>
    </row>
    <row r="2442" spans="1:5" x14ac:dyDescent="0.25">
      <c r="A2442" s="4" t="s">
        <v>53</v>
      </c>
      <c r="B2442" s="4" t="s">
        <v>22</v>
      </c>
      <c r="C2442" s="5">
        <v>45331</v>
      </c>
      <c r="D2442" s="4">
        <v>18.100000000000001</v>
      </c>
      <c r="E2442" s="4">
        <v>5.87</v>
      </c>
    </row>
    <row r="2443" spans="1:5" x14ac:dyDescent="0.25">
      <c r="A2443" s="4" t="s">
        <v>53</v>
      </c>
      <c r="B2443" s="4" t="s">
        <v>22</v>
      </c>
      <c r="C2443" s="5">
        <v>45334</v>
      </c>
      <c r="D2443" s="4">
        <v>30.6</v>
      </c>
      <c r="E2443" s="4">
        <v>9.92</v>
      </c>
    </row>
    <row r="2444" spans="1:5" x14ac:dyDescent="0.25">
      <c r="A2444" s="4" t="s">
        <v>53</v>
      </c>
      <c r="B2444" s="4" t="s">
        <v>22</v>
      </c>
      <c r="C2444" s="5">
        <v>45334</v>
      </c>
      <c r="D2444" s="4">
        <v>30.6</v>
      </c>
      <c r="E2444" s="4">
        <v>9.92</v>
      </c>
    </row>
    <row r="2445" spans="1:5" x14ac:dyDescent="0.25">
      <c r="A2445" s="4" t="s">
        <v>53</v>
      </c>
      <c r="B2445" s="4" t="s">
        <v>22</v>
      </c>
      <c r="C2445" s="5">
        <v>45335</v>
      </c>
      <c r="D2445" s="4">
        <v>30.6</v>
      </c>
      <c r="E2445" s="4">
        <v>9.92</v>
      </c>
    </row>
    <row r="2446" spans="1:5" x14ac:dyDescent="0.25">
      <c r="A2446" s="4" t="s">
        <v>53</v>
      </c>
      <c r="B2446" s="4" t="s">
        <v>22</v>
      </c>
      <c r="C2446" s="5">
        <v>45335</v>
      </c>
      <c r="D2446" s="4">
        <v>20.100000000000001</v>
      </c>
      <c r="E2446" s="4">
        <v>6.52</v>
      </c>
    </row>
    <row r="2447" spans="1:5" x14ac:dyDescent="0.25">
      <c r="A2447" s="4" t="s">
        <v>53</v>
      </c>
      <c r="B2447" s="4" t="s">
        <v>22</v>
      </c>
      <c r="C2447" s="5">
        <v>45335</v>
      </c>
      <c r="D2447" s="4">
        <v>20.100000000000001</v>
      </c>
      <c r="E2447" s="4">
        <v>6.51</v>
      </c>
    </row>
    <row r="2448" spans="1:5" x14ac:dyDescent="0.25">
      <c r="A2448" s="4" t="s">
        <v>53</v>
      </c>
      <c r="B2448" s="4" t="s">
        <v>22</v>
      </c>
      <c r="C2448" s="5">
        <v>45335</v>
      </c>
      <c r="D2448" s="4">
        <v>30.6</v>
      </c>
      <c r="E2448" s="4">
        <v>9.92</v>
      </c>
    </row>
    <row r="2449" spans="1:5" x14ac:dyDescent="0.25">
      <c r="A2449" s="4" t="s">
        <v>53</v>
      </c>
      <c r="B2449" s="4" t="s">
        <v>22</v>
      </c>
      <c r="C2449" s="5">
        <v>45336</v>
      </c>
      <c r="D2449" s="4">
        <v>25.1</v>
      </c>
      <c r="E2449" s="4">
        <v>8.1300000000000008</v>
      </c>
    </row>
    <row r="2450" spans="1:5" x14ac:dyDescent="0.25">
      <c r="A2450" s="4" t="s">
        <v>53</v>
      </c>
      <c r="B2450" s="4" t="s">
        <v>22</v>
      </c>
      <c r="C2450" s="5">
        <v>45336</v>
      </c>
      <c r="D2450" s="4">
        <v>0.6</v>
      </c>
      <c r="E2450" s="4">
        <v>0.18</v>
      </c>
    </row>
    <row r="2451" spans="1:5" x14ac:dyDescent="0.25">
      <c r="A2451" s="4" t="s">
        <v>53</v>
      </c>
      <c r="B2451" s="4" t="s">
        <v>22</v>
      </c>
      <c r="C2451" s="5">
        <v>45336</v>
      </c>
      <c r="D2451" s="4">
        <v>20.100000000000001</v>
      </c>
      <c r="E2451" s="4">
        <v>6.51</v>
      </c>
    </row>
    <row r="2452" spans="1:5" x14ac:dyDescent="0.25">
      <c r="A2452" s="4" t="s">
        <v>53</v>
      </c>
      <c r="B2452" s="4" t="s">
        <v>22</v>
      </c>
      <c r="C2452" s="5">
        <v>45336</v>
      </c>
      <c r="D2452" s="4">
        <v>30.6</v>
      </c>
      <c r="E2452" s="4">
        <v>9.92</v>
      </c>
    </row>
    <row r="2453" spans="1:5" x14ac:dyDescent="0.25">
      <c r="A2453" s="4" t="s">
        <v>53</v>
      </c>
      <c r="B2453" s="4" t="s">
        <v>22</v>
      </c>
      <c r="C2453" s="5">
        <v>45337</v>
      </c>
      <c r="D2453" s="4">
        <v>25.1</v>
      </c>
      <c r="E2453" s="4">
        <v>8.1300000000000008</v>
      </c>
    </row>
    <row r="2454" spans="1:5" x14ac:dyDescent="0.25">
      <c r="A2454" s="4" t="s">
        <v>53</v>
      </c>
      <c r="B2454" s="4" t="s">
        <v>22</v>
      </c>
      <c r="C2454" s="5">
        <v>45337</v>
      </c>
      <c r="D2454" s="4">
        <v>0.6</v>
      </c>
      <c r="E2454" s="4">
        <v>0.18</v>
      </c>
    </row>
    <row r="2455" spans="1:5" x14ac:dyDescent="0.25">
      <c r="A2455" s="4" t="s">
        <v>53</v>
      </c>
      <c r="B2455" s="4" t="s">
        <v>22</v>
      </c>
      <c r="C2455" s="5">
        <v>45337</v>
      </c>
      <c r="D2455" s="4">
        <v>20.100000000000001</v>
      </c>
      <c r="E2455" s="4">
        <v>6.51</v>
      </c>
    </row>
    <row r="2456" spans="1:5" x14ac:dyDescent="0.25">
      <c r="A2456" s="4" t="s">
        <v>53</v>
      </c>
      <c r="B2456" s="4" t="s">
        <v>22</v>
      </c>
      <c r="C2456" s="5">
        <v>45337</v>
      </c>
      <c r="D2456" s="4">
        <v>30.6</v>
      </c>
      <c r="E2456" s="4">
        <v>9.92</v>
      </c>
    </row>
    <row r="2457" spans="1:5" x14ac:dyDescent="0.25">
      <c r="A2457" s="4" t="s">
        <v>53</v>
      </c>
      <c r="B2457" s="4" t="s">
        <v>23</v>
      </c>
      <c r="C2457" s="5">
        <v>45307</v>
      </c>
      <c r="D2457" s="4">
        <v>27.9</v>
      </c>
      <c r="E2457" s="4">
        <v>9.0299999999999994</v>
      </c>
    </row>
    <row r="2458" spans="1:5" x14ac:dyDescent="0.25">
      <c r="A2458" s="4" t="s">
        <v>53</v>
      </c>
      <c r="B2458" s="4" t="s">
        <v>23</v>
      </c>
      <c r="C2458" s="5">
        <v>45307</v>
      </c>
      <c r="D2458" s="4">
        <v>15</v>
      </c>
      <c r="E2458" s="4">
        <v>4.8099999999999996</v>
      </c>
    </row>
    <row r="2459" spans="1:5" x14ac:dyDescent="0.25">
      <c r="A2459" s="4" t="s">
        <v>53</v>
      </c>
      <c r="B2459" s="4" t="s">
        <v>23</v>
      </c>
      <c r="C2459" s="5">
        <v>45307</v>
      </c>
      <c r="D2459" s="4">
        <v>2.4</v>
      </c>
      <c r="E2459" s="4">
        <v>0.78</v>
      </c>
    </row>
    <row r="2460" spans="1:5" x14ac:dyDescent="0.25">
      <c r="A2460" s="4" t="s">
        <v>53</v>
      </c>
      <c r="B2460" s="4" t="s">
        <v>23</v>
      </c>
      <c r="C2460" s="5">
        <v>45307</v>
      </c>
      <c r="D2460" s="4">
        <v>20.100000000000001</v>
      </c>
      <c r="E2460" s="4">
        <v>6.52</v>
      </c>
    </row>
    <row r="2461" spans="1:5" x14ac:dyDescent="0.25">
      <c r="A2461" s="4" t="s">
        <v>53</v>
      </c>
      <c r="B2461" s="4" t="s">
        <v>23</v>
      </c>
      <c r="C2461" s="5">
        <v>45307</v>
      </c>
      <c r="D2461" s="4">
        <v>14.7</v>
      </c>
      <c r="E2461" s="4">
        <v>4.72</v>
      </c>
    </row>
    <row r="2462" spans="1:5" x14ac:dyDescent="0.25">
      <c r="A2462" s="4" t="s">
        <v>53</v>
      </c>
      <c r="B2462" s="4" t="s">
        <v>23</v>
      </c>
      <c r="C2462" s="5">
        <v>45307</v>
      </c>
      <c r="D2462" s="4">
        <v>2.4</v>
      </c>
      <c r="E2462" s="4">
        <v>0.78</v>
      </c>
    </row>
    <row r="2463" spans="1:5" x14ac:dyDescent="0.25">
      <c r="A2463" s="4" t="s">
        <v>53</v>
      </c>
      <c r="B2463" s="4" t="s">
        <v>23</v>
      </c>
      <c r="C2463" s="5">
        <v>45307</v>
      </c>
      <c r="D2463" s="4">
        <v>30.6</v>
      </c>
      <c r="E2463" s="4">
        <v>9.92</v>
      </c>
    </row>
    <row r="2464" spans="1:5" x14ac:dyDescent="0.25">
      <c r="A2464" s="4" t="s">
        <v>53</v>
      </c>
      <c r="B2464" s="4" t="s">
        <v>23</v>
      </c>
      <c r="C2464" s="5">
        <v>45308</v>
      </c>
      <c r="D2464" s="4">
        <v>30.6</v>
      </c>
      <c r="E2464" s="4">
        <v>9.92</v>
      </c>
    </row>
    <row r="2465" spans="1:5" x14ac:dyDescent="0.25">
      <c r="A2465" s="4" t="s">
        <v>53</v>
      </c>
      <c r="B2465" s="4" t="s">
        <v>23</v>
      </c>
      <c r="C2465" s="5">
        <v>45308</v>
      </c>
      <c r="D2465" s="4">
        <v>28.8</v>
      </c>
      <c r="E2465" s="4">
        <v>9.34</v>
      </c>
    </row>
    <row r="2466" spans="1:5" x14ac:dyDescent="0.25">
      <c r="A2466" s="4" t="s">
        <v>53</v>
      </c>
      <c r="B2466" s="4" t="s">
        <v>23</v>
      </c>
      <c r="C2466" s="5">
        <v>45308</v>
      </c>
      <c r="D2466" s="4">
        <v>28.8</v>
      </c>
      <c r="E2466" s="4">
        <v>9.34</v>
      </c>
    </row>
    <row r="2467" spans="1:5" x14ac:dyDescent="0.25">
      <c r="A2467" s="4" t="s">
        <v>53</v>
      </c>
      <c r="B2467" s="4" t="s">
        <v>23</v>
      </c>
      <c r="C2467" s="5">
        <v>45308</v>
      </c>
      <c r="D2467" s="4">
        <v>30.6</v>
      </c>
      <c r="E2467" s="4">
        <v>9.92</v>
      </c>
    </row>
    <row r="2468" spans="1:5" x14ac:dyDescent="0.25">
      <c r="A2468" s="4" t="s">
        <v>53</v>
      </c>
      <c r="B2468" s="4" t="s">
        <v>23</v>
      </c>
      <c r="C2468" s="5">
        <v>45309</v>
      </c>
      <c r="D2468" s="4">
        <v>27.9</v>
      </c>
      <c r="E2468" s="4">
        <v>9.0299999999999994</v>
      </c>
    </row>
    <row r="2469" spans="1:5" x14ac:dyDescent="0.25">
      <c r="A2469" s="4" t="s">
        <v>53</v>
      </c>
      <c r="B2469" s="4" t="s">
        <v>23</v>
      </c>
      <c r="C2469" s="5">
        <v>45309</v>
      </c>
      <c r="D2469" s="4">
        <v>20.100000000000001</v>
      </c>
      <c r="E2469" s="4">
        <v>6.51</v>
      </c>
    </row>
    <row r="2470" spans="1:5" x14ac:dyDescent="0.25">
      <c r="A2470" s="4" t="s">
        <v>53</v>
      </c>
      <c r="B2470" s="4" t="s">
        <v>23</v>
      </c>
      <c r="C2470" s="5">
        <v>45309</v>
      </c>
      <c r="D2470" s="4">
        <v>2.4</v>
      </c>
      <c r="E2470" s="4">
        <v>0.78</v>
      </c>
    </row>
    <row r="2471" spans="1:5" x14ac:dyDescent="0.25">
      <c r="A2471" s="4" t="s">
        <v>53</v>
      </c>
      <c r="B2471" s="4" t="s">
        <v>23</v>
      </c>
      <c r="C2471" s="5">
        <v>45309</v>
      </c>
      <c r="D2471" s="4">
        <v>14.4</v>
      </c>
      <c r="E2471" s="4">
        <v>4.6500000000000004</v>
      </c>
    </row>
    <row r="2472" spans="1:5" x14ac:dyDescent="0.25">
      <c r="A2472" s="4" t="s">
        <v>53</v>
      </c>
      <c r="B2472" s="4" t="s">
        <v>23</v>
      </c>
      <c r="C2472" s="5">
        <v>45309</v>
      </c>
      <c r="D2472" s="4">
        <v>20.100000000000001</v>
      </c>
      <c r="E2472" s="4">
        <v>6.51</v>
      </c>
    </row>
    <row r="2473" spans="1:5" x14ac:dyDescent="0.25">
      <c r="A2473" s="4" t="s">
        <v>53</v>
      </c>
      <c r="B2473" s="4" t="s">
        <v>23</v>
      </c>
      <c r="C2473" s="5">
        <v>45309</v>
      </c>
      <c r="D2473" s="4">
        <v>14.5</v>
      </c>
      <c r="E2473" s="4">
        <v>4.68</v>
      </c>
    </row>
    <row r="2474" spans="1:5" x14ac:dyDescent="0.25">
      <c r="A2474" s="4" t="s">
        <v>53</v>
      </c>
      <c r="B2474" s="4" t="s">
        <v>23</v>
      </c>
      <c r="C2474" s="5">
        <v>45313</v>
      </c>
      <c r="D2474" s="4">
        <v>30.6</v>
      </c>
      <c r="E2474" s="4">
        <v>9.92</v>
      </c>
    </row>
    <row r="2475" spans="1:5" x14ac:dyDescent="0.25">
      <c r="A2475" s="4" t="s">
        <v>53</v>
      </c>
      <c r="B2475" s="4" t="s">
        <v>23</v>
      </c>
      <c r="C2475" s="5">
        <v>45313</v>
      </c>
      <c r="D2475" s="4">
        <v>20.100000000000001</v>
      </c>
      <c r="E2475" s="4">
        <v>6.52</v>
      </c>
    </row>
    <row r="2476" spans="1:5" x14ac:dyDescent="0.25">
      <c r="A2476" s="4" t="s">
        <v>53</v>
      </c>
      <c r="B2476" s="4" t="s">
        <v>23</v>
      </c>
      <c r="C2476" s="5">
        <v>45313</v>
      </c>
      <c r="D2476" s="4">
        <v>20.100000000000001</v>
      </c>
      <c r="E2476" s="4">
        <v>6.51</v>
      </c>
    </row>
    <row r="2477" spans="1:5" x14ac:dyDescent="0.25">
      <c r="A2477" s="4" t="s">
        <v>53</v>
      </c>
      <c r="B2477" s="4" t="s">
        <v>23</v>
      </c>
      <c r="C2477" s="5">
        <v>45313</v>
      </c>
      <c r="D2477" s="4">
        <v>30.6</v>
      </c>
      <c r="E2477" s="4">
        <v>9.92</v>
      </c>
    </row>
    <row r="2478" spans="1:5" x14ac:dyDescent="0.25">
      <c r="A2478" s="4" t="s">
        <v>53</v>
      </c>
      <c r="B2478" s="4" t="s">
        <v>23</v>
      </c>
      <c r="C2478" s="5">
        <v>45314</v>
      </c>
      <c r="D2478" s="4">
        <v>27.9</v>
      </c>
      <c r="E2478" s="4">
        <v>9.0299999999999994</v>
      </c>
    </row>
    <row r="2479" spans="1:5" x14ac:dyDescent="0.25">
      <c r="A2479" s="4" t="s">
        <v>53</v>
      </c>
      <c r="B2479" s="4" t="s">
        <v>23</v>
      </c>
      <c r="C2479" s="5">
        <v>45314</v>
      </c>
      <c r="D2479" s="4">
        <v>20.100000000000001</v>
      </c>
      <c r="E2479" s="4">
        <v>6.51</v>
      </c>
    </row>
    <row r="2480" spans="1:5" x14ac:dyDescent="0.25">
      <c r="A2480" s="4" t="s">
        <v>53</v>
      </c>
      <c r="B2480" s="4" t="s">
        <v>23</v>
      </c>
      <c r="C2480" s="5">
        <v>45314</v>
      </c>
      <c r="D2480" s="4">
        <v>20.100000000000001</v>
      </c>
      <c r="E2480" s="4">
        <v>6.52</v>
      </c>
    </row>
    <row r="2481" spans="1:5" x14ac:dyDescent="0.25">
      <c r="A2481" s="4" t="s">
        <v>53</v>
      </c>
      <c r="B2481" s="4" t="s">
        <v>23</v>
      </c>
      <c r="C2481" s="5">
        <v>45314</v>
      </c>
      <c r="D2481" s="4">
        <v>20.100000000000001</v>
      </c>
      <c r="E2481" s="4">
        <v>6.51</v>
      </c>
    </row>
    <row r="2482" spans="1:5" x14ac:dyDescent="0.25">
      <c r="A2482" s="4" t="s">
        <v>53</v>
      </c>
      <c r="B2482" s="4" t="s">
        <v>23</v>
      </c>
      <c r="C2482" s="5">
        <v>45314</v>
      </c>
      <c r="D2482" s="4">
        <v>30.6</v>
      </c>
      <c r="E2482" s="4">
        <v>9.92</v>
      </c>
    </row>
    <row r="2483" spans="1:5" x14ac:dyDescent="0.25">
      <c r="A2483" s="4" t="s">
        <v>53</v>
      </c>
      <c r="B2483" s="4" t="s">
        <v>23</v>
      </c>
      <c r="C2483" s="5">
        <v>45315</v>
      </c>
      <c r="D2483" s="4">
        <v>25.1</v>
      </c>
      <c r="E2483" s="4">
        <v>8.1300000000000008</v>
      </c>
    </row>
    <row r="2484" spans="1:5" x14ac:dyDescent="0.25">
      <c r="A2484" s="4" t="s">
        <v>53</v>
      </c>
      <c r="B2484" s="4" t="s">
        <v>23</v>
      </c>
      <c r="C2484" s="5">
        <v>45315</v>
      </c>
      <c r="D2484" s="4">
        <v>0.6</v>
      </c>
      <c r="E2484" s="4">
        <v>0.18</v>
      </c>
    </row>
    <row r="2485" spans="1:5" x14ac:dyDescent="0.25">
      <c r="A2485" s="4" t="s">
        <v>53</v>
      </c>
      <c r="B2485" s="4" t="s">
        <v>23</v>
      </c>
      <c r="C2485" s="5">
        <v>45315</v>
      </c>
      <c r="D2485" s="4">
        <v>3.3</v>
      </c>
      <c r="E2485" s="4">
        <v>1.06</v>
      </c>
    </row>
    <row r="2486" spans="1:5" x14ac:dyDescent="0.25">
      <c r="A2486" s="4" t="s">
        <v>53</v>
      </c>
      <c r="B2486" s="4" t="s">
        <v>23</v>
      </c>
      <c r="C2486" s="5">
        <v>45315</v>
      </c>
      <c r="D2486" s="4">
        <v>12.4</v>
      </c>
      <c r="E2486" s="4">
        <v>4</v>
      </c>
    </row>
    <row r="2487" spans="1:5" x14ac:dyDescent="0.25">
      <c r="A2487" s="4" t="s">
        <v>53</v>
      </c>
      <c r="B2487" s="4" t="s">
        <v>23</v>
      </c>
      <c r="C2487" s="5">
        <v>45315</v>
      </c>
      <c r="D2487" s="4">
        <v>20.100000000000001</v>
      </c>
      <c r="E2487" s="4">
        <v>6.52</v>
      </c>
    </row>
    <row r="2488" spans="1:5" x14ac:dyDescent="0.25">
      <c r="A2488" s="4" t="s">
        <v>53</v>
      </c>
      <c r="B2488" s="4" t="s">
        <v>23</v>
      </c>
      <c r="C2488" s="5">
        <v>45315</v>
      </c>
      <c r="D2488" s="4">
        <v>15</v>
      </c>
      <c r="E2488" s="4">
        <v>4.8099999999999996</v>
      </c>
    </row>
    <row r="2489" spans="1:5" x14ac:dyDescent="0.25">
      <c r="A2489" s="4" t="s">
        <v>53</v>
      </c>
      <c r="B2489" s="4" t="s">
        <v>23</v>
      </c>
      <c r="C2489" s="5">
        <v>45315</v>
      </c>
      <c r="D2489" s="4">
        <v>2.4</v>
      </c>
      <c r="E2489" s="4">
        <v>0.78</v>
      </c>
    </row>
    <row r="2490" spans="1:5" x14ac:dyDescent="0.25">
      <c r="A2490" s="4" t="s">
        <v>53</v>
      </c>
      <c r="B2490" s="4" t="s">
        <v>23</v>
      </c>
      <c r="C2490" s="5">
        <v>45315</v>
      </c>
      <c r="D2490" s="4">
        <v>20.100000000000001</v>
      </c>
      <c r="E2490" s="4">
        <v>6.52</v>
      </c>
    </row>
    <row r="2491" spans="1:5" x14ac:dyDescent="0.25">
      <c r="A2491" s="4" t="s">
        <v>53</v>
      </c>
      <c r="B2491" s="4" t="s">
        <v>23</v>
      </c>
      <c r="C2491" s="5">
        <v>45315</v>
      </c>
      <c r="D2491" s="4">
        <v>20.100000000000001</v>
      </c>
      <c r="E2491" s="4">
        <v>6.51</v>
      </c>
    </row>
    <row r="2492" spans="1:5" x14ac:dyDescent="0.25">
      <c r="A2492" s="4" t="s">
        <v>53</v>
      </c>
      <c r="B2492" s="4" t="s">
        <v>23</v>
      </c>
      <c r="C2492" s="5">
        <v>45315</v>
      </c>
      <c r="D2492" s="4">
        <v>30.6</v>
      </c>
      <c r="E2492" s="4">
        <v>9.92</v>
      </c>
    </row>
    <row r="2493" spans="1:5" x14ac:dyDescent="0.25">
      <c r="A2493" s="4" t="s">
        <v>53</v>
      </c>
      <c r="B2493" s="4" t="s">
        <v>23</v>
      </c>
      <c r="C2493" s="5">
        <v>45316</v>
      </c>
      <c r="D2493" s="4">
        <v>25.1</v>
      </c>
      <c r="E2493" s="4">
        <v>8.1300000000000008</v>
      </c>
    </row>
    <row r="2494" spans="1:5" x14ac:dyDescent="0.25">
      <c r="A2494" s="4" t="s">
        <v>53</v>
      </c>
      <c r="B2494" s="4" t="s">
        <v>23</v>
      </c>
      <c r="C2494" s="5">
        <v>45316</v>
      </c>
      <c r="D2494" s="4">
        <v>0.6</v>
      </c>
      <c r="E2494" s="4">
        <v>0.18</v>
      </c>
    </row>
    <row r="2495" spans="1:5" x14ac:dyDescent="0.25">
      <c r="A2495" s="4" t="s">
        <v>53</v>
      </c>
      <c r="B2495" s="4" t="s">
        <v>23</v>
      </c>
      <c r="C2495" s="5">
        <v>45316</v>
      </c>
      <c r="D2495" s="4">
        <v>15</v>
      </c>
      <c r="E2495" s="4">
        <v>4.8099999999999996</v>
      </c>
    </row>
    <row r="2496" spans="1:5" x14ac:dyDescent="0.25">
      <c r="A2496" s="4" t="s">
        <v>53</v>
      </c>
      <c r="B2496" s="4" t="s">
        <v>23</v>
      </c>
      <c r="C2496" s="5">
        <v>45316</v>
      </c>
      <c r="D2496" s="4">
        <v>2.4</v>
      </c>
      <c r="E2496" s="4">
        <v>0.78</v>
      </c>
    </row>
    <row r="2497" spans="1:5" x14ac:dyDescent="0.25">
      <c r="A2497" s="4" t="s">
        <v>53</v>
      </c>
      <c r="B2497" s="4" t="s">
        <v>23</v>
      </c>
      <c r="C2497" s="5">
        <v>45316</v>
      </c>
      <c r="D2497" s="4">
        <v>20.100000000000001</v>
      </c>
      <c r="E2497" s="4">
        <v>6.52</v>
      </c>
    </row>
    <row r="2498" spans="1:5" x14ac:dyDescent="0.25">
      <c r="A2498" s="4" t="s">
        <v>53</v>
      </c>
      <c r="B2498" s="4" t="s">
        <v>23</v>
      </c>
      <c r="C2498" s="5">
        <v>45316</v>
      </c>
      <c r="D2498" s="4">
        <v>20.100000000000001</v>
      </c>
      <c r="E2498" s="4">
        <v>6.51</v>
      </c>
    </row>
    <row r="2499" spans="1:5" x14ac:dyDescent="0.25">
      <c r="A2499" s="4" t="s">
        <v>53</v>
      </c>
      <c r="B2499" s="4" t="s">
        <v>23</v>
      </c>
      <c r="C2499" s="5">
        <v>45316</v>
      </c>
      <c r="D2499" s="4">
        <v>20.100000000000001</v>
      </c>
      <c r="E2499" s="4">
        <v>6.52</v>
      </c>
    </row>
    <row r="2500" spans="1:5" x14ac:dyDescent="0.25">
      <c r="A2500" s="4" t="s">
        <v>53</v>
      </c>
      <c r="B2500" s="4" t="s">
        <v>23</v>
      </c>
      <c r="C2500" s="5">
        <v>45316</v>
      </c>
      <c r="D2500" s="4">
        <v>20.100000000000001</v>
      </c>
      <c r="E2500" s="4">
        <v>6.51</v>
      </c>
    </row>
    <row r="2501" spans="1:5" x14ac:dyDescent="0.25">
      <c r="A2501" s="4" t="s">
        <v>53</v>
      </c>
      <c r="B2501" s="4" t="s">
        <v>23</v>
      </c>
      <c r="C2501" s="5">
        <v>45316</v>
      </c>
      <c r="D2501" s="4">
        <v>20.100000000000001</v>
      </c>
      <c r="E2501" s="4">
        <v>6.52</v>
      </c>
    </row>
    <row r="2502" spans="1:5" x14ac:dyDescent="0.25">
      <c r="A2502" s="4" t="s">
        <v>53</v>
      </c>
      <c r="B2502" s="4" t="s">
        <v>23</v>
      </c>
      <c r="C2502" s="5">
        <v>45316</v>
      </c>
      <c r="D2502" s="4">
        <v>20.100000000000001</v>
      </c>
      <c r="E2502" s="4">
        <v>6.51</v>
      </c>
    </row>
    <row r="2503" spans="1:5" x14ac:dyDescent="0.25">
      <c r="A2503" s="4" t="s">
        <v>53</v>
      </c>
      <c r="B2503" s="4" t="s">
        <v>23</v>
      </c>
      <c r="C2503" s="5">
        <v>45316</v>
      </c>
      <c r="D2503" s="4">
        <v>30.6</v>
      </c>
      <c r="E2503" s="4">
        <v>9.92</v>
      </c>
    </row>
    <row r="2504" spans="1:5" x14ac:dyDescent="0.25">
      <c r="A2504" s="4" t="s">
        <v>53</v>
      </c>
      <c r="B2504" s="4" t="s">
        <v>23</v>
      </c>
      <c r="C2504" s="5">
        <v>45317</v>
      </c>
      <c r="D2504" s="4">
        <v>25.1</v>
      </c>
      <c r="E2504" s="4">
        <v>8.1300000000000008</v>
      </c>
    </row>
    <row r="2505" spans="1:5" x14ac:dyDescent="0.25">
      <c r="A2505" s="4" t="s">
        <v>53</v>
      </c>
      <c r="B2505" s="4" t="s">
        <v>23</v>
      </c>
      <c r="C2505" s="5">
        <v>45317</v>
      </c>
      <c r="D2505" s="4">
        <v>0.6</v>
      </c>
      <c r="E2505" s="4">
        <v>0.18</v>
      </c>
    </row>
    <row r="2506" spans="1:5" x14ac:dyDescent="0.25">
      <c r="A2506" s="4" t="s">
        <v>53</v>
      </c>
      <c r="B2506" s="4" t="s">
        <v>23</v>
      </c>
      <c r="C2506" s="5">
        <v>45317</v>
      </c>
      <c r="D2506" s="4">
        <v>20.100000000000001</v>
      </c>
      <c r="E2506" s="4">
        <v>6.51</v>
      </c>
    </row>
    <row r="2507" spans="1:5" x14ac:dyDescent="0.25">
      <c r="A2507" s="4" t="s">
        <v>53</v>
      </c>
      <c r="B2507" s="4" t="s">
        <v>23</v>
      </c>
      <c r="C2507" s="5">
        <v>45317</v>
      </c>
      <c r="D2507" s="4">
        <v>20.100000000000001</v>
      </c>
      <c r="E2507" s="4">
        <v>6.52</v>
      </c>
    </row>
    <row r="2508" spans="1:5" x14ac:dyDescent="0.25">
      <c r="A2508" s="4" t="s">
        <v>53</v>
      </c>
      <c r="B2508" s="4" t="s">
        <v>23</v>
      </c>
      <c r="C2508" s="5">
        <v>45317</v>
      </c>
      <c r="D2508" s="4">
        <v>20.100000000000001</v>
      </c>
      <c r="E2508" s="4">
        <v>6.51</v>
      </c>
    </row>
    <row r="2509" spans="1:5" x14ac:dyDescent="0.25">
      <c r="A2509" s="4" t="s">
        <v>53</v>
      </c>
      <c r="B2509" s="4" t="s">
        <v>23</v>
      </c>
      <c r="C2509" s="5">
        <v>45317</v>
      </c>
      <c r="D2509" s="4">
        <v>19.600000000000001</v>
      </c>
      <c r="E2509" s="4">
        <v>6.35</v>
      </c>
    </row>
    <row r="2510" spans="1:5" x14ac:dyDescent="0.25">
      <c r="A2510" s="4" t="s">
        <v>53</v>
      </c>
      <c r="B2510" s="4" t="s">
        <v>23</v>
      </c>
      <c r="C2510" s="5">
        <v>45317</v>
      </c>
      <c r="D2510" s="4">
        <v>19.600000000000001</v>
      </c>
      <c r="E2510" s="4">
        <v>6.35</v>
      </c>
    </row>
    <row r="2511" spans="1:5" x14ac:dyDescent="0.25">
      <c r="A2511" s="4" t="s">
        <v>53</v>
      </c>
      <c r="B2511" s="4" t="s">
        <v>23</v>
      </c>
      <c r="C2511" s="5">
        <v>45317</v>
      </c>
      <c r="D2511" s="4">
        <v>30.6</v>
      </c>
      <c r="E2511" s="4">
        <v>9.92</v>
      </c>
    </row>
    <row r="2512" spans="1:5" x14ac:dyDescent="0.25">
      <c r="A2512" s="4" t="s">
        <v>53</v>
      </c>
      <c r="B2512" s="4" t="s">
        <v>23</v>
      </c>
      <c r="C2512" s="5">
        <v>45320</v>
      </c>
      <c r="D2512" s="4">
        <v>9.6999999999999993</v>
      </c>
      <c r="E2512" s="4">
        <v>3.15</v>
      </c>
    </row>
    <row r="2513" spans="1:5" x14ac:dyDescent="0.25">
      <c r="A2513" s="4" t="s">
        <v>53</v>
      </c>
      <c r="B2513" s="4" t="s">
        <v>23</v>
      </c>
      <c r="C2513" s="5">
        <v>45320</v>
      </c>
      <c r="D2513" s="4">
        <v>9.6999999999999993</v>
      </c>
      <c r="E2513" s="4">
        <v>3.15</v>
      </c>
    </row>
    <row r="2514" spans="1:5" x14ac:dyDescent="0.25">
      <c r="A2514" s="4" t="s">
        <v>53</v>
      </c>
      <c r="B2514" s="4" t="s">
        <v>23</v>
      </c>
      <c r="C2514" s="5">
        <v>45320</v>
      </c>
      <c r="D2514" s="4">
        <v>9.6999999999999993</v>
      </c>
      <c r="E2514" s="4">
        <v>3.15</v>
      </c>
    </row>
    <row r="2515" spans="1:5" x14ac:dyDescent="0.25">
      <c r="A2515" s="4" t="s">
        <v>53</v>
      </c>
      <c r="B2515" s="4" t="s">
        <v>23</v>
      </c>
      <c r="C2515" s="5">
        <v>45320</v>
      </c>
      <c r="D2515" s="4">
        <v>9.6999999999999993</v>
      </c>
      <c r="E2515" s="4">
        <v>3.15</v>
      </c>
    </row>
    <row r="2516" spans="1:5" x14ac:dyDescent="0.25">
      <c r="A2516" s="4" t="s">
        <v>53</v>
      </c>
      <c r="B2516" s="4" t="s">
        <v>23</v>
      </c>
      <c r="C2516" s="5">
        <v>45320</v>
      </c>
      <c r="D2516" s="4">
        <v>9.6999999999999993</v>
      </c>
      <c r="E2516" s="4">
        <v>3.15</v>
      </c>
    </row>
    <row r="2517" spans="1:5" x14ac:dyDescent="0.25">
      <c r="A2517" s="4" t="s">
        <v>53</v>
      </c>
      <c r="B2517" s="4" t="s">
        <v>23</v>
      </c>
      <c r="C2517" s="5">
        <v>45320</v>
      </c>
      <c r="D2517" s="4">
        <v>9.6999999999999993</v>
      </c>
      <c r="E2517" s="4">
        <v>3.15</v>
      </c>
    </row>
    <row r="2518" spans="1:5" x14ac:dyDescent="0.25">
      <c r="A2518" s="4" t="s">
        <v>53</v>
      </c>
      <c r="B2518" s="4" t="s">
        <v>23</v>
      </c>
      <c r="C2518" s="5">
        <v>45320</v>
      </c>
      <c r="D2518" s="4">
        <v>9.6999999999999993</v>
      </c>
      <c r="E2518" s="4">
        <v>3.15</v>
      </c>
    </row>
    <row r="2519" spans="1:5" x14ac:dyDescent="0.25">
      <c r="A2519" s="4" t="s">
        <v>53</v>
      </c>
      <c r="B2519" s="4" t="s">
        <v>23</v>
      </c>
      <c r="C2519" s="5">
        <v>45320</v>
      </c>
      <c r="D2519" s="4">
        <v>9.6999999999999993</v>
      </c>
      <c r="E2519" s="4">
        <v>3.15</v>
      </c>
    </row>
    <row r="2520" spans="1:5" x14ac:dyDescent="0.25">
      <c r="A2520" s="4" t="s">
        <v>53</v>
      </c>
      <c r="B2520" s="4" t="s">
        <v>23</v>
      </c>
      <c r="C2520" s="5">
        <v>45321</v>
      </c>
      <c r="D2520" s="4">
        <v>30.6</v>
      </c>
      <c r="E2520" s="4">
        <v>9.92</v>
      </c>
    </row>
    <row r="2521" spans="1:5" x14ac:dyDescent="0.25">
      <c r="A2521" s="4" t="s">
        <v>53</v>
      </c>
      <c r="B2521" s="4" t="s">
        <v>23</v>
      </c>
      <c r="C2521" s="5">
        <v>45321</v>
      </c>
      <c r="D2521" s="4">
        <v>19.600000000000001</v>
      </c>
      <c r="E2521" s="4">
        <v>6.35</v>
      </c>
    </row>
    <row r="2522" spans="1:5" x14ac:dyDescent="0.25">
      <c r="A2522" s="4" t="s">
        <v>53</v>
      </c>
      <c r="B2522" s="4" t="s">
        <v>23</v>
      </c>
      <c r="C2522" s="5">
        <v>45321</v>
      </c>
      <c r="D2522" s="4">
        <v>19.600000000000001</v>
      </c>
      <c r="E2522" s="4">
        <v>6.35</v>
      </c>
    </row>
    <row r="2523" spans="1:5" x14ac:dyDescent="0.25">
      <c r="A2523" s="4" t="s">
        <v>53</v>
      </c>
      <c r="B2523" s="4" t="s">
        <v>23</v>
      </c>
      <c r="C2523" s="5">
        <v>45321</v>
      </c>
      <c r="D2523" s="4">
        <v>20.100000000000001</v>
      </c>
      <c r="E2523" s="4">
        <v>6.52</v>
      </c>
    </row>
    <row r="2524" spans="1:5" x14ac:dyDescent="0.25">
      <c r="A2524" s="4" t="s">
        <v>53</v>
      </c>
      <c r="B2524" s="4" t="s">
        <v>23</v>
      </c>
      <c r="C2524" s="5">
        <v>45321</v>
      </c>
      <c r="D2524" s="4">
        <v>20.100000000000001</v>
      </c>
      <c r="E2524" s="4">
        <v>6.51</v>
      </c>
    </row>
    <row r="2525" spans="1:5" x14ac:dyDescent="0.25">
      <c r="A2525" s="4" t="s">
        <v>53</v>
      </c>
      <c r="B2525" s="4" t="s">
        <v>23</v>
      </c>
      <c r="C2525" s="5">
        <v>45321</v>
      </c>
      <c r="D2525" s="4">
        <v>20.100000000000001</v>
      </c>
      <c r="E2525" s="4">
        <v>6.52</v>
      </c>
    </row>
    <row r="2526" spans="1:5" x14ac:dyDescent="0.25">
      <c r="A2526" s="4" t="s">
        <v>53</v>
      </c>
      <c r="B2526" s="4" t="s">
        <v>23</v>
      </c>
      <c r="C2526" s="5">
        <v>45321</v>
      </c>
      <c r="D2526" s="4">
        <v>20.100000000000001</v>
      </c>
      <c r="E2526" s="4">
        <v>6.51</v>
      </c>
    </row>
    <row r="2527" spans="1:5" x14ac:dyDescent="0.25">
      <c r="A2527" s="4" t="s">
        <v>53</v>
      </c>
      <c r="B2527" s="4" t="s">
        <v>23</v>
      </c>
      <c r="C2527" s="5">
        <v>45321</v>
      </c>
      <c r="D2527" s="4">
        <v>30.6</v>
      </c>
      <c r="E2527" s="4">
        <v>9.92</v>
      </c>
    </row>
    <row r="2528" spans="1:5" x14ac:dyDescent="0.25">
      <c r="A2528" s="4" t="s">
        <v>53</v>
      </c>
      <c r="B2528" s="4" t="s">
        <v>23</v>
      </c>
      <c r="C2528" s="5">
        <v>45322</v>
      </c>
      <c r="D2528" s="4">
        <v>30.6</v>
      </c>
      <c r="E2528" s="4">
        <v>9.92</v>
      </c>
    </row>
    <row r="2529" spans="1:5" x14ac:dyDescent="0.25">
      <c r="A2529" s="4" t="s">
        <v>53</v>
      </c>
      <c r="B2529" s="4" t="s">
        <v>23</v>
      </c>
      <c r="C2529" s="5">
        <v>45322</v>
      </c>
      <c r="D2529" s="4">
        <v>28.8</v>
      </c>
      <c r="E2529" s="4">
        <v>9.34</v>
      </c>
    </row>
    <row r="2530" spans="1:5" x14ac:dyDescent="0.25">
      <c r="A2530" s="4" t="s">
        <v>53</v>
      </c>
      <c r="B2530" s="4" t="s">
        <v>23</v>
      </c>
      <c r="C2530" s="5">
        <v>45322</v>
      </c>
      <c r="D2530" s="4">
        <v>28.8</v>
      </c>
      <c r="E2530" s="4">
        <v>9.34</v>
      </c>
    </row>
    <row r="2531" spans="1:5" x14ac:dyDescent="0.25">
      <c r="A2531" s="4" t="s">
        <v>53</v>
      </c>
      <c r="B2531" s="4" t="s">
        <v>23</v>
      </c>
      <c r="C2531" s="5">
        <v>45322</v>
      </c>
      <c r="D2531" s="4">
        <v>20.100000000000001</v>
      </c>
      <c r="E2531" s="4">
        <v>6.52</v>
      </c>
    </row>
    <row r="2532" spans="1:5" x14ac:dyDescent="0.25">
      <c r="A2532" s="4" t="s">
        <v>53</v>
      </c>
      <c r="B2532" s="4" t="s">
        <v>23</v>
      </c>
      <c r="C2532" s="5">
        <v>45322</v>
      </c>
      <c r="D2532" s="4">
        <v>21.2</v>
      </c>
      <c r="E2532" s="4">
        <v>6.85</v>
      </c>
    </row>
    <row r="2533" spans="1:5" x14ac:dyDescent="0.25">
      <c r="A2533" s="4" t="s">
        <v>53</v>
      </c>
      <c r="B2533" s="4" t="s">
        <v>23</v>
      </c>
      <c r="C2533" s="5">
        <v>45322</v>
      </c>
      <c r="D2533" s="4">
        <v>30.6</v>
      </c>
      <c r="E2533" s="4">
        <v>9.92</v>
      </c>
    </row>
    <row r="2534" spans="1:5" x14ac:dyDescent="0.25">
      <c r="A2534" s="4" t="s">
        <v>53</v>
      </c>
      <c r="B2534" s="4" t="s">
        <v>23</v>
      </c>
      <c r="C2534" s="5">
        <v>45323</v>
      </c>
      <c r="D2534" s="4">
        <v>30.6</v>
      </c>
      <c r="E2534" s="4">
        <v>9.92</v>
      </c>
    </row>
    <row r="2535" spans="1:5" x14ac:dyDescent="0.25">
      <c r="A2535" s="4" t="s">
        <v>53</v>
      </c>
      <c r="B2535" s="4" t="s">
        <v>23</v>
      </c>
      <c r="C2535" s="5">
        <v>45323</v>
      </c>
      <c r="D2535" s="4">
        <v>19.600000000000001</v>
      </c>
      <c r="E2535" s="4">
        <v>6.35</v>
      </c>
    </row>
    <row r="2536" spans="1:5" x14ac:dyDescent="0.25">
      <c r="A2536" s="4" t="s">
        <v>53</v>
      </c>
      <c r="B2536" s="4" t="s">
        <v>23</v>
      </c>
      <c r="C2536" s="5">
        <v>45323</v>
      </c>
      <c r="D2536" s="4">
        <v>19.600000000000001</v>
      </c>
      <c r="E2536" s="4">
        <v>6.35</v>
      </c>
    </row>
    <row r="2537" spans="1:5" x14ac:dyDescent="0.25">
      <c r="A2537" s="4" t="s">
        <v>53</v>
      </c>
      <c r="B2537" s="4" t="s">
        <v>23</v>
      </c>
      <c r="C2537" s="5">
        <v>45323</v>
      </c>
      <c r="D2537" s="4">
        <v>19.600000000000001</v>
      </c>
      <c r="E2537" s="4">
        <v>6.35</v>
      </c>
    </row>
    <row r="2538" spans="1:5" x14ac:dyDescent="0.25">
      <c r="A2538" s="4" t="s">
        <v>53</v>
      </c>
      <c r="B2538" s="4" t="s">
        <v>23</v>
      </c>
      <c r="C2538" s="5">
        <v>45323</v>
      </c>
      <c r="D2538" s="4">
        <v>19.600000000000001</v>
      </c>
      <c r="E2538" s="4">
        <v>6.35</v>
      </c>
    </row>
    <row r="2539" spans="1:5" x14ac:dyDescent="0.25">
      <c r="A2539" s="4" t="s">
        <v>53</v>
      </c>
      <c r="B2539" s="4" t="s">
        <v>23</v>
      </c>
      <c r="C2539" s="5">
        <v>45323</v>
      </c>
      <c r="D2539" s="4">
        <v>19.600000000000001</v>
      </c>
      <c r="E2539" s="4">
        <v>6.35</v>
      </c>
    </row>
    <row r="2540" spans="1:5" x14ac:dyDescent="0.25">
      <c r="A2540" s="4" t="s">
        <v>53</v>
      </c>
      <c r="B2540" s="4" t="s">
        <v>23</v>
      </c>
      <c r="C2540" s="5">
        <v>45323</v>
      </c>
      <c r="D2540" s="4">
        <v>19.600000000000001</v>
      </c>
      <c r="E2540" s="4">
        <v>6.35</v>
      </c>
    </row>
    <row r="2541" spans="1:5" x14ac:dyDescent="0.25">
      <c r="A2541" s="4" t="s">
        <v>53</v>
      </c>
      <c r="B2541" s="4" t="s">
        <v>23</v>
      </c>
      <c r="C2541" s="5">
        <v>45323</v>
      </c>
      <c r="D2541" s="4">
        <v>19.600000000000001</v>
      </c>
      <c r="E2541" s="4">
        <v>6.35</v>
      </c>
    </row>
    <row r="2542" spans="1:5" x14ac:dyDescent="0.25">
      <c r="A2542" s="4" t="s">
        <v>53</v>
      </c>
      <c r="B2542" s="4" t="s">
        <v>23</v>
      </c>
      <c r="C2542" s="5">
        <v>45323</v>
      </c>
      <c r="D2542" s="4">
        <v>11</v>
      </c>
      <c r="E2542" s="4">
        <v>3.57</v>
      </c>
    </row>
    <row r="2543" spans="1:5" x14ac:dyDescent="0.25">
      <c r="A2543" s="4" t="s">
        <v>53</v>
      </c>
      <c r="B2543" s="4" t="s">
        <v>23</v>
      </c>
      <c r="C2543" s="5">
        <v>45324</v>
      </c>
      <c r="D2543" s="4">
        <v>25.1</v>
      </c>
      <c r="E2543" s="4">
        <v>8.1300000000000008</v>
      </c>
    </row>
    <row r="2544" spans="1:5" x14ac:dyDescent="0.25">
      <c r="A2544" s="4" t="s">
        <v>53</v>
      </c>
      <c r="B2544" s="4" t="s">
        <v>23</v>
      </c>
      <c r="C2544" s="5">
        <v>45324</v>
      </c>
      <c r="D2544" s="4">
        <v>0.6</v>
      </c>
      <c r="E2544" s="4">
        <v>0.18</v>
      </c>
    </row>
    <row r="2545" spans="1:5" x14ac:dyDescent="0.25">
      <c r="A2545" s="4" t="s">
        <v>53</v>
      </c>
      <c r="B2545" s="4" t="s">
        <v>23</v>
      </c>
      <c r="C2545" s="5">
        <v>45324</v>
      </c>
      <c r="D2545" s="4">
        <v>20.100000000000001</v>
      </c>
      <c r="E2545" s="4">
        <v>6.51</v>
      </c>
    </row>
    <row r="2546" spans="1:5" x14ac:dyDescent="0.25">
      <c r="A2546" s="4" t="s">
        <v>53</v>
      </c>
      <c r="B2546" s="4" t="s">
        <v>23</v>
      </c>
      <c r="C2546" s="5">
        <v>45324</v>
      </c>
      <c r="D2546" s="4">
        <v>28.8</v>
      </c>
      <c r="E2546" s="4">
        <v>9.34</v>
      </c>
    </row>
    <row r="2547" spans="1:5" x14ac:dyDescent="0.25">
      <c r="A2547" s="4" t="s">
        <v>53</v>
      </c>
      <c r="B2547" s="4" t="s">
        <v>23</v>
      </c>
      <c r="C2547" s="5">
        <v>45324</v>
      </c>
      <c r="D2547" s="4">
        <v>28.8</v>
      </c>
      <c r="E2547" s="4">
        <v>9.34</v>
      </c>
    </row>
    <row r="2548" spans="1:5" x14ac:dyDescent="0.25">
      <c r="A2548" s="4" t="s">
        <v>53</v>
      </c>
      <c r="B2548" s="4" t="s">
        <v>23</v>
      </c>
      <c r="C2548" s="5">
        <v>45324</v>
      </c>
      <c r="D2548" s="4">
        <v>28.8</v>
      </c>
      <c r="E2548" s="4">
        <v>9.34</v>
      </c>
    </row>
    <row r="2549" spans="1:5" x14ac:dyDescent="0.25">
      <c r="A2549" s="4" t="s">
        <v>53</v>
      </c>
      <c r="B2549" s="4" t="s">
        <v>23</v>
      </c>
      <c r="C2549" s="5">
        <v>45324</v>
      </c>
      <c r="D2549" s="4">
        <v>28.8</v>
      </c>
      <c r="E2549" s="4">
        <v>9.34</v>
      </c>
    </row>
    <row r="2550" spans="1:5" x14ac:dyDescent="0.25">
      <c r="A2550" s="4" t="s">
        <v>53</v>
      </c>
      <c r="B2550" s="4" t="s">
        <v>23</v>
      </c>
      <c r="C2550" s="5">
        <v>45324</v>
      </c>
      <c r="D2550" s="4">
        <v>30.6</v>
      </c>
      <c r="E2550" s="4">
        <v>9.92</v>
      </c>
    </row>
    <row r="2551" spans="1:5" x14ac:dyDescent="0.25">
      <c r="A2551" s="4" t="s">
        <v>53</v>
      </c>
      <c r="B2551" s="4" t="s">
        <v>23</v>
      </c>
      <c r="C2551" s="5">
        <v>45327</v>
      </c>
      <c r="D2551" s="4">
        <v>15.4</v>
      </c>
      <c r="E2551" s="4">
        <v>5</v>
      </c>
    </row>
    <row r="2552" spans="1:5" x14ac:dyDescent="0.25">
      <c r="A2552" s="4" t="s">
        <v>53</v>
      </c>
      <c r="B2552" s="4" t="s">
        <v>23</v>
      </c>
      <c r="C2552" s="5">
        <v>45327</v>
      </c>
      <c r="D2552" s="4">
        <v>19.600000000000001</v>
      </c>
      <c r="E2552" s="4">
        <v>6.35</v>
      </c>
    </row>
    <row r="2553" spans="1:5" x14ac:dyDescent="0.25">
      <c r="A2553" s="4" t="s">
        <v>53</v>
      </c>
      <c r="B2553" s="4" t="s">
        <v>23</v>
      </c>
      <c r="C2553" s="5">
        <v>45327</v>
      </c>
      <c r="D2553" s="4">
        <v>30.6</v>
      </c>
      <c r="E2553" s="4">
        <v>9.92</v>
      </c>
    </row>
    <row r="2554" spans="1:5" x14ac:dyDescent="0.25">
      <c r="A2554" s="4" t="s">
        <v>53</v>
      </c>
      <c r="B2554" s="4" t="s">
        <v>23</v>
      </c>
      <c r="C2554" s="5">
        <v>45328</v>
      </c>
      <c r="D2554" s="4">
        <v>15.4</v>
      </c>
      <c r="E2554" s="4">
        <v>5</v>
      </c>
    </row>
    <row r="2555" spans="1:5" x14ac:dyDescent="0.25">
      <c r="A2555" s="4" t="s">
        <v>53</v>
      </c>
      <c r="B2555" s="4" t="s">
        <v>23</v>
      </c>
      <c r="C2555" s="5">
        <v>45328</v>
      </c>
      <c r="D2555" s="4">
        <v>28.8</v>
      </c>
      <c r="E2555" s="4">
        <v>9.34</v>
      </c>
    </row>
    <row r="2556" spans="1:5" x14ac:dyDescent="0.25">
      <c r="A2556" s="4" t="s">
        <v>53</v>
      </c>
      <c r="B2556" s="4" t="s">
        <v>23</v>
      </c>
      <c r="C2556" s="5">
        <v>45328</v>
      </c>
      <c r="D2556" s="4">
        <v>28.8</v>
      </c>
      <c r="E2556" s="4">
        <v>9.34</v>
      </c>
    </row>
    <row r="2557" spans="1:5" x14ac:dyDescent="0.25">
      <c r="A2557" s="4" t="s">
        <v>53</v>
      </c>
      <c r="B2557" s="4" t="s">
        <v>23</v>
      </c>
      <c r="C2557" s="5">
        <v>45328</v>
      </c>
      <c r="D2557" s="4">
        <v>22.1</v>
      </c>
      <c r="E2557" s="4">
        <v>7.17</v>
      </c>
    </row>
    <row r="2558" spans="1:5" x14ac:dyDescent="0.25">
      <c r="A2558" s="4" t="s">
        <v>53</v>
      </c>
      <c r="B2558" s="4" t="s">
        <v>23</v>
      </c>
      <c r="C2558" s="5">
        <v>45328</v>
      </c>
      <c r="D2558" s="4">
        <v>28.8</v>
      </c>
      <c r="E2558" s="4">
        <v>9.34</v>
      </c>
    </row>
    <row r="2559" spans="1:5" x14ac:dyDescent="0.25">
      <c r="A2559" s="4" t="s">
        <v>53</v>
      </c>
      <c r="B2559" s="4" t="s">
        <v>23</v>
      </c>
      <c r="C2559" s="5">
        <v>45328</v>
      </c>
      <c r="D2559" s="4">
        <v>28.8</v>
      </c>
      <c r="E2559" s="4">
        <v>9.34</v>
      </c>
    </row>
    <row r="2560" spans="1:5" x14ac:dyDescent="0.25">
      <c r="A2560" s="4" t="s">
        <v>53</v>
      </c>
      <c r="B2560" s="4" t="s">
        <v>23</v>
      </c>
      <c r="C2560" s="5">
        <v>45328</v>
      </c>
      <c r="D2560" s="4">
        <v>30.6</v>
      </c>
      <c r="E2560" s="4">
        <v>9.92</v>
      </c>
    </row>
    <row r="2561" spans="1:5" x14ac:dyDescent="0.25">
      <c r="A2561" s="4" t="s">
        <v>53</v>
      </c>
      <c r="B2561" s="4" t="s">
        <v>23</v>
      </c>
      <c r="C2561" s="5">
        <v>45330</v>
      </c>
      <c r="D2561" s="4">
        <v>30.6</v>
      </c>
      <c r="E2561" s="4">
        <v>9.92</v>
      </c>
    </row>
    <row r="2562" spans="1:5" x14ac:dyDescent="0.25">
      <c r="A2562" s="4" t="s">
        <v>53</v>
      </c>
      <c r="B2562" s="4" t="s">
        <v>23</v>
      </c>
      <c r="C2562" s="5">
        <v>45330</v>
      </c>
      <c r="D2562" s="4">
        <v>20.100000000000001</v>
      </c>
      <c r="E2562" s="4">
        <v>6.52</v>
      </c>
    </row>
    <row r="2563" spans="1:5" x14ac:dyDescent="0.25">
      <c r="A2563" s="4" t="s">
        <v>53</v>
      </c>
      <c r="B2563" s="4" t="s">
        <v>23</v>
      </c>
      <c r="C2563" s="5">
        <v>45330</v>
      </c>
      <c r="D2563" s="4">
        <v>20.100000000000001</v>
      </c>
      <c r="E2563" s="4">
        <v>6.51</v>
      </c>
    </row>
    <row r="2564" spans="1:5" x14ac:dyDescent="0.25">
      <c r="A2564" s="4" t="s">
        <v>53</v>
      </c>
      <c r="B2564" s="4" t="s">
        <v>23</v>
      </c>
      <c r="C2564" s="5">
        <v>45330</v>
      </c>
      <c r="D2564" s="4">
        <v>28.8</v>
      </c>
      <c r="E2564" s="4">
        <v>9.34</v>
      </c>
    </row>
    <row r="2565" spans="1:5" x14ac:dyDescent="0.25">
      <c r="A2565" s="4" t="s">
        <v>53</v>
      </c>
      <c r="B2565" s="4" t="s">
        <v>23</v>
      </c>
      <c r="C2565" s="5">
        <v>45330</v>
      </c>
      <c r="D2565" s="4">
        <v>28.8</v>
      </c>
      <c r="E2565" s="4">
        <v>9.34</v>
      </c>
    </row>
    <row r="2566" spans="1:5" x14ac:dyDescent="0.25">
      <c r="A2566" s="4" t="s">
        <v>53</v>
      </c>
      <c r="B2566" s="4" t="s">
        <v>23</v>
      </c>
      <c r="C2566" s="5">
        <v>45330</v>
      </c>
      <c r="D2566" s="4">
        <v>30.6</v>
      </c>
      <c r="E2566" s="4">
        <v>9.92</v>
      </c>
    </row>
    <row r="2567" spans="1:5" x14ac:dyDescent="0.25">
      <c r="A2567" s="4" t="s">
        <v>53</v>
      </c>
      <c r="B2567" s="4" t="s">
        <v>23</v>
      </c>
      <c r="C2567" s="5">
        <v>45331</v>
      </c>
      <c r="D2567" s="4">
        <v>15.4</v>
      </c>
      <c r="E2567" s="4">
        <v>5</v>
      </c>
    </row>
    <row r="2568" spans="1:5" x14ac:dyDescent="0.25">
      <c r="A2568" s="4" t="s">
        <v>53</v>
      </c>
      <c r="B2568" s="4" t="s">
        <v>23</v>
      </c>
      <c r="C2568" s="5">
        <v>45331</v>
      </c>
      <c r="D2568" s="4">
        <v>28.8</v>
      </c>
      <c r="E2568" s="4">
        <v>9.34</v>
      </c>
    </row>
    <row r="2569" spans="1:5" x14ac:dyDescent="0.25">
      <c r="A2569" s="4" t="s">
        <v>53</v>
      </c>
      <c r="B2569" s="4" t="s">
        <v>23</v>
      </c>
      <c r="C2569" s="5">
        <v>45331</v>
      </c>
      <c r="D2569" s="4">
        <v>2.4</v>
      </c>
      <c r="E2569" s="4">
        <v>0.78</v>
      </c>
    </row>
    <row r="2570" spans="1:5" x14ac:dyDescent="0.25">
      <c r="A2570" s="4" t="s">
        <v>53</v>
      </c>
      <c r="B2570" s="4" t="s">
        <v>23</v>
      </c>
      <c r="C2570" s="5">
        <v>45331</v>
      </c>
      <c r="D2570" s="4">
        <v>14.4</v>
      </c>
      <c r="E2570" s="4">
        <v>4.6500000000000004</v>
      </c>
    </row>
    <row r="2571" spans="1:5" x14ac:dyDescent="0.25">
      <c r="A2571" s="4" t="s">
        <v>53</v>
      </c>
      <c r="B2571" s="4" t="s">
        <v>23</v>
      </c>
      <c r="C2571" s="5">
        <v>45331</v>
      </c>
      <c r="D2571" s="4">
        <v>20.100000000000001</v>
      </c>
      <c r="E2571" s="4">
        <v>6.51</v>
      </c>
    </row>
    <row r="2572" spans="1:5" x14ac:dyDescent="0.25">
      <c r="A2572" s="4" t="s">
        <v>53</v>
      </c>
      <c r="B2572" s="4" t="s">
        <v>23</v>
      </c>
      <c r="C2572" s="5">
        <v>45331</v>
      </c>
      <c r="D2572" s="4">
        <v>30.6</v>
      </c>
      <c r="E2572" s="4">
        <v>9.92</v>
      </c>
    </row>
    <row r="2573" spans="1:5" x14ac:dyDescent="0.25">
      <c r="A2573" s="4" t="s">
        <v>53</v>
      </c>
      <c r="B2573" s="4" t="s">
        <v>23</v>
      </c>
      <c r="C2573" s="5">
        <v>45334</v>
      </c>
      <c r="D2573" s="4">
        <v>30.6</v>
      </c>
      <c r="E2573" s="4">
        <v>9.92</v>
      </c>
    </row>
    <row r="2574" spans="1:5" x14ac:dyDescent="0.25">
      <c r="A2574" s="4" t="s">
        <v>53</v>
      </c>
      <c r="B2574" s="4" t="s">
        <v>23</v>
      </c>
      <c r="C2574" s="5">
        <v>45334</v>
      </c>
      <c r="D2574" s="4">
        <v>28.8</v>
      </c>
      <c r="E2574" s="4">
        <v>9.34</v>
      </c>
    </row>
    <row r="2575" spans="1:5" x14ac:dyDescent="0.25">
      <c r="A2575" s="4" t="s">
        <v>53</v>
      </c>
      <c r="B2575" s="4" t="s">
        <v>23</v>
      </c>
      <c r="C2575" s="5">
        <v>45334</v>
      </c>
      <c r="D2575" s="4">
        <v>28.8</v>
      </c>
      <c r="E2575" s="4">
        <v>9.34</v>
      </c>
    </row>
    <row r="2576" spans="1:5" x14ac:dyDescent="0.25">
      <c r="A2576" s="4" t="s">
        <v>53</v>
      </c>
      <c r="B2576" s="4" t="s">
        <v>23</v>
      </c>
      <c r="C2576" s="5">
        <v>45334</v>
      </c>
      <c r="D2576" s="4">
        <v>28.8</v>
      </c>
      <c r="E2576" s="4">
        <v>9.34</v>
      </c>
    </row>
    <row r="2577" spans="1:5" x14ac:dyDescent="0.25">
      <c r="A2577" s="4" t="s">
        <v>53</v>
      </c>
      <c r="B2577" s="4" t="s">
        <v>23</v>
      </c>
      <c r="C2577" s="5">
        <v>45334</v>
      </c>
      <c r="D2577" s="4">
        <v>28.8</v>
      </c>
      <c r="E2577" s="4">
        <v>9.34</v>
      </c>
    </row>
    <row r="2578" spans="1:5" x14ac:dyDescent="0.25">
      <c r="A2578" s="4" t="s">
        <v>53</v>
      </c>
      <c r="B2578" s="4" t="s">
        <v>23</v>
      </c>
      <c r="C2578" s="5">
        <v>45334</v>
      </c>
      <c r="D2578" s="4">
        <v>28.8</v>
      </c>
      <c r="E2578" s="4">
        <v>9.34</v>
      </c>
    </row>
    <row r="2579" spans="1:5" x14ac:dyDescent="0.25">
      <c r="A2579" s="4" t="s">
        <v>53</v>
      </c>
      <c r="B2579" s="4" t="s">
        <v>23</v>
      </c>
      <c r="C2579" s="5">
        <v>45334</v>
      </c>
      <c r="D2579" s="4">
        <v>28.8</v>
      </c>
      <c r="E2579" s="4">
        <v>9.34</v>
      </c>
    </row>
    <row r="2580" spans="1:5" x14ac:dyDescent="0.25">
      <c r="A2580" s="4" t="s">
        <v>53</v>
      </c>
      <c r="B2580" s="4" t="s">
        <v>23</v>
      </c>
      <c r="C2580" s="5">
        <v>45334</v>
      </c>
      <c r="D2580" s="4">
        <v>30.6</v>
      </c>
      <c r="E2580" s="4">
        <v>9.92</v>
      </c>
    </row>
    <row r="2581" spans="1:5" x14ac:dyDescent="0.25">
      <c r="A2581" s="4" t="s">
        <v>53</v>
      </c>
      <c r="B2581" s="4" t="s">
        <v>23</v>
      </c>
      <c r="C2581" s="5">
        <v>45335</v>
      </c>
      <c r="D2581" s="4">
        <v>30.6</v>
      </c>
      <c r="E2581" s="4">
        <v>9.92</v>
      </c>
    </row>
    <row r="2582" spans="1:5" x14ac:dyDescent="0.25">
      <c r="A2582" s="4" t="s">
        <v>53</v>
      </c>
      <c r="B2582" s="4" t="s">
        <v>23</v>
      </c>
      <c r="C2582" s="5">
        <v>45335</v>
      </c>
      <c r="D2582" s="4">
        <v>30.6</v>
      </c>
      <c r="E2582" s="4">
        <v>9.92</v>
      </c>
    </row>
    <row r="2583" spans="1:5" x14ac:dyDescent="0.25">
      <c r="A2583" s="4" t="s">
        <v>53</v>
      </c>
      <c r="B2583" s="4" t="s">
        <v>23</v>
      </c>
      <c r="C2583" s="5">
        <v>45336</v>
      </c>
      <c r="D2583" s="4">
        <v>30.6</v>
      </c>
      <c r="E2583" s="4">
        <v>9.92</v>
      </c>
    </row>
    <row r="2584" spans="1:5" x14ac:dyDescent="0.25">
      <c r="A2584" s="4" t="s">
        <v>53</v>
      </c>
      <c r="B2584" s="4" t="s">
        <v>23</v>
      </c>
      <c r="C2584" s="5">
        <v>45336</v>
      </c>
      <c r="D2584" s="4">
        <v>30.6</v>
      </c>
      <c r="E2584" s="4">
        <v>9.92</v>
      </c>
    </row>
    <row r="2585" spans="1:5" x14ac:dyDescent="0.25">
      <c r="A2585" s="4" t="s">
        <v>53</v>
      </c>
      <c r="B2585" s="4" t="s">
        <v>23</v>
      </c>
      <c r="C2585" s="5">
        <v>45337</v>
      </c>
      <c r="D2585" s="4">
        <v>25.1</v>
      </c>
      <c r="E2585" s="4">
        <v>8.1300000000000008</v>
      </c>
    </row>
    <row r="2586" spans="1:5" x14ac:dyDescent="0.25">
      <c r="A2586" s="4" t="s">
        <v>53</v>
      </c>
      <c r="B2586" s="4" t="s">
        <v>23</v>
      </c>
      <c r="C2586" s="5">
        <v>45337</v>
      </c>
      <c r="D2586" s="4">
        <v>0.6</v>
      </c>
      <c r="E2586" s="4">
        <v>0.18</v>
      </c>
    </row>
    <row r="2587" spans="1:5" x14ac:dyDescent="0.25">
      <c r="A2587" s="4" t="s">
        <v>53</v>
      </c>
      <c r="B2587" s="4" t="s">
        <v>23</v>
      </c>
      <c r="C2587" s="5">
        <v>45337</v>
      </c>
      <c r="D2587" s="4">
        <v>20.100000000000001</v>
      </c>
      <c r="E2587" s="4">
        <v>6.51</v>
      </c>
    </row>
    <row r="2588" spans="1:5" x14ac:dyDescent="0.25">
      <c r="A2588" s="4" t="s">
        <v>53</v>
      </c>
      <c r="B2588" s="4" t="s">
        <v>23</v>
      </c>
      <c r="C2588" s="5">
        <v>45337</v>
      </c>
      <c r="D2588" s="4">
        <v>28.8</v>
      </c>
      <c r="E2588" s="4">
        <v>9.34</v>
      </c>
    </row>
    <row r="2589" spans="1:5" x14ac:dyDescent="0.25">
      <c r="A2589" s="4" t="s">
        <v>53</v>
      </c>
      <c r="B2589" s="4" t="s">
        <v>23</v>
      </c>
      <c r="C2589" s="5">
        <v>45337</v>
      </c>
      <c r="D2589" s="4">
        <v>28.8</v>
      </c>
      <c r="E2589" s="4">
        <v>9.34</v>
      </c>
    </row>
    <row r="2590" spans="1:5" x14ac:dyDescent="0.25">
      <c r="A2590" s="4" t="s">
        <v>53</v>
      </c>
      <c r="B2590" s="4" t="s">
        <v>23</v>
      </c>
      <c r="C2590" s="5">
        <v>45337</v>
      </c>
      <c r="D2590" s="4">
        <v>30.6</v>
      </c>
      <c r="E2590" s="4">
        <v>9.92</v>
      </c>
    </row>
    <row r="2591" spans="1:5" x14ac:dyDescent="0.25">
      <c r="A2591" s="4" t="s">
        <v>53</v>
      </c>
      <c r="B2591" s="4" t="s">
        <v>24</v>
      </c>
      <c r="C2591" s="5">
        <v>45307</v>
      </c>
      <c r="D2591" s="4">
        <v>13.8</v>
      </c>
      <c r="E2591" s="4">
        <v>4.47</v>
      </c>
    </row>
    <row r="2592" spans="1:5" x14ac:dyDescent="0.25">
      <c r="A2592" s="4" t="s">
        <v>53</v>
      </c>
      <c r="B2592" s="4" t="s">
        <v>24</v>
      </c>
      <c r="C2592" s="5">
        <v>45307</v>
      </c>
      <c r="D2592" s="4">
        <v>11.7</v>
      </c>
      <c r="E2592" s="4">
        <v>3.79</v>
      </c>
    </row>
    <row r="2593" spans="1:5" x14ac:dyDescent="0.25">
      <c r="A2593" s="4" t="s">
        <v>53</v>
      </c>
      <c r="B2593" s="4" t="s">
        <v>24</v>
      </c>
      <c r="C2593" s="5">
        <v>45307</v>
      </c>
      <c r="D2593" s="4">
        <v>2.2999999999999998</v>
      </c>
      <c r="E2593" s="4">
        <v>0.74</v>
      </c>
    </row>
    <row r="2594" spans="1:5" x14ac:dyDescent="0.25">
      <c r="A2594" s="4" t="s">
        <v>53</v>
      </c>
      <c r="B2594" s="4" t="s">
        <v>24</v>
      </c>
      <c r="C2594" s="5">
        <v>45307</v>
      </c>
      <c r="D2594" s="4">
        <v>2.2999999999999998</v>
      </c>
      <c r="E2594" s="4">
        <v>0.74</v>
      </c>
    </row>
    <row r="2595" spans="1:5" x14ac:dyDescent="0.25">
      <c r="A2595" s="4" t="s">
        <v>53</v>
      </c>
      <c r="B2595" s="4" t="s">
        <v>24</v>
      </c>
      <c r="C2595" s="5">
        <v>45307</v>
      </c>
      <c r="D2595" s="4">
        <v>10.9</v>
      </c>
      <c r="E2595" s="4">
        <v>3.53</v>
      </c>
    </row>
    <row r="2596" spans="1:5" x14ac:dyDescent="0.25">
      <c r="A2596" s="4" t="s">
        <v>53</v>
      </c>
      <c r="B2596" s="4" t="s">
        <v>24</v>
      </c>
      <c r="C2596" s="5">
        <v>45307</v>
      </c>
      <c r="D2596" s="4">
        <v>11.7</v>
      </c>
      <c r="E2596" s="4">
        <v>3.79</v>
      </c>
    </row>
    <row r="2597" spans="1:5" x14ac:dyDescent="0.25">
      <c r="A2597" s="4" t="s">
        <v>53</v>
      </c>
      <c r="B2597" s="4" t="s">
        <v>24</v>
      </c>
      <c r="C2597" s="5">
        <v>45307</v>
      </c>
      <c r="D2597" s="4">
        <v>2.2999999999999998</v>
      </c>
      <c r="E2597" s="4">
        <v>0.74</v>
      </c>
    </row>
    <row r="2598" spans="1:5" x14ac:dyDescent="0.25">
      <c r="A2598" s="4" t="s">
        <v>53</v>
      </c>
      <c r="B2598" s="4" t="s">
        <v>24</v>
      </c>
      <c r="C2598" s="5">
        <v>45307</v>
      </c>
      <c r="D2598" s="4">
        <v>2.2999999999999998</v>
      </c>
      <c r="E2598" s="4">
        <v>0.74</v>
      </c>
    </row>
    <row r="2599" spans="1:5" x14ac:dyDescent="0.25">
      <c r="A2599" s="4" t="s">
        <v>53</v>
      </c>
      <c r="B2599" s="4" t="s">
        <v>24</v>
      </c>
      <c r="C2599" s="5">
        <v>45307</v>
      </c>
      <c r="D2599" s="4">
        <v>10.9</v>
      </c>
      <c r="E2599" s="4">
        <v>3.53</v>
      </c>
    </row>
    <row r="2600" spans="1:5" x14ac:dyDescent="0.25">
      <c r="A2600" s="4" t="s">
        <v>53</v>
      </c>
      <c r="B2600" s="4" t="s">
        <v>24</v>
      </c>
      <c r="C2600" s="5">
        <v>45307</v>
      </c>
      <c r="D2600" s="4">
        <v>11.7</v>
      </c>
      <c r="E2600" s="4">
        <v>3.79</v>
      </c>
    </row>
    <row r="2601" spans="1:5" x14ac:dyDescent="0.25">
      <c r="A2601" s="4" t="s">
        <v>53</v>
      </c>
      <c r="B2601" s="4" t="s">
        <v>24</v>
      </c>
      <c r="C2601" s="5">
        <v>45307</v>
      </c>
      <c r="D2601" s="4">
        <v>2.2999999999999998</v>
      </c>
      <c r="E2601" s="4">
        <v>0.74</v>
      </c>
    </row>
    <row r="2602" spans="1:5" x14ac:dyDescent="0.25">
      <c r="A2602" s="4" t="s">
        <v>53</v>
      </c>
      <c r="B2602" s="4" t="s">
        <v>24</v>
      </c>
      <c r="C2602" s="5">
        <v>45307</v>
      </c>
      <c r="D2602" s="4">
        <v>2.2999999999999998</v>
      </c>
      <c r="E2602" s="4">
        <v>0.74</v>
      </c>
    </row>
    <row r="2603" spans="1:5" x14ac:dyDescent="0.25">
      <c r="A2603" s="4" t="s">
        <v>53</v>
      </c>
      <c r="B2603" s="4" t="s">
        <v>24</v>
      </c>
      <c r="C2603" s="5">
        <v>45307</v>
      </c>
      <c r="D2603" s="4">
        <v>10.9</v>
      </c>
      <c r="E2603" s="4">
        <v>3.53</v>
      </c>
    </row>
    <row r="2604" spans="1:5" x14ac:dyDescent="0.25">
      <c r="A2604" s="4" t="s">
        <v>53</v>
      </c>
      <c r="B2604" s="4" t="s">
        <v>24</v>
      </c>
      <c r="C2604" s="5">
        <v>45307</v>
      </c>
      <c r="D2604" s="4">
        <v>11.7</v>
      </c>
      <c r="E2604" s="4">
        <v>3.79</v>
      </c>
    </row>
    <row r="2605" spans="1:5" x14ac:dyDescent="0.25">
      <c r="A2605" s="4" t="s">
        <v>53</v>
      </c>
      <c r="B2605" s="4" t="s">
        <v>24</v>
      </c>
      <c r="C2605" s="5">
        <v>45307</v>
      </c>
      <c r="D2605" s="4">
        <v>2.2999999999999998</v>
      </c>
      <c r="E2605" s="4">
        <v>0.74</v>
      </c>
    </row>
    <row r="2606" spans="1:5" x14ac:dyDescent="0.25">
      <c r="A2606" s="4" t="s">
        <v>53</v>
      </c>
      <c r="B2606" s="4" t="s">
        <v>24</v>
      </c>
      <c r="C2606" s="5">
        <v>45307</v>
      </c>
      <c r="D2606" s="4">
        <v>2.2999999999999998</v>
      </c>
      <c r="E2606" s="4">
        <v>0.74</v>
      </c>
    </row>
    <row r="2607" spans="1:5" x14ac:dyDescent="0.25">
      <c r="A2607" s="4" t="s">
        <v>53</v>
      </c>
      <c r="B2607" s="4" t="s">
        <v>24</v>
      </c>
      <c r="C2607" s="5">
        <v>45307</v>
      </c>
      <c r="D2607" s="4">
        <v>8.6999999999999993</v>
      </c>
      <c r="E2607" s="4">
        <v>2.82</v>
      </c>
    </row>
    <row r="2608" spans="1:5" x14ac:dyDescent="0.25">
      <c r="A2608" s="4" t="s">
        <v>53</v>
      </c>
      <c r="B2608" s="4" t="s">
        <v>24</v>
      </c>
      <c r="C2608" s="5">
        <v>45308</v>
      </c>
      <c r="D2608" s="4">
        <v>13.8</v>
      </c>
      <c r="E2608" s="4">
        <v>4.47</v>
      </c>
    </row>
    <row r="2609" spans="1:5" x14ac:dyDescent="0.25">
      <c r="A2609" s="4" t="s">
        <v>53</v>
      </c>
      <c r="B2609" s="4" t="s">
        <v>24</v>
      </c>
      <c r="C2609" s="5">
        <v>45308</v>
      </c>
      <c r="D2609" s="4">
        <v>11.7</v>
      </c>
      <c r="E2609" s="4">
        <v>3.79</v>
      </c>
    </row>
    <row r="2610" spans="1:5" x14ac:dyDescent="0.25">
      <c r="A2610" s="4" t="s">
        <v>53</v>
      </c>
      <c r="B2610" s="4" t="s">
        <v>24</v>
      </c>
      <c r="C2610" s="5">
        <v>45308</v>
      </c>
      <c r="D2610" s="4">
        <v>2.2999999999999998</v>
      </c>
      <c r="E2610" s="4">
        <v>0.74</v>
      </c>
    </row>
    <row r="2611" spans="1:5" x14ac:dyDescent="0.25">
      <c r="A2611" s="4" t="s">
        <v>53</v>
      </c>
      <c r="B2611" s="4" t="s">
        <v>24</v>
      </c>
      <c r="C2611" s="5">
        <v>45308</v>
      </c>
      <c r="D2611" s="4">
        <v>2.2999999999999998</v>
      </c>
      <c r="E2611" s="4">
        <v>0.74</v>
      </c>
    </row>
    <row r="2612" spans="1:5" x14ac:dyDescent="0.25">
      <c r="A2612" s="4" t="s">
        <v>53</v>
      </c>
      <c r="B2612" s="4" t="s">
        <v>24</v>
      </c>
      <c r="C2612" s="5">
        <v>45308</v>
      </c>
      <c r="D2612" s="4">
        <v>10.9</v>
      </c>
      <c r="E2612" s="4">
        <v>3.53</v>
      </c>
    </row>
    <row r="2613" spans="1:5" x14ac:dyDescent="0.25">
      <c r="A2613" s="4" t="s">
        <v>53</v>
      </c>
      <c r="B2613" s="4" t="s">
        <v>24</v>
      </c>
      <c r="C2613" s="5">
        <v>45308</v>
      </c>
      <c r="D2613" s="4">
        <v>0.8</v>
      </c>
      <c r="E2613" s="4">
        <v>0.25</v>
      </c>
    </row>
    <row r="2614" spans="1:5" x14ac:dyDescent="0.25">
      <c r="A2614" s="4" t="s">
        <v>53</v>
      </c>
      <c r="B2614" s="4" t="s">
        <v>24</v>
      </c>
      <c r="C2614" s="5">
        <v>45308</v>
      </c>
      <c r="D2614" s="4">
        <v>1.7</v>
      </c>
      <c r="E2614" s="4">
        <v>0.52</v>
      </c>
    </row>
    <row r="2615" spans="1:5" x14ac:dyDescent="0.25">
      <c r="A2615" s="4" t="s">
        <v>53</v>
      </c>
      <c r="B2615" s="4" t="s">
        <v>24</v>
      </c>
      <c r="C2615" s="5">
        <v>45308</v>
      </c>
      <c r="D2615" s="4">
        <v>11.7</v>
      </c>
      <c r="E2615" s="4">
        <v>3.79</v>
      </c>
    </row>
    <row r="2616" spans="1:5" x14ac:dyDescent="0.25">
      <c r="A2616" s="4" t="s">
        <v>53</v>
      </c>
      <c r="B2616" s="4" t="s">
        <v>24</v>
      </c>
      <c r="C2616" s="5">
        <v>45308</v>
      </c>
      <c r="D2616" s="4">
        <v>2.2999999999999998</v>
      </c>
      <c r="E2616" s="4">
        <v>0.74</v>
      </c>
    </row>
    <row r="2617" spans="1:5" x14ac:dyDescent="0.25">
      <c r="A2617" s="4" t="s">
        <v>53</v>
      </c>
      <c r="B2617" s="4" t="s">
        <v>24</v>
      </c>
      <c r="C2617" s="5">
        <v>45308</v>
      </c>
      <c r="D2617" s="4">
        <v>2.2999999999999998</v>
      </c>
      <c r="E2617" s="4">
        <v>0.74</v>
      </c>
    </row>
    <row r="2618" spans="1:5" x14ac:dyDescent="0.25">
      <c r="A2618" s="4" t="s">
        <v>53</v>
      </c>
      <c r="B2618" s="4" t="s">
        <v>24</v>
      </c>
      <c r="C2618" s="5">
        <v>45308</v>
      </c>
      <c r="D2618" s="4">
        <v>10.9</v>
      </c>
      <c r="E2618" s="4">
        <v>3.53</v>
      </c>
    </row>
    <row r="2619" spans="1:5" x14ac:dyDescent="0.25">
      <c r="A2619" s="4" t="s">
        <v>53</v>
      </c>
      <c r="B2619" s="4" t="s">
        <v>24</v>
      </c>
      <c r="C2619" s="5">
        <v>45308</v>
      </c>
      <c r="D2619" s="4">
        <v>11.7</v>
      </c>
      <c r="E2619" s="4">
        <v>3.79</v>
      </c>
    </row>
    <row r="2620" spans="1:5" x14ac:dyDescent="0.25">
      <c r="A2620" s="4" t="s">
        <v>53</v>
      </c>
      <c r="B2620" s="4" t="s">
        <v>24</v>
      </c>
      <c r="C2620" s="5">
        <v>45308</v>
      </c>
      <c r="D2620" s="4">
        <v>2.2999999999999998</v>
      </c>
      <c r="E2620" s="4">
        <v>0.74</v>
      </c>
    </row>
    <row r="2621" spans="1:5" x14ac:dyDescent="0.25">
      <c r="A2621" s="4" t="s">
        <v>53</v>
      </c>
      <c r="B2621" s="4" t="s">
        <v>24</v>
      </c>
      <c r="C2621" s="5">
        <v>45308</v>
      </c>
      <c r="D2621" s="4">
        <v>2.2999999999999998</v>
      </c>
      <c r="E2621" s="4">
        <v>0.74</v>
      </c>
    </row>
    <row r="2622" spans="1:5" x14ac:dyDescent="0.25">
      <c r="A2622" s="4" t="s">
        <v>53</v>
      </c>
      <c r="B2622" s="4" t="s">
        <v>24</v>
      </c>
      <c r="C2622" s="5">
        <v>45308</v>
      </c>
      <c r="D2622" s="4">
        <v>10.9</v>
      </c>
      <c r="E2622" s="4">
        <v>3.53</v>
      </c>
    </row>
    <row r="2623" spans="1:5" x14ac:dyDescent="0.25">
      <c r="A2623" s="4" t="s">
        <v>53</v>
      </c>
      <c r="B2623" s="4" t="s">
        <v>24</v>
      </c>
      <c r="C2623" s="5">
        <v>45308</v>
      </c>
      <c r="D2623" s="4">
        <v>11.7</v>
      </c>
      <c r="E2623" s="4">
        <v>3.79</v>
      </c>
    </row>
    <row r="2624" spans="1:5" x14ac:dyDescent="0.25">
      <c r="A2624" s="4" t="s">
        <v>53</v>
      </c>
      <c r="B2624" s="4" t="s">
        <v>24</v>
      </c>
      <c r="C2624" s="5">
        <v>45308</v>
      </c>
      <c r="D2624" s="4">
        <v>2.2999999999999998</v>
      </c>
      <c r="E2624" s="4">
        <v>0.74</v>
      </c>
    </row>
    <row r="2625" spans="1:5" x14ac:dyDescent="0.25">
      <c r="A2625" s="4" t="s">
        <v>53</v>
      </c>
      <c r="B2625" s="4" t="s">
        <v>24</v>
      </c>
      <c r="C2625" s="5">
        <v>45308</v>
      </c>
      <c r="D2625" s="4">
        <v>2.2999999999999998</v>
      </c>
      <c r="E2625" s="4">
        <v>0.74</v>
      </c>
    </row>
    <row r="2626" spans="1:5" x14ac:dyDescent="0.25">
      <c r="A2626" s="4" t="s">
        <v>53</v>
      </c>
      <c r="B2626" s="4" t="s">
        <v>24</v>
      </c>
      <c r="C2626" s="5">
        <v>45308</v>
      </c>
      <c r="D2626" s="4">
        <v>8.6999999999999993</v>
      </c>
      <c r="E2626" s="4">
        <v>2.82</v>
      </c>
    </row>
    <row r="2627" spans="1:5" x14ac:dyDescent="0.25">
      <c r="A2627" s="4" t="s">
        <v>53</v>
      </c>
      <c r="B2627" s="4" t="s">
        <v>24</v>
      </c>
      <c r="C2627" s="5">
        <v>45313</v>
      </c>
      <c r="D2627" s="4">
        <v>2.4</v>
      </c>
      <c r="E2627" s="4">
        <v>0.75</v>
      </c>
    </row>
    <row r="2628" spans="1:5" x14ac:dyDescent="0.25">
      <c r="A2628" s="4" t="s">
        <v>53</v>
      </c>
      <c r="B2628" s="4" t="s">
        <v>24</v>
      </c>
      <c r="C2628" s="5">
        <v>45313</v>
      </c>
      <c r="D2628" s="4">
        <v>0.8</v>
      </c>
      <c r="E2628" s="4">
        <v>0.26</v>
      </c>
    </row>
    <row r="2629" spans="1:5" x14ac:dyDescent="0.25">
      <c r="A2629" s="4" t="s">
        <v>53</v>
      </c>
      <c r="B2629" s="4" t="s">
        <v>24</v>
      </c>
      <c r="C2629" s="5">
        <v>45313</v>
      </c>
      <c r="D2629" s="4">
        <v>1.3</v>
      </c>
      <c r="E2629" s="4">
        <v>0.41</v>
      </c>
    </row>
    <row r="2630" spans="1:5" x14ac:dyDescent="0.25">
      <c r="A2630" s="4" t="s">
        <v>53</v>
      </c>
      <c r="B2630" s="4" t="s">
        <v>24</v>
      </c>
      <c r="C2630" s="5">
        <v>45313</v>
      </c>
      <c r="D2630" s="4">
        <v>1.6</v>
      </c>
      <c r="E2630" s="4">
        <v>0.5</v>
      </c>
    </row>
    <row r="2631" spans="1:5" x14ac:dyDescent="0.25">
      <c r="A2631" s="4" t="s">
        <v>53</v>
      </c>
      <c r="B2631" s="4" t="s">
        <v>24</v>
      </c>
      <c r="C2631" s="5">
        <v>45313</v>
      </c>
      <c r="D2631" s="4">
        <v>1.3</v>
      </c>
      <c r="E2631" s="4">
        <v>0.41</v>
      </c>
    </row>
    <row r="2632" spans="1:5" x14ac:dyDescent="0.25">
      <c r="A2632" s="4" t="s">
        <v>53</v>
      </c>
      <c r="B2632" s="4" t="s">
        <v>24</v>
      </c>
      <c r="C2632" s="5">
        <v>45313</v>
      </c>
      <c r="D2632" s="4">
        <v>1.6</v>
      </c>
      <c r="E2632" s="4">
        <v>0.5</v>
      </c>
    </row>
    <row r="2633" spans="1:5" x14ac:dyDescent="0.25">
      <c r="A2633" s="4" t="s">
        <v>53</v>
      </c>
      <c r="B2633" s="4" t="s">
        <v>24</v>
      </c>
      <c r="C2633" s="5">
        <v>45313</v>
      </c>
      <c r="D2633" s="4">
        <v>1.3</v>
      </c>
      <c r="E2633" s="4">
        <v>0.41</v>
      </c>
    </row>
    <row r="2634" spans="1:5" x14ac:dyDescent="0.25">
      <c r="A2634" s="4" t="s">
        <v>53</v>
      </c>
      <c r="B2634" s="4" t="s">
        <v>24</v>
      </c>
      <c r="C2634" s="5">
        <v>45313</v>
      </c>
      <c r="D2634" s="4">
        <v>1.6</v>
      </c>
      <c r="E2634" s="4">
        <v>0.5</v>
      </c>
    </row>
    <row r="2635" spans="1:5" x14ac:dyDescent="0.25">
      <c r="A2635" s="4" t="s">
        <v>53</v>
      </c>
      <c r="B2635" s="4" t="s">
        <v>24</v>
      </c>
      <c r="C2635" s="5">
        <v>45313</v>
      </c>
      <c r="D2635" s="4">
        <v>1.3</v>
      </c>
      <c r="E2635" s="4">
        <v>0.41</v>
      </c>
    </row>
    <row r="2636" spans="1:5" x14ac:dyDescent="0.25">
      <c r="A2636" s="4" t="s">
        <v>53</v>
      </c>
      <c r="B2636" s="4" t="s">
        <v>24</v>
      </c>
      <c r="C2636" s="5">
        <v>45313</v>
      </c>
      <c r="D2636" s="4">
        <v>1.6</v>
      </c>
      <c r="E2636" s="4">
        <v>0.5</v>
      </c>
    </row>
    <row r="2637" spans="1:5" x14ac:dyDescent="0.25">
      <c r="A2637" s="4" t="s">
        <v>53</v>
      </c>
      <c r="B2637" s="4" t="s">
        <v>24</v>
      </c>
      <c r="C2637" s="5">
        <v>45313</v>
      </c>
      <c r="D2637" s="4">
        <v>1.3</v>
      </c>
      <c r="E2637" s="4">
        <v>0.41</v>
      </c>
    </row>
    <row r="2638" spans="1:5" x14ac:dyDescent="0.25">
      <c r="A2638" s="4" t="s">
        <v>53</v>
      </c>
      <c r="B2638" s="4" t="s">
        <v>24</v>
      </c>
      <c r="C2638" s="5">
        <v>45313</v>
      </c>
      <c r="D2638" s="4">
        <v>1.6</v>
      </c>
      <c r="E2638" s="4">
        <v>0.5</v>
      </c>
    </row>
    <row r="2639" spans="1:5" x14ac:dyDescent="0.25">
      <c r="A2639" s="4" t="s">
        <v>53</v>
      </c>
      <c r="B2639" s="4" t="s">
        <v>24</v>
      </c>
      <c r="C2639" s="5">
        <v>45313</v>
      </c>
      <c r="D2639" s="4">
        <v>1.3</v>
      </c>
      <c r="E2639" s="4">
        <v>0.41</v>
      </c>
    </row>
    <row r="2640" spans="1:5" x14ac:dyDescent="0.25">
      <c r="A2640" s="4" t="s">
        <v>53</v>
      </c>
      <c r="B2640" s="4" t="s">
        <v>24</v>
      </c>
      <c r="C2640" s="5">
        <v>45313</v>
      </c>
      <c r="D2640" s="4">
        <v>1.6</v>
      </c>
      <c r="E2640" s="4">
        <v>0.5</v>
      </c>
    </row>
    <row r="2641" spans="1:5" x14ac:dyDescent="0.25">
      <c r="A2641" s="4" t="s">
        <v>53</v>
      </c>
      <c r="B2641" s="4" t="s">
        <v>24</v>
      </c>
      <c r="C2641" s="5">
        <v>45313</v>
      </c>
      <c r="D2641" s="4">
        <v>1.3</v>
      </c>
      <c r="E2641" s="4">
        <v>0.41</v>
      </c>
    </row>
    <row r="2642" spans="1:5" x14ac:dyDescent="0.25">
      <c r="A2642" s="4" t="s">
        <v>53</v>
      </c>
      <c r="B2642" s="4" t="s">
        <v>24</v>
      </c>
      <c r="C2642" s="5">
        <v>45313</v>
      </c>
      <c r="D2642" s="4">
        <v>1.6</v>
      </c>
      <c r="E2642" s="4">
        <v>0.5</v>
      </c>
    </row>
    <row r="2643" spans="1:5" x14ac:dyDescent="0.25">
      <c r="A2643" s="4" t="s">
        <v>53</v>
      </c>
      <c r="B2643" s="4" t="s">
        <v>24</v>
      </c>
      <c r="C2643" s="5">
        <v>45313</v>
      </c>
      <c r="D2643" s="4">
        <v>1.3</v>
      </c>
      <c r="E2643" s="4">
        <v>0.41</v>
      </c>
    </row>
    <row r="2644" spans="1:5" x14ac:dyDescent="0.25">
      <c r="A2644" s="4" t="s">
        <v>53</v>
      </c>
      <c r="B2644" s="4" t="s">
        <v>24</v>
      </c>
      <c r="C2644" s="5">
        <v>45313</v>
      </c>
      <c r="D2644" s="4">
        <v>1.6</v>
      </c>
      <c r="E2644" s="4">
        <v>0.5</v>
      </c>
    </row>
    <row r="2645" spans="1:5" x14ac:dyDescent="0.25">
      <c r="A2645" s="4" t="s">
        <v>53</v>
      </c>
      <c r="B2645" s="4" t="s">
        <v>24</v>
      </c>
      <c r="C2645" s="5">
        <v>45313</v>
      </c>
      <c r="D2645" s="4">
        <v>1.3</v>
      </c>
      <c r="E2645" s="4">
        <v>0.41</v>
      </c>
    </row>
    <row r="2646" spans="1:5" x14ac:dyDescent="0.25">
      <c r="A2646" s="4" t="s">
        <v>53</v>
      </c>
      <c r="B2646" s="4" t="s">
        <v>24</v>
      </c>
      <c r="C2646" s="5">
        <v>45313</v>
      </c>
      <c r="D2646" s="4">
        <v>1.6</v>
      </c>
      <c r="E2646" s="4">
        <v>0.5</v>
      </c>
    </row>
    <row r="2647" spans="1:5" x14ac:dyDescent="0.25">
      <c r="A2647" s="4" t="s">
        <v>53</v>
      </c>
      <c r="B2647" s="4" t="s">
        <v>24</v>
      </c>
      <c r="C2647" s="5">
        <v>45313</v>
      </c>
      <c r="D2647" s="4">
        <v>5.2</v>
      </c>
      <c r="E2647" s="4">
        <v>1.66</v>
      </c>
    </row>
    <row r="2648" spans="1:5" x14ac:dyDescent="0.25">
      <c r="A2648" s="4" t="s">
        <v>53</v>
      </c>
      <c r="B2648" s="4" t="s">
        <v>24</v>
      </c>
      <c r="C2648" s="5">
        <v>45314</v>
      </c>
      <c r="D2648" s="4">
        <v>2.4</v>
      </c>
      <c r="E2648" s="4">
        <v>0.75</v>
      </c>
    </row>
    <row r="2649" spans="1:5" x14ac:dyDescent="0.25">
      <c r="A2649" s="4" t="s">
        <v>53</v>
      </c>
      <c r="B2649" s="4" t="s">
        <v>24</v>
      </c>
      <c r="C2649" s="5">
        <v>45314</v>
      </c>
      <c r="D2649" s="4">
        <v>0.8</v>
      </c>
      <c r="E2649" s="4">
        <v>0.26</v>
      </c>
    </row>
    <row r="2650" spans="1:5" x14ac:dyDescent="0.25">
      <c r="A2650" s="4" t="s">
        <v>53</v>
      </c>
      <c r="B2650" s="4" t="s">
        <v>24</v>
      </c>
      <c r="C2650" s="5">
        <v>45314</v>
      </c>
      <c r="D2650" s="4">
        <v>1.3</v>
      </c>
      <c r="E2650" s="4">
        <v>0.41</v>
      </c>
    </row>
    <row r="2651" spans="1:5" x14ac:dyDescent="0.25">
      <c r="A2651" s="4" t="s">
        <v>53</v>
      </c>
      <c r="B2651" s="4" t="s">
        <v>24</v>
      </c>
      <c r="C2651" s="5">
        <v>45314</v>
      </c>
      <c r="D2651" s="4">
        <v>1.6</v>
      </c>
      <c r="E2651" s="4">
        <v>0.5</v>
      </c>
    </row>
    <row r="2652" spans="1:5" x14ac:dyDescent="0.25">
      <c r="A2652" s="4" t="s">
        <v>53</v>
      </c>
      <c r="B2652" s="4" t="s">
        <v>24</v>
      </c>
      <c r="C2652" s="5">
        <v>45314</v>
      </c>
      <c r="D2652" s="4">
        <v>1.3</v>
      </c>
      <c r="E2652" s="4">
        <v>0.41</v>
      </c>
    </row>
    <row r="2653" spans="1:5" x14ac:dyDescent="0.25">
      <c r="A2653" s="4" t="s">
        <v>53</v>
      </c>
      <c r="B2653" s="4" t="s">
        <v>24</v>
      </c>
      <c r="C2653" s="5">
        <v>45314</v>
      </c>
      <c r="D2653" s="4">
        <v>1.6</v>
      </c>
      <c r="E2653" s="4">
        <v>0.5</v>
      </c>
    </row>
    <row r="2654" spans="1:5" x14ac:dyDescent="0.25">
      <c r="A2654" s="4" t="s">
        <v>53</v>
      </c>
      <c r="B2654" s="4" t="s">
        <v>24</v>
      </c>
      <c r="C2654" s="5">
        <v>45314</v>
      </c>
      <c r="D2654" s="4">
        <v>1.3</v>
      </c>
      <c r="E2654" s="4">
        <v>0.41</v>
      </c>
    </row>
    <row r="2655" spans="1:5" x14ac:dyDescent="0.25">
      <c r="A2655" s="4" t="s">
        <v>53</v>
      </c>
      <c r="B2655" s="4" t="s">
        <v>24</v>
      </c>
      <c r="C2655" s="5">
        <v>45314</v>
      </c>
      <c r="D2655" s="4">
        <v>1.6</v>
      </c>
      <c r="E2655" s="4">
        <v>0.5</v>
      </c>
    </row>
    <row r="2656" spans="1:5" x14ac:dyDescent="0.25">
      <c r="A2656" s="4" t="s">
        <v>53</v>
      </c>
      <c r="B2656" s="4" t="s">
        <v>24</v>
      </c>
      <c r="C2656" s="5">
        <v>45314</v>
      </c>
      <c r="D2656" s="4">
        <v>1.3</v>
      </c>
      <c r="E2656" s="4">
        <v>0.41</v>
      </c>
    </row>
    <row r="2657" spans="1:5" x14ac:dyDescent="0.25">
      <c r="A2657" s="4" t="s">
        <v>53</v>
      </c>
      <c r="B2657" s="4" t="s">
        <v>24</v>
      </c>
      <c r="C2657" s="5">
        <v>45314</v>
      </c>
      <c r="D2657" s="4">
        <v>1.6</v>
      </c>
      <c r="E2657" s="4">
        <v>0.5</v>
      </c>
    </row>
    <row r="2658" spans="1:5" x14ac:dyDescent="0.25">
      <c r="A2658" s="4" t="s">
        <v>53</v>
      </c>
      <c r="B2658" s="4" t="s">
        <v>24</v>
      </c>
      <c r="C2658" s="5">
        <v>45314</v>
      </c>
      <c r="D2658" s="4">
        <v>1.3</v>
      </c>
      <c r="E2658" s="4">
        <v>0.41</v>
      </c>
    </row>
    <row r="2659" spans="1:5" x14ac:dyDescent="0.25">
      <c r="A2659" s="4" t="s">
        <v>53</v>
      </c>
      <c r="B2659" s="4" t="s">
        <v>24</v>
      </c>
      <c r="C2659" s="5">
        <v>45314</v>
      </c>
      <c r="D2659" s="4">
        <v>1.6</v>
      </c>
      <c r="E2659" s="4">
        <v>0.5</v>
      </c>
    </row>
    <row r="2660" spans="1:5" x14ac:dyDescent="0.25">
      <c r="A2660" s="4" t="s">
        <v>53</v>
      </c>
      <c r="B2660" s="4" t="s">
        <v>24</v>
      </c>
      <c r="C2660" s="5">
        <v>45314</v>
      </c>
      <c r="D2660" s="4">
        <v>1.3</v>
      </c>
      <c r="E2660" s="4">
        <v>0.41</v>
      </c>
    </row>
    <row r="2661" spans="1:5" x14ac:dyDescent="0.25">
      <c r="A2661" s="4" t="s">
        <v>53</v>
      </c>
      <c r="B2661" s="4" t="s">
        <v>24</v>
      </c>
      <c r="C2661" s="5">
        <v>45314</v>
      </c>
      <c r="D2661" s="4">
        <v>1.6</v>
      </c>
      <c r="E2661" s="4">
        <v>0.5</v>
      </c>
    </row>
    <row r="2662" spans="1:5" x14ac:dyDescent="0.25">
      <c r="A2662" s="4" t="s">
        <v>53</v>
      </c>
      <c r="B2662" s="4" t="s">
        <v>24</v>
      </c>
      <c r="C2662" s="5">
        <v>45314</v>
      </c>
      <c r="D2662" s="4">
        <v>1.3</v>
      </c>
      <c r="E2662" s="4">
        <v>0.41</v>
      </c>
    </row>
    <row r="2663" spans="1:5" x14ac:dyDescent="0.25">
      <c r="A2663" s="4" t="s">
        <v>53</v>
      </c>
      <c r="B2663" s="4" t="s">
        <v>24</v>
      </c>
      <c r="C2663" s="5">
        <v>45314</v>
      </c>
      <c r="D2663" s="4">
        <v>1.6</v>
      </c>
      <c r="E2663" s="4">
        <v>0.5</v>
      </c>
    </row>
    <row r="2664" spans="1:5" x14ac:dyDescent="0.25">
      <c r="A2664" s="4" t="s">
        <v>53</v>
      </c>
      <c r="B2664" s="4" t="s">
        <v>24</v>
      </c>
      <c r="C2664" s="5">
        <v>45314</v>
      </c>
      <c r="D2664" s="4">
        <v>1.3</v>
      </c>
      <c r="E2664" s="4">
        <v>0.41</v>
      </c>
    </row>
    <row r="2665" spans="1:5" x14ac:dyDescent="0.25">
      <c r="A2665" s="4" t="s">
        <v>53</v>
      </c>
      <c r="B2665" s="4" t="s">
        <v>24</v>
      </c>
      <c r="C2665" s="5">
        <v>45314</v>
      </c>
      <c r="D2665" s="4">
        <v>1.6</v>
      </c>
      <c r="E2665" s="4">
        <v>0.5</v>
      </c>
    </row>
    <row r="2666" spans="1:5" x14ac:dyDescent="0.25">
      <c r="A2666" s="4" t="s">
        <v>53</v>
      </c>
      <c r="B2666" s="4" t="s">
        <v>24</v>
      </c>
      <c r="C2666" s="5">
        <v>45314</v>
      </c>
      <c r="D2666" s="4">
        <v>1.3</v>
      </c>
      <c r="E2666" s="4">
        <v>0.41</v>
      </c>
    </row>
    <row r="2667" spans="1:5" x14ac:dyDescent="0.25">
      <c r="A2667" s="4" t="s">
        <v>53</v>
      </c>
      <c r="B2667" s="4" t="s">
        <v>24</v>
      </c>
      <c r="C2667" s="5">
        <v>45314</v>
      </c>
      <c r="D2667" s="4">
        <v>1.6</v>
      </c>
      <c r="E2667" s="4">
        <v>0.5</v>
      </c>
    </row>
    <row r="2668" spans="1:5" x14ac:dyDescent="0.25">
      <c r="A2668" s="4" t="s">
        <v>53</v>
      </c>
      <c r="B2668" s="4" t="s">
        <v>24</v>
      </c>
      <c r="C2668" s="5">
        <v>45314</v>
      </c>
      <c r="D2668" s="4">
        <v>1.3</v>
      </c>
      <c r="E2668" s="4">
        <v>0.41</v>
      </c>
    </row>
    <row r="2669" spans="1:5" x14ac:dyDescent="0.25">
      <c r="A2669" s="4" t="s">
        <v>53</v>
      </c>
      <c r="B2669" s="4" t="s">
        <v>24</v>
      </c>
      <c r="C2669" s="5">
        <v>45314</v>
      </c>
      <c r="D2669" s="4">
        <v>1.6</v>
      </c>
      <c r="E2669" s="4">
        <v>0.5</v>
      </c>
    </row>
    <row r="2670" spans="1:5" x14ac:dyDescent="0.25">
      <c r="A2670" s="4" t="s">
        <v>53</v>
      </c>
      <c r="B2670" s="4" t="s">
        <v>24</v>
      </c>
      <c r="C2670" s="5">
        <v>45314</v>
      </c>
      <c r="D2670" s="4">
        <v>1.3</v>
      </c>
      <c r="E2670" s="4">
        <v>0.41</v>
      </c>
    </row>
    <row r="2671" spans="1:5" x14ac:dyDescent="0.25">
      <c r="A2671" s="4" t="s">
        <v>53</v>
      </c>
      <c r="B2671" s="4" t="s">
        <v>24</v>
      </c>
      <c r="C2671" s="5">
        <v>45314</v>
      </c>
      <c r="D2671" s="4">
        <v>1.6</v>
      </c>
      <c r="E2671" s="4">
        <v>0.5</v>
      </c>
    </row>
    <row r="2672" spans="1:5" x14ac:dyDescent="0.25">
      <c r="A2672" s="4" t="s">
        <v>53</v>
      </c>
      <c r="B2672" s="4" t="s">
        <v>24</v>
      </c>
      <c r="C2672" s="5">
        <v>45314</v>
      </c>
      <c r="D2672" s="4">
        <v>1.3</v>
      </c>
      <c r="E2672" s="4">
        <v>0.41</v>
      </c>
    </row>
    <row r="2673" spans="1:5" x14ac:dyDescent="0.25">
      <c r="A2673" s="4" t="s">
        <v>53</v>
      </c>
      <c r="B2673" s="4" t="s">
        <v>24</v>
      </c>
      <c r="C2673" s="5">
        <v>45314</v>
      </c>
      <c r="D2673" s="4">
        <v>1.6</v>
      </c>
      <c r="E2673" s="4">
        <v>0.5</v>
      </c>
    </row>
    <row r="2674" spans="1:5" x14ac:dyDescent="0.25">
      <c r="A2674" s="4" t="s">
        <v>53</v>
      </c>
      <c r="B2674" s="4" t="s">
        <v>24</v>
      </c>
      <c r="C2674" s="5">
        <v>45314</v>
      </c>
      <c r="D2674" s="4">
        <v>1.3</v>
      </c>
      <c r="E2674" s="4">
        <v>0.41</v>
      </c>
    </row>
    <row r="2675" spans="1:5" x14ac:dyDescent="0.25">
      <c r="A2675" s="4" t="s">
        <v>53</v>
      </c>
      <c r="B2675" s="4" t="s">
        <v>24</v>
      </c>
      <c r="C2675" s="5">
        <v>45314</v>
      </c>
      <c r="D2675" s="4">
        <v>3.9</v>
      </c>
      <c r="E2675" s="4">
        <v>1.25</v>
      </c>
    </row>
    <row r="2676" spans="1:5" x14ac:dyDescent="0.25">
      <c r="A2676" s="4" t="s">
        <v>53</v>
      </c>
      <c r="B2676" s="4" t="s">
        <v>24</v>
      </c>
      <c r="C2676" s="5">
        <v>45315</v>
      </c>
      <c r="D2676" s="4">
        <v>5.4</v>
      </c>
      <c r="E2676" s="4">
        <v>1.69</v>
      </c>
    </row>
    <row r="2677" spans="1:5" x14ac:dyDescent="0.25">
      <c r="A2677" s="4" t="s">
        <v>53</v>
      </c>
      <c r="B2677" s="4" t="s">
        <v>24</v>
      </c>
      <c r="C2677" s="5">
        <v>45315</v>
      </c>
      <c r="D2677" s="4">
        <v>1.3</v>
      </c>
      <c r="E2677" s="4">
        <v>0.41</v>
      </c>
    </row>
    <row r="2678" spans="1:5" x14ac:dyDescent="0.25">
      <c r="A2678" s="4" t="s">
        <v>53</v>
      </c>
      <c r="B2678" s="4" t="s">
        <v>24</v>
      </c>
      <c r="C2678" s="5">
        <v>45315</v>
      </c>
      <c r="D2678" s="4">
        <v>1.6</v>
      </c>
      <c r="E2678" s="4">
        <v>0.5</v>
      </c>
    </row>
    <row r="2679" spans="1:5" x14ac:dyDescent="0.25">
      <c r="A2679" s="4" t="s">
        <v>53</v>
      </c>
      <c r="B2679" s="4" t="s">
        <v>24</v>
      </c>
      <c r="C2679" s="5">
        <v>45315</v>
      </c>
      <c r="D2679" s="4">
        <v>1.3</v>
      </c>
      <c r="E2679" s="4">
        <v>0.41</v>
      </c>
    </row>
    <row r="2680" spans="1:5" x14ac:dyDescent="0.25">
      <c r="A2680" s="4" t="s">
        <v>53</v>
      </c>
      <c r="B2680" s="4" t="s">
        <v>24</v>
      </c>
      <c r="C2680" s="5">
        <v>45315</v>
      </c>
      <c r="D2680" s="4">
        <v>1.6</v>
      </c>
      <c r="E2680" s="4">
        <v>0.5</v>
      </c>
    </row>
    <row r="2681" spans="1:5" x14ac:dyDescent="0.25">
      <c r="A2681" s="4" t="s">
        <v>53</v>
      </c>
      <c r="B2681" s="4" t="s">
        <v>24</v>
      </c>
      <c r="C2681" s="5">
        <v>45315</v>
      </c>
      <c r="D2681" s="4">
        <v>1.3</v>
      </c>
      <c r="E2681" s="4">
        <v>0.41</v>
      </c>
    </row>
    <row r="2682" spans="1:5" x14ac:dyDescent="0.25">
      <c r="A2682" s="4" t="s">
        <v>53</v>
      </c>
      <c r="B2682" s="4" t="s">
        <v>24</v>
      </c>
      <c r="C2682" s="5">
        <v>45315</v>
      </c>
      <c r="D2682" s="4">
        <v>1.6</v>
      </c>
      <c r="E2682" s="4">
        <v>0.5</v>
      </c>
    </row>
    <row r="2683" spans="1:5" x14ac:dyDescent="0.25">
      <c r="A2683" s="4" t="s">
        <v>53</v>
      </c>
      <c r="B2683" s="4" t="s">
        <v>24</v>
      </c>
      <c r="C2683" s="5">
        <v>45315</v>
      </c>
      <c r="D2683" s="4">
        <v>1.3</v>
      </c>
      <c r="E2683" s="4">
        <v>0.41</v>
      </c>
    </row>
    <row r="2684" spans="1:5" x14ac:dyDescent="0.25">
      <c r="A2684" s="4" t="s">
        <v>53</v>
      </c>
      <c r="B2684" s="4" t="s">
        <v>24</v>
      </c>
      <c r="C2684" s="5">
        <v>45315</v>
      </c>
      <c r="D2684" s="4">
        <v>1.6</v>
      </c>
      <c r="E2684" s="4">
        <v>0.5</v>
      </c>
    </row>
    <row r="2685" spans="1:5" x14ac:dyDescent="0.25">
      <c r="A2685" s="4" t="s">
        <v>53</v>
      </c>
      <c r="B2685" s="4" t="s">
        <v>24</v>
      </c>
      <c r="C2685" s="5">
        <v>45315</v>
      </c>
      <c r="D2685" s="4">
        <v>1.3</v>
      </c>
      <c r="E2685" s="4">
        <v>0.41</v>
      </c>
    </row>
    <row r="2686" spans="1:5" x14ac:dyDescent="0.25">
      <c r="A2686" s="4" t="s">
        <v>53</v>
      </c>
      <c r="B2686" s="4" t="s">
        <v>24</v>
      </c>
      <c r="C2686" s="5">
        <v>45315</v>
      </c>
      <c r="D2686" s="4">
        <v>1.6</v>
      </c>
      <c r="E2686" s="4">
        <v>0.5</v>
      </c>
    </row>
    <row r="2687" spans="1:5" x14ac:dyDescent="0.25">
      <c r="A2687" s="4" t="s">
        <v>53</v>
      </c>
      <c r="B2687" s="4" t="s">
        <v>24</v>
      </c>
      <c r="C2687" s="5">
        <v>45315</v>
      </c>
      <c r="D2687" s="4">
        <v>1.3</v>
      </c>
      <c r="E2687" s="4">
        <v>0.41</v>
      </c>
    </row>
    <row r="2688" spans="1:5" x14ac:dyDescent="0.25">
      <c r="A2688" s="4" t="s">
        <v>53</v>
      </c>
      <c r="B2688" s="4" t="s">
        <v>24</v>
      </c>
      <c r="C2688" s="5">
        <v>45315</v>
      </c>
      <c r="D2688" s="4">
        <v>1.6</v>
      </c>
      <c r="E2688" s="4">
        <v>0.5</v>
      </c>
    </row>
    <row r="2689" spans="1:5" x14ac:dyDescent="0.25">
      <c r="A2689" s="4" t="s">
        <v>53</v>
      </c>
      <c r="B2689" s="4" t="s">
        <v>24</v>
      </c>
      <c r="C2689" s="5">
        <v>45315</v>
      </c>
      <c r="D2689" s="4">
        <v>1.3</v>
      </c>
      <c r="E2689" s="4">
        <v>0.41</v>
      </c>
    </row>
    <row r="2690" spans="1:5" x14ac:dyDescent="0.25">
      <c r="A2690" s="4" t="s">
        <v>53</v>
      </c>
      <c r="B2690" s="4" t="s">
        <v>24</v>
      </c>
      <c r="C2690" s="5">
        <v>45315</v>
      </c>
      <c r="D2690" s="4">
        <v>1.6</v>
      </c>
      <c r="E2690" s="4">
        <v>0.5</v>
      </c>
    </row>
    <row r="2691" spans="1:5" x14ac:dyDescent="0.25">
      <c r="A2691" s="4" t="s">
        <v>53</v>
      </c>
      <c r="B2691" s="4" t="s">
        <v>24</v>
      </c>
      <c r="C2691" s="5">
        <v>45315</v>
      </c>
      <c r="D2691" s="4">
        <v>1.3</v>
      </c>
      <c r="E2691" s="4">
        <v>0.41</v>
      </c>
    </row>
    <row r="2692" spans="1:5" x14ac:dyDescent="0.25">
      <c r="A2692" s="4" t="s">
        <v>53</v>
      </c>
      <c r="B2692" s="4" t="s">
        <v>24</v>
      </c>
      <c r="C2692" s="5">
        <v>45315</v>
      </c>
      <c r="D2692" s="4">
        <v>1.6</v>
      </c>
      <c r="E2692" s="4">
        <v>0.5</v>
      </c>
    </row>
    <row r="2693" spans="1:5" x14ac:dyDescent="0.25">
      <c r="A2693" s="4" t="s">
        <v>53</v>
      </c>
      <c r="B2693" s="4" t="s">
        <v>24</v>
      </c>
      <c r="C2693" s="5">
        <v>45315</v>
      </c>
      <c r="D2693" s="4">
        <v>1.3</v>
      </c>
      <c r="E2693" s="4">
        <v>0.41</v>
      </c>
    </row>
    <row r="2694" spans="1:5" x14ac:dyDescent="0.25">
      <c r="A2694" s="4" t="s">
        <v>53</v>
      </c>
      <c r="B2694" s="4" t="s">
        <v>24</v>
      </c>
      <c r="C2694" s="5">
        <v>45315</v>
      </c>
      <c r="D2694" s="4">
        <v>1.6</v>
      </c>
      <c r="E2694" s="4">
        <v>0.5</v>
      </c>
    </row>
    <row r="2695" spans="1:5" x14ac:dyDescent="0.25">
      <c r="A2695" s="4" t="s">
        <v>53</v>
      </c>
      <c r="B2695" s="4" t="s">
        <v>24</v>
      </c>
      <c r="C2695" s="5">
        <v>45315</v>
      </c>
      <c r="D2695" s="4">
        <v>1.3</v>
      </c>
      <c r="E2695" s="4">
        <v>0.41</v>
      </c>
    </row>
    <row r="2696" spans="1:5" x14ac:dyDescent="0.25">
      <c r="A2696" s="4" t="s">
        <v>53</v>
      </c>
      <c r="B2696" s="4" t="s">
        <v>24</v>
      </c>
      <c r="C2696" s="5">
        <v>45315</v>
      </c>
      <c r="D2696" s="4">
        <v>1.6</v>
      </c>
      <c r="E2696" s="4">
        <v>0.5</v>
      </c>
    </row>
    <row r="2697" spans="1:5" x14ac:dyDescent="0.25">
      <c r="A2697" s="4" t="s">
        <v>53</v>
      </c>
      <c r="B2697" s="4" t="s">
        <v>24</v>
      </c>
      <c r="C2697" s="5">
        <v>45315</v>
      </c>
      <c r="D2697" s="4">
        <v>1.3</v>
      </c>
      <c r="E2697" s="4">
        <v>0.41</v>
      </c>
    </row>
    <row r="2698" spans="1:5" x14ac:dyDescent="0.25">
      <c r="A2698" s="4" t="s">
        <v>53</v>
      </c>
      <c r="B2698" s="4" t="s">
        <v>24</v>
      </c>
      <c r="C2698" s="5">
        <v>45315</v>
      </c>
      <c r="D2698" s="4">
        <v>1.6</v>
      </c>
      <c r="E2698" s="4">
        <v>0.5</v>
      </c>
    </row>
    <row r="2699" spans="1:5" x14ac:dyDescent="0.25">
      <c r="A2699" s="4" t="s">
        <v>53</v>
      </c>
      <c r="B2699" s="4" t="s">
        <v>24</v>
      </c>
      <c r="C2699" s="5">
        <v>45315</v>
      </c>
      <c r="D2699" s="4">
        <v>1.3</v>
      </c>
      <c r="E2699" s="4">
        <v>0.41</v>
      </c>
    </row>
    <row r="2700" spans="1:5" x14ac:dyDescent="0.25">
      <c r="A2700" s="4" t="s">
        <v>53</v>
      </c>
      <c r="B2700" s="4" t="s">
        <v>24</v>
      </c>
      <c r="C2700" s="5">
        <v>45315</v>
      </c>
      <c r="D2700" s="4">
        <v>1.6</v>
      </c>
      <c r="E2700" s="4">
        <v>0.5</v>
      </c>
    </row>
    <row r="2701" spans="1:5" x14ac:dyDescent="0.25">
      <c r="A2701" s="4" t="s">
        <v>53</v>
      </c>
      <c r="B2701" s="4" t="s">
        <v>24</v>
      </c>
      <c r="C2701" s="5">
        <v>45315</v>
      </c>
      <c r="D2701" s="4">
        <v>1.3</v>
      </c>
      <c r="E2701" s="4">
        <v>0.41</v>
      </c>
    </row>
    <row r="2702" spans="1:5" x14ac:dyDescent="0.25">
      <c r="A2702" s="4" t="s">
        <v>53</v>
      </c>
      <c r="B2702" s="4" t="s">
        <v>24</v>
      </c>
      <c r="C2702" s="5">
        <v>45315</v>
      </c>
      <c r="D2702" s="4">
        <v>3.9</v>
      </c>
      <c r="E2702" s="4">
        <v>1.25</v>
      </c>
    </row>
    <row r="2703" spans="1:5" x14ac:dyDescent="0.25">
      <c r="A2703" s="4" t="s">
        <v>53</v>
      </c>
      <c r="B2703" s="4" t="s">
        <v>24</v>
      </c>
      <c r="C2703" s="5">
        <v>45316</v>
      </c>
      <c r="D2703" s="4">
        <v>83.6</v>
      </c>
      <c r="E2703" s="4">
        <v>27.07</v>
      </c>
    </row>
    <row r="2704" spans="1:5" x14ac:dyDescent="0.25">
      <c r="A2704" s="4" t="s">
        <v>53</v>
      </c>
      <c r="B2704" s="4" t="s">
        <v>24</v>
      </c>
      <c r="C2704" s="5">
        <v>45316</v>
      </c>
      <c r="D2704" s="4">
        <v>9.6999999999999993</v>
      </c>
      <c r="E2704" s="4">
        <v>3.15</v>
      </c>
    </row>
    <row r="2705" spans="1:5" x14ac:dyDescent="0.25">
      <c r="A2705" s="4" t="s">
        <v>53</v>
      </c>
      <c r="B2705" s="4" t="s">
        <v>24</v>
      </c>
      <c r="C2705" s="5">
        <v>45316</v>
      </c>
      <c r="D2705" s="4">
        <v>9.6999999999999993</v>
      </c>
      <c r="E2705" s="4">
        <v>3.15</v>
      </c>
    </row>
    <row r="2706" spans="1:5" x14ac:dyDescent="0.25">
      <c r="A2706" s="4" t="s">
        <v>53</v>
      </c>
      <c r="B2706" s="4" t="s">
        <v>24</v>
      </c>
      <c r="C2706" s="5">
        <v>45316</v>
      </c>
      <c r="D2706" s="4">
        <v>9.6999999999999993</v>
      </c>
      <c r="E2706" s="4">
        <v>3.15</v>
      </c>
    </row>
    <row r="2707" spans="1:5" x14ac:dyDescent="0.25">
      <c r="A2707" s="4" t="s">
        <v>53</v>
      </c>
      <c r="B2707" s="4" t="s">
        <v>24</v>
      </c>
      <c r="C2707" s="5">
        <v>45316</v>
      </c>
      <c r="D2707" s="4">
        <v>9.6999999999999993</v>
      </c>
      <c r="E2707" s="4">
        <v>3.15</v>
      </c>
    </row>
    <row r="2708" spans="1:5" x14ac:dyDescent="0.25">
      <c r="A2708" s="4" t="s">
        <v>53</v>
      </c>
      <c r="B2708" s="4" t="s">
        <v>24</v>
      </c>
      <c r="C2708" s="5">
        <v>45316</v>
      </c>
      <c r="D2708" s="4">
        <v>9.6999999999999993</v>
      </c>
      <c r="E2708" s="4">
        <v>3.15</v>
      </c>
    </row>
    <row r="2709" spans="1:5" x14ac:dyDescent="0.25">
      <c r="A2709" s="4" t="s">
        <v>53</v>
      </c>
      <c r="B2709" s="4" t="s">
        <v>24</v>
      </c>
      <c r="C2709" s="5">
        <v>45316</v>
      </c>
      <c r="D2709" s="4">
        <v>9.6999999999999993</v>
      </c>
      <c r="E2709" s="4">
        <v>3.15</v>
      </c>
    </row>
    <row r="2710" spans="1:5" x14ac:dyDescent="0.25">
      <c r="A2710" s="4" t="s">
        <v>53</v>
      </c>
      <c r="B2710" s="4" t="s">
        <v>24</v>
      </c>
      <c r="C2710" s="5">
        <v>45316</v>
      </c>
      <c r="D2710" s="4">
        <v>9.6999999999999993</v>
      </c>
      <c r="E2710" s="4">
        <v>3.15</v>
      </c>
    </row>
    <row r="2711" spans="1:5" x14ac:dyDescent="0.25">
      <c r="A2711" s="4" t="s">
        <v>53</v>
      </c>
      <c r="B2711" s="4" t="s">
        <v>24</v>
      </c>
      <c r="C2711" s="5">
        <v>45316</v>
      </c>
      <c r="D2711" s="4">
        <v>14</v>
      </c>
      <c r="E2711" s="4">
        <v>4.54</v>
      </c>
    </row>
    <row r="2712" spans="1:5" x14ac:dyDescent="0.25">
      <c r="A2712" s="4" t="s">
        <v>53</v>
      </c>
      <c r="B2712" s="4" t="s">
        <v>24</v>
      </c>
      <c r="C2712" s="5">
        <v>45317</v>
      </c>
      <c r="D2712" s="4">
        <v>5.4</v>
      </c>
      <c r="E2712" s="4">
        <v>1.69</v>
      </c>
    </row>
    <row r="2713" spans="1:5" x14ac:dyDescent="0.25">
      <c r="A2713" s="4" t="s">
        <v>53</v>
      </c>
      <c r="B2713" s="4" t="s">
        <v>24</v>
      </c>
      <c r="C2713" s="5">
        <v>45317</v>
      </c>
      <c r="D2713" s="4">
        <v>1.3</v>
      </c>
      <c r="E2713" s="4">
        <v>0.41</v>
      </c>
    </row>
    <row r="2714" spans="1:5" x14ac:dyDescent="0.25">
      <c r="A2714" s="4" t="s">
        <v>53</v>
      </c>
      <c r="B2714" s="4" t="s">
        <v>24</v>
      </c>
      <c r="C2714" s="5">
        <v>45317</v>
      </c>
      <c r="D2714" s="4">
        <v>1.6</v>
      </c>
      <c r="E2714" s="4">
        <v>0.5</v>
      </c>
    </row>
    <row r="2715" spans="1:5" x14ac:dyDescent="0.25">
      <c r="A2715" s="4" t="s">
        <v>53</v>
      </c>
      <c r="B2715" s="4" t="s">
        <v>24</v>
      </c>
      <c r="C2715" s="5">
        <v>45317</v>
      </c>
      <c r="D2715" s="4">
        <v>1.3</v>
      </c>
      <c r="E2715" s="4">
        <v>0.41</v>
      </c>
    </row>
    <row r="2716" spans="1:5" x14ac:dyDescent="0.25">
      <c r="A2716" s="4" t="s">
        <v>53</v>
      </c>
      <c r="B2716" s="4" t="s">
        <v>24</v>
      </c>
      <c r="C2716" s="5">
        <v>45317</v>
      </c>
      <c r="D2716" s="4">
        <v>1.6</v>
      </c>
      <c r="E2716" s="4">
        <v>0.5</v>
      </c>
    </row>
    <row r="2717" spans="1:5" x14ac:dyDescent="0.25">
      <c r="A2717" s="4" t="s">
        <v>53</v>
      </c>
      <c r="B2717" s="4" t="s">
        <v>24</v>
      </c>
      <c r="C2717" s="5">
        <v>45317</v>
      </c>
      <c r="D2717" s="4">
        <v>1.3</v>
      </c>
      <c r="E2717" s="4">
        <v>0.41</v>
      </c>
    </row>
    <row r="2718" spans="1:5" x14ac:dyDescent="0.25">
      <c r="A2718" s="4" t="s">
        <v>53</v>
      </c>
      <c r="B2718" s="4" t="s">
        <v>24</v>
      </c>
      <c r="C2718" s="5">
        <v>45317</v>
      </c>
      <c r="D2718" s="4">
        <v>1.6</v>
      </c>
      <c r="E2718" s="4">
        <v>0.5</v>
      </c>
    </row>
    <row r="2719" spans="1:5" x14ac:dyDescent="0.25">
      <c r="A2719" s="4" t="s">
        <v>53</v>
      </c>
      <c r="B2719" s="4" t="s">
        <v>24</v>
      </c>
      <c r="C2719" s="5">
        <v>45317</v>
      </c>
      <c r="D2719" s="4">
        <v>1.3</v>
      </c>
      <c r="E2719" s="4">
        <v>0.41</v>
      </c>
    </row>
    <row r="2720" spans="1:5" x14ac:dyDescent="0.25">
      <c r="A2720" s="4" t="s">
        <v>53</v>
      </c>
      <c r="B2720" s="4" t="s">
        <v>24</v>
      </c>
      <c r="C2720" s="5">
        <v>45317</v>
      </c>
      <c r="D2720" s="4">
        <v>1.6</v>
      </c>
      <c r="E2720" s="4">
        <v>0.5</v>
      </c>
    </row>
    <row r="2721" spans="1:5" x14ac:dyDescent="0.25">
      <c r="A2721" s="4" t="s">
        <v>53</v>
      </c>
      <c r="B2721" s="4" t="s">
        <v>24</v>
      </c>
      <c r="C2721" s="5">
        <v>45317</v>
      </c>
      <c r="D2721" s="4">
        <v>1.3</v>
      </c>
      <c r="E2721" s="4">
        <v>0.41</v>
      </c>
    </row>
    <row r="2722" spans="1:5" x14ac:dyDescent="0.25">
      <c r="A2722" s="4" t="s">
        <v>53</v>
      </c>
      <c r="B2722" s="4" t="s">
        <v>24</v>
      </c>
      <c r="C2722" s="5">
        <v>45317</v>
      </c>
      <c r="D2722" s="4">
        <v>1.6</v>
      </c>
      <c r="E2722" s="4">
        <v>0.5</v>
      </c>
    </row>
    <row r="2723" spans="1:5" x14ac:dyDescent="0.25">
      <c r="A2723" s="4" t="s">
        <v>53</v>
      </c>
      <c r="B2723" s="4" t="s">
        <v>24</v>
      </c>
      <c r="C2723" s="5">
        <v>45317</v>
      </c>
      <c r="D2723" s="4">
        <v>1.3</v>
      </c>
      <c r="E2723" s="4">
        <v>0.41</v>
      </c>
    </row>
    <row r="2724" spans="1:5" x14ac:dyDescent="0.25">
      <c r="A2724" s="4" t="s">
        <v>53</v>
      </c>
      <c r="B2724" s="4" t="s">
        <v>24</v>
      </c>
      <c r="C2724" s="5">
        <v>45317</v>
      </c>
      <c r="D2724" s="4">
        <v>1.6</v>
      </c>
      <c r="E2724" s="4">
        <v>0.5</v>
      </c>
    </row>
    <row r="2725" spans="1:5" x14ac:dyDescent="0.25">
      <c r="A2725" s="4" t="s">
        <v>53</v>
      </c>
      <c r="B2725" s="4" t="s">
        <v>24</v>
      </c>
      <c r="C2725" s="5">
        <v>45317</v>
      </c>
      <c r="D2725" s="4">
        <v>1.3</v>
      </c>
      <c r="E2725" s="4">
        <v>0.41</v>
      </c>
    </row>
    <row r="2726" spans="1:5" x14ac:dyDescent="0.25">
      <c r="A2726" s="4" t="s">
        <v>53</v>
      </c>
      <c r="B2726" s="4" t="s">
        <v>24</v>
      </c>
      <c r="C2726" s="5">
        <v>45317</v>
      </c>
      <c r="D2726" s="4">
        <v>1.6</v>
      </c>
      <c r="E2726" s="4">
        <v>0.5</v>
      </c>
    </row>
    <row r="2727" spans="1:5" x14ac:dyDescent="0.25">
      <c r="A2727" s="4" t="s">
        <v>53</v>
      </c>
      <c r="B2727" s="4" t="s">
        <v>24</v>
      </c>
      <c r="C2727" s="5">
        <v>45317</v>
      </c>
      <c r="D2727" s="4">
        <v>1.3</v>
      </c>
      <c r="E2727" s="4">
        <v>0.41</v>
      </c>
    </row>
    <row r="2728" spans="1:5" x14ac:dyDescent="0.25">
      <c r="A2728" s="4" t="s">
        <v>53</v>
      </c>
      <c r="B2728" s="4" t="s">
        <v>24</v>
      </c>
      <c r="C2728" s="5">
        <v>45317</v>
      </c>
      <c r="D2728" s="4">
        <v>3.9</v>
      </c>
      <c r="E2728" s="4">
        <v>1.25</v>
      </c>
    </row>
    <row r="2729" spans="1:5" x14ac:dyDescent="0.25">
      <c r="A2729" s="4" t="s">
        <v>53</v>
      </c>
      <c r="B2729" s="4" t="s">
        <v>24</v>
      </c>
      <c r="C2729" s="5">
        <v>45320</v>
      </c>
      <c r="D2729" s="4">
        <v>11</v>
      </c>
      <c r="E2729" s="4">
        <v>3.57</v>
      </c>
    </row>
    <row r="2730" spans="1:5" x14ac:dyDescent="0.25">
      <c r="A2730" s="4" t="s">
        <v>53</v>
      </c>
      <c r="B2730" s="4" t="s">
        <v>24</v>
      </c>
      <c r="C2730" s="5">
        <v>45320</v>
      </c>
      <c r="D2730" s="4">
        <v>10.7</v>
      </c>
      <c r="E2730" s="4">
        <v>3.44</v>
      </c>
    </row>
    <row r="2731" spans="1:5" x14ac:dyDescent="0.25">
      <c r="A2731" s="4" t="s">
        <v>53</v>
      </c>
      <c r="B2731" s="4" t="s">
        <v>24</v>
      </c>
      <c r="C2731" s="5">
        <v>45320</v>
      </c>
      <c r="D2731" s="4">
        <v>1.4</v>
      </c>
      <c r="E2731" s="4">
        <v>0.46</v>
      </c>
    </row>
    <row r="2732" spans="1:5" x14ac:dyDescent="0.25">
      <c r="A2732" s="4" t="s">
        <v>53</v>
      </c>
      <c r="B2732" s="4" t="s">
        <v>24</v>
      </c>
      <c r="C2732" s="5">
        <v>45320</v>
      </c>
      <c r="D2732" s="4">
        <v>15.5</v>
      </c>
      <c r="E2732" s="4">
        <v>4.97</v>
      </c>
    </row>
    <row r="2733" spans="1:5" x14ac:dyDescent="0.25">
      <c r="A2733" s="4" t="s">
        <v>53</v>
      </c>
      <c r="B2733" s="4" t="s">
        <v>24</v>
      </c>
      <c r="C2733" s="5">
        <v>45320</v>
      </c>
      <c r="D2733" s="4">
        <v>1.2</v>
      </c>
      <c r="E2733" s="4">
        <v>0.38</v>
      </c>
    </row>
    <row r="2734" spans="1:5" x14ac:dyDescent="0.25">
      <c r="A2734" s="4" t="s">
        <v>53</v>
      </c>
      <c r="B2734" s="4" t="s">
        <v>24</v>
      </c>
      <c r="C2734" s="5">
        <v>45320</v>
      </c>
      <c r="D2734" s="4">
        <v>14.8</v>
      </c>
      <c r="E2734" s="4">
        <v>4.7699999999999996</v>
      </c>
    </row>
    <row r="2735" spans="1:5" x14ac:dyDescent="0.25">
      <c r="A2735" s="4" t="s">
        <v>53</v>
      </c>
      <c r="B2735" s="4" t="s">
        <v>24</v>
      </c>
      <c r="C2735" s="5">
        <v>45320</v>
      </c>
      <c r="D2735" s="4">
        <v>16</v>
      </c>
      <c r="E2735" s="4">
        <v>5.15</v>
      </c>
    </row>
    <row r="2736" spans="1:5" x14ac:dyDescent="0.25">
      <c r="A2736" s="4" t="s">
        <v>53</v>
      </c>
      <c r="B2736" s="4" t="s">
        <v>24</v>
      </c>
      <c r="C2736" s="5">
        <v>45320</v>
      </c>
      <c r="D2736" s="4">
        <v>0.9</v>
      </c>
      <c r="E2736" s="4">
        <v>0.28000000000000003</v>
      </c>
    </row>
    <row r="2737" spans="1:5" x14ac:dyDescent="0.25">
      <c r="A2737" s="4" t="s">
        <v>53</v>
      </c>
      <c r="B2737" s="4" t="s">
        <v>24</v>
      </c>
      <c r="C2737" s="5">
        <v>45320</v>
      </c>
      <c r="D2737" s="4">
        <v>1</v>
      </c>
      <c r="E2737" s="4">
        <v>0.31</v>
      </c>
    </row>
    <row r="2738" spans="1:5" x14ac:dyDescent="0.25">
      <c r="A2738" s="4" t="s">
        <v>53</v>
      </c>
      <c r="B2738" s="4" t="s">
        <v>24</v>
      </c>
      <c r="C2738" s="5">
        <v>45320</v>
      </c>
      <c r="D2738" s="4">
        <v>1.2</v>
      </c>
      <c r="E2738" s="4">
        <v>0.38</v>
      </c>
    </row>
    <row r="2739" spans="1:5" x14ac:dyDescent="0.25">
      <c r="A2739" s="4" t="s">
        <v>53</v>
      </c>
      <c r="B2739" s="4" t="s">
        <v>24</v>
      </c>
      <c r="C2739" s="5">
        <v>45320</v>
      </c>
      <c r="D2739" s="4">
        <v>0.5</v>
      </c>
      <c r="E2739" s="4">
        <v>0.16</v>
      </c>
    </row>
    <row r="2740" spans="1:5" x14ac:dyDescent="0.25">
      <c r="A2740" s="4" t="s">
        <v>53</v>
      </c>
      <c r="B2740" s="4" t="s">
        <v>24</v>
      </c>
      <c r="C2740" s="5">
        <v>45320</v>
      </c>
      <c r="D2740" s="4">
        <v>2.5</v>
      </c>
      <c r="E2740" s="4">
        <v>0.81</v>
      </c>
    </row>
    <row r="2741" spans="1:5" x14ac:dyDescent="0.25">
      <c r="A2741" s="4" t="s">
        <v>53</v>
      </c>
      <c r="B2741" s="4" t="s">
        <v>24</v>
      </c>
      <c r="C2741" s="5">
        <v>45327</v>
      </c>
      <c r="D2741" s="4">
        <v>23.6</v>
      </c>
      <c r="E2741" s="4">
        <v>7.61</v>
      </c>
    </row>
    <row r="2742" spans="1:5" x14ac:dyDescent="0.25">
      <c r="A2742" s="4" t="s">
        <v>53</v>
      </c>
      <c r="B2742" s="4" t="s">
        <v>24</v>
      </c>
      <c r="C2742" s="5">
        <v>45327</v>
      </c>
      <c r="D2742" s="4">
        <v>5</v>
      </c>
      <c r="E2742" s="4">
        <v>1.59</v>
      </c>
    </row>
    <row r="2743" spans="1:5" x14ac:dyDescent="0.25">
      <c r="A2743" s="4" t="s">
        <v>53</v>
      </c>
      <c r="B2743" s="4" t="s">
        <v>24</v>
      </c>
      <c r="C2743" s="5">
        <v>45327</v>
      </c>
      <c r="D2743" s="4">
        <v>1.4</v>
      </c>
      <c r="E2743" s="4">
        <v>0.44</v>
      </c>
    </row>
    <row r="2744" spans="1:5" x14ac:dyDescent="0.25">
      <c r="A2744" s="4" t="s">
        <v>53</v>
      </c>
      <c r="B2744" s="4" t="s">
        <v>24</v>
      </c>
      <c r="C2744" s="5">
        <v>45327</v>
      </c>
      <c r="D2744" s="4">
        <v>1.2</v>
      </c>
      <c r="E2744" s="4">
        <v>0.37</v>
      </c>
    </row>
    <row r="2745" spans="1:5" x14ac:dyDescent="0.25">
      <c r="A2745" s="4" t="s">
        <v>53</v>
      </c>
      <c r="B2745" s="4" t="s">
        <v>24</v>
      </c>
      <c r="C2745" s="5">
        <v>45327</v>
      </c>
      <c r="D2745" s="4">
        <v>24.2</v>
      </c>
      <c r="E2745" s="4">
        <v>7.79</v>
      </c>
    </row>
    <row r="2746" spans="1:5" x14ac:dyDescent="0.25">
      <c r="A2746" s="4" t="s">
        <v>53</v>
      </c>
      <c r="B2746" s="4" t="s">
        <v>24</v>
      </c>
      <c r="C2746" s="5">
        <v>45327</v>
      </c>
      <c r="D2746" s="4">
        <v>30.6</v>
      </c>
      <c r="E2746" s="4">
        <v>9.92</v>
      </c>
    </row>
    <row r="2747" spans="1:5" x14ac:dyDescent="0.25">
      <c r="A2747" s="4" t="s">
        <v>53</v>
      </c>
      <c r="B2747" s="4" t="s">
        <v>24</v>
      </c>
      <c r="C2747" s="5">
        <v>45328</v>
      </c>
      <c r="D2747" s="4">
        <v>8.8000000000000007</v>
      </c>
      <c r="E2747" s="4">
        <v>2.85</v>
      </c>
    </row>
    <row r="2748" spans="1:5" x14ac:dyDescent="0.25">
      <c r="A2748" s="4" t="s">
        <v>53</v>
      </c>
      <c r="B2748" s="4" t="s">
        <v>24</v>
      </c>
      <c r="C2748" s="5">
        <v>45328</v>
      </c>
      <c r="D2748" s="4">
        <v>8.5</v>
      </c>
      <c r="E2748" s="4">
        <v>2.75</v>
      </c>
    </row>
    <row r="2749" spans="1:5" x14ac:dyDescent="0.25">
      <c r="A2749" s="4" t="s">
        <v>53</v>
      </c>
      <c r="B2749" s="4" t="s">
        <v>24</v>
      </c>
      <c r="C2749" s="5">
        <v>45328</v>
      </c>
      <c r="D2749" s="4">
        <v>5.9</v>
      </c>
      <c r="E2749" s="4">
        <v>1.91</v>
      </c>
    </row>
    <row r="2750" spans="1:5" x14ac:dyDescent="0.25">
      <c r="A2750" s="4" t="s">
        <v>53</v>
      </c>
      <c r="B2750" s="4" t="s">
        <v>24</v>
      </c>
      <c r="C2750" s="5">
        <v>45328</v>
      </c>
      <c r="D2750" s="4">
        <v>8.5</v>
      </c>
      <c r="E2750" s="4">
        <v>2.75</v>
      </c>
    </row>
    <row r="2751" spans="1:5" x14ac:dyDescent="0.25">
      <c r="A2751" s="4" t="s">
        <v>53</v>
      </c>
      <c r="B2751" s="4" t="s">
        <v>24</v>
      </c>
      <c r="C2751" s="5">
        <v>45328</v>
      </c>
      <c r="D2751" s="4">
        <v>5.9</v>
      </c>
      <c r="E2751" s="4">
        <v>1.91</v>
      </c>
    </row>
    <row r="2752" spans="1:5" x14ac:dyDescent="0.25">
      <c r="A2752" s="4" t="s">
        <v>53</v>
      </c>
      <c r="B2752" s="4" t="s">
        <v>24</v>
      </c>
      <c r="C2752" s="5">
        <v>45328</v>
      </c>
      <c r="D2752" s="4">
        <v>8.5</v>
      </c>
      <c r="E2752" s="4">
        <v>2.75</v>
      </c>
    </row>
    <row r="2753" spans="1:5" x14ac:dyDescent="0.25">
      <c r="A2753" s="4" t="s">
        <v>53</v>
      </c>
      <c r="B2753" s="4" t="s">
        <v>24</v>
      </c>
      <c r="C2753" s="5">
        <v>45328</v>
      </c>
      <c r="D2753" s="4">
        <v>5.9</v>
      </c>
      <c r="E2753" s="4">
        <v>1.91</v>
      </c>
    </row>
    <row r="2754" spans="1:5" x14ac:dyDescent="0.25">
      <c r="A2754" s="4" t="s">
        <v>53</v>
      </c>
      <c r="B2754" s="4" t="s">
        <v>24</v>
      </c>
      <c r="C2754" s="5">
        <v>45328</v>
      </c>
      <c r="D2754" s="4">
        <v>8.5</v>
      </c>
      <c r="E2754" s="4">
        <v>2.75</v>
      </c>
    </row>
    <row r="2755" spans="1:5" x14ac:dyDescent="0.25">
      <c r="A2755" s="4" t="s">
        <v>53</v>
      </c>
      <c r="B2755" s="4" t="s">
        <v>24</v>
      </c>
      <c r="C2755" s="5">
        <v>45328</v>
      </c>
      <c r="D2755" s="4">
        <v>5.9</v>
      </c>
      <c r="E2755" s="4">
        <v>1.91</v>
      </c>
    </row>
    <row r="2756" spans="1:5" x14ac:dyDescent="0.25">
      <c r="A2756" s="4" t="s">
        <v>53</v>
      </c>
      <c r="B2756" s="4" t="s">
        <v>24</v>
      </c>
      <c r="C2756" s="5">
        <v>45328</v>
      </c>
      <c r="D2756" s="4">
        <v>8.5</v>
      </c>
      <c r="E2756" s="4">
        <v>2.75</v>
      </c>
    </row>
    <row r="2757" spans="1:5" x14ac:dyDescent="0.25">
      <c r="A2757" s="4" t="s">
        <v>53</v>
      </c>
      <c r="B2757" s="4" t="s">
        <v>24</v>
      </c>
      <c r="C2757" s="5">
        <v>45328</v>
      </c>
      <c r="D2757" s="4">
        <v>8.6999999999999993</v>
      </c>
      <c r="E2757" s="4">
        <v>2.82</v>
      </c>
    </row>
    <row r="2758" spans="1:5" x14ac:dyDescent="0.25">
      <c r="A2758" s="4" t="s">
        <v>53</v>
      </c>
      <c r="B2758" s="4" t="s">
        <v>24</v>
      </c>
      <c r="C2758" s="5">
        <v>45329</v>
      </c>
      <c r="D2758" s="4">
        <v>26.2</v>
      </c>
      <c r="E2758" s="4">
        <v>8.49</v>
      </c>
    </row>
    <row r="2759" spans="1:5" x14ac:dyDescent="0.25">
      <c r="A2759" s="4" t="s">
        <v>53</v>
      </c>
      <c r="B2759" s="4" t="s">
        <v>24</v>
      </c>
      <c r="C2759" s="5">
        <v>45329</v>
      </c>
      <c r="D2759" s="4">
        <v>44.4</v>
      </c>
      <c r="E2759" s="4">
        <v>14.38</v>
      </c>
    </row>
    <row r="2760" spans="1:5" x14ac:dyDescent="0.25">
      <c r="A2760" s="4" t="s">
        <v>53</v>
      </c>
      <c r="B2760" s="4" t="s">
        <v>24</v>
      </c>
      <c r="C2760" s="5">
        <v>45330</v>
      </c>
      <c r="D2760" s="4">
        <v>26.2</v>
      </c>
      <c r="E2760" s="4">
        <v>8.49</v>
      </c>
    </row>
    <row r="2761" spans="1:5" x14ac:dyDescent="0.25">
      <c r="A2761" s="4" t="s">
        <v>53</v>
      </c>
      <c r="B2761" s="4" t="s">
        <v>24</v>
      </c>
      <c r="C2761" s="5">
        <v>45330</v>
      </c>
      <c r="D2761" s="4">
        <v>44.4</v>
      </c>
      <c r="E2761" s="4">
        <v>14.38</v>
      </c>
    </row>
    <row r="2762" spans="1:5" x14ac:dyDescent="0.25">
      <c r="A2762" s="4" t="s">
        <v>53</v>
      </c>
      <c r="B2762" s="4" t="s">
        <v>24</v>
      </c>
      <c r="C2762" s="5">
        <v>45331</v>
      </c>
      <c r="D2762" s="4">
        <v>18.7</v>
      </c>
      <c r="E2762" s="4">
        <v>6.06</v>
      </c>
    </row>
    <row r="2763" spans="1:5" x14ac:dyDescent="0.25">
      <c r="A2763" s="4" t="s">
        <v>53</v>
      </c>
      <c r="B2763" s="4" t="s">
        <v>24</v>
      </c>
      <c r="C2763" s="5">
        <v>45331</v>
      </c>
      <c r="D2763" s="4">
        <v>1.4</v>
      </c>
      <c r="E2763" s="4">
        <v>0.44</v>
      </c>
    </row>
    <row r="2764" spans="1:5" x14ac:dyDescent="0.25">
      <c r="A2764" s="4" t="s">
        <v>53</v>
      </c>
      <c r="B2764" s="4" t="s">
        <v>24</v>
      </c>
      <c r="C2764" s="5">
        <v>45331</v>
      </c>
      <c r="D2764" s="4">
        <v>2.2999999999999998</v>
      </c>
      <c r="E2764" s="4">
        <v>0.73</v>
      </c>
    </row>
    <row r="2765" spans="1:5" x14ac:dyDescent="0.25">
      <c r="A2765" s="4" t="s">
        <v>53</v>
      </c>
      <c r="B2765" s="4" t="s">
        <v>24</v>
      </c>
      <c r="C2765" s="5">
        <v>45331</v>
      </c>
      <c r="D2765" s="4">
        <v>1.4</v>
      </c>
      <c r="E2765" s="4">
        <v>0.44</v>
      </c>
    </row>
    <row r="2766" spans="1:5" x14ac:dyDescent="0.25">
      <c r="A2766" s="4" t="s">
        <v>53</v>
      </c>
      <c r="B2766" s="4" t="s">
        <v>24</v>
      </c>
      <c r="C2766" s="5">
        <v>45331</v>
      </c>
      <c r="D2766" s="4">
        <v>10</v>
      </c>
      <c r="E2766" s="4">
        <v>3.22</v>
      </c>
    </row>
    <row r="2767" spans="1:5" x14ac:dyDescent="0.25">
      <c r="A2767" s="4" t="s">
        <v>53</v>
      </c>
      <c r="B2767" s="4" t="s">
        <v>24</v>
      </c>
      <c r="C2767" s="5">
        <v>45331</v>
      </c>
      <c r="D2767" s="4">
        <v>9.1</v>
      </c>
      <c r="E2767" s="4">
        <v>2.93</v>
      </c>
    </row>
    <row r="2768" spans="1:5" x14ac:dyDescent="0.25">
      <c r="A2768" s="4" t="s">
        <v>53</v>
      </c>
      <c r="B2768" s="4" t="s">
        <v>24</v>
      </c>
      <c r="C2768" s="5">
        <v>45331</v>
      </c>
      <c r="D2768" s="4">
        <v>2.2999999999999998</v>
      </c>
      <c r="E2768" s="4">
        <v>0.73</v>
      </c>
    </row>
    <row r="2769" spans="1:5" x14ac:dyDescent="0.25">
      <c r="A2769" s="4" t="s">
        <v>53</v>
      </c>
      <c r="B2769" s="4" t="s">
        <v>24</v>
      </c>
      <c r="C2769" s="5">
        <v>45331</v>
      </c>
      <c r="D2769" s="4">
        <v>1.4</v>
      </c>
      <c r="E2769" s="4">
        <v>0.44</v>
      </c>
    </row>
    <row r="2770" spans="1:5" x14ac:dyDescent="0.25">
      <c r="A2770" s="4" t="s">
        <v>53</v>
      </c>
      <c r="B2770" s="4" t="s">
        <v>24</v>
      </c>
      <c r="C2770" s="5">
        <v>45331</v>
      </c>
      <c r="D2770" s="4">
        <v>2.2999999999999998</v>
      </c>
      <c r="E2770" s="4">
        <v>0.73</v>
      </c>
    </row>
    <row r="2771" spans="1:5" x14ac:dyDescent="0.25">
      <c r="A2771" s="4" t="s">
        <v>53</v>
      </c>
      <c r="B2771" s="4" t="s">
        <v>24</v>
      </c>
      <c r="C2771" s="5">
        <v>45331</v>
      </c>
      <c r="D2771" s="4">
        <v>1.4</v>
      </c>
      <c r="E2771" s="4">
        <v>0.44</v>
      </c>
    </row>
    <row r="2772" spans="1:5" x14ac:dyDescent="0.25">
      <c r="A2772" s="4" t="s">
        <v>53</v>
      </c>
      <c r="B2772" s="4" t="s">
        <v>24</v>
      </c>
      <c r="C2772" s="5">
        <v>45331</v>
      </c>
      <c r="D2772" s="4">
        <v>21</v>
      </c>
      <c r="E2772" s="4">
        <v>6.79</v>
      </c>
    </row>
    <row r="2773" spans="1:5" x14ac:dyDescent="0.25">
      <c r="A2773" s="4" t="s">
        <v>53</v>
      </c>
      <c r="B2773" s="4" t="s">
        <v>24</v>
      </c>
      <c r="C2773" s="5">
        <v>45334</v>
      </c>
      <c r="D2773" s="4">
        <v>26.2</v>
      </c>
      <c r="E2773" s="4">
        <v>8.49</v>
      </c>
    </row>
    <row r="2774" spans="1:5" x14ac:dyDescent="0.25">
      <c r="A2774" s="4" t="s">
        <v>53</v>
      </c>
      <c r="B2774" s="4" t="s">
        <v>24</v>
      </c>
      <c r="C2774" s="5">
        <v>45334</v>
      </c>
      <c r="D2774" s="4">
        <v>44.4</v>
      </c>
      <c r="E2774" s="4">
        <v>14.38</v>
      </c>
    </row>
    <row r="2775" spans="1:5" x14ac:dyDescent="0.25">
      <c r="A2775" s="4" t="s">
        <v>53</v>
      </c>
      <c r="B2775" s="4" t="s">
        <v>24</v>
      </c>
      <c r="C2775" s="5">
        <v>45335</v>
      </c>
      <c r="D2775" s="4">
        <v>9.1</v>
      </c>
      <c r="E2775" s="4">
        <v>2.88</v>
      </c>
    </row>
    <row r="2776" spans="1:5" x14ac:dyDescent="0.25">
      <c r="A2776" s="4" t="s">
        <v>53</v>
      </c>
      <c r="B2776" s="4" t="s">
        <v>24</v>
      </c>
      <c r="C2776" s="5">
        <v>45335</v>
      </c>
      <c r="D2776" s="4">
        <v>0.6</v>
      </c>
      <c r="E2776" s="4">
        <v>0.19</v>
      </c>
    </row>
    <row r="2777" spans="1:5" x14ac:dyDescent="0.25">
      <c r="A2777" s="4" t="s">
        <v>53</v>
      </c>
      <c r="B2777" s="4" t="s">
        <v>24</v>
      </c>
      <c r="C2777" s="5">
        <v>45335</v>
      </c>
      <c r="D2777" s="4">
        <v>9.9</v>
      </c>
      <c r="E2777" s="4">
        <v>3.2</v>
      </c>
    </row>
    <row r="2778" spans="1:5" x14ac:dyDescent="0.25">
      <c r="A2778" s="4" t="s">
        <v>53</v>
      </c>
      <c r="B2778" s="4" t="s">
        <v>24</v>
      </c>
      <c r="C2778" s="5">
        <v>45335</v>
      </c>
      <c r="D2778" s="4">
        <v>2.4</v>
      </c>
      <c r="E2778" s="4">
        <v>0.75</v>
      </c>
    </row>
    <row r="2779" spans="1:5" x14ac:dyDescent="0.25">
      <c r="A2779" s="4" t="s">
        <v>53</v>
      </c>
      <c r="B2779" s="4" t="s">
        <v>24</v>
      </c>
      <c r="C2779" s="5">
        <v>45335</v>
      </c>
      <c r="D2779" s="4">
        <v>9.9</v>
      </c>
      <c r="E2779" s="4">
        <v>3.2</v>
      </c>
    </row>
    <row r="2780" spans="1:5" x14ac:dyDescent="0.25">
      <c r="A2780" s="4" t="s">
        <v>53</v>
      </c>
      <c r="B2780" s="4" t="s">
        <v>24</v>
      </c>
      <c r="C2780" s="5">
        <v>45335</v>
      </c>
      <c r="D2780" s="4">
        <v>12.3</v>
      </c>
      <c r="E2780" s="4">
        <v>3.95</v>
      </c>
    </row>
    <row r="2781" spans="1:5" x14ac:dyDescent="0.25">
      <c r="A2781" s="4" t="s">
        <v>53</v>
      </c>
      <c r="B2781" s="4" t="s">
        <v>24</v>
      </c>
      <c r="C2781" s="5">
        <v>45335</v>
      </c>
      <c r="D2781" s="4">
        <v>9.9</v>
      </c>
      <c r="E2781" s="4">
        <v>3.2</v>
      </c>
    </row>
    <row r="2782" spans="1:5" x14ac:dyDescent="0.25">
      <c r="A2782" s="4" t="s">
        <v>53</v>
      </c>
      <c r="B2782" s="4" t="s">
        <v>24</v>
      </c>
      <c r="C2782" s="5">
        <v>45335</v>
      </c>
      <c r="D2782" s="4">
        <v>9.9</v>
      </c>
      <c r="E2782" s="4">
        <v>3.2</v>
      </c>
    </row>
    <row r="2783" spans="1:5" x14ac:dyDescent="0.25">
      <c r="A2783" s="4" t="s">
        <v>53</v>
      </c>
      <c r="B2783" s="4" t="s">
        <v>24</v>
      </c>
      <c r="C2783" s="5">
        <v>45335</v>
      </c>
      <c r="D2783" s="4">
        <v>30.6</v>
      </c>
      <c r="E2783" s="4">
        <v>9.92</v>
      </c>
    </row>
    <row r="2784" spans="1:5" x14ac:dyDescent="0.25">
      <c r="A2784" s="4" t="s">
        <v>53</v>
      </c>
      <c r="B2784" s="4" t="s">
        <v>24</v>
      </c>
      <c r="C2784" s="5">
        <v>45336</v>
      </c>
      <c r="D2784" s="4">
        <v>26.2</v>
      </c>
      <c r="E2784" s="4">
        <v>8.49</v>
      </c>
    </row>
    <row r="2785" spans="1:5" x14ac:dyDescent="0.25">
      <c r="A2785" s="4" t="s">
        <v>53</v>
      </c>
      <c r="B2785" s="4" t="s">
        <v>24</v>
      </c>
      <c r="C2785" s="5">
        <v>45337</v>
      </c>
      <c r="D2785" s="4">
        <v>59.8</v>
      </c>
      <c r="E2785" s="4">
        <v>19.38</v>
      </c>
    </row>
    <row r="2786" spans="1:5" x14ac:dyDescent="0.25">
      <c r="A2786" s="4" t="s">
        <v>53</v>
      </c>
      <c r="B2786" s="4" t="s">
        <v>24</v>
      </c>
      <c r="C2786" s="5">
        <v>45337</v>
      </c>
      <c r="D2786" s="4">
        <v>41.6</v>
      </c>
      <c r="E2786" s="4">
        <v>13.49</v>
      </c>
    </row>
    <row r="2787" spans="1:5" x14ac:dyDescent="0.25">
      <c r="A2787" s="4" t="s">
        <v>53</v>
      </c>
      <c r="B2787" s="4" t="s">
        <v>24</v>
      </c>
      <c r="C2787" s="5">
        <v>45337</v>
      </c>
      <c r="D2787" s="4">
        <v>44.4</v>
      </c>
      <c r="E2787" s="4">
        <v>14.38</v>
      </c>
    </row>
    <row r="2788" spans="1:5" x14ac:dyDescent="0.25">
      <c r="A2788" s="4" t="s">
        <v>53</v>
      </c>
      <c r="B2788" s="4" t="s">
        <v>36</v>
      </c>
      <c r="C2788" s="5">
        <v>45307</v>
      </c>
      <c r="D2788" s="4">
        <v>15.4</v>
      </c>
      <c r="E2788" s="4">
        <v>5.35</v>
      </c>
    </row>
    <row r="2789" spans="1:5" x14ac:dyDescent="0.25">
      <c r="A2789" s="4" t="s">
        <v>53</v>
      </c>
      <c r="B2789" s="4" t="s">
        <v>36</v>
      </c>
      <c r="C2789" s="5">
        <v>45307</v>
      </c>
      <c r="D2789" s="4">
        <v>31.3</v>
      </c>
      <c r="E2789" s="4">
        <v>10.86</v>
      </c>
    </row>
    <row r="2790" spans="1:5" x14ac:dyDescent="0.25">
      <c r="A2790" s="4" t="s">
        <v>53</v>
      </c>
      <c r="B2790" s="4" t="s">
        <v>36</v>
      </c>
      <c r="C2790" s="5">
        <v>45307</v>
      </c>
      <c r="D2790" s="4">
        <v>13.8</v>
      </c>
      <c r="E2790" s="4">
        <v>4.78</v>
      </c>
    </row>
    <row r="2791" spans="1:5" x14ac:dyDescent="0.25">
      <c r="A2791" s="4" t="s">
        <v>53</v>
      </c>
      <c r="B2791" s="4" t="s">
        <v>36</v>
      </c>
      <c r="C2791" s="5">
        <v>45307</v>
      </c>
      <c r="D2791" s="4">
        <v>13</v>
      </c>
      <c r="E2791" s="4">
        <v>4.5</v>
      </c>
    </row>
    <row r="2792" spans="1:5" x14ac:dyDescent="0.25">
      <c r="A2792" s="4" t="s">
        <v>53</v>
      </c>
      <c r="B2792" s="4" t="s">
        <v>36</v>
      </c>
      <c r="C2792" s="5">
        <v>45307</v>
      </c>
      <c r="D2792" s="4">
        <v>13.8</v>
      </c>
      <c r="E2792" s="4">
        <v>4.78</v>
      </c>
    </row>
    <row r="2793" spans="1:5" x14ac:dyDescent="0.25">
      <c r="A2793" s="4" t="s">
        <v>53</v>
      </c>
      <c r="B2793" s="4" t="s">
        <v>36</v>
      </c>
      <c r="C2793" s="5">
        <v>45307</v>
      </c>
      <c r="D2793" s="4">
        <v>13</v>
      </c>
      <c r="E2793" s="4">
        <v>4.5</v>
      </c>
    </row>
    <row r="2794" spans="1:5" x14ac:dyDescent="0.25">
      <c r="A2794" s="4" t="s">
        <v>53</v>
      </c>
      <c r="B2794" s="4" t="s">
        <v>36</v>
      </c>
      <c r="C2794" s="5">
        <v>45307</v>
      </c>
      <c r="D2794" s="4">
        <v>13.8</v>
      </c>
      <c r="E2794" s="4">
        <v>4.78</v>
      </c>
    </row>
    <row r="2795" spans="1:5" x14ac:dyDescent="0.25">
      <c r="A2795" s="4" t="s">
        <v>53</v>
      </c>
      <c r="B2795" s="4" t="s">
        <v>36</v>
      </c>
      <c r="C2795" s="5">
        <v>45307</v>
      </c>
      <c r="D2795" s="4">
        <v>24.1</v>
      </c>
      <c r="E2795" s="4">
        <v>8.3800000000000008</v>
      </c>
    </row>
    <row r="2796" spans="1:5" x14ac:dyDescent="0.25">
      <c r="A2796" s="4" t="s">
        <v>53</v>
      </c>
      <c r="B2796" s="4" t="s">
        <v>36</v>
      </c>
      <c r="C2796" s="5">
        <v>45307</v>
      </c>
      <c r="D2796" s="4">
        <v>31.3</v>
      </c>
      <c r="E2796" s="4">
        <v>10.86</v>
      </c>
    </row>
    <row r="2797" spans="1:5" x14ac:dyDescent="0.25">
      <c r="A2797" s="4" t="s">
        <v>53</v>
      </c>
      <c r="B2797" s="4" t="s">
        <v>36</v>
      </c>
      <c r="C2797" s="5">
        <v>45307</v>
      </c>
      <c r="D2797" s="4">
        <v>0.9</v>
      </c>
      <c r="E2797" s="4">
        <v>0.31</v>
      </c>
    </row>
    <row r="2798" spans="1:5" x14ac:dyDescent="0.25">
      <c r="A2798" s="4" t="s">
        <v>53</v>
      </c>
      <c r="B2798" s="4" t="s">
        <v>36</v>
      </c>
      <c r="C2798" s="5">
        <v>45309</v>
      </c>
      <c r="D2798" s="4">
        <v>15.4</v>
      </c>
      <c r="E2798" s="4">
        <v>5.35</v>
      </c>
    </row>
    <row r="2799" spans="1:5" x14ac:dyDescent="0.25">
      <c r="A2799" s="4" t="s">
        <v>53</v>
      </c>
      <c r="B2799" s="4" t="s">
        <v>36</v>
      </c>
      <c r="C2799" s="5">
        <v>45309</v>
      </c>
      <c r="D2799" s="4">
        <v>56</v>
      </c>
      <c r="E2799" s="4">
        <v>19.47</v>
      </c>
    </row>
    <row r="2800" spans="1:5" x14ac:dyDescent="0.25">
      <c r="A2800" s="4" t="s">
        <v>53</v>
      </c>
      <c r="B2800" s="4" t="s">
        <v>36</v>
      </c>
      <c r="C2800" s="5">
        <v>45309</v>
      </c>
      <c r="D2800" s="4">
        <v>39.4</v>
      </c>
      <c r="E2800" s="4">
        <v>13.65</v>
      </c>
    </row>
    <row r="2801" spans="1:5" x14ac:dyDescent="0.25">
      <c r="A2801" s="4" t="s">
        <v>53</v>
      </c>
      <c r="B2801" s="4" t="s">
        <v>36</v>
      </c>
      <c r="C2801" s="5">
        <v>45313</v>
      </c>
      <c r="D2801" s="4">
        <v>15.4</v>
      </c>
      <c r="E2801" s="4">
        <v>5.35</v>
      </c>
    </row>
    <row r="2802" spans="1:5" x14ac:dyDescent="0.25">
      <c r="A2802" s="4" t="s">
        <v>53</v>
      </c>
      <c r="B2802" s="4" t="s">
        <v>36</v>
      </c>
      <c r="C2802" s="5">
        <v>45313</v>
      </c>
      <c r="D2802" s="4">
        <v>15.4</v>
      </c>
      <c r="E2802" s="4">
        <v>5.35</v>
      </c>
    </row>
    <row r="2803" spans="1:5" x14ac:dyDescent="0.25">
      <c r="A2803" s="4" t="s">
        <v>53</v>
      </c>
      <c r="B2803" s="4" t="s">
        <v>36</v>
      </c>
      <c r="C2803" s="5">
        <v>45313</v>
      </c>
      <c r="D2803" s="4">
        <v>31.3</v>
      </c>
      <c r="E2803" s="4">
        <v>10.86</v>
      </c>
    </row>
    <row r="2804" spans="1:5" x14ac:dyDescent="0.25">
      <c r="A2804" s="4" t="s">
        <v>53</v>
      </c>
      <c r="B2804" s="4" t="s">
        <v>36</v>
      </c>
      <c r="C2804" s="5">
        <v>45313</v>
      </c>
      <c r="D2804" s="4">
        <v>15.4</v>
      </c>
      <c r="E2804" s="4">
        <v>5.35</v>
      </c>
    </row>
    <row r="2805" spans="1:5" x14ac:dyDescent="0.25">
      <c r="A2805" s="4" t="s">
        <v>53</v>
      </c>
      <c r="B2805" s="4" t="s">
        <v>36</v>
      </c>
      <c r="C2805" s="5">
        <v>45313</v>
      </c>
      <c r="D2805" s="4">
        <v>31.3</v>
      </c>
      <c r="E2805" s="4">
        <v>10.86</v>
      </c>
    </row>
    <row r="2806" spans="1:5" x14ac:dyDescent="0.25">
      <c r="A2806" s="4" t="s">
        <v>53</v>
      </c>
      <c r="B2806" s="4" t="s">
        <v>36</v>
      </c>
      <c r="C2806" s="5">
        <v>45313</v>
      </c>
      <c r="D2806" s="4">
        <v>30.2</v>
      </c>
      <c r="E2806" s="4">
        <v>10.49</v>
      </c>
    </row>
    <row r="2807" spans="1:5" x14ac:dyDescent="0.25">
      <c r="A2807" s="4" t="s">
        <v>53</v>
      </c>
      <c r="B2807" s="4" t="s">
        <v>36</v>
      </c>
      <c r="C2807" s="5">
        <v>45313</v>
      </c>
      <c r="D2807" s="4">
        <v>1.2</v>
      </c>
      <c r="E2807" s="4">
        <v>0.41</v>
      </c>
    </row>
    <row r="2808" spans="1:5" x14ac:dyDescent="0.25">
      <c r="A2808" s="4" t="s">
        <v>53</v>
      </c>
      <c r="B2808" s="4" t="s">
        <v>36</v>
      </c>
      <c r="C2808" s="5">
        <v>45315</v>
      </c>
      <c r="D2808" s="4">
        <v>11</v>
      </c>
      <c r="E2808" s="4">
        <v>3.83</v>
      </c>
    </row>
    <row r="2809" spans="1:5" x14ac:dyDescent="0.25">
      <c r="A2809" s="4" t="s">
        <v>53</v>
      </c>
      <c r="B2809" s="4" t="s">
        <v>36</v>
      </c>
      <c r="C2809" s="5">
        <v>45315</v>
      </c>
      <c r="D2809" s="4">
        <v>11</v>
      </c>
      <c r="E2809" s="4">
        <v>3.83</v>
      </c>
    </row>
    <row r="2810" spans="1:5" x14ac:dyDescent="0.25">
      <c r="A2810" s="4" t="s">
        <v>53</v>
      </c>
      <c r="B2810" s="4" t="s">
        <v>36</v>
      </c>
      <c r="C2810" s="5">
        <v>45315</v>
      </c>
      <c r="D2810" s="4">
        <v>11</v>
      </c>
      <c r="E2810" s="4">
        <v>3.83</v>
      </c>
    </row>
    <row r="2811" spans="1:5" x14ac:dyDescent="0.25">
      <c r="A2811" s="4" t="s">
        <v>53</v>
      </c>
      <c r="B2811" s="4" t="s">
        <v>36</v>
      </c>
      <c r="C2811" s="5">
        <v>45315</v>
      </c>
      <c r="D2811" s="4">
        <v>11</v>
      </c>
      <c r="E2811" s="4">
        <v>3.83</v>
      </c>
    </row>
    <row r="2812" spans="1:5" x14ac:dyDescent="0.25">
      <c r="A2812" s="4" t="s">
        <v>53</v>
      </c>
      <c r="B2812" s="4" t="s">
        <v>36</v>
      </c>
      <c r="C2812" s="5">
        <v>45320</v>
      </c>
      <c r="D2812" s="4">
        <v>83.6</v>
      </c>
      <c r="E2812" s="4">
        <v>29.05</v>
      </c>
    </row>
    <row r="2813" spans="1:5" x14ac:dyDescent="0.25">
      <c r="A2813" s="4" t="s">
        <v>53</v>
      </c>
      <c r="B2813" s="4" t="s">
        <v>36</v>
      </c>
      <c r="C2813" s="5">
        <v>45320</v>
      </c>
      <c r="D2813" s="4">
        <v>17.3</v>
      </c>
      <c r="E2813" s="4">
        <v>6.03</v>
      </c>
    </row>
    <row r="2814" spans="1:5" x14ac:dyDescent="0.25">
      <c r="A2814" s="4" t="s">
        <v>53</v>
      </c>
      <c r="B2814" s="4" t="s">
        <v>36</v>
      </c>
      <c r="C2814" s="5">
        <v>45320</v>
      </c>
      <c r="D2814" s="4">
        <v>67.5</v>
      </c>
      <c r="E2814" s="4">
        <v>23.48</v>
      </c>
    </row>
    <row r="2815" spans="1:5" x14ac:dyDescent="0.25">
      <c r="A2815" s="4" t="s">
        <v>53</v>
      </c>
      <c r="B2815" s="4" t="s">
        <v>36</v>
      </c>
      <c r="C2815" s="5">
        <v>45320</v>
      </c>
      <c r="D2815" s="4">
        <v>1.1000000000000001</v>
      </c>
      <c r="E2815" s="4">
        <v>0.38</v>
      </c>
    </row>
    <row r="2816" spans="1:5" x14ac:dyDescent="0.25">
      <c r="A2816" s="4" t="s">
        <v>53</v>
      </c>
      <c r="B2816" s="4" t="s">
        <v>36</v>
      </c>
      <c r="C2816" s="5">
        <v>45320</v>
      </c>
      <c r="D2816" s="4">
        <v>80.599999999999994</v>
      </c>
      <c r="E2816" s="4">
        <v>28.04</v>
      </c>
    </row>
    <row r="2817" spans="1:5" x14ac:dyDescent="0.25">
      <c r="A2817" s="4" t="s">
        <v>53</v>
      </c>
      <c r="B2817" s="4" t="s">
        <v>36</v>
      </c>
      <c r="C2817" s="5">
        <v>45320</v>
      </c>
      <c r="D2817" s="4">
        <v>17.3</v>
      </c>
      <c r="E2817" s="4">
        <v>6.03</v>
      </c>
    </row>
    <row r="2818" spans="1:5" x14ac:dyDescent="0.25">
      <c r="A2818" s="4" t="s">
        <v>53</v>
      </c>
      <c r="B2818" s="4" t="s">
        <v>36</v>
      </c>
      <c r="C2818" s="5">
        <v>45320</v>
      </c>
      <c r="D2818" s="4">
        <v>17.3</v>
      </c>
      <c r="E2818" s="4">
        <v>6.03</v>
      </c>
    </row>
    <row r="2819" spans="1:5" x14ac:dyDescent="0.25">
      <c r="A2819" s="4" t="s">
        <v>53</v>
      </c>
      <c r="B2819" s="4" t="s">
        <v>36</v>
      </c>
      <c r="C2819" s="5">
        <v>45320</v>
      </c>
      <c r="D2819" s="4">
        <v>67.5</v>
      </c>
      <c r="E2819" s="4">
        <v>23.48</v>
      </c>
    </row>
    <row r="2820" spans="1:5" x14ac:dyDescent="0.25">
      <c r="A2820" s="4" t="s">
        <v>53</v>
      </c>
      <c r="B2820" s="4" t="s">
        <v>36</v>
      </c>
      <c r="C2820" s="5">
        <v>45320</v>
      </c>
      <c r="D2820" s="4">
        <v>44.4</v>
      </c>
      <c r="E2820" s="4">
        <v>15.46</v>
      </c>
    </row>
    <row r="2821" spans="1:5" x14ac:dyDescent="0.25">
      <c r="A2821" s="4" t="s">
        <v>53</v>
      </c>
      <c r="B2821" s="4" t="s">
        <v>36</v>
      </c>
      <c r="C2821" s="5">
        <v>45321</v>
      </c>
      <c r="D2821" s="4">
        <v>41.3</v>
      </c>
      <c r="E2821" s="4">
        <v>14.36</v>
      </c>
    </row>
    <row r="2822" spans="1:5" x14ac:dyDescent="0.25">
      <c r="A2822" s="4" t="s">
        <v>53</v>
      </c>
      <c r="B2822" s="4" t="s">
        <v>36</v>
      </c>
      <c r="C2822" s="5">
        <v>45321</v>
      </c>
      <c r="D2822" s="4">
        <v>17.3</v>
      </c>
      <c r="E2822" s="4">
        <v>6.03</v>
      </c>
    </row>
    <row r="2823" spans="1:5" x14ac:dyDescent="0.25">
      <c r="A2823" s="4" t="s">
        <v>53</v>
      </c>
      <c r="B2823" s="4" t="s">
        <v>36</v>
      </c>
      <c r="C2823" s="5">
        <v>45321</v>
      </c>
      <c r="D2823" s="4">
        <v>17.3</v>
      </c>
      <c r="E2823" s="4">
        <v>6.03</v>
      </c>
    </row>
    <row r="2824" spans="1:5" x14ac:dyDescent="0.25">
      <c r="A2824" s="4" t="s">
        <v>53</v>
      </c>
      <c r="B2824" s="4" t="s">
        <v>36</v>
      </c>
      <c r="C2824" s="5">
        <v>45321</v>
      </c>
      <c r="D2824" s="4">
        <v>67.5</v>
      </c>
      <c r="E2824" s="4">
        <v>23.48</v>
      </c>
    </row>
    <row r="2825" spans="1:5" x14ac:dyDescent="0.25">
      <c r="A2825" s="4" t="s">
        <v>53</v>
      </c>
      <c r="B2825" s="4" t="s">
        <v>36</v>
      </c>
      <c r="C2825" s="5">
        <v>45321</v>
      </c>
      <c r="D2825" s="4">
        <v>67.5</v>
      </c>
      <c r="E2825" s="4">
        <v>23.49</v>
      </c>
    </row>
    <row r="2826" spans="1:5" x14ac:dyDescent="0.25">
      <c r="A2826" s="4" t="s">
        <v>53</v>
      </c>
      <c r="B2826" s="4" t="s">
        <v>36</v>
      </c>
      <c r="C2826" s="5">
        <v>45321</v>
      </c>
      <c r="D2826" s="4">
        <v>19</v>
      </c>
      <c r="E2826" s="4">
        <v>6.61</v>
      </c>
    </row>
    <row r="2827" spans="1:5" x14ac:dyDescent="0.25">
      <c r="A2827" s="4" t="s">
        <v>53</v>
      </c>
      <c r="B2827" s="4" t="s">
        <v>36</v>
      </c>
      <c r="C2827" s="5">
        <v>45321</v>
      </c>
      <c r="D2827" s="4">
        <v>17.3</v>
      </c>
      <c r="E2827" s="4">
        <v>6.03</v>
      </c>
    </row>
    <row r="2828" spans="1:5" x14ac:dyDescent="0.25">
      <c r="A2828" s="4" t="s">
        <v>53</v>
      </c>
      <c r="B2828" s="4" t="s">
        <v>36</v>
      </c>
      <c r="C2828" s="5">
        <v>45321</v>
      </c>
      <c r="D2828" s="4">
        <v>17.3</v>
      </c>
      <c r="E2828" s="4">
        <v>6.03</v>
      </c>
    </row>
    <row r="2829" spans="1:5" x14ac:dyDescent="0.25">
      <c r="A2829" s="4" t="s">
        <v>53</v>
      </c>
      <c r="B2829" s="4" t="s">
        <v>36</v>
      </c>
      <c r="C2829" s="5">
        <v>45321</v>
      </c>
      <c r="D2829" s="4">
        <v>67.5</v>
      </c>
      <c r="E2829" s="4">
        <v>23.48</v>
      </c>
    </row>
    <row r="2830" spans="1:5" x14ac:dyDescent="0.25">
      <c r="A2830" s="4" t="s">
        <v>53</v>
      </c>
      <c r="B2830" s="4" t="s">
        <v>36</v>
      </c>
      <c r="C2830" s="5">
        <v>45321</v>
      </c>
      <c r="D2830" s="4">
        <v>44.4</v>
      </c>
      <c r="E2830" s="4">
        <v>15.46</v>
      </c>
    </row>
    <row r="2831" spans="1:5" x14ac:dyDescent="0.25">
      <c r="A2831" s="4" t="s">
        <v>53</v>
      </c>
      <c r="B2831" s="4" t="s">
        <v>36</v>
      </c>
      <c r="C2831" s="5">
        <v>45322</v>
      </c>
      <c r="D2831" s="4">
        <v>21.7</v>
      </c>
      <c r="E2831" s="4">
        <v>7.55</v>
      </c>
    </row>
    <row r="2832" spans="1:5" x14ac:dyDescent="0.25">
      <c r="A2832" s="4" t="s">
        <v>53</v>
      </c>
      <c r="B2832" s="4" t="s">
        <v>36</v>
      </c>
      <c r="C2832" s="5">
        <v>45322</v>
      </c>
      <c r="D2832" s="4">
        <v>1.4</v>
      </c>
      <c r="E2832" s="4">
        <v>0.48</v>
      </c>
    </row>
    <row r="2833" spans="1:5" x14ac:dyDescent="0.25">
      <c r="A2833" s="4" t="s">
        <v>53</v>
      </c>
      <c r="B2833" s="4" t="s">
        <v>36</v>
      </c>
      <c r="C2833" s="5">
        <v>45322</v>
      </c>
      <c r="D2833" s="4">
        <v>28.3</v>
      </c>
      <c r="E2833" s="4">
        <v>9.86</v>
      </c>
    </row>
    <row r="2834" spans="1:5" x14ac:dyDescent="0.25">
      <c r="A2834" s="4" t="s">
        <v>53</v>
      </c>
      <c r="B2834" s="4" t="s">
        <v>36</v>
      </c>
      <c r="C2834" s="5">
        <v>45322</v>
      </c>
      <c r="D2834" s="4">
        <v>26.8</v>
      </c>
      <c r="E2834" s="4">
        <v>9.34</v>
      </c>
    </row>
    <row r="2835" spans="1:5" x14ac:dyDescent="0.25">
      <c r="A2835" s="4" t="s">
        <v>53</v>
      </c>
      <c r="B2835" s="4" t="s">
        <v>36</v>
      </c>
      <c r="C2835" s="5">
        <v>45322</v>
      </c>
      <c r="D2835" s="4">
        <v>28.3</v>
      </c>
      <c r="E2835" s="4">
        <v>9.86</v>
      </c>
    </row>
    <row r="2836" spans="1:5" x14ac:dyDescent="0.25">
      <c r="A2836" s="4" t="s">
        <v>53</v>
      </c>
      <c r="B2836" s="4" t="s">
        <v>36</v>
      </c>
      <c r="C2836" s="5">
        <v>45322</v>
      </c>
      <c r="D2836" s="4">
        <v>26.8</v>
      </c>
      <c r="E2836" s="4">
        <v>9.34</v>
      </c>
    </row>
    <row r="2837" spans="1:5" x14ac:dyDescent="0.25">
      <c r="A2837" s="4" t="s">
        <v>53</v>
      </c>
      <c r="B2837" s="4" t="s">
        <v>36</v>
      </c>
      <c r="C2837" s="5">
        <v>45322</v>
      </c>
      <c r="D2837" s="4">
        <v>28.3</v>
      </c>
      <c r="E2837" s="4">
        <v>9.86</v>
      </c>
    </row>
    <row r="2838" spans="1:5" x14ac:dyDescent="0.25">
      <c r="A2838" s="4" t="s">
        <v>53</v>
      </c>
      <c r="B2838" s="4" t="s">
        <v>36</v>
      </c>
      <c r="C2838" s="5">
        <v>45322</v>
      </c>
      <c r="D2838" s="4">
        <v>7.4</v>
      </c>
      <c r="E2838" s="4">
        <v>2.58</v>
      </c>
    </row>
    <row r="2839" spans="1:5" x14ac:dyDescent="0.25">
      <c r="A2839" s="4" t="s">
        <v>53</v>
      </c>
      <c r="B2839" s="4" t="s">
        <v>36</v>
      </c>
      <c r="C2839" s="5">
        <v>45323</v>
      </c>
      <c r="D2839" s="4">
        <v>9.6</v>
      </c>
      <c r="E2839" s="4">
        <v>3.34</v>
      </c>
    </row>
    <row r="2840" spans="1:5" x14ac:dyDescent="0.25">
      <c r="A2840" s="4" t="s">
        <v>53</v>
      </c>
      <c r="B2840" s="4" t="s">
        <v>36</v>
      </c>
      <c r="C2840" s="5">
        <v>45323</v>
      </c>
      <c r="D2840" s="4">
        <v>24.2</v>
      </c>
      <c r="E2840" s="4">
        <v>8.43</v>
      </c>
    </row>
    <row r="2841" spans="1:5" x14ac:dyDescent="0.25">
      <c r="A2841" s="4" t="s">
        <v>53</v>
      </c>
      <c r="B2841" s="4" t="s">
        <v>36</v>
      </c>
      <c r="C2841" s="5">
        <v>45323</v>
      </c>
      <c r="D2841" s="4">
        <v>0.7</v>
      </c>
      <c r="E2841" s="4">
        <v>0.24</v>
      </c>
    </row>
    <row r="2842" spans="1:5" x14ac:dyDescent="0.25">
      <c r="A2842" s="4" t="s">
        <v>53</v>
      </c>
      <c r="B2842" s="4" t="s">
        <v>36</v>
      </c>
      <c r="C2842" s="5">
        <v>45323</v>
      </c>
      <c r="D2842" s="4">
        <v>28.3</v>
      </c>
      <c r="E2842" s="4">
        <v>9.86</v>
      </c>
    </row>
    <row r="2843" spans="1:5" x14ac:dyDescent="0.25">
      <c r="A2843" s="4" t="s">
        <v>53</v>
      </c>
      <c r="B2843" s="4" t="s">
        <v>36</v>
      </c>
      <c r="C2843" s="5">
        <v>45323</v>
      </c>
      <c r="D2843" s="4">
        <v>26.8</v>
      </c>
      <c r="E2843" s="4">
        <v>9.34</v>
      </c>
    </row>
    <row r="2844" spans="1:5" x14ac:dyDescent="0.25">
      <c r="A2844" s="4" t="s">
        <v>53</v>
      </c>
      <c r="B2844" s="4" t="s">
        <v>36</v>
      </c>
      <c r="C2844" s="5">
        <v>45323</v>
      </c>
      <c r="D2844" s="4">
        <v>28.3</v>
      </c>
      <c r="E2844" s="4">
        <v>9.86</v>
      </c>
    </row>
    <row r="2845" spans="1:5" x14ac:dyDescent="0.25">
      <c r="A2845" s="4" t="s">
        <v>53</v>
      </c>
      <c r="B2845" s="4" t="s">
        <v>36</v>
      </c>
      <c r="C2845" s="5">
        <v>45323</v>
      </c>
      <c r="D2845" s="4">
        <v>26.8</v>
      </c>
      <c r="E2845" s="4">
        <v>9.34</v>
      </c>
    </row>
    <row r="2846" spans="1:5" x14ac:dyDescent="0.25">
      <c r="A2846" s="4" t="s">
        <v>53</v>
      </c>
      <c r="B2846" s="4" t="s">
        <v>36</v>
      </c>
      <c r="C2846" s="5">
        <v>45323</v>
      </c>
      <c r="D2846" s="4">
        <v>29</v>
      </c>
      <c r="E2846" s="4">
        <v>10.1</v>
      </c>
    </row>
    <row r="2847" spans="1:5" x14ac:dyDescent="0.25">
      <c r="A2847" s="4" t="s">
        <v>53</v>
      </c>
      <c r="B2847" s="4" t="s">
        <v>36</v>
      </c>
      <c r="C2847" s="5">
        <v>45323</v>
      </c>
      <c r="D2847" s="4">
        <v>7.4</v>
      </c>
      <c r="E2847" s="4">
        <v>2.58</v>
      </c>
    </row>
    <row r="2848" spans="1:5" x14ac:dyDescent="0.25">
      <c r="A2848" s="4" t="s">
        <v>53</v>
      </c>
      <c r="B2848" s="4" t="s">
        <v>36</v>
      </c>
      <c r="C2848" s="5">
        <v>45324</v>
      </c>
      <c r="D2848" s="4">
        <v>21.7</v>
      </c>
      <c r="E2848" s="4">
        <v>7.55</v>
      </c>
    </row>
    <row r="2849" spans="1:5" x14ac:dyDescent="0.25">
      <c r="A2849" s="4" t="s">
        <v>53</v>
      </c>
      <c r="B2849" s="4" t="s">
        <v>36</v>
      </c>
      <c r="C2849" s="5">
        <v>45324</v>
      </c>
      <c r="D2849" s="4">
        <v>1.4</v>
      </c>
      <c r="E2849" s="4">
        <v>0.48</v>
      </c>
    </row>
    <row r="2850" spans="1:5" x14ac:dyDescent="0.25">
      <c r="A2850" s="4" t="s">
        <v>53</v>
      </c>
      <c r="B2850" s="4" t="s">
        <v>36</v>
      </c>
      <c r="C2850" s="5">
        <v>45324</v>
      </c>
      <c r="D2850" s="4">
        <v>28.3</v>
      </c>
      <c r="E2850" s="4">
        <v>9.86</v>
      </c>
    </row>
    <row r="2851" spans="1:5" x14ac:dyDescent="0.25">
      <c r="A2851" s="4" t="s">
        <v>53</v>
      </c>
      <c r="B2851" s="4" t="s">
        <v>36</v>
      </c>
      <c r="C2851" s="5">
        <v>45324</v>
      </c>
      <c r="D2851" s="4">
        <v>48.7</v>
      </c>
      <c r="E2851" s="4">
        <v>16.940000000000001</v>
      </c>
    </row>
    <row r="2852" spans="1:5" x14ac:dyDescent="0.25">
      <c r="A2852" s="4" t="s">
        <v>53</v>
      </c>
      <c r="B2852" s="4" t="s">
        <v>36</v>
      </c>
      <c r="C2852" s="5">
        <v>45324</v>
      </c>
      <c r="D2852" s="4">
        <v>17.3</v>
      </c>
      <c r="E2852" s="4">
        <v>6.03</v>
      </c>
    </row>
    <row r="2853" spans="1:5" x14ac:dyDescent="0.25">
      <c r="A2853" s="4" t="s">
        <v>53</v>
      </c>
      <c r="B2853" s="4" t="s">
        <v>36</v>
      </c>
      <c r="C2853" s="5">
        <v>45324</v>
      </c>
      <c r="D2853" s="4">
        <v>17.3</v>
      </c>
      <c r="E2853" s="4">
        <v>6.03</v>
      </c>
    </row>
    <row r="2854" spans="1:5" x14ac:dyDescent="0.25">
      <c r="A2854" s="4" t="s">
        <v>53</v>
      </c>
      <c r="B2854" s="4" t="s">
        <v>36</v>
      </c>
      <c r="C2854" s="5">
        <v>45324</v>
      </c>
      <c r="D2854" s="4">
        <v>67.5</v>
      </c>
      <c r="E2854" s="4">
        <v>23.48</v>
      </c>
    </row>
    <row r="2855" spans="1:5" x14ac:dyDescent="0.25">
      <c r="A2855" s="4" t="s">
        <v>53</v>
      </c>
      <c r="B2855" s="4" t="s">
        <v>36</v>
      </c>
      <c r="C2855" s="5">
        <v>45324</v>
      </c>
      <c r="D2855" s="4">
        <v>29.9</v>
      </c>
      <c r="E2855" s="4">
        <v>10.36</v>
      </c>
    </row>
    <row r="2856" spans="1:5" x14ac:dyDescent="0.25">
      <c r="A2856" s="4" t="s">
        <v>53</v>
      </c>
      <c r="B2856" s="4" t="s">
        <v>36</v>
      </c>
      <c r="C2856" s="5">
        <v>45328</v>
      </c>
      <c r="D2856" s="4">
        <v>15.4</v>
      </c>
      <c r="E2856" s="4">
        <v>5.35</v>
      </c>
    </row>
    <row r="2857" spans="1:5" x14ac:dyDescent="0.25">
      <c r="A2857" s="4" t="s">
        <v>53</v>
      </c>
      <c r="B2857" s="4" t="s">
        <v>36</v>
      </c>
      <c r="C2857" s="5">
        <v>45328</v>
      </c>
      <c r="D2857" s="4">
        <v>20.8</v>
      </c>
      <c r="E2857" s="4">
        <v>7.25</v>
      </c>
    </row>
    <row r="2858" spans="1:5" x14ac:dyDescent="0.25">
      <c r="A2858" s="4" t="s">
        <v>53</v>
      </c>
      <c r="B2858" s="4" t="s">
        <v>36</v>
      </c>
      <c r="C2858" s="5">
        <v>45328</v>
      </c>
      <c r="D2858" s="4">
        <v>20.8</v>
      </c>
      <c r="E2858" s="4">
        <v>7.25</v>
      </c>
    </row>
    <row r="2859" spans="1:5" x14ac:dyDescent="0.25">
      <c r="A2859" s="4" t="s">
        <v>53</v>
      </c>
      <c r="B2859" s="4" t="s">
        <v>36</v>
      </c>
      <c r="C2859" s="5">
        <v>45328</v>
      </c>
      <c r="D2859" s="4">
        <v>20.8</v>
      </c>
      <c r="E2859" s="4">
        <v>7.25</v>
      </c>
    </row>
    <row r="2860" spans="1:5" x14ac:dyDescent="0.25">
      <c r="A2860" s="4" t="s">
        <v>53</v>
      </c>
      <c r="B2860" s="4" t="s">
        <v>36</v>
      </c>
      <c r="C2860" s="5">
        <v>45328</v>
      </c>
      <c r="D2860" s="4">
        <v>20.8</v>
      </c>
      <c r="E2860" s="4">
        <v>7.25</v>
      </c>
    </row>
    <row r="2861" spans="1:5" x14ac:dyDescent="0.25">
      <c r="A2861" s="4" t="s">
        <v>53</v>
      </c>
      <c r="B2861" s="4" t="s">
        <v>36</v>
      </c>
      <c r="C2861" s="5">
        <v>45328</v>
      </c>
      <c r="D2861" s="4">
        <v>20.8</v>
      </c>
      <c r="E2861" s="4">
        <v>7.25</v>
      </c>
    </row>
    <row r="2862" spans="1:5" x14ac:dyDescent="0.25">
      <c r="A2862" s="4" t="s">
        <v>53</v>
      </c>
      <c r="B2862" s="4" t="s">
        <v>36</v>
      </c>
      <c r="C2862" s="5">
        <v>45328</v>
      </c>
      <c r="D2862" s="4">
        <v>20.8</v>
      </c>
      <c r="E2862" s="4">
        <v>7.25</v>
      </c>
    </row>
    <row r="2863" spans="1:5" x14ac:dyDescent="0.25">
      <c r="A2863" s="4" t="s">
        <v>53</v>
      </c>
      <c r="B2863" s="4" t="s">
        <v>36</v>
      </c>
      <c r="C2863" s="5">
        <v>45328</v>
      </c>
      <c r="D2863" s="4">
        <v>20.8</v>
      </c>
      <c r="E2863" s="4">
        <v>7.25</v>
      </c>
    </row>
    <row r="2864" spans="1:5" x14ac:dyDescent="0.25">
      <c r="A2864" s="4" t="s">
        <v>53</v>
      </c>
      <c r="B2864" s="4" t="s">
        <v>36</v>
      </c>
      <c r="C2864" s="5">
        <v>45328</v>
      </c>
      <c r="D2864" s="4">
        <v>20.8</v>
      </c>
      <c r="E2864" s="4">
        <v>7.25</v>
      </c>
    </row>
    <row r="2865" spans="1:5" x14ac:dyDescent="0.25">
      <c r="A2865" s="4" t="s">
        <v>53</v>
      </c>
      <c r="B2865" s="4" t="s">
        <v>36</v>
      </c>
      <c r="C2865" s="5">
        <v>45328</v>
      </c>
      <c r="D2865" s="4">
        <v>20.8</v>
      </c>
      <c r="E2865" s="4">
        <v>7.25</v>
      </c>
    </row>
    <row r="2866" spans="1:5" x14ac:dyDescent="0.25">
      <c r="A2866" s="4" t="s">
        <v>53</v>
      </c>
      <c r="B2866" s="4" t="s">
        <v>36</v>
      </c>
      <c r="C2866" s="5">
        <v>45328</v>
      </c>
      <c r="D2866" s="4">
        <v>22.6</v>
      </c>
      <c r="E2866" s="4">
        <v>7.88</v>
      </c>
    </row>
    <row r="2867" spans="1:5" x14ac:dyDescent="0.25">
      <c r="A2867" s="4" t="s">
        <v>53</v>
      </c>
      <c r="B2867" s="4" t="s">
        <v>36</v>
      </c>
      <c r="C2867" s="5">
        <v>45329</v>
      </c>
      <c r="D2867" s="4">
        <v>15.4</v>
      </c>
      <c r="E2867" s="4">
        <v>5.35</v>
      </c>
    </row>
    <row r="2868" spans="1:5" x14ac:dyDescent="0.25">
      <c r="A2868" s="4" t="s">
        <v>53</v>
      </c>
      <c r="B2868" s="4" t="s">
        <v>36</v>
      </c>
      <c r="C2868" s="5">
        <v>45329</v>
      </c>
      <c r="D2868" s="4">
        <v>20.8</v>
      </c>
      <c r="E2868" s="4">
        <v>7.25</v>
      </c>
    </row>
    <row r="2869" spans="1:5" x14ac:dyDescent="0.25">
      <c r="A2869" s="4" t="s">
        <v>53</v>
      </c>
      <c r="B2869" s="4" t="s">
        <v>36</v>
      </c>
      <c r="C2869" s="5">
        <v>45329</v>
      </c>
      <c r="D2869" s="4">
        <v>20.8</v>
      </c>
      <c r="E2869" s="4">
        <v>7.25</v>
      </c>
    </row>
    <row r="2870" spans="1:5" x14ac:dyDescent="0.25">
      <c r="A2870" s="4" t="s">
        <v>53</v>
      </c>
      <c r="B2870" s="4" t="s">
        <v>36</v>
      </c>
      <c r="C2870" s="5">
        <v>45329</v>
      </c>
      <c r="D2870" s="4">
        <v>20.8</v>
      </c>
      <c r="E2870" s="4">
        <v>7.25</v>
      </c>
    </row>
    <row r="2871" spans="1:5" x14ac:dyDescent="0.25">
      <c r="A2871" s="4" t="s">
        <v>53</v>
      </c>
      <c r="B2871" s="4" t="s">
        <v>36</v>
      </c>
      <c r="C2871" s="5">
        <v>45329</v>
      </c>
      <c r="D2871" s="4">
        <v>3</v>
      </c>
      <c r="E2871" s="4">
        <v>1.05</v>
      </c>
    </row>
    <row r="2872" spans="1:5" x14ac:dyDescent="0.25">
      <c r="A2872" s="4" t="s">
        <v>53</v>
      </c>
      <c r="B2872" s="4" t="s">
        <v>36</v>
      </c>
      <c r="C2872" s="5">
        <v>45329</v>
      </c>
      <c r="D2872" s="4">
        <v>1.3</v>
      </c>
      <c r="E2872" s="4">
        <v>0.45</v>
      </c>
    </row>
    <row r="2873" spans="1:5" x14ac:dyDescent="0.25">
      <c r="A2873" s="4" t="s">
        <v>53</v>
      </c>
      <c r="B2873" s="4" t="s">
        <v>36</v>
      </c>
      <c r="C2873" s="5">
        <v>45329</v>
      </c>
      <c r="D2873" s="4">
        <v>1.3</v>
      </c>
      <c r="E2873" s="4">
        <v>0.45</v>
      </c>
    </row>
    <row r="2874" spans="1:5" x14ac:dyDescent="0.25">
      <c r="A2874" s="4" t="s">
        <v>53</v>
      </c>
      <c r="B2874" s="4" t="s">
        <v>36</v>
      </c>
      <c r="C2874" s="5">
        <v>45329</v>
      </c>
      <c r="D2874" s="4">
        <v>1.3</v>
      </c>
      <c r="E2874" s="4">
        <v>0.45</v>
      </c>
    </row>
    <row r="2875" spans="1:5" x14ac:dyDescent="0.25">
      <c r="A2875" s="4" t="s">
        <v>53</v>
      </c>
      <c r="B2875" s="4" t="s">
        <v>36</v>
      </c>
      <c r="C2875" s="5">
        <v>45329</v>
      </c>
      <c r="D2875" s="4">
        <v>1.3</v>
      </c>
      <c r="E2875" s="4">
        <v>0.45</v>
      </c>
    </row>
    <row r="2876" spans="1:5" x14ac:dyDescent="0.25">
      <c r="A2876" s="4" t="s">
        <v>53</v>
      </c>
      <c r="B2876" s="4" t="s">
        <v>36</v>
      </c>
      <c r="C2876" s="5">
        <v>45329</v>
      </c>
      <c r="D2876" s="4">
        <v>1.3</v>
      </c>
      <c r="E2876" s="4">
        <v>0.45</v>
      </c>
    </row>
    <row r="2877" spans="1:5" x14ac:dyDescent="0.25">
      <c r="A2877" s="4" t="s">
        <v>53</v>
      </c>
      <c r="B2877" s="4" t="s">
        <v>36</v>
      </c>
      <c r="C2877" s="5">
        <v>45329</v>
      </c>
      <c r="D2877" s="4">
        <v>1.3</v>
      </c>
      <c r="E2877" s="4">
        <v>0.45</v>
      </c>
    </row>
    <row r="2878" spans="1:5" x14ac:dyDescent="0.25">
      <c r="A2878" s="4" t="s">
        <v>53</v>
      </c>
      <c r="B2878" s="4" t="s">
        <v>36</v>
      </c>
      <c r="C2878" s="5">
        <v>45329</v>
      </c>
      <c r="D2878" s="4">
        <v>1.3</v>
      </c>
      <c r="E2878" s="4">
        <v>0.45</v>
      </c>
    </row>
    <row r="2879" spans="1:5" x14ac:dyDescent="0.25">
      <c r="A2879" s="4" t="s">
        <v>53</v>
      </c>
      <c r="B2879" s="4" t="s">
        <v>36</v>
      </c>
      <c r="C2879" s="5">
        <v>45329</v>
      </c>
      <c r="D2879" s="4">
        <v>1.3</v>
      </c>
      <c r="E2879" s="4">
        <v>0.45</v>
      </c>
    </row>
    <row r="2880" spans="1:5" x14ac:dyDescent="0.25">
      <c r="A2880" s="4" t="s">
        <v>53</v>
      </c>
      <c r="B2880" s="4" t="s">
        <v>36</v>
      </c>
      <c r="C2880" s="5">
        <v>45329</v>
      </c>
      <c r="D2880" s="4">
        <v>1.3</v>
      </c>
      <c r="E2880" s="4">
        <v>0.45</v>
      </c>
    </row>
    <row r="2881" spans="1:5" x14ac:dyDescent="0.25">
      <c r="A2881" s="4" t="s">
        <v>53</v>
      </c>
      <c r="B2881" s="4" t="s">
        <v>36</v>
      </c>
      <c r="C2881" s="5">
        <v>45329</v>
      </c>
      <c r="D2881" s="4">
        <v>1.3</v>
      </c>
      <c r="E2881" s="4">
        <v>0.45</v>
      </c>
    </row>
    <row r="2882" spans="1:5" x14ac:dyDescent="0.25">
      <c r="A2882" s="4" t="s">
        <v>53</v>
      </c>
      <c r="B2882" s="4" t="s">
        <v>36</v>
      </c>
      <c r="C2882" s="5">
        <v>45329</v>
      </c>
      <c r="D2882" s="4">
        <v>1.3</v>
      </c>
      <c r="E2882" s="4">
        <v>0.45</v>
      </c>
    </row>
    <row r="2883" spans="1:5" x14ac:dyDescent="0.25">
      <c r="A2883" s="4" t="s">
        <v>53</v>
      </c>
      <c r="B2883" s="4" t="s">
        <v>36</v>
      </c>
      <c r="C2883" s="5">
        <v>45329</v>
      </c>
      <c r="D2883" s="4">
        <v>1.3</v>
      </c>
      <c r="E2883" s="4">
        <v>0.45</v>
      </c>
    </row>
    <row r="2884" spans="1:5" x14ac:dyDescent="0.25">
      <c r="A2884" s="4" t="s">
        <v>53</v>
      </c>
      <c r="B2884" s="4" t="s">
        <v>36</v>
      </c>
      <c r="C2884" s="5">
        <v>45329</v>
      </c>
      <c r="D2884" s="4">
        <v>1.3</v>
      </c>
      <c r="E2884" s="4">
        <v>0.45</v>
      </c>
    </row>
    <row r="2885" spans="1:5" x14ac:dyDescent="0.25">
      <c r="A2885" s="4" t="s">
        <v>53</v>
      </c>
      <c r="B2885" s="4" t="s">
        <v>36</v>
      </c>
      <c r="C2885" s="5">
        <v>45329</v>
      </c>
      <c r="D2885" s="4">
        <v>22.6</v>
      </c>
      <c r="E2885" s="4">
        <v>7.88</v>
      </c>
    </row>
    <row r="2886" spans="1:5" x14ac:dyDescent="0.25">
      <c r="A2886" s="4" t="s">
        <v>53</v>
      </c>
      <c r="B2886" s="4" t="s">
        <v>36</v>
      </c>
      <c r="C2886" s="5">
        <v>45330</v>
      </c>
      <c r="D2886" s="4">
        <v>25.6</v>
      </c>
      <c r="E2886" s="4">
        <v>8.93</v>
      </c>
    </row>
    <row r="2887" spans="1:5" x14ac:dyDescent="0.25">
      <c r="A2887" s="4" t="s">
        <v>53</v>
      </c>
      <c r="B2887" s="4" t="s">
        <v>36</v>
      </c>
      <c r="C2887" s="5">
        <v>45330</v>
      </c>
      <c r="D2887" s="4">
        <v>1.3</v>
      </c>
      <c r="E2887" s="4">
        <v>0.45</v>
      </c>
    </row>
    <row r="2888" spans="1:5" x14ac:dyDescent="0.25">
      <c r="A2888" s="4" t="s">
        <v>53</v>
      </c>
      <c r="B2888" s="4" t="s">
        <v>36</v>
      </c>
      <c r="C2888" s="5">
        <v>45330</v>
      </c>
      <c r="D2888" s="4">
        <v>22.6</v>
      </c>
      <c r="E2888" s="4">
        <v>7.88</v>
      </c>
    </row>
    <row r="2889" spans="1:5" x14ac:dyDescent="0.25">
      <c r="A2889" s="4" t="s">
        <v>53</v>
      </c>
      <c r="B2889" s="4" t="s">
        <v>36</v>
      </c>
      <c r="C2889" s="5">
        <v>45330</v>
      </c>
      <c r="D2889" s="4">
        <v>42.8</v>
      </c>
      <c r="E2889" s="4">
        <v>14.92</v>
      </c>
    </row>
    <row r="2890" spans="1:5" x14ac:dyDescent="0.25">
      <c r="A2890" s="4" t="s">
        <v>53</v>
      </c>
      <c r="B2890" s="4" t="s">
        <v>36</v>
      </c>
      <c r="C2890" s="5">
        <v>45337</v>
      </c>
      <c r="D2890" s="4">
        <v>42.8</v>
      </c>
      <c r="E2890" s="4">
        <v>14.92</v>
      </c>
    </row>
    <row r="2891" spans="1:5" x14ac:dyDescent="0.25">
      <c r="A2891" s="4" t="s">
        <v>53</v>
      </c>
      <c r="B2891" s="4" t="s">
        <v>48</v>
      </c>
      <c r="C2891" s="5">
        <v>45307</v>
      </c>
      <c r="D2891" s="4">
        <v>0.4</v>
      </c>
      <c r="E2891" s="4">
        <v>0.12</v>
      </c>
    </row>
    <row r="2892" spans="1:5" x14ac:dyDescent="0.25">
      <c r="A2892" s="4" t="s">
        <v>53</v>
      </c>
      <c r="B2892" s="4" t="s">
        <v>48</v>
      </c>
      <c r="C2892" s="5">
        <v>45307</v>
      </c>
      <c r="D2892" s="4">
        <v>2.8</v>
      </c>
      <c r="E2892" s="4">
        <v>0.81</v>
      </c>
    </row>
    <row r="2893" spans="1:5" x14ac:dyDescent="0.25">
      <c r="A2893" s="4" t="s">
        <v>53</v>
      </c>
      <c r="B2893" s="4" t="s">
        <v>48</v>
      </c>
      <c r="C2893" s="5">
        <v>45307</v>
      </c>
      <c r="D2893" s="4">
        <v>0.5</v>
      </c>
      <c r="E2893" s="4">
        <v>0.14000000000000001</v>
      </c>
    </row>
    <row r="2894" spans="1:5" x14ac:dyDescent="0.25">
      <c r="A2894" s="4" t="s">
        <v>53</v>
      </c>
      <c r="B2894" s="4" t="s">
        <v>48</v>
      </c>
      <c r="C2894" s="5">
        <v>45307</v>
      </c>
      <c r="D2894" s="4">
        <v>0.5</v>
      </c>
      <c r="E2894" s="4">
        <v>0.14000000000000001</v>
      </c>
    </row>
    <row r="2895" spans="1:5" x14ac:dyDescent="0.25">
      <c r="A2895" s="4" t="s">
        <v>53</v>
      </c>
      <c r="B2895" s="4" t="s">
        <v>48</v>
      </c>
      <c r="C2895" s="5">
        <v>45307</v>
      </c>
      <c r="D2895" s="4">
        <v>2.5</v>
      </c>
      <c r="E2895" s="4">
        <v>0.69</v>
      </c>
    </row>
    <row r="2896" spans="1:5" x14ac:dyDescent="0.25">
      <c r="A2896" s="4" t="s">
        <v>53</v>
      </c>
      <c r="B2896" s="4" t="s">
        <v>48</v>
      </c>
      <c r="C2896" s="5">
        <v>45308</v>
      </c>
      <c r="D2896" s="4">
        <v>0.4</v>
      </c>
      <c r="E2896" s="4">
        <v>0.12</v>
      </c>
    </row>
    <row r="2897" spans="1:5" x14ac:dyDescent="0.25">
      <c r="A2897" s="4" t="s">
        <v>53</v>
      </c>
      <c r="B2897" s="4" t="s">
        <v>48</v>
      </c>
      <c r="C2897" s="5">
        <v>45308</v>
      </c>
      <c r="D2897" s="4">
        <v>0.4</v>
      </c>
      <c r="E2897" s="4">
        <v>0.12</v>
      </c>
    </row>
    <row r="2898" spans="1:5" x14ac:dyDescent="0.25">
      <c r="A2898" s="4" t="s">
        <v>53</v>
      </c>
      <c r="B2898" s="4" t="s">
        <v>48</v>
      </c>
      <c r="C2898" s="5">
        <v>45308</v>
      </c>
      <c r="D2898" s="4">
        <v>2.4</v>
      </c>
      <c r="E2898" s="4">
        <v>0.69</v>
      </c>
    </row>
    <row r="2899" spans="1:5" x14ac:dyDescent="0.25">
      <c r="A2899" s="4" t="s">
        <v>53</v>
      </c>
      <c r="B2899" s="4" t="s">
        <v>48</v>
      </c>
      <c r="C2899" s="5">
        <v>45308</v>
      </c>
      <c r="D2899" s="4">
        <v>0.5</v>
      </c>
      <c r="E2899" s="4">
        <v>0.14000000000000001</v>
      </c>
    </row>
    <row r="2900" spans="1:5" x14ac:dyDescent="0.25">
      <c r="A2900" s="4" t="s">
        <v>53</v>
      </c>
      <c r="B2900" s="4" t="s">
        <v>48</v>
      </c>
      <c r="C2900" s="5">
        <v>45309</v>
      </c>
      <c r="D2900" s="4">
        <v>0.5</v>
      </c>
      <c r="E2900" s="4">
        <v>0.14000000000000001</v>
      </c>
    </row>
    <row r="2901" spans="1:5" x14ac:dyDescent="0.25">
      <c r="A2901" s="4" t="s">
        <v>53</v>
      </c>
      <c r="B2901" s="4" t="s">
        <v>48</v>
      </c>
      <c r="C2901" s="5">
        <v>45309</v>
      </c>
      <c r="D2901" s="4">
        <v>2.5</v>
      </c>
      <c r="E2901" s="4">
        <v>0.69</v>
      </c>
    </row>
    <row r="2902" spans="1:5" x14ac:dyDescent="0.25">
      <c r="A2902" s="4" t="s">
        <v>53</v>
      </c>
      <c r="B2902" s="4" t="s">
        <v>48</v>
      </c>
      <c r="C2902" s="5">
        <v>45309</v>
      </c>
      <c r="D2902" s="4">
        <v>0.4</v>
      </c>
      <c r="E2902" s="4">
        <v>0.12</v>
      </c>
    </row>
    <row r="2903" spans="1:5" x14ac:dyDescent="0.25">
      <c r="A2903" s="4" t="s">
        <v>53</v>
      </c>
      <c r="B2903" s="4" t="s">
        <v>48</v>
      </c>
      <c r="C2903" s="5">
        <v>45310</v>
      </c>
      <c r="D2903" s="4">
        <v>2.4</v>
      </c>
      <c r="E2903" s="4">
        <v>0.69</v>
      </c>
    </row>
    <row r="2904" spans="1:5" x14ac:dyDescent="0.25">
      <c r="A2904" s="4" t="s">
        <v>53</v>
      </c>
      <c r="B2904" s="4" t="s">
        <v>48</v>
      </c>
      <c r="C2904" s="5">
        <v>45310</v>
      </c>
      <c r="D2904" s="4">
        <v>0.5</v>
      </c>
      <c r="E2904" s="4">
        <v>0.14000000000000001</v>
      </c>
    </row>
    <row r="2905" spans="1:5" x14ac:dyDescent="0.25">
      <c r="A2905" s="4" t="s">
        <v>53</v>
      </c>
      <c r="B2905" s="4" t="s">
        <v>48</v>
      </c>
      <c r="C2905" s="5">
        <v>45310</v>
      </c>
      <c r="D2905" s="4">
        <v>4.5999999999999996</v>
      </c>
      <c r="E2905" s="4">
        <v>1.29</v>
      </c>
    </row>
    <row r="2906" spans="1:5" x14ac:dyDescent="0.25">
      <c r="A2906" s="4" t="s">
        <v>53</v>
      </c>
      <c r="B2906" s="4" t="s">
        <v>48</v>
      </c>
      <c r="C2906" s="5">
        <v>45310</v>
      </c>
      <c r="D2906" s="4">
        <v>0.4</v>
      </c>
      <c r="E2906" s="4">
        <v>0.12</v>
      </c>
    </row>
    <row r="2907" spans="1:5" x14ac:dyDescent="0.25">
      <c r="A2907" s="4" t="s">
        <v>53</v>
      </c>
      <c r="B2907" s="4" t="s">
        <v>43</v>
      </c>
      <c r="C2907" s="5">
        <v>45329</v>
      </c>
      <c r="D2907" s="4">
        <v>15.4</v>
      </c>
      <c r="E2907" s="4">
        <v>5.35</v>
      </c>
    </row>
    <row r="2908" spans="1:5" x14ac:dyDescent="0.25">
      <c r="A2908" s="4" t="s">
        <v>53</v>
      </c>
      <c r="B2908" s="4" t="s">
        <v>43</v>
      </c>
      <c r="C2908" s="5">
        <v>45329</v>
      </c>
      <c r="D2908" s="4">
        <v>15.4</v>
      </c>
      <c r="E2908" s="4">
        <v>5.35</v>
      </c>
    </row>
    <row r="2909" spans="1:5" x14ac:dyDescent="0.25">
      <c r="A2909" s="4" t="s">
        <v>53</v>
      </c>
      <c r="B2909" s="4" t="s">
        <v>43</v>
      </c>
      <c r="C2909" s="5">
        <v>45330</v>
      </c>
      <c r="D2909" s="4">
        <v>14.8</v>
      </c>
      <c r="E2909" s="4">
        <v>5.14</v>
      </c>
    </row>
    <row r="2910" spans="1:5" x14ac:dyDescent="0.25">
      <c r="A2910" s="4" t="s">
        <v>53</v>
      </c>
      <c r="B2910" s="4" t="s">
        <v>43</v>
      </c>
      <c r="C2910" s="5">
        <v>45330</v>
      </c>
      <c r="D2910" s="4">
        <v>30.2</v>
      </c>
      <c r="E2910" s="4">
        <v>10.49</v>
      </c>
    </row>
    <row r="2911" spans="1:5" x14ac:dyDescent="0.25">
      <c r="A2911" s="4" t="s">
        <v>53</v>
      </c>
      <c r="B2911" s="4" t="s">
        <v>43</v>
      </c>
      <c r="C2911" s="5">
        <v>45330</v>
      </c>
      <c r="D2911" s="4">
        <v>30.2</v>
      </c>
      <c r="E2911" s="4">
        <v>10.49</v>
      </c>
    </row>
    <row r="2912" spans="1:5" x14ac:dyDescent="0.25">
      <c r="A2912" s="4" t="s">
        <v>53</v>
      </c>
      <c r="B2912" s="4" t="s">
        <v>43</v>
      </c>
      <c r="C2912" s="5">
        <v>45330</v>
      </c>
      <c r="D2912" s="4">
        <v>30.2</v>
      </c>
      <c r="E2912" s="4">
        <v>10.49</v>
      </c>
    </row>
    <row r="2913" spans="1:5" x14ac:dyDescent="0.25">
      <c r="A2913" s="4" t="s">
        <v>53</v>
      </c>
      <c r="B2913" s="4" t="s">
        <v>43</v>
      </c>
      <c r="C2913" s="5">
        <v>45330</v>
      </c>
      <c r="D2913" s="4">
        <v>30.2</v>
      </c>
      <c r="E2913" s="4">
        <v>10.49</v>
      </c>
    </row>
    <row r="2914" spans="1:5" x14ac:dyDescent="0.25">
      <c r="A2914" s="4" t="s">
        <v>53</v>
      </c>
      <c r="B2914" s="4" t="s">
        <v>43</v>
      </c>
      <c r="C2914" s="5">
        <v>45330</v>
      </c>
      <c r="D2914" s="4">
        <v>30.2</v>
      </c>
      <c r="E2914" s="4">
        <v>10.49</v>
      </c>
    </row>
    <row r="2915" spans="1:5" x14ac:dyDescent="0.25">
      <c r="A2915" s="4" t="s">
        <v>53</v>
      </c>
      <c r="B2915" s="4" t="s">
        <v>43</v>
      </c>
      <c r="C2915" s="5">
        <v>45330</v>
      </c>
      <c r="D2915" s="4">
        <v>15.4</v>
      </c>
      <c r="E2915" s="4">
        <v>5.35</v>
      </c>
    </row>
    <row r="2916" spans="1:5" x14ac:dyDescent="0.25">
      <c r="A2916" s="4" t="s">
        <v>53</v>
      </c>
      <c r="B2916" s="4" t="s">
        <v>43</v>
      </c>
      <c r="C2916" s="5">
        <v>45330</v>
      </c>
      <c r="D2916" s="4">
        <v>14.8</v>
      </c>
      <c r="E2916" s="4">
        <v>5.14</v>
      </c>
    </row>
    <row r="2917" spans="1:5" x14ac:dyDescent="0.25">
      <c r="A2917" s="4" t="s">
        <v>53</v>
      </c>
      <c r="B2917" s="4" t="s">
        <v>43</v>
      </c>
      <c r="C2917" s="5">
        <v>45330</v>
      </c>
      <c r="D2917" s="4">
        <v>30.2</v>
      </c>
      <c r="E2917" s="4">
        <v>10.49</v>
      </c>
    </row>
    <row r="2918" spans="1:5" x14ac:dyDescent="0.25">
      <c r="A2918" s="4" t="s">
        <v>53</v>
      </c>
      <c r="B2918" s="4" t="s">
        <v>43</v>
      </c>
      <c r="C2918" s="5">
        <v>45330</v>
      </c>
      <c r="D2918" s="4">
        <v>30.2</v>
      </c>
      <c r="E2918" s="4">
        <v>10.49</v>
      </c>
    </row>
    <row r="2919" spans="1:5" x14ac:dyDescent="0.25">
      <c r="A2919" s="4" t="s">
        <v>53</v>
      </c>
      <c r="B2919" s="4" t="s">
        <v>43</v>
      </c>
      <c r="C2919" s="5">
        <v>45330</v>
      </c>
      <c r="D2919" s="4">
        <v>30.2</v>
      </c>
      <c r="E2919" s="4">
        <v>10.49</v>
      </c>
    </row>
    <row r="2920" spans="1:5" x14ac:dyDescent="0.25">
      <c r="A2920" s="4" t="s">
        <v>53</v>
      </c>
      <c r="B2920" s="4" t="s">
        <v>43</v>
      </c>
      <c r="C2920" s="5">
        <v>45330</v>
      </c>
      <c r="D2920" s="4">
        <v>30.2</v>
      </c>
      <c r="E2920" s="4">
        <v>10.49</v>
      </c>
    </row>
    <row r="2921" spans="1:5" x14ac:dyDescent="0.25">
      <c r="A2921" s="4" t="s">
        <v>53</v>
      </c>
      <c r="B2921" s="4" t="s">
        <v>43</v>
      </c>
      <c r="C2921" s="5">
        <v>45330</v>
      </c>
      <c r="D2921" s="4">
        <v>1.2</v>
      </c>
      <c r="E2921" s="4">
        <v>0.41</v>
      </c>
    </row>
    <row r="2922" spans="1:5" x14ac:dyDescent="0.25">
      <c r="A2922" s="4" t="s">
        <v>53</v>
      </c>
      <c r="B2922" s="4" t="s">
        <v>43</v>
      </c>
      <c r="C2922" s="5">
        <v>45331</v>
      </c>
      <c r="D2922" s="4">
        <v>15.4</v>
      </c>
      <c r="E2922" s="4">
        <v>5.35</v>
      </c>
    </row>
    <row r="2923" spans="1:5" x14ac:dyDescent="0.25">
      <c r="A2923" s="4" t="s">
        <v>53</v>
      </c>
      <c r="B2923" s="4" t="s">
        <v>43</v>
      </c>
      <c r="C2923" s="5">
        <v>45331</v>
      </c>
      <c r="D2923" s="4">
        <v>30.2</v>
      </c>
      <c r="E2923" s="4">
        <v>10.49</v>
      </c>
    </row>
    <row r="2924" spans="1:5" x14ac:dyDescent="0.25">
      <c r="A2924" s="4" t="s">
        <v>53</v>
      </c>
      <c r="B2924" s="4" t="s">
        <v>43</v>
      </c>
      <c r="C2924" s="5">
        <v>45331</v>
      </c>
      <c r="D2924" s="4">
        <v>31.3</v>
      </c>
      <c r="E2924" s="4">
        <v>10.86</v>
      </c>
    </row>
    <row r="2925" spans="1:5" x14ac:dyDescent="0.25">
      <c r="A2925" s="4" t="s">
        <v>53</v>
      </c>
      <c r="B2925" s="4" t="s">
        <v>43</v>
      </c>
      <c r="C2925" s="5">
        <v>45331</v>
      </c>
      <c r="D2925" s="4">
        <v>30.2</v>
      </c>
      <c r="E2925" s="4">
        <v>10.49</v>
      </c>
    </row>
    <row r="2926" spans="1:5" x14ac:dyDescent="0.25">
      <c r="A2926" s="4" t="s">
        <v>53</v>
      </c>
      <c r="B2926" s="4" t="s">
        <v>43</v>
      </c>
      <c r="C2926" s="5">
        <v>45331</v>
      </c>
      <c r="D2926" s="4">
        <v>31.3</v>
      </c>
      <c r="E2926" s="4">
        <v>10.86</v>
      </c>
    </row>
    <row r="2927" spans="1:5" x14ac:dyDescent="0.25">
      <c r="A2927" s="4" t="s">
        <v>53</v>
      </c>
      <c r="B2927" s="4" t="s">
        <v>43</v>
      </c>
      <c r="C2927" s="5">
        <v>45331</v>
      </c>
      <c r="D2927" s="4">
        <v>30.2</v>
      </c>
      <c r="E2927" s="4">
        <v>10.49</v>
      </c>
    </row>
    <row r="2928" spans="1:5" x14ac:dyDescent="0.25">
      <c r="A2928" s="4" t="s">
        <v>53</v>
      </c>
      <c r="B2928" s="4" t="s">
        <v>43</v>
      </c>
      <c r="C2928" s="5">
        <v>45331</v>
      </c>
      <c r="D2928" s="4">
        <v>14.8</v>
      </c>
      <c r="E2928" s="4">
        <v>5.14</v>
      </c>
    </row>
    <row r="2929" spans="1:5" x14ac:dyDescent="0.25">
      <c r="A2929" s="4" t="s">
        <v>53</v>
      </c>
      <c r="B2929" s="4" t="s">
        <v>43</v>
      </c>
      <c r="C2929" s="5">
        <v>45331</v>
      </c>
      <c r="D2929" s="4">
        <v>15.4</v>
      </c>
      <c r="E2929" s="4">
        <v>5.35</v>
      </c>
    </row>
    <row r="2930" spans="1:5" x14ac:dyDescent="0.25">
      <c r="A2930" s="4" t="s">
        <v>53</v>
      </c>
      <c r="B2930" s="4" t="s">
        <v>43</v>
      </c>
      <c r="C2930" s="5">
        <v>45331</v>
      </c>
      <c r="D2930" s="4">
        <v>30.2</v>
      </c>
      <c r="E2930" s="4">
        <v>10.49</v>
      </c>
    </row>
    <row r="2931" spans="1:5" x14ac:dyDescent="0.25">
      <c r="A2931" s="4" t="s">
        <v>53</v>
      </c>
      <c r="B2931" s="4" t="s">
        <v>43</v>
      </c>
      <c r="C2931" s="5">
        <v>45331</v>
      </c>
      <c r="D2931" s="4">
        <v>30.2</v>
      </c>
      <c r="E2931" s="4">
        <v>10.49</v>
      </c>
    </row>
    <row r="2932" spans="1:5" x14ac:dyDescent="0.25">
      <c r="A2932" s="4" t="s">
        <v>53</v>
      </c>
      <c r="B2932" s="4" t="s">
        <v>43</v>
      </c>
      <c r="C2932" s="5">
        <v>45331</v>
      </c>
      <c r="D2932" s="4">
        <v>30.2</v>
      </c>
      <c r="E2932" s="4">
        <v>10.49</v>
      </c>
    </row>
    <row r="2933" spans="1:5" x14ac:dyDescent="0.25">
      <c r="A2933" s="4" t="s">
        <v>53</v>
      </c>
      <c r="B2933" s="4" t="s">
        <v>43</v>
      </c>
      <c r="C2933" s="5">
        <v>45331</v>
      </c>
      <c r="D2933" s="4">
        <v>14.8</v>
      </c>
      <c r="E2933" s="4">
        <v>5.14</v>
      </c>
    </row>
    <row r="2934" spans="1:5" x14ac:dyDescent="0.25">
      <c r="A2934" s="4" t="s">
        <v>53</v>
      </c>
      <c r="B2934" s="4" t="s">
        <v>43</v>
      </c>
      <c r="C2934" s="5">
        <v>45334</v>
      </c>
      <c r="D2934" s="4">
        <v>41.3</v>
      </c>
      <c r="E2934" s="4">
        <v>14.36</v>
      </c>
    </row>
    <row r="2935" spans="1:5" x14ac:dyDescent="0.25">
      <c r="A2935" s="4" t="s">
        <v>53</v>
      </c>
      <c r="B2935" s="4" t="s">
        <v>43</v>
      </c>
      <c r="C2935" s="5">
        <v>45334</v>
      </c>
      <c r="D2935" s="4">
        <v>17.3</v>
      </c>
      <c r="E2935" s="4">
        <v>6.03</v>
      </c>
    </row>
    <row r="2936" spans="1:5" x14ac:dyDescent="0.25">
      <c r="A2936" s="4" t="s">
        <v>53</v>
      </c>
      <c r="B2936" s="4" t="s">
        <v>43</v>
      </c>
      <c r="C2936" s="5">
        <v>45334</v>
      </c>
      <c r="D2936" s="4">
        <v>17.3</v>
      </c>
      <c r="E2936" s="4">
        <v>6.03</v>
      </c>
    </row>
    <row r="2937" spans="1:5" x14ac:dyDescent="0.25">
      <c r="A2937" s="4" t="s">
        <v>53</v>
      </c>
      <c r="B2937" s="4" t="s">
        <v>43</v>
      </c>
      <c r="C2937" s="5">
        <v>45334</v>
      </c>
      <c r="D2937" s="4">
        <v>67.5</v>
      </c>
      <c r="E2937" s="4">
        <v>23.48</v>
      </c>
    </row>
    <row r="2938" spans="1:5" x14ac:dyDescent="0.25">
      <c r="A2938" s="4" t="s">
        <v>53</v>
      </c>
      <c r="B2938" s="4" t="s">
        <v>43</v>
      </c>
      <c r="C2938" s="5">
        <v>45334</v>
      </c>
      <c r="D2938" s="4">
        <v>29.9</v>
      </c>
      <c r="E2938" s="4">
        <v>10.36</v>
      </c>
    </row>
    <row r="2939" spans="1:5" x14ac:dyDescent="0.25">
      <c r="A2939" s="4" t="s">
        <v>53</v>
      </c>
      <c r="B2939" s="4" t="s">
        <v>43</v>
      </c>
      <c r="C2939" s="5">
        <v>45334</v>
      </c>
      <c r="D2939" s="4">
        <v>41.3</v>
      </c>
      <c r="E2939" s="4">
        <v>14.36</v>
      </c>
    </row>
    <row r="2940" spans="1:5" x14ac:dyDescent="0.25">
      <c r="A2940" s="4" t="s">
        <v>53</v>
      </c>
      <c r="B2940" s="4" t="s">
        <v>43</v>
      </c>
      <c r="C2940" s="5">
        <v>45334</v>
      </c>
      <c r="D2940" s="4">
        <v>17.3</v>
      </c>
      <c r="E2940" s="4">
        <v>6.03</v>
      </c>
    </row>
    <row r="2941" spans="1:5" x14ac:dyDescent="0.25">
      <c r="A2941" s="4" t="s">
        <v>53</v>
      </c>
      <c r="B2941" s="4" t="s">
        <v>43</v>
      </c>
      <c r="C2941" s="5">
        <v>45334</v>
      </c>
      <c r="D2941" s="4">
        <v>17.3</v>
      </c>
      <c r="E2941" s="4">
        <v>6.03</v>
      </c>
    </row>
    <row r="2942" spans="1:5" x14ac:dyDescent="0.25">
      <c r="A2942" s="4" t="s">
        <v>53</v>
      </c>
      <c r="B2942" s="4" t="s">
        <v>43</v>
      </c>
      <c r="C2942" s="5">
        <v>45334</v>
      </c>
      <c r="D2942" s="4">
        <v>67.5</v>
      </c>
      <c r="E2942" s="4">
        <v>23.48</v>
      </c>
    </row>
    <row r="2943" spans="1:5" x14ac:dyDescent="0.25">
      <c r="A2943" s="4" t="s">
        <v>53</v>
      </c>
      <c r="B2943" s="4" t="s">
        <v>43</v>
      </c>
      <c r="C2943" s="5">
        <v>45334</v>
      </c>
      <c r="D2943" s="4">
        <v>29.9</v>
      </c>
      <c r="E2943" s="4">
        <v>10.36</v>
      </c>
    </row>
    <row r="2944" spans="1:5" x14ac:dyDescent="0.25">
      <c r="A2944" s="4" t="s">
        <v>53</v>
      </c>
      <c r="B2944" s="4" t="s">
        <v>43</v>
      </c>
      <c r="C2944" s="5">
        <v>45335</v>
      </c>
      <c r="D2944" s="4">
        <v>41.3</v>
      </c>
      <c r="E2944" s="4">
        <v>14.36</v>
      </c>
    </row>
    <row r="2945" spans="1:5" x14ac:dyDescent="0.25">
      <c r="A2945" s="4" t="s">
        <v>53</v>
      </c>
      <c r="B2945" s="4" t="s">
        <v>43</v>
      </c>
      <c r="C2945" s="5">
        <v>45335</v>
      </c>
      <c r="D2945" s="4">
        <v>17.3</v>
      </c>
      <c r="E2945" s="4">
        <v>6.03</v>
      </c>
    </row>
    <row r="2946" spans="1:5" x14ac:dyDescent="0.25">
      <c r="A2946" s="4" t="s">
        <v>53</v>
      </c>
      <c r="B2946" s="4" t="s">
        <v>43</v>
      </c>
      <c r="C2946" s="5">
        <v>45335</v>
      </c>
      <c r="D2946" s="4">
        <v>17.3</v>
      </c>
      <c r="E2946" s="4">
        <v>6.03</v>
      </c>
    </row>
    <row r="2947" spans="1:5" x14ac:dyDescent="0.25">
      <c r="A2947" s="4" t="s">
        <v>53</v>
      </c>
      <c r="B2947" s="4" t="s">
        <v>43</v>
      </c>
      <c r="C2947" s="5">
        <v>45335</v>
      </c>
      <c r="D2947" s="4">
        <v>67.5</v>
      </c>
      <c r="E2947" s="4">
        <v>23.48</v>
      </c>
    </row>
    <row r="2948" spans="1:5" x14ac:dyDescent="0.25">
      <c r="A2948" s="4" t="s">
        <v>53</v>
      </c>
      <c r="B2948" s="4" t="s">
        <v>43</v>
      </c>
      <c r="C2948" s="5">
        <v>45335</v>
      </c>
      <c r="D2948" s="4">
        <v>71.2</v>
      </c>
      <c r="E2948" s="4">
        <v>24.72</v>
      </c>
    </row>
    <row r="2949" spans="1:5" x14ac:dyDescent="0.25">
      <c r="A2949" s="4" t="s">
        <v>53</v>
      </c>
      <c r="B2949" s="4" t="s">
        <v>43</v>
      </c>
      <c r="C2949" s="5">
        <v>45335</v>
      </c>
      <c r="D2949" s="4">
        <v>17.3</v>
      </c>
      <c r="E2949" s="4">
        <v>6.03</v>
      </c>
    </row>
    <row r="2950" spans="1:5" x14ac:dyDescent="0.25">
      <c r="A2950" s="4" t="s">
        <v>53</v>
      </c>
      <c r="B2950" s="4" t="s">
        <v>43</v>
      </c>
      <c r="C2950" s="5">
        <v>45335</v>
      </c>
      <c r="D2950" s="4">
        <v>17.3</v>
      </c>
      <c r="E2950" s="4">
        <v>6.03</v>
      </c>
    </row>
    <row r="2951" spans="1:5" x14ac:dyDescent="0.25">
      <c r="A2951" s="4" t="s">
        <v>53</v>
      </c>
      <c r="B2951" s="4" t="s">
        <v>43</v>
      </c>
      <c r="C2951" s="5">
        <v>45335</v>
      </c>
      <c r="D2951" s="4">
        <v>67.5</v>
      </c>
      <c r="E2951" s="4">
        <v>23.48</v>
      </c>
    </row>
    <row r="2952" spans="1:5" x14ac:dyDescent="0.25">
      <c r="A2952" s="4" t="s">
        <v>53</v>
      </c>
      <c r="B2952" s="4" t="s">
        <v>43</v>
      </c>
      <c r="C2952" s="5">
        <v>45335</v>
      </c>
      <c r="D2952" s="4">
        <v>29.9</v>
      </c>
      <c r="E2952" s="4">
        <v>10.36</v>
      </c>
    </row>
    <row r="2953" spans="1:5" x14ac:dyDescent="0.25">
      <c r="A2953" s="4" t="s">
        <v>53</v>
      </c>
      <c r="B2953" s="4" t="s">
        <v>43</v>
      </c>
      <c r="C2953" s="5">
        <v>45336</v>
      </c>
      <c r="D2953" s="4">
        <v>41.3</v>
      </c>
      <c r="E2953" s="4">
        <v>14.36</v>
      </c>
    </row>
    <row r="2954" spans="1:5" x14ac:dyDescent="0.25">
      <c r="A2954" s="4" t="s">
        <v>53</v>
      </c>
      <c r="B2954" s="4" t="s">
        <v>43</v>
      </c>
      <c r="C2954" s="5">
        <v>45336</v>
      </c>
      <c r="D2954" s="4">
        <v>17.3</v>
      </c>
      <c r="E2954" s="4">
        <v>6.03</v>
      </c>
    </row>
    <row r="2955" spans="1:5" x14ac:dyDescent="0.25">
      <c r="A2955" s="4" t="s">
        <v>53</v>
      </c>
      <c r="B2955" s="4" t="s">
        <v>43</v>
      </c>
      <c r="C2955" s="5">
        <v>45336</v>
      </c>
      <c r="D2955" s="4">
        <v>17.3</v>
      </c>
      <c r="E2955" s="4">
        <v>6.03</v>
      </c>
    </row>
    <row r="2956" spans="1:5" x14ac:dyDescent="0.25">
      <c r="A2956" s="4" t="s">
        <v>53</v>
      </c>
      <c r="B2956" s="4" t="s">
        <v>43</v>
      </c>
      <c r="C2956" s="5">
        <v>45336</v>
      </c>
      <c r="D2956" s="4">
        <v>67.5</v>
      </c>
      <c r="E2956" s="4">
        <v>23.48</v>
      </c>
    </row>
    <row r="2957" spans="1:5" x14ac:dyDescent="0.25">
      <c r="A2957" s="4" t="s">
        <v>53</v>
      </c>
      <c r="B2957" s="4" t="s">
        <v>43</v>
      </c>
      <c r="C2957" s="5">
        <v>45336</v>
      </c>
      <c r="D2957" s="4">
        <v>29.9</v>
      </c>
      <c r="E2957" s="4">
        <v>10.36</v>
      </c>
    </row>
    <row r="2958" spans="1:5" x14ac:dyDescent="0.25">
      <c r="A2958" s="4" t="s">
        <v>53</v>
      </c>
      <c r="B2958" s="4" t="s">
        <v>43</v>
      </c>
      <c r="C2958" s="5">
        <v>45336</v>
      </c>
      <c r="D2958" s="4">
        <v>31.9</v>
      </c>
      <c r="E2958" s="4">
        <v>11.09</v>
      </c>
    </row>
    <row r="2959" spans="1:5" x14ac:dyDescent="0.25">
      <c r="A2959" s="4" t="s">
        <v>53</v>
      </c>
      <c r="B2959" s="4" t="s">
        <v>43</v>
      </c>
      <c r="C2959" s="5">
        <v>45336</v>
      </c>
      <c r="D2959" s="4">
        <v>20.3</v>
      </c>
      <c r="E2959" s="4">
        <v>7.06</v>
      </c>
    </row>
    <row r="2960" spans="1:5" x14ac:dyDescent="0.25">
      <c r="A2960" s="4" t="s">
        <v>53</v>
      </c>
      <c r="B2960" s="4" t="s">
        <v>43</v>
      </c>
      <c r="C2960" s="5">
        <v>45336</v>
      </c>
      <c r="D2960" s="4">
        <v>17.3</v>
      </c>
      <c r="E2960" s="4">
        <v>6.03</v>
      </c>
    </row>
    <row r="2961" spans="1:5" x14ac:dyDescent="0.25">
      <c r="A2961" s="4" t="s">
        <v>53</v>
      </c>
      <c r="B2961" s="4" t="s">
        <v>43</v>
      </c>
      <c r="C2961" s="5">
        <v>45336</v>
      </c>
      <c r="D2961" s="4">
        <v>67.5</v>
      </c>
      <c r="E2961" s="4">
        <v>23.48</v>
      </c>
    </row>
    <row r="2962" spans="1:5" x14ac:dyDescent="0.25">
      <c r="A2962" s="4" t="s">
        <v>53</v>
      </c>
      <c r="B2962" s="4" t="s">
        <v>43</v>
      </c>
      <c r="C2962" s="5">
        <v>45336</v>
      </c>
      <c r="D2962" s="4">
        <v>1.1000000000000001</v>
      </c>
      <c r="E2962" s="4">
        <v>0.38</v>
      </c>
    </row>
    <row r="2963" spans="1:5" x14ac:dyDescent="0.25">
      <c r="A2963" s="4" t="s">
        <v>53</v>
      </c>
      <c r="B2963" s="4" t="s">
        <v>43</v>
      </c>
      <c r="C2963" s="5">
        <v>45336</v>
      </c>
      <c r="D2963" s="4">
        <v>16</v>
      </c>
      <c r="E2963" s="4">
        <v>5.57</v>
      </c>
    </row>
    <row r="2964" spans="1:5" x14ac:dyDescent="0.25">
      <c r="A2964" s="4" t="s">
        <v>53</v>
      </c>
      <c r="B2964" s="4" t="s">
        <v>43</v>
      </c>
      <c r="C2964" s="5">
        <v>45337</v>
      </c>
      <c r="D2964" s="4">
        <v>30.5</v>
      </c>
      <c r="E2964" s="4">
        <v>10.62</v>
      </c>
    </row>
    <row r="2965" spans="1:5" x14ac:dyDescent="0.25">
      <c r="A2965" s="4" t="s">
        <v>53</v>
      </c>
      <c r="B2965" s="4" t="s">
        <v>43</v>
      </c>
      <c r="C2965" s="5">
        <v>45337</v>
      </c>
      <c r="D2965" s="4">
        <v>30.6</v>
      </c>
      <c r="E2965" s="4">
        <v>10.67</v>
      </c>
    </row>
    <row r="2966" spans="1:5" x14ac:dyDescent="0.25">
      <c r="A2966" s="4" t="s">
        <v>53</v>
      </c>
      <c r="B2966" s="4" t="s">
        <v>57</v>
      </c>
      <c r="C2966" s="5">
        <v>45322</v>
      </c>
      <c r="D2966" s="4">
        <v>15.4</v>
      </c>
      <c r="E2966" s="4">
        <v>5.35</v>
      </c>
    </row>
    <row r="2967" spans="1:5" x14ac:dyDescent="0.25">
      <c r="A2967" s="4" t="s">
        <v>53</v>
      </c>
      <c r="B2967" s="4" t="s">
        <v>57</v>
      </c>
      <c r="C2967" s="5">
        <v>45322</v>
      </c>
      <c r="D2967" s="4">
        <v>15.4</v>
      </c>
      <c r="E2967" s="4">
        <v>5.35</v>
      </c>
    </row>
    <row r="2968" spans="1:5" x14ac:dyDescent="0.25">
      <c r="A2968" s="4" t="s">
        <v>53</v>
      </c>
      <c r="B2968" s="4" t="s">
        <v>57</v>
      </c>
      <c r="C2968" s="5">
        <v>45322</v>
      </c>
      <c r="D2968" s="4">
        <v>15.4</v>
      </c>
      <c r="E2968" s="4">
        <v>5.35</v>
      </c>
    </row>
    <row r="2969" spans="1:5" x14ac:dyDescent="0.25">
      <c r="A2969" s="4" t="s">
        <v>53</v>
      </c>
      <c r="B2969" s="4" t="s">
        <v>57</v>
      </c>
      <c r="C2969" s="5">
        <v>45322</v>
      </c>
      <c r="D2969" s="4">
        <v>15.4</v>
      </c>
      <c r="E2969" s="4">
        <v>5.35</v>
      </c>
    </row>
    <row r="2970" spans="1:5" x14ac:dyDescent="0.25">
      <c r="A2970" s="4" t="s">
        <v>53</v>
      </c>
      <c r="B2970" s="4" t="s">
        <v>57</v>
      </c>
      <c r="C2970" s="5">
        <v>45322</v>
      </c>
      <c r="D2970" s="4">
        <v>15.4</v>
      </c>
      <c r="E2970" s="4">
        <v>5.35</v>
      </c>
    </row>
    <row r="2971" spans="1:5" x14ac:dyDescent="0.25">
      <c r="A2971" s="4" t="s">
        <v>53</v>
      </c>
      <c r="B2971" s="4" t="s">
        <v>57</v>
      </c>
      <c r="C2971" s="5">
        <v>45322</v>
      </c>
      <c r="D2971" s="4">
        <v>15.4</v>
      </c>
      <c r="E2971" s="4">
        <v>5.35</v>
      </c>
    </row>
    <row r="2972" spans="1:5" x14ac:dyDescent="0.25">
      <c r="A2972" s="4" t="s">
        <v>53</v>
      </c>
      <c r="B2972" s="4" t="s">
        <v>57</v>
      </c>
      <c r="C2972" s="5">
        <v>45322</v>
      </c>
      <c r="D2972" s="4">
        <v>15.4</v>
      </c>
      <c r="E2972" s="4">
        <v>5.35</v>
      </c>
    </row>
    <row r="2973" spans="1:5" x14ac:dyDescent="0.25">
      <c r="A2973" s="4" t="s">
        <v>53</v>
      </c>
      <c r="B2973" s="4" t="s">
        <v>57</v>
      </c>
      <c r="C2973" s="5">
        <v>45322</v>
      </c>
      <c r="D2973" s="4">
        <v>15.4</v>
      </c>
      <c r="E2973" s="4">
        <v>5.35</v>
      </c>
    </row>
    <row r="2974" spans="1:5" x14ac:dyDescent="0.25">
      <c r="A2974" s="4" t="s">
        <v>53</v>
      </c>
      <c r="B2974" s="4" t="s">
        <v>57</v>
      </c>
      <c r="C2974" s="5">
        <v>45322</v>
      </c>
      <c r="D2974" s="4">
        <v>15.4</v>
      </c>
      <c r="E2974" s="4">
        <v>5.35</v>
      </c>
    </row>
    <row r="2975" spans="1:5" x14ac:dyDescent="0.25">
      <c r="A2975" s="4" t="s">
        <v>53</v>
      </c>
      <c r="B2975" s="4" t="s">
        <v>57</v>
      </c>
      <c r="C2975" s="5">
        <v>45322</v>
      </c>
      <c r="D2975" s="4">
        <v>15.4</v>
      </c>
      <c r="E2975" s="4">
        <v>5.35</v>
      </c>
    </row>
    <row r="2976" spans="1:5" x14ac:dyDescent="0.25">
      <c r="A2976" s="4" t="s">
        <v>53</v>
      </c>
      <c r="B2976" s="4" t="s">
        <v>57</v>
      </c>
      <c r="C2976" s="5">
        <v>45322</v>
      </c>
      <c r="D2976" s="4">
        <v>15.4</v>
      </c>
      <c r="E2976" s="4">
        <v>5.35</v>
      </c>
    </row>
    <row r="2977" spans="1:5" x14ac:dyDescent="0.25">
      <c r="A2977" s="4" t="s">
        <v>53</v>
      </c>
      <c r="B2977" s="4" t="s">
        <v>57</v>
      </c>
      <c r="C2977" s="5">
        <v>45322</v>
      </c>
      <c r="D2977" s="4">
        <v>15.4</v>
      </c>
      <c r="E2977" s="4">
        <v>5.35</v>
      </c>
    </row>
    <row r="2978" spans="1:5" x14ac:dyDescent="0.25">
      <c r="A2978" s="4" t="s">
        <v>53</v>
      </c>
      <c r="B2978" s="4" t="s">
        <v>57</v>
      </c>
      <c r="C2978" s="5">
        <v>45327</v>
      </c>
      <c r="D2978" s="4">
        <v>14.8</v>
      </c>
      <c r="E2978" s="4">
        <v>5.14</v>
      </c>
    </row>
    <row r="2979" spans="1:5" x14ac:dyDescent="0.25">
      <c r="A2979" s="4" t="s">
        <v>53</v>
      </c>
      <c r="B2979" s="4" t="s">
        <v>57</v>
      </c>
      <c r="C2979" s="5">
        <v>45327</v>
      </c>
      <c r="D2979" s="4">
        <v>1</v>
      </c>
      <c r="E2979" s="4">
        <v>0.33</v>
      </c>
    </row>
    <row r="2980" spans="1:5" x14ac:dyDescent="0.25">
      <c r="A2980" s="4" t="s">
        <v>53</v>
      </c>
      <c r="B2980" s="4" t="s">
        <v>57</v>
      </c>
      <c r="C2980" s="5">
        <v>45327</v>
      </c>
      <c r="D2980" s="4">
        <v>1</v>
      </c>
      <c r="E2980" s="4">
        <v>0.33</v>
      </c>
    </row>
    <row r="2981" spans="1:5" x14ac:dyDescent="0.25">
      <c r="A2981" s="4" t="s">
        <v>53</v>
      </c>
      <c r="B2981" s="4" t="s">
        <v>57</v>
      </c>
      <c r="C2981" s="5">
        <v>45327</v>
      </c>
      <c r="D2981" s="4">
        <v>1</v>
      </c>
      <c r="E2981" s="4">
        <v>0.33</v>
      </c>
    </row>
    <row r="2982" spans="1:5" x14ac:dyDescent="0.25">
      <c r="A2982" s="4" t="s">
        <v>53</v>
      </c>
      <c r="B2982" s="4" t="s">
        <v>57</v>
      </c>
      <c r="C2982" s="5">
        <v>45327</v>
      </c>
      <c r="D2982" s="4">
        <v>1</v>
      </c>
      <c r="E2982" s="4">
        <v>0.33</v>
      </c>
    </row>
    <row r="2983" spans="1:5" x14ac:dyDescent="0.25">
      <c r="A2983" s="4" t="s">
        <v>53</v>
      </c>
      <c r="B2983" s="4" t="s">
        <v>57</v>
      </c>
      <c r="C2983" s="5">
        <v>45327</v>
      </c>
      <c r="D2983" s="4">
        <v>3.3</v>
      </c>
      <c r="E2983" s="4">
        <v>1.1100000000000001</v>
      </c>
    </row>
    <row r="2984" spans="1:5" x14ac:dyDescent="0.25">
      <c r="A2984" s="4" t="s">
        <v>53</v>
      </c>
      <c r="B2984" s="4" t="s">
        <v>57</v>
      </c>
      <c r="C2984" s="5">
        <v>45328</v>
      </c>
      <c r="D2984" s="4">
        <v>0.9</v>
      </c>
      <c r="E2984" s="4">
        <v>0.31</v>
      </c>
    </row>
    <row r="2985" spans="1:5" x14ac:dyDescent="0.25">
      <c r="A2985" s="4" t="s">
        <v>53</v>
      </c>
      <c r="B2985" s="4" t="s">
        <v>57</v>
      </c>
      <c r="C2985" s="5">
        <v>45328</v>
      </c>
      <c r="D2985" s="4">
        <v>1</v>
      </c>
      <c r="E2985" s="4">
        <v>0.33</v>
      </c>
    </row>
    <row r="2986" spans="1:5" x14ac:dyDescent="0.25">
      <c r="A2986" s="4" t="s">
        <v>53</v>
      </c>
      <c r="B2986" s="4" t="s">
        <v>57</v>
      </c>
      <c r="C2986" s="5">
        <v>45328</v>
      </c>
      <c r="D2986" s="4">
        <v>1</v>
      </c>
      <c r="E2986" s="4">
        <v>0.33</v>
      </c>
    </row>
    <row r="2987" spans="1:5" x14ac:dyDescent="0.25">
      <c r="A2987" s="4" t="s">
        <v>53</v>
      </c>
      <c r="B2987" s="4" t="s">
        <v>57</v>
      </c>
      <c r="C2987" s="5">
        <v>45328</v>
      </c>
      <c r="D2987" s="4">
        <v>1</v>
      </c>
      <c r="E2987" s="4">
        <v>0.33</v>
      </c>
    </row>
    <row r="2988" spans="1:5" x14ac:dyDescent="0.25">
      <c r="A2988" s="4" t="s">
        <v>53</v>
      </c>
      <c r="B2988" s="4" t="s">
        <v>57</v>
      </c>
      <c r="C2988" s="5">
        <v>45328</v>
      </c>
      <c r="D2988" s="4">
        <v>1</v>
      </c>
      <c r="E2988" s="4">
        <v>0.33</v>
      </c>
    </row>
    <row r="2989" spans="1:5" x14ac:dyDescent="0.25">
      <c r="A2989" s="4" t="s">
        <v>53</v>
      </c>
      <c r="B2989" s="4" t="s">
        <v>57</v>
      </c>
      <c r="C2989" s="5">
        <v>45328</v>
      </c>
      <c r="D2989" s="4">
        <v>1</v>
      </c>
      <c r="E2989" s="4">
        <v>0.33</v>
      </c>
    </row>
    <row r="2990" spans="1:5" x14ac:dyDescent="0.25">
      <c r="A2990" s="4" t="s">
        <v>53</v>
      </c>
      <c r="B2990" s="4" t="s">
        <v>57</v>
      </c>
      <c r="C2990" s="5">
        <v>45328</v>
      </c>
      <c r="D2990" s="4">
        <v>16.399999999999999</v>
      </c>
      <c r="E2990" s="4">
        <v>5.71</v>
      </c>
    </row>
    <row r="2991" spans="1:5" x14ac:dyDescent="0.25">
      <c r="A2991" s="4" t="s">
        <v>53</v>
      </c>
      <c r="B2991" s="4" t="s">
        <v>57</v>
      </c>
      <c r="C2991" s="5">
        <v>45329</v>
      </c>
      <c r="D2991" s="4">
        <v>21.7</v>
      </c>
      <c r="E2991" s="4">
        <v>7.55</v>
      </c>
    </row>
    <row r="2992" spans="1:5" x14ac:dyDescent="0.25">
      <c r="A2992" s="4" t="s">
        <v>53</v>
      </c>
      <c r="B2992" s="4" t="s">
        <v>57</v>
      </c>
      <c r="C2992" s="5">
        <v>45329</v>
      </c>
      <c r="D2992" s="4">
        <v>1.4</v>
      </c>
      <c r="E2992" s="4">
        <v>0.48</v>
      </c>
    </row>
    <row r="2993" spans="1:5" x14ac:dyDescent="0.25">
      <c r="A2993" s="4" t="s">
        <v>53</v>
      </c>
      <c r="B2993" s="4" t="s">
        <v>57</v>
      </c>
      <c r="C2993" s="5">
        <v>45329</v>
      </c>
      <c r="D2993" s="4">
        <v>1.4</v>
      </c>
      <c r="E2993" s="4">
        <v>0.48</v>
      </c>
    </row>
    <row r="2994" spans="1:5" x14ac:dyDescent="0.25">
      <c r="A2994" s="4" t="s">
        <v>53</v>
      </c>
      <c r="B2994" s="4" t="s">
        <v>57</v>
      </c>
      <c r="C2994" s="5">
        <v>45329</v>
      </c>
      <c r="D2994" s="4">
        <v>1.4</v>
      </c>
      <c r="E2994" s="4">
        <v>0.48</v>
      </c>
    </row>
    <row r="2995" spans="1:5" x14ac:dyDescent="0.25">
      <c r="A2995" s="4" t="s">
        <v>53</v>
      </c>
      <c r="B2995" s="4" t="s">
        <v>57</v>
      </c>
      <c r="C2995" s="5">
        <v>45329</v>
      </c>
      <c r="D2995" s="4">
        <v>16.8</v>
      </c>
      <c r="E2995" s="4">
        <v>5.85</v>
      </c>
    </row>
    <row r="2996" spans="1:5" x14ac:dyDescent="0.25">
      <c r="A2996" s="4" t="s">
        <v>53</v>
      </c>
      <c r="B2996" s="4" t="s">
        <v>57</v>
      </c>
      <c r="C2996" s="5">
        <v>45330</v>
      </c>
      <c r="D2996" s="4">
        <v>25.6</v>
      </c>
      <c r="E2996" s="4">
        <v>8.93</v>
      </c>
    </row>
    <row r="2997" spans="1:5" x14ac:dyDescent="0.25">
      <c r="A2997" s="4" t="s">
        <v>53</v>
      </c>
      <c r="B2997" s="4" t="s">
        <v>57</v>
      </c>
      <c r="C2997" s="5">
        <v>45330</v>
      </c>
      <c r="D2997" s="4">
        <v>24.4</v>
      </c>
      <c r="E2997" s="4">
        <v>8.49</v>
      </c>
    </row>
    <row r="2998" spans="1:5" x14ac:dyDescent="0.25">
      <c r="A2998" s="4" t="s">
        <v>53</v>
      </c>
      <c r="B2998" s="4" t="s">
        <v>57</v>
      </c>
      <c r="C2998" s="5">
        <v>45330</v>
      </c>
      <c r="D2998" s="4">
        <v>26.2</v>
      </c>
      <c r="E2998" s="4">
        <v>9.1199999999999992</v>
      </c>
    </row>
    <row r="2999" spans="1:5" x14ac:dyDescent="0.25">
      <c r="A2999" s="4" t="s">
        <v>53</v>
      </c>
      <c r="B2999" s="4" t="s">
        <v>57</v>
      </c>
      <c r="C2999" s="5">
        <v>45330</v>
      </c>
      <c r="D2999" s="4">
        <v>3</v>
      </c>
      <c r="E2999" s="4">
        <v>1.05</v>
      </c>
    </row>
    <row r="3000" spans="1:5" x14ac:dyDescent="0.25">
      <c r="A3000" s="4" t="s">
        <v>53</v>
      </c>
      <c r="B3000" s="4" t="s">
        <v>57</v>
      </c>
      <c r="C3000" s="5">
        <v>45330</v>
      </c>
      <c r="D3000" s="4">
        <v>3</v>
      </c>
      <c r="E3000" s="4">
        <v>1.05</v>
      </c>
    </row>
    <row r="3001" spans="1:5" x14ac:dyDescent="0.25">
      <c r="A3001" s="4" t="s">
        <v>53</v>
      </c>
      <c r="B3001" s="4" t="s">
        <v>57</v>
      </c>
      <c r="C3001" s="5">
        <v>45330</v>
      </c>
      <c r="D3001" s="4">
        <v>3</v>
      </c>
      <c r="E3001" s="4">
        <v>1.05</v>
      </c>
    </row>
    <row r="3002" spans="1:5" x14ac:dyDescent="0.25">
      <c r="A3002" s="4" t="s">
        <v>53</v>
      </c>
      <c r="B3002" s="4" t="s">
        <v>57</v>
      </c>
      <c r="C3002" s="5">
        <v>45330</v>
      </c>
      <c r="D3002" s="4">
        <v>24.4</v>
      </c>
      <c r="E3002" s="4">
        <v>8.49</v>
      </c>
    </row>
    <row r="3003" spans="1:5" x14ac:dyDescent="0.25">
      <c r="A3003" s="4" t="s">
        <v>53</v>
      </c>
      <c r="B3003" s="4" t="s">
        <v>57</v>
      </c>
      <c r="C3003" s="5">
        <v>45330</v>
      </c>
      <c r="D3003" s="4">
        <v>24.4</v>
      </c>
      <c r="E3003" s="4">
        <v>8.49</v>
      </c>
    </row>
    <row r="3004" spans="1:5" x14ac:dyDescent="0.25">
      <c r="A3004" s="4" t="s">
        <v>53</v>
      </c>
      <c r="B3004" s="4" t="s">
        <v>57</v>
      </c>
      <c r="C3004" s="5">
        <v>45330</v>
      </c>
      <c r="D3004" s="4">
        <v>24.4</v>
      </c>
      <c r="E3004" s="4">
        <v>8.49</v>
      </c>
    </row>
    <row r="3005" spans="1:5" x14ac:dyDescent="0.25">
      <c r="A3005" s="4" t="s">
        <v>53</v>
      </c>
      <c r="B3005" s="4" t="s">
        <v>57</v>
      </c>
      <c r="C3005" s="5">
        <v>45330</v>
      </c>
      <c r="D3005" s="4">
        <v>24.4</v>
      </c>
      <c r="E3005" s="4">
        <v>8.49</v>
      </c>
    </row>
    <row r="3006" spans="1:5" x14ac:dyDescent="0.25">
      <c r="A3006" s="4" t="s">
        <v>53</v>
      </c>
      <c r="B3006" s="4" t="s">
        <v>57</v>
      </c>
      <c r="C3006" s="5">
        <v>45330</v>
      </c>
      <c r="D3006" s="4">
        <v>24.4</v>
      </c>
      <c r="E3006" s="4">
        <v>8.49</v>
      </c>
    </row>
    <row r="3007" spans="1:5" x14ac:dyDescent="0.25">
      <c r="A3007" s="4" t="s">
        <v>53</v>
      </c>
      <c r="B3007" s="4" t="s">
        <v>57</v>
      </c>
      <c r="C3007" s="5">
        <v>45330</v>
      </c>
      <c r="D3007" s="4">
        <v>24.4</v>
      </c>
      <c r="E3007" s="4">
        <v>8.49</v>
      </c>
    </row>
    <row r="3008" spans="1:5" x14ac:dyDescent="0.25">
      <c r="A3008" s="4" t="s">
        <v>53</v>
      </c>
      <c r="B3008" s="4" t="s">
        <v>57</v>
      </c>
      <c r="C3008" s="5">
        <v>45330</v>
      </c>
      <c r="D3008" s="4">
        <v>24.4</v>
      </c>
      <c r="E3008" s="4">
        <v>8.49</v>
      </c>
    </row>
    <row r="3009" spans="1:5" x14ac:dyDescent="0.25">
      <c r="A3009" s="4" t="s">
        <v>53</v>
      </c>
      <c r="B3009" s="4" t="s">
        <v>57</v>
      </c>
      <c r="C3009" s="5">
        <v>45330</v>
      </c>
      <c r="D3009" s="4">
        <v>48.8</v>
      </c>
      <c r="E3009" s="4">
        <v>17</v>
      </c>
    </row>
    <row r="3010" spans="1:5" x14ac:dyDescent="0.25">
      <c r="A3010" s="4" t="s">
        <v>53</v>
      </c>
      <c r="B3010" s="4" t="s">
        <v>57</v>
      </c>
      <c r="C3010" s="5">
        <v>45331</v>
      </c>
      <c r="D3010" s="4">
        <v>15.4</v>
      </c>
      <c r="E3010" s="4">
        <v>5.35</v>
      </c>
    </row>
    <row r="3011" spans="1:5" x14ac:dyDescent="0.25">
      <c r="A3011" s="4" t="s">
        <v>53</v>
      </c>
      <c r="B3011" s="4" t="s">
        <v>57</v>
      </c>
      <c r="C3011" s="5">
        <v>45331</v>
      </c>
      <c r="D3011" s="4">
        <v>28.8</v>
      </c>
      <c r="E3011" s="4">
        <v>10.039999999999999</v>
      </c>
    </row>
    <row r="3012" spans="1:5" x14ac:dyDescent="0.25">
      <c r="A3012" s="4" t="s">
        <v>53</v>
      </c>
      <c r="B3012" s="4" t="s">
        <v>57</v>
      </c>
      <c r="C3012" s="5">
        <v>45331</v>
      </c>
      <c r="D3012" s="4">
        <v>2.4</v>
      </c>
      <c r="E3012" s="4">
        <v>0.84</v>
      </c>
    </row>
    <row r="3013" spans="1:5" x14ac:dyDescent="0.25">
      <c r="A3013" s="4" t="s">
        <v>53</v>
      </c>
      <c r="B3013" s="4" t="s">
        <v>57</v>
      </c>
      <c r="C3013" s="5">
        <v>45331</v>
      </c>
      <c r="D3013" s="4">
        <v>2.9</v>
      </c>
      <c r="E3013" s="4">
        <v>1.01</v>
      </c>
    </row>
    <row r="3014" spans="1:5" x14ac:dyDescent="0.25">
      <c r="A3014" s="4" t="s">
        <v>53</v>
      </c>
      <c r="B3014" s="4" t="s">
        <v>57</v>
      </c>
      <c r="C3014" s="5">
        <v>45331</v>
      </c>
      <c r="D3014" s="4">
        <v>11.5</v>
      </c>
      <c r="E3014" s="4">
        <v>4</v>
      </c>
    </row>
    <row r="3015" spans="1:5" x14ac:dyDescent="0.25">
      <c r="A3015" s="4" t="s">
        <v>53</v>
      </c>
      <c r="B3015" s="4" t="s">
        <v>57</v>
      </c>
      <c r="C3015" s="5">
        <v>45331</v>
      </c>
      <c r="D3015" s="4">
        <v>20.9</v>
      </c>
      <c r="E3015" s="4">
        <v>7.28</v>
      </c>
    </row>
    <row r="3016" spans="1:5" x14ac:dyDescent="0.25">
      <c r="A3016" s="4" t="s">
        <v>53</v>
      </c>
      <c r="B3016" s="4" t="s">
        <v>57</v>
      </c>
      <c r="C3016" s="5">
        <v>45331</v>
      </c>
      <c r="D3016" s="4">
        <v>28.8</v>
      </c>
      <c r="E3016" s="4">
        <v>10.039999999999999</v>
      </c>
    </row>
    <row r="3017" spans="1:5" x14ac:dyDescent="0.25">
      <c r="A3017" s="4" t="s">
        <v>53</v>
      </c>
      <c r="B3017" s="4" t="s">
        <v>57</v>
      </c>
      <c r="C3017" s="5">
        <v>45331</v>
      </c>
      <c r="D3017" s="4">
        <v>28.8</v>
      </c>
      <c r="E3017" s="4">
        <v>10.039999999999999</v>
      </c>
    </row>
    <row r="3018" spans="1:5" x14ac:dyDescent="0.25">
      <c r="A3018" s="4" t="s">
        <v>53</v>
      </c>
      <c r="B3018" s="4" t="s">
        <v>57</v>
      </c>
      <c r="C3018" s="5">
        <v>45331</v>
      </c>
      <c r="D3018" s="4">
        <v>2.4</v>
      </c>
      <c r="E3018" s="4">
        <v>0.84</v>
      </c>
    </row>
    <row r="3019" spans="1:5" x14ac:dyDescent="0.25">
      <c r="A3019" s="4" t="s">
        <v>53</v>
      </c>
      <c r="B3019" s="4" t="s">
        <v>57</v>
      </c>
      <c r="C3019" s="5">
        <v>45331</v>
      </c>
      <c r="D3019" s="4">
        <v>2.9</v>
      </c>
      <c r="E3019" s="4">
        <v>1.01</v>
      </c>
    </row>
    <row r="3020" spans="1:5" x14ac:dyDescent="0.25">
      <c r="A3020" s="4" t="s">
        <v>53</v>
      </c>
      <c r="B3020" s="4" t="s">
        <v>57</v>
      </c>
      <c r="C3020" s="5">
        <v>45331</v>
      </c>
      <c r="D3020" s="4">
        <v>28.9</v>
      </c>
      <c r="E3020" s="4">
        <v>10.02</v>
      </c>
    </row>
    <row r="3021" spans="1:5" x14ac:dyDescent="0.25">
      <c r="A3021" s="4" t="s">
        <v>53</v>
      </c>
      <c r="B3021" s="4" t="s">
        <v>57</v>
      </c>
      <c r="C3021" s="5">
        <v>45334</v>
      </c>
      <c r="D3021" s="4">
        <v>0.9</v>
      </c>
      <c r="E3021" s="4">
        <v>0.31</v>
      </c>
    </row>
    <row r="3022" spans="1:5" x14ac:dyDescent="0.25">
      <c r="A3022" s="4" t="s">
        <v>53</v>
      </c>
      <c r="B3022" s="4" t="s">
        <v>57</v>
      </c>
      <c r="C3022" s="5">
        <v>45334</v>
      </c>
      <c r="D3022" s="4">
        <v>43.8</v>
      </c>
      <c r="E3022" s="4">
        <v>15.23</v>
      </c>
    </row>
    <row r="3023" spans="1:5" x14ac:dyDescent="0.25">
      <c r="A3023" s="4" t="s">
        <v>53</v>
      </c>
      <c r="B3023" s="4" t="s">
        <v>57</v>
      </c>
      <c r="C3023" s="5">
        <v>45334</v>
      </c>
      <c r="D3023" s="4">
        <v>41.7</v>
      </c>
      <c r="E3023" s="4">
        <v>14.53</v>
      </c>
    </row>
    <row r="3024" spans="1:5" x14ac:dyDescent="0.25">
      <c r="A3024" s="4" t="s">
        <v>53</v>
      </c>
      <c r="B3024" s="4" t="s">
        <v>57</v>
      </c>
      <c r="C3024" s="5">
        <v>45334</v>
      </c>
      <c r="D3024" s="4">
        <v>43.8</v>
      </c>
      <c r="E3024" s="4">
        <v>15.23</v>
      </c>
    </row>
    <row r="3025" spans="1:5" x14ac:dyDescent="0.25">
      <c r="A3025" s="4" t="s">
        <v>53</v>
      </c>
      <c r="B3025" s="4" t="s">
        <v>57</v>
      </c>
      <c r="C3025" s="5">
        <v>45334</v>
      </c>
      <c r="D3025" s="4">
        <v>41.7</v>
      </c>
      <c r="E3025" s="4">
        <v>14.53</v>
      </c>
    </row>
    <row r="3026" spans="1:5" x14ac:dyDescent="0.25">
      <c r="A3026" s="4" t="s">
        <v>53</v>
      </c>
      <c r="B3026" s="4" t="s">
        <v>57</v>
      </c>
      <c r="C3026" s="5">
        <v>45334</v>
      </c>
      <c r="D3026" s="4">
        <v>43.8</v>
      </c>
      <c r="E3026" s="4">
        <v>15.23</v>
      </c>
    </row>
    <row r="3027" spans="1:5" x14ac:dyDescent="0.25">
      <c r="A3027" s="4" t="s">
        <v>53</v>
      </c>
      <c r="B3027" s="4" t="s">
        <v>57</v>
      </c>
      <c r="C3027" s="5">
        <v>45334</v>
      </c>
      <c r="D3027" s="4">
        <v>41.7</v>
      </c>
      <c r="E3027" s="4">
        <v>14.53</v>
      </c>
    </row>
    <row r="3028" spans="1:5" x14ac:dyDescent="0.25">
      <c r="A3028" s="4" t="s">
        <v>53</v>
      </c>
      <c r="B3028" s="4" t="s">
        <v>57</v>
      </c>
      <c r="C3028" s="5">
        <v>45334</v>
      </c>
      <c r="D3028" s="4">
        <v>0.9</v>
      </c>
      <c r="E3028" s="4">
        <v>0.31</v>
      </c>
    </row>
    <row r="3029" spans="1:5" x14ac:dyDescent="0.25">
      <c r="A3029" s="4" t="s">
        <v>53</v>
      </c>
      <c r="B3029" s="4" t="s">
        <v>57</v>
      </c>
      <c r="C3029" s="5">
        <v>45335</v>
      </c>
      <c r="D3029" s="4">
        <v>41.3</v>
      </c>
      <c r="E3029" s="4">
        <v>14.36</v>
      </c>
    </row>
    <row r="3030" spans="1:5" x14ac:dyDescent="0.25">
      <c r="A3030" s="4" t="s">
        <v>53</v>
      </c>
      <c r="B3030" s="4" t="s">
        <v>57</v>
      </c>
      <c r="C3030" s="5">
        <v>45335</v>
      </c>
      <c r="D3030" s="4">
        <v>17.3</v>
      </c>
      <c r="E3030" s="4">
        <v>6.03</v>
      </c>
    </row>
    <row r="3031" spans="1:5" x14ac:dyDescent="0.25">
      <c r="A3031" s="4" t="s">
        <v>53</v>
      </c>
      <c r="B3031" s="4" t="s">
        <v>57</v>
      </c>
      <c r="C3031" s="5">
        <v>45335</v>
      </c>
      <c r="D3031" s="4">
        <v>17.3</v>
      </c>
      <c r="E3031" s="4">
        <v>6.03</v>
      </c>
    </row>
    <row r="3032" spans="1:5" x14ac:dyDescent="0.25">
      <c r="A3032" s="4" t="s">
        <v>53</v>
      </c>
      <c r="B3032" s="4" t="s">
        <v>57</v>
      </c>
      <c r="C3032" s="5">
        <v>45335</v>
      </c>
      <c r="D3032" s="4">
        <v>67.5</v>
      </c>
      <c r="E3032" s="4">
        <v>23.48</v>
      </c>
    </row>
    <row r="3033" spans="1:5" x14ac:dyDescent="0.25">
      <c r="A3033" s="4" t="s">
        <v>53</v>
      </c>
      <c r="B3033" s="4" t="s">
        <v>57</v>
      </c>
      <c r="C3033" s="5">
        <v>45335</v>
      </c>
      <c r="D3033" s="4">
        <v>85.7</v>
      </c>
      <c r="E3033" s="4">
        <v>29.82</v>
      </c>
    </row>
    <row r="3034" spans="1:5" x14ac:dyDescent="0.25">
      <c r="A3034" s="4" t="s">
        <v>53</v>
      </c>
      <c r="B3034" s="4" t="s">
        <v>57</v>
      </c>
      <c r="C3034" s="5">
        <v>45335</v>
      </c>
      <c r="D3034" s="4">
        <v>17.3</v>
      </c>
      <c r="E3034" s="4">
        <v>6.03</v>
      </c>
    </row>
    <row r="3035" spans="1:5" x14ac:dyDescent="0.25">
      <c r="A3035" s="4" t="s">
        <v>53</v>
      </c>
      <c r="B3035" s="4" t="s">
        <v>57</v>
      </c>
      <c r="C3035" s="5">
        <v>45335</v>
      </c>
      <c r="D3035" s="4">
        <v>17.3</v>
      </c>
      <c r="E3035" s="4">
        <v>6.03</v>
      </c>
    </row>
    <row r="3036" spans="1:5" x14ac:dyDescent="0.25">
      <c r="A3036" s="4" t="s">
        <v>53</v>
      </c>
      <c r="B3036" s="4" t="s">
        <v>57</v>
      </c>
      <c r="C3036" s="5">
        <v>45335</v>
      </c>
      <c r="D3036" s="4">
        <v>67.5</v>
      </c>
      <c r="E3036" s="4">
        <v>23.48</v>
      </c>
    </row>
    <row r="3037" spans="1:5" x14ac:dyDescent="0.25">
      <c r="A3037" s="4" t="s">
        <v>53</v>
      </c>
      <c r="B3037" s="4" t="s">
        <v>57</v>
      </c>
      <c r="C3037" s="5">
        <v>45335</v>
      </c>
      <c r="D3037" s="4">
        <v>44.4</v>
      </c>
      <c r="E3037" s="4">
        <v>15.46</v>
      </c>
    </row>
    <row r="3038" spans="1:5" x14ac:dyDescent="0.25">
      <c r="A3038" s="4" t="s">
        <v>53</v>
      </c>
      <c r="B3038" s="4" t="s">
        <v>57</v>
      </c>
      <c r="C3038" s="5">
        <v>45337</v>
      </c>
      <c r="D3038" s="4">
        <v>15.4</v>
      </c>
      <c r="E3038" s="4">
        <v>5.35</v>
      </c>
    </row>
    <row r="3039" spans="1:5" x14ac:dyDescent="0.25">
      <c r="A3039" s="4" t="s">
        <v>53</v>
      </c>
      <c r="B3039" s="4" t="s">
        <v>57</v>
      </c>
      <c r="C3039" s="5">
        <v>45337</v>
      </c>
      <c r="D3039" s="4">
        <v>41.6</v>
      </c>
      <c r="E3039" s="4">
        <v>14.47</v>
      </c>
    </row>
    <row r="3040" spans="1:5" x14ac:dyDescent="0.25">
      <c r="A3040" s="4" t="s">
        <v>53</v>
      </c>
      <c r="B3040" s="4" t="s">
        <v>57</v>
      </c>
      <c r="C3040" s="5">
        <v>45337</v>
      </c>
      <c r="D3040" s="4">
        <v>58.4</v>
      </c>
      <c r="E3040" s="4">
        <v>20.309999999999999</v>
      </c>
    </row>
    <row r="3041" spans="1:5" x14ac:dyDescent="0.25">
      <c r="A3041" s="4" t="s">
        <v>53</v>
      </c>
      <c r="B3041" s="4" t="s">
        <v>57</v>
      </c>
      <c r="C3041" s="5">
        <v>45337</v>
      </c>
      <c r="D3041" s="4">
        <v>41.6</v>
      </c>
      <c r="E3041" s="4">
        <v>14.47</v>
      </c>
    </row>
    <row r="3042" spans="1:5" x14ac:dyDescent="0.25">
      <c r="A3042" s="4" t="s">
        <v>53</v>
      </c>
      <c r="B3042" s="4" t="s">
        <v>57</v>
      </c>
      <c r="C3042" s="5">
        <v>45337</v>
      </c>
      <c r="D3042" s="4">
        <v>58.4</v>
      </c>
      <c r="E3042" s="4">
        <v>20.309999999999999</v>
      </c>
    </row>
    <row r="3043" spans="1:5" x14ac:dyDescent="0.25">
      <c r="A3043" s="4" t="s">
        <v>53</v>
      </c>
      <c r="B3043" s="4" t="s">
        <v>57</v>
      </c>
      <c r="C3043" s="5">
        <v>45337</v>
      </c>
      <c r="D3043" s="4">
        <v>41.6</v>
      </c>
      <c r="E3043" s="4">
        <v>14.47</v>
      </c>
    </row>
    <row r="3044" spans="1:5" x14ac:dyDescent="0.25">
      <c r="A3044" s="4" t="s">
        <v>53</v>
      </c>
      <c r="B3044" s="4" t="s">
        <v>57</v>
      </c>
      <c r="C3044" s="5">
        <v>45337</v>
      </c>
      <c r="D3044" s="4">
        <v>58.4</v>
      </c>
      <c r="E3044" s="4">
        <v>20.309999999999999</v>
      </c>
    </row>
    <row r="3045" spans="1:5" x14ac:dyDescent="0.25">
      <c r="A3045" s="4" t="s">
        <v>53</v>
      </c>
      <c r="B3045" s="4" t="s">
        <v>57</v>
      </c>
      <c r="C3045" s="5">
        <v>45337</v>
      </c>
      <c r="D3045" s="4">
        <v>41.6</v>
      </c>
      <c r="E3045" s="4">
        <v>14.47</v>
      </c>
    </row>
    <row r="3046" spans="1:5" x14ac:dyDescent="0.25">
      <c r="A3046" s="4" t="s">
        <v>53</v>
      </c>
      <c r="B3046" s="4" t="s">
        <v>57</v>
      </c>
      <c r="C3046" s="5">
        <v>45337</v>
      </c>
      <c r="D3046" s="4">
        <v>37.4</v>
      </c>
      <c r="E3046" s="4">
        <v>13.02</v>
      </c>
    </row>
    <row r="3047" spans="1:5" x14ac:dyDescent="0.25">
      <c r="A3047" s="4" t="s">
        <v>53</v>
      </c>
      <c r="B3047" s="4" t="s">
        <v>25</v>
      </c>
      <c r="C3047" s="5">
        <v>45307</v>
      </c>
      <c r="D3047" s="4">
        <v>28.9</v>
      </c>
      <c r="E3047" s="4">
        <v>10.02</v>
      </c>
    </row>
    <row r="3048" spans="1:5" x14ac:dyDescent="0.25">
      <c r="A3048" s="4" t="s">
        <v>53</v>
      </c>
      <c r="B3048" s="4" t="s">
        <v>25</v>
      </c>
      <c r="C3048" s="5">
        <v>45307</v>
      </c>
      <c r="D3048" s="4">
        <v>44.3</v>
      </c>
      <c r="E3048" s="4">
        <v>15.37</v>
      </c>
    </row>
    <row r="3049" spans="1:5" x14ac:dyDescent="0.25">
      <c r="A3049" s="4" t="s">
        <v>53</v>
      </c>
      <c r="B3049" s="4" t="s">
        <v>25</v>
      </c>
      <c r="C3049" s="5">
        <v>45307</v>
      </c>
      <c r="D3049" s="4">
        <v>44.3</v>
      </c>
      <c r="E3049" s="4">
        <v>15.37</v>
      </c>
    </row>
    <row r="3050" spans="1:5" x14ac:dyDescent="0.25">
      <c r="A3050" s="4" t="s">
        <v>53</v>
      </c>
      <c r="B3050" s="4" t="s">
        <v>25</v>
      </c>
      <c r="C3050" s="5">
        <v>45307</v>
      </c>
      <c r="D3050" s="4">
        <v>44.3</v>
      </c>
      <c r="E3050" s="4">
        <v>15.37</v>
      </c>
    </row>
    <row r="3051" spans="1:5" x14ac:dyDescent="0.25">
      <c r="A3051" s="4" t="s">
        <v>53</v>
      </c>
      <c r="B3051" s="4" t="s">
        <v>25</v>
      </c>
      <c r="C3051" s="5">
        <v>45307</v>
      </c>
      <c r="D3051" s="4">
        <v>36.799999999999997</v>
      </c>
      <c r="E3051" s="4">
        <v>12.77</v>
      </c>
    </row>
    <row r="3052" spans="1:5" x14ac:dyDescent="0.25">
      <c r="A3052" s="4" t="s">
        <v>53</v>
      </c>
      <c r="B3052" s="4" t="s">
        <v>25</v>
      </c>
      <c r="C3052" s="5">
        <v>45307</v>
      </c>
      <c r="D3052" s="4">
        <v>7.5</v>
      </c>
      <c r="E3052" s="4">
        <v>2.6</v>
      </c>
    </row>
    <row r="3053" spans="1:5" x14ac:dyDescent="0.25">
      <c r="A3053" s="4" t="s">
        <v>53</v>
      </c>
      <c r="B3053" s="4" t="s">
        <v>25</v>
      </c>
      <c r="C3053" s="5">
        <v>45307</v>
      </c>
      <c r="D3053" s="4">
        <v>50.1</v>
      </c>
      <c r="E3053" s="4">
        <v>17.45</v>
      </c>
    </row>
    <row r="3054" spans="1:5" x14ac:dyDescent="0.25">
      <c r="A3054" s="4" t="s">
        <v>53</v>
      </c>
      <c r="B3054" s="4" t="s">
        <v>25</v>
      </c>
      <c r="C3054" s="5">
        <v>45307</v>
      </c>
      <c r="D3054" s="4">
        <v>44.3</v>
      </c>
      <c r="E3054" s="4">
        <v>15.37</v>
      </c>
    </row>
    <row r="3055" spans="1:5" x14ac:dyDescent="0.25">
      <c r="A3055" s="4" t="s">
        <v>53</v>
      </c>
      <c r="B3055" s="4" t="s">
        <v>25</v>
      </c>
      <c r="C3055" s="5">
        <v>45307</v>
      </c>
      <c r="D3055" s="4">
        <v>28.9</v>
      </c>
      <c r="E3055" s="4">
        <v>10.02</v>
      </c>
    </row>
    <row r="3056" spans="1:5" x14ac:dyDescent="0.25">
      <c r="A3056" s="4" t="s">
        <v>53</v>
      </c>
      <c r="B3056" s="4" t="s">
        <v>25</v>
      </c>
      <c r="C3056" s="5">
        <v>45308</v>
      </c>
      <c r="D3056" s="4">
        <v>13.2</v>
      </c>
      <c r="E3056" s="4">
        <v>4.59</v>
      </c>
    </row>
    <row r="3057" spans="1:5" x14ac:dyDescent="0.25">
      <c r="A3057" s="4" t="s">
        <v>53</v>
      </c>
      <c r="B3057" s="4" t="s">
        <v>25</v>
      </c>
      <c r="C3057" s="5">
        <v>45308</v>
      </c>
      <c r="D3057" s="4">
        <v>8.6999999999999993</v>
      </c>
      <c r="E3057" s="4">
        <v>3.03</v>
      </c>
    </row>
    <row r="3058" spans="1:5" x14ac:dyDescent="0.25">
      <c r="A3058" s="4" t="s">
        <v>53</v>
      </c>
      <c r="B3058" s="4" t="s">
        <v>25</v>
      </c>
      <c r="C3058" s="5">
        <v>45309</v>
      </c>
      <c r="D3058" s="4">
        <v>15.4</v>
      </c>
      <c r="E3058" s="4">
        <v>5.35</v>
      </c>
    </row>
    <row r="3059" spans="1:5" x14ac:dyDescent="0.25">
      <c r="A3059" s="4" t="s">
        <v>53</v>
      </c>
      <c r="B3059" s="4" t="s">
        <v>25</v>
      </c>
      <c r="C3059" s="5">
        <v>45309</v>
      </c>
      <c r="D3059" s="4">
        <v>28.8</v>
      </c>
      <c r="E3059" s="4">
        <v>10.039999999999999</v>
      </c>
    </row>
    <row r="3060" spans="1:5" x14ac:dyDescent="0.25">
      <c r="A3060" s="4" t="s">
        <v>53</v>
      </c>
      <c r="B3060" s="4" t="s">
        <v>25</v>
      </c>
      <c r="C3060" s="5">
        <v>45309</v>
      </c>
      <c r="D3060" s="4">
        <v>28.8</v>
      </c>
      <c r="E3060" s="4">
        <v>10.039999999999999</v>
      </c>
    </row>
    <row r="3061" spans="1:5" x14ac:dyDescent="0.25">
      <c r="A3061" s="4" t="s">
        <v>53</v>
      </c>
      <c r="B3061" s="4" t="s">
        <v>25</v>
      </c>
      <c r="C3061" s="5">
        <v>45309</v>
      </c>
      <c r="D3061" s="4">
        <v>28.8</v>
      </c>
      <c r="E3061" s="4">
        <v>10.039999999999999</v>
      </c>
    </row>
    <row r="3062" spans="1:5" x14ac:dyDescent="0.25">
      <c r="A3062" s="4" t="s">
        <v>53</v>
      </c>
      <c r="B3062" s="4" t="s">
        <v>25</v>
      </c>
      <c r="C3062" s="5">
        <v>45309</v>
      </c>
      <c r="D3062" s="4">
        <v>4.0999999999999996</v>
      </c>
      <c r="E3062" s="4">
        <v>1.43</v>
      </c>
    </row>
    <row r="3063" spans="1:5" x14ac:dyDescent="0.25">
      <c r="A3063" s="4" t="s">
        <v>53</v>
      </c>
      <c r="B3063" s="4" t="s">
        <v>25</v>
      </c>
      <c r="C3063" s="5">
        <v>45309</v>
      </c>
      <c r="D3063" s="4">
        <v>0.5</v>
      </c>
      <c r="E3063" s="4">
        <v>0.17</v>
      </c>
    </row>
    <row r="3064" spans="1:5" x14ac:dyDescent="0.25">
      <c r="A3064" s="4" t="s">
        <v>53</v>
      </c>
      <c r="B3064" s="4" t="s">
        <v>25</v>
      </c>
      <c r="C3064" s="5">
        <v>45309</v>
      </c>
      <c r="D3064" s="4">
        <v>2.5</v>
      </c>
      <c r="E3064" s="4">
        <v>0.85</v>
      </c>
    </row>
    <row r="3065" spans="1:5" x14ac:dyDescent="0.25">
      <c r="A3065" s="4" t="s">
        <v>53</v>
      </c>
      <c r="B3065" s="4" t="s">
        <v>25</v>
      </c>
      <c r="C3065" s="5">
        <v>45313</v>
      </c>
      <c r="D3065" s="4">
        <v>0.4</v>
      </c>
      <c r="E3065" s="4">
        <v>0.14000000000000001</v>
      </c>
    </row>
    <row r="3066" spans="1:5" x14ac:dyDescent="0.25">
      <c r="A3066" s="4" t="s">
        <v>53</v>
      </c>
      <c r="B3066" s="4" t="s">
        <v>25</v>
      </c>
      <c r="C3066" s="5">
        <v>45313</v>
      </c>
      <c r="D3066" s="4">
        <v>10.199999999999999</v>
      </c>
      <c r="E3066" s="4">
        <v>3.55</v>
      </c>
    </row>
    <row r="3067" spans="1:5" x14ac:dyDescent="0.25">
      <c r="A3067" s="4" t="s">
        <v>53</v>
      </c>
      <c r="B3067" s="4" t="s">
        <v>25</v>
      </c>
      <c r="C3067" s="5">
        <v>45313</v>
      </c>
      <c r="D3067" s="4">
        <v>8</v>
      </c>
      <c r="E3067" s="4">
        <v>2.79</v>
      </c>
    </row>
    <row r="3068" spans="1:5" x14ac:dyDescent="0.25">
      <c r="A3068" s="4" t="s">
        <v>53</v>
      </c>
      <c r="B3068" s="4" t="s">
        <v>25</v>
      </c>
      <c r="C3068" s="5">
        <v>45313</v>
      </c>
      <c r="D3068" s="4">
        <v>10.199999999999999</v>
      </c>
      <c r="E3068" s="4">
        <v>3.55</v>
      </c>
    </row>
    <row r="3069" spans="1:5" x14ac:dyDescent="0.25">
      <c r="A3069" s="4" t="s">
        <v>53</v>
      </c>
      <c r="B3069" s="4" t="s">
        <v>25</v>
      </c>
      <c r="C3069" s="5">
        <v>45313</v>
      </c>
      <c r="D3069" s="4">
        <v>22.8</v>
      </c>
      <c r="E3069" s="4">
        <v>7.93</v>
      </c>
    </row>
    <row r="3070" spans="1:5" x14ac:dyDescent="0.25">
      <c r="A3070" s="4" t="s">
        <v>53</v>
      </c>
      <c r="B3070" s="4" t="s">
        <v>25</v>
      </c>
      <c r="C3070" s="5">
        <v>45313</v>
      </c>
      <c r="D3070" s="4">
        <v>27.6</v>
      </c>
      <c r="E3070" s="4">
        <v>9.6</v>
      </c>
    </row>
    <row r="3071" spans="1:5" x14ac:dyDescent="0.25">
      <c r="A3071" s="4" t="s">
        <v>53</v>
      </c>
      <c r="B3071" s="4" t="s">
        <v>25</v>
      </c>
      <c r="C3071" s="5">
        <v>45313</v>
      </c>
      <c r="D3071" s="4">
        <v>10.199999999999999</v>
      </c>
      <c r="E3071" s="4">
        <v>3.55</v>
      </c>
    </row>
    <row r="3072" spans="1:5" x14ac:dyDescent="0.25">
      <c r="A3072" s="4" t="s">
        <v>53</v>
      </c>
      <c r="B3072" s="4" t="s">
        <v>25</v>
      </c>
      <c r="C3072" s="5">
        <v>45313</v>
      </c>
      <c r="D3072" s="4">
        <v>22.8</v>
      </c>
      <c r="E3072" s="4">
        <v>7.93</v>
      </c>
    </row>
    <row r="3073" spans="1:5" x14ac:dyDescent="0.25">
      <c r="A3073" s="4" t="s">
        <v>53</v>
      </c>
      <c r="B3073" s="4" t="s">
        <v>25</v>
      </c>
      <c r="C3073" s="5">
        <v>45313</v>
      </c>
      <c r="D3073" s="4">
        <v>27.6</v>
      </c>
      <c r="E3073" s="4">
        <v>9.6</v>
      </c>
    </row>
    <row r="3074" spans="1:5" x14ac:dyDescent="0.25">
      <c r="A3074" s="4" t="s">
        <v>53</v>
      </c>
      <c r="B3074" s="4" t="s">
        <v>25</v>
      </c>
      <c r="C3074" s="5">
        <v>45313</v>
      </c>
      <c r="D3074" s="4">
        <v>0.4</v>
      </c>
      <c r="E3074" s="4">
        <v>0.14000000000000001</v>
      </c>
    </row>
    <row r="3075" spans="1:5" x14ac:dyDescent="0.25">
      <c r="A3075" s="4" t="s">
        <v>53</v>
      </c>
      <c r="B3075" s="4" t="s">
        <v>25</v>
      </c>
      <c r="C3075" s="5">
        <v>45313</v>
      </c>
      <c r="D3075" s="4">
        <v>15.4</v>
      </c>
      <c r="E3075" s="4">
        <v>5.35</v>
      </c>
    </row>
    <row r="3076" spans="1:5" x14ac:dyDescent="0.25">
      <c r="A3076" s="4" t="s">
        <v>53</v>
      </c>
      <c r="B3076" s="4" t="s">
        <v>25</v>
      </c>
      <c r="C3076" s="5">
        <v>45313</v>
      </c>
      <c r="D3076" s="4">
        <v>27.6</v>
      </c>
      <c r="E3076" s="4">
        <v>9.6</v>
      </c>
    </row>
    <row r="3077" spans="1:5" x14ac:dyDescent="0.25">
      <c r="A3077" s="4" t="s">
        <v>53</v>
      </c>
      <c r="B3077" s="4" t="s">
        <v>25</v>
      </c>
      <c r="C3077" s="5">
        <v>45313</v>
      </c>
      <c r="D3077" s="4">
        <v>0.4</v>
      </c>
      <c r="E3077" s="4">
        <v>0.14000000000000001</v>
      </c>
    </row>
    <row r="3078" spans="1:5" x14ac:dyDescent="0.25">
      <c r="A3078" s="4" t="s">
        <v>53</v>
      </c>
      <c r="B3078" s="4" t="s">
        <v>25</v>
      </c>
      <c r="C3078" s="5">
        <v>45314</v>
      </c>
      <c r="D3078" s="4">
        <v>15.4</v>
      </c>
      <c r="E3078" s="4">
        <v>5.35</v>
      </c>
    </row>
    <row r="3079" spans="1:5" x14ac:dyDescent="0.25">
      <c r="A3079" s="4" t="s">
        <v>53</v>
      </c>
      <c r="B3079" s="4" t="s">
        <v>25</v>
      </c>
      <c r="C3079" s="5">
        <v>45314</v>
      </c>
      <c r="D3079" s="4">
        <v>15.4</v>
      </c>
      <c r="E3079" s="4">
        <v>5.35</v>
      </c>
    </row>
    <row r="3080" spans="1:5" x14ac:dyDescent="0.25">
      <c r="A3080" s="4" t="s">
        <v>53</v>
      </c>
      <c r="B3080" s="4" t="s">
        <v>25</v>
      </c>
      <c r="C3080" s="5">
        <v>45314</v>
      </c>
      <c r="D3080" s="4">
        <v>0.4</v>
      </c>
      <c r="E3080" s="4">
        <v>0.14000000000000001</v>
      </c>
    </row>
    <row r="3081" spans="1:5" x14ac:dyDescent="0.25">
      <c r="A3081" s="4" t="s">
        <v>53</v>
      </c>
      <c r="B3081" s="4" t="s">
        <v>25</v>
      </c>
      <c r="C3081" s="5">
        <v>45314</v>
      </c>
      <c r="D3081" s="4">
        <v>0.4</v>
      </c>
      <c r="E3081" s="4">
        <v>0.14000000000000001</v>
      </c>
    </row>
    <row r="3082" spans="1:5" x14ac:dyDescent="0.25">
      <c r="A3082" s="4" t="s">
        <v>53</v>
      </c>
      <c r="B3082" s="4" t="s">
        <v>25</v>
      </c>
      <c r="C3082" s="5">
        <v>45314</v>
      </c>
      <c r="D3082" s="4">
        <v>15.4</v>
      </c>
      <c r="E3082" s="4">
        <v>5.35</v>
      </c>
    </row>
    <row r="3083" spans="1:5" x14ac:dyDescent="0.25">
      <c r="A3083" s="4" t="s">
        <v>53</v>
      </c>
      <c r="B3083" s="4" t="s">
        <v>25</v>
      </c>
      <c r="C3083" s="5">
        <v>45314</v>
      </c>
      <c r="D3083" s="4">
        <v>15.4</v>
      </c>
      <c r="E3083" s="4">
        <v>5.35</v>
      </c>
    </row>
    <row r="3084" spans="1:5" x14ac:dyDescent="0.25">
      <c r="A3084" s="4" t="s">
        <v>53</v>
      </c>
      <c r="B3084" s="4" t="s">
        <v>25</v>
      </c>
      <c r="C3084" s="5">
        <v>45314</v>
      </c>
      <c r="D3084" s="4">
        <v>0.4</v>
      </c>
      <c r="E3084" s="4">
        <v>0.14000000000000001</v>
      </c>
    </row>
    <row r="3085" spans="1:5" x14ac:dyDescent="0.25">
      <c r="A3085" s="4" t="s">
        <v>53</v>
      </c>
      <c r="B3085" s="4" t="s">
        <v>25</v>
      </c>
      <c r="C3085" s="5">
        <v>45314</v>
      </c>
      <c r="D3085" s="4">
        <v>0.4</v>
      </c>
      <c r="E3085" s="4">
        <v>0.14000000000000001</v>
      </c>
    </row>
    <row r="3086" spans="1:5" x14ac:dyDescent="0.25">
      <c r="A3086" s="4" t="s">
        <v>53</v>
      </c>
      <c r="B3086" s="4" t="s">
        <v>25</v>
      </c>
      <c r="C3086" s="5">
        <v>45314</v>
      </c>
      <c r="D3086" s="4">
        <v>15.4</v>
      </c>
      <c r="E3086" s="4">
        <v>5.35</v>
      </c>
    </row>
    <row r="3087" spans="1:5" x14ac:dyDescent="0.25">
      <c r="A3087" s="4" t="s">
        <v>53</v>
      </c>
      <c r="B3087" s="4" t="s">
        <v>25</v>
      </c>
      <c r="C3087" s="5">
        <v>45314</v>
      </c>
      <c r="D3087" s="4">
        <v>15.4</v>
      </c>
      <c r="E3087" s="4">
        <v>5.35</v>
      </c>
    </row>
    <row r="3088" spans="1:5" x14ac:dyDescent="0.25">
      <c r="A3088" s="4" t="s">
        <v>53</v>
      </c>
      <c r="B3088" s="4" t="s">
        <v>25</v>
      </c>
      <c r="C3088" s="5">
        <v>45314</v>
      </c>
      <c r="D3088" s="4">
        <v>0.4</v>
      </c>
      <c r="E3088" s="4">
        <v>0.14000000000000001</v>
      </c>
    </row>
    <row r="3089" spans="1:5" x14ac:dyDescent="0.25">
      <c r="A3089" s="4" t="s">
        <v>53</v>
      </c>
      <c r="B3089" s="4" t="s">
        <v>25</v>
      </c>
      <c r="C3089" s="5">
        <v>45314</v>
      </c>
      <c r="D3089" s="4">
        <v>0.4</v>
      </c>
      <c r="E3089" s="4">
        <v>0.14000000000000001</v>
      </c>
    </row>
    <row r="3090" spans="1:5" x14ac:dyDescent="0.25">
      <c r="A3090" s="4" t="s">
        <v>53</v>
      </c>
      <c r="B3090" s="4" t="s">
        <v>25</v>
      </c>
      <c r="C3090" s="5">
        <v>45314</v>
      </c>
      <c r="D3090" s="4">
        <v>15.4</v>
      </c>
      <c r="E3090" s="4">
        <v>5.35</v>
      </c>
    </row>
    <row r="3091" spans="1:5" x14ac:dyDescent="0.25">
      <c r="A3091" s="4" t="s">
        <v>53</v>
      </c>
      <c r="B3091" s="4" t="s">
        <v>25</v>
      </c>
      <c r="C3091" s="5">
        <v>45314</v>
      </c>
      <c r="D3091" s="4">
        <v>15.4</v>
      </c>
      <c r="E3091" s="4">
        <v>5.35</v>
      </c>
    </row>
    <row r="3092" spans="1:5" x14ac:dyDescent="0.25">
      <c r="A3092" s="4" t="s">
        <v>53</v>
      </c>
      <c r="B3092" s="4" t="s">
        <v>25</v>
      </c>
      <c r="C3092" s="5">
        <v>45314</v>
      </c>
      <c r="D3092" s="4">
        <v>0.4</v>
      </c>
      <c r="E3092" s="4">
        <v>0.14000000000000001</v>
      </c>
    </row>
    <row r="3093" spans="1:5" x14ac:dyDescent="0.25">
      <c r="A3093" s="4" t="s">
        <v>53</v>
      </c>
      <c r="B3093" s="4" t="s">
        <v>25</v>
      </c>
      <c r="C3093" s="5">
        <v>45314</v>
      </c>
      <c r="D3093" s="4">
        <v>0.4</v>
      </c>
      <c r="E3093" s="4">
        <v>0.14000000000000001</v>
      </c>
    </row>
    <row r="3094" spans="1:5" x14ac:dyDescent="0.25">
      <c r="A3094" s="4" t="s">
        <v>53</v>
      </c>
      <c r="B3094" s="4" t="s">
        <v>25</v>
      </c>
      <c r="C3094" s="5">
        <v>45314</v>
      </c>
      <c r="D3094" s="4">
        <v>15.4</v>
      </c>
      <c r="E3094" s="4">
        <v>5.35</v>
      </c>
    </row>
    <row r="3095" spans="1:5" x14ac:dyDescent="0.25">
      <c r="A3095" s="4" t="s">
        <v>53</v>
      </c>
      <c r="B3095" s="4" t="s">
        <v>25</v>
      </c>
      <c r="C3095" s="5">
        <v>45314</v>
      </c>
      <c r="D3095" s="4">
        <v>15.4</v>
      </c>
      <c r="E3095" s="4">
        <v>5.35</v>
      </c>
    </row>
    <row r="3096" spans="1:5" x14ac:dyDescent="0.25">
      <c r="A3096" s="4" t="s">
        <v>53</v>
      </c>
      <c r="B3096" s="4" t="s">
        <v>25</v>
      </c>
      <c r="C3096" s="5">
        <v>45314</v>
      </c>
      <c r="D3096" s="4">
        <v>0.4</v>
      </c>
      <c r="E3096" s="4">
        <v>0.14000000000000001</v>
      </c>
    </row>
    <row r="3097" spans="1:5" x14ac:dyDescent="0.25">
      <c r="A3097" s="4" t="s">
        <v>53</v>
      </c>
      <c r="B3097" s="4" t="s">
        <v>25</v>
      </c>
      <c r="C3097" s="5">
        <v>45314</v>
      </c>
      <c r="D3097" s="4">
        <v>0.4</v>
      </c>
      <c r="E3097" s="4">
        <v>0.14000000000000001</v>
      </c>
    </row>
    <row r="3098" spans="1:5" x14ac:dyDescent="0.25">
      <c r="A3098" s="4" t="s">
        <v>53</v>
      </c>
      <c r="B3098" s="4" t="s">
        <v>25</v>
      </c>
      <c r="C3098" s="5">
        <v>45315</v>
      </c>
      <c r="D3098" s="4">
        <v>15.4</v>
      </c>
      <c r="E3098" s="4">
        <v>5.35</v>
      </c>
    </row>
    <row r="3099" spans="1:5" x14ac:dyDescent="0.25">
      <c r="A3099" s="4" t="s">
        <v>53</v>
      </c>
      <c r="B3099" s="4" t="s">
        <v>25</v>
      </c>
      <c r="C3099" s="5">
        <v>45315</v>
      </c>
      <c r="D3099" s="4">
        <v>15.4</v>
      </c>
      <c r="E3099" s="4">
        <v>5.35</v>
      </c>
    </row>
    <row r="3100" spans="1:5" x14ac:dyDescent="0.25">
      <c r="A3100" s="4" t="s">
        <v>53</v>
      </c>
      <c r="B3100" s="4" t="s">
        <v>25</v>
      </c>
      <c r="C3100" s="5">
        <v>45315</v>
      </c>
      <c r="D3100" s="4">
        <v>0.4</v>
      </c>
      <c r="E3100" s="4">
        <v>0.14000000000000001</v>
      </c>
    </row>
    <row r="3101" spans="1:5" x14ac:dyDescent="0.25">
      <c r="A3101" s="4" t="s">
        <v>53</v>
      </c>
      <c r="B3101" s="4" t="s">
        <v>25</v>
      </c>
      <c r="C3101" s="5">
        <v>45315</v>
      </c>
      <c r="D3101" s="4">
        <v>0.4</v>
      </c>
      <c r="E3101" s="4">
        <v>0.14000000000000001</v>
      </c>
    </row>
    <row r="3102" spans="1:5" x14ac:dyDescent="0.25">
      <c r="A3102" s="4" t="s">
        <v>53</v>
      </c>
      <c r="B3102" s="4" t="s">
        <v>25</v>
      </c>
      <c r="C3102" s="5">
        <v>45315</v>
      </c>
      <c r="D3102" s="4">
        <v>15.4</v>
      </c>
      <c r="E3102" s="4">
        <v>5.35</v>
      </c>
    </row>
    <row r="3103" spans="1:5" x14ac:dyDescent="0.25">
      <c r="A3103" s="4" t="s">
        <v>53</v>
      </c>
      <c r="B3103" s="4" t="s">
        <v>25</v>
      </c>
      <c r="C3103" s="5">
        <v>45315</v>
      </c>
      <c r="D3103" s="4">
        <v>15.4</v>
      </c>
      <c r="E3103" s="4">
        <v>5.35</v>
      </c>
    </row>
    <row r="3104" spans="1:5" x14ac:dyDescent="0.25">
      <c r="A3104" s="4" t="s">
        <v>53</v>
      </c>
      <c r="B3104" s="4" t="s">
        <v>25</v>
      </c>
      <c r="C3104" s="5">
        <v>45315</v>
      </c>
      <c r="D3104" s="4">
        <v>0.4</v>
      </c>
      <c r="E3104" s="4">
        <v>0.14000000000000001</v>
      </c>
    </row>
    <row r="3105" spans="1:5" x14ac:dyDescent="0.25">
      <c r="A3105" s="4" t="s">
        <v>53</v>
      </c>
      <c r="B3105" s="4" t="s">
        <v>25</v>
      </c>
      <c r="C3105" s="5">
        <v>45315</v>
      </c>
      <c r="D3105" s="4">
        <v>0.4</v>
      </c>
      <c r="E3105" s="4">
        <v>0.14000000000000001</v>
      </c>
    </row>
    <row r="3106" spans="1:5" x14ac:dyDescent="0.25">
      <c r="A3106" s="4" t="s">
        <v>53</v>
      </c>
      <c r="B3106" s="4" t="s">
        <v>25</v>
      </c>
      <c r="C3106" s="5">
        <v>45315</v>
      </c>
      <c r="D3106" s="4">
        <v>15.4</v>
      </c>
      <c r="E3106" s="4">
        <v>5.35</v>
      </c>
    </row>
    <row r="3107" spans="1:5" x14ac:dyDescent="0.25">
      <c r="A3107" s="4" t="s">
        <v>53</v>
      </c>
      <c r="B3107" s="4" t="s">
        <v>25</v>
      </c>
      <c r="C3107" s="5">
        <v>45315</v>
      </c>
      <c r="D3107" s="4">
        <v>15.4</v>
      </c>
      <c r="E3107" s="4">
        <v>5.35</v>
      </c>
    </row>
    <row r="3108" spans="1:5" x14ac:dyDescent="0.25">
      <c r="A3108" s="4" t="s">
        <v>53</v>
      </c>
      <c r="B3108" s="4" t="s">
        <v>25</v>
      </c>
      <c r="C3108" s="5">
        <v>45315</v>
      </c>
      <c r="D3108" s="4">
        <v>0.4</v>
      </c>
      <c r="E3108" s="4">
        <v>0.14000000000000001</v>
      </c>
    </row>
    <row r="3109" spans="1:5" x14ac:dyDescent="0.25">
      <c r="A3109" s="4" t="s">
        <v>53</v>
      </c>
      <c r="B3109" s="4" t="s">
        <v>25</v>
      </c>
      <c r="C3109" s="5">
        <v>45315</v>
      </c>
      <c r="D3109" s="4">
        <v>0.4</v>
      </c>
      <c r="E3109" s="4">
        <v>0.14000000000000001</v>
      </c>
    </row>
    <row r="3110" spans="1:5" x14ac:dyDescent="0.25">
      <c r="A3110" s="4" t="s">
        <v>53</v>
      </c>
      <c r="B3110" s="4" t="s">
        <v>25</v>
      </c>
      <c r="C3110" s="5">
        <v>45315</v>
      </c>
      <c r="D3110" s="4">
        <v>0.4</v>
      </c>
      <c r="E3110" s="4">
        <v>0.14000000000000001</v>
      </c>
    </row>
    <row r="3111" spans="1:5" x14ac:dyDescent="0.25">
      <c r="A3111" s="4" t="s">
        <v>53</v>
      </c>
      <c r="B3111" s="4" t="s">
        <v>25</v>
      </c>
      <c r="C3111" s="5">
        <v>45315</v>
      </c>
      <c r="D3111" s="4">
        <v>0.4</v>
      </c>
      <c r="E3111" s="4">
        <v>0.14000000000000001</v>
      </c>
    </row>
    <row r="3112" spans="1:5" x14ac:dyDescent="0.25">
      <c r="A3112" s="4" t="s">
        <v>53</v>
      </c>
      <c r="B3112" s="4" t="s">
        <v>25</v>
      </c>
      <c r="C3112" s="5">
        <v>45315</v>
      </c>
      <c r="D3112" s="4">
        <v>0.4</v>
      </c>
      <c r="E3112" s="4">
        <v>0.14000000000000001</v>
      </c>
    </row>
    <row r="3113" spans="1:5" x14ac:dyDescent="0.25">
      <c r="A3113" s="4" t="s">
        <v>53</v>
      </c>
      <c r="B3113" s="4" t="s">
        <v>25</v>
      </c>
      <c r="C3113" s="5">
        <v>45315</v>
      </c>
      <c r="D3113" s="4">
        <v>0.4</v>
      </c>
      <c r="E3113" s="4">
        <v>0.14000000000000001</v>
      </c>
    </row>
    <row r="3114" spans="1:5" x14ac:dyDescent="0.25">
      <c r="A3114" s="4" t="s">
        <v>53</v>
      </c>
      <c r="B3114" s="4" t="s">
        <v>25</v>
      </c>
      <c r="C3114" s="5">
        <v>45317</v>
      </c>
      <c r="D3114" s="4">
        <v>0.4</v>
      </c>
      <c r="E3114" s="4">
        <v>0.14000000000000001</v>
      </c>
    </row>
    <row r="3115" spans="1:5" x14ac:dyDescent="0.25">
      <c r="A3115" s="4" t="s">
        <v>53</v>
      </c>
      <c r="B3115" s="4" t="s">
        <v>25</v>
      </c>
      <c r="C3115" s="5">
        <v>45317</v>
      </c>
      <c r="D3115" s="4">
        <v>0.4</v>
      </c>
      <c r="E3115" s="4">
        <v>0.14000000000000001</v>
      </c>
    </row>
    <row r="3116" spans="1:5" x14ac:dyDescent="0.25">
      <c r="A3116" s="4" t="s">
        <v>53</v>
      </c>
      <c r="B3116" s="4" t="s">
        <v>25</v>
      </c>
      <c r="C3116" s="5">
        <v>45317</v>
      </c>
      <c r="D3116" s="4">
        <v>0.4</v>
      </c>
      <c r="E3116" s="4">
        <v>0.14000000000000001</v>
      </c>
    </row>
    <row r="3117" spans="1:5" x14ac:dyDescent="0.25">
      <c r="A3117" s="4" t="s">
        <v>53</v>
      </c>
      <c r="B3117" s="4" t="s">
        <v>25</v>
      </c>
      <c r="C3117" s="5">
        <v>45317</v>
      </c>
      <c r="D3117" s="4">
        <v>0.4</v>
      </c>
      <c r="E3117" s="4">
        <v>0.14000000000000001</v>
      </c>
    </row>
    <row r="3118" spans="1:5" x14ac:dyDescent="0.25">
      <c r="A3118" s="4" t="s">
        <v>53</v>
      </c>
      <c r="B3118" s="4" t="s">
        <v>25</v>
      </c>
      <c r="C3118" s="5">
        <v>45317</v>
      </c>
      <c r="D3118" s="4">
        <v>0.4</v>
      </c>
      <c r="E3118" s="4">
        <v>0.14000000000000001</v>
      </c>
    </row>
    <row r="3119" spans="1:5" x14ac:dyDescent="0.25">
      <c r="A3119" s="4" t="s">
        <v>53</v>
      </c>
      <c r="B3119" s="4" t="s">
        <v>25</v>
      </c>
      <c r="C3119" s="5">
        <v>45317</v>
      </c>
      <c r="D3119" s="4">
        <v>0.4</v>
      </c>
      <c r="E3119" s="4">
        <v>0.14000000000000001</v>
      </c>
    </row>
    <row r="3120" spans="1:5" x14ac:dyDescent="0.25">
      <c r="A3120" s="4" t="s">
        <v>53</v>
      </c>
      <c r="B3120" s="4" t="s">
        <v>25</v>
      </c>
      <c r="C3120" s="5">
        <v>45317</v>
      </c>
      <c r="D3120" s="4">
        <v>0.4</v>
      </c>
      <c r="E3120" s="4">
        <v>0.14000000000000001</v>
      </c>
    </row>
    <row r="3121" spans="1:5" x14ac:dyDescent="0.25">
      <c r="A3121" s="4" t="s">
        <v>53</v>
      </c>
      <c r="B3121" s="4" t="s">
        <v>25</v>
      </c>
      <c r="C3121" s="5">
        <v>45317</v>
      </c>
      <c r="D3121" s="4">
        <v>0.4</v>
      </c>
      <c r="E3121" s="4">
        <v>0.14000000000000001</v>
      </c>
    </row>
    <row r="3122" spans="1:5" x14ac:dyDescent="0.25">
      <c r="A3122" s="4" t="s">
        <v>53</v>
      </c>
      <c r="B3122" s="4" t="s">
        <v>25</v>
      </c>
      <c r="C3122" s="5">
        <v>45317</v>
      </c>
      <c r="D3122" s="4">
        <v>0.4</v>
      </c>
      <c r="E3122" s="4">
        <v>0.14000000000000001</v>
      </c>
    </row>
    <row r="3123" spans="1:5" x14ac:dyDescent="0.25">
      <c r="A3123" s="4" t="s">
        <v>53</v>
      </c>
      <c r="B3123" s="4" t="s">
        <v>25</v>
      </c>
      <c r="C3123" s="5">
        <v>45317</v>
      </c>
      <c r="D3123" s="4">
        <v>0.4</v>
      </c>
      <c r="E3123" s="4">
        <v>0.14000000000000001</v>
      </c>
    </row>
    <row r="3124" spans="1:5" x14ac:dyDescent="0.25">
      <c r="A3124" s="4" t="s">
        <v>53</v>
      </c>
      <c r="B3124" s="4" t="s">
        <v>25</v>
      </c>
      <c r="C3124" s="5">
        <v>45320</v>
      </c>
      <c r="D3124" s="4">
        <v>0.4</v>
      </c>
      <c r="E3124" s="4">
        <v>0.14000000000000001</v>
      </c>
    </row>
    <row r="3125" spans="1:5" x14ac:dyDescent="0.25">
      <c r="A3125" s="4" t="s">
        <v>53</v>
      </c>
      <c r="B3125" s="4" t="s">
        <v>25</v>
      </c>
      <c r="C3125" s="5">
        <v>45320</v>
      </c>
      <c r="D3125" s="4">
        <v>0.4</v>
      </c>
      <c r="E3125" s="4">
        <v>0.14000000000000001</v>
      </c>
    </row>
    <row r="3126" spans="1:5" x14ac:dyDescent="0.25">
      <c r="A3126" s="4" t="s">
        <v>53</v>
      </c>
      <c r="B3126" s="4" t="s">
        <v>25</v>
      </c>
      <c r="C3126" s="5">
        <v>45320</v>
      </c>
      <c r="D3126" s="4">
        <v>0.4</v>
      </c>
      <c r="E3126" s="4">
        <v>0.14000000000000001</v>
      </c>
    </row>
    <row r="3127" spans="1:5" x14ac:dyDescent="0.25">
      <c r="A3127" s="4" t="s">
        <v>53</v>
      </c>
      <c r="B3127" s="4" t="s">
        <v>25</v>
      </c>
      <c r="C3127" s="5">
        <v>45320</v>
      </c>
      <c r="D3127" s="4">
        <v>0.4</v>
      </c>
      <c r="E3127" s="4">
        <v>0.14000000000000001</v>
      </c>
    </row>
    <row r="3128" spans="1:5" x14ac:dyDescent="0.25">
      <c r="A3128" s="4" t="s">
        <v>53</v>
      </c>
      <c r="B3128" s="4" t="s">
        <v>25</v>
      </c>
      <c r="C3128" s="5">
        <v>45320</v>
      </c>
      <c r="D3128" s="4">
        <v>0.4</v>
      </c>
      <c r="E3128" s="4">
        <v>0.14000000000000001</v>
      </c>
    </row>
    <row r="3129" spans="1:5" x14ac:dyDescent="0.25">
      <c r="A3129" s="4" t="s">
        <v>53</v>
      </c>
      <c r="B3129" s="4" t="s">
        <v>25</v>
      </c>
      <c r="C3129" s="5">
        <v>45320</v>
      </c>
      <c r="D3129" s="4">
        <v>0.4</v>
      </c>
      <c r="E3129" s="4">
        <v>0.14000000000000001</v>
      </c>
    </row>
    <row r="3130" spans="1:5" x14ac:dyDescent="0.25">
      <c r="A3130" s="4" t="s">
        <v>53</v>
      </c>
      <c r="B3130" s="4" t="s">
        <v>25</v>
      </c>
      <c r="C3130" s="5">
        <v>45320</v>
      </c>
      <c r="D3130" s="4">
        <v>0.4</v>
      </c>
      <c r="E3130" s="4">
        <v>0.14000000000000001</v>
      </c>
    </row>
    <row r="3131" spans="1:5" x14ac:dyDescent="0.25">
      <c r="A3131" s="4" t="s">
        <v>53</v>
      </c>
      <c r="B3131" s="4" t="s">
        <v>25</v>
      </c>
      <c r="C3131" s="5">
        <v>45320</v>
      </c>
      <c r="D3131" s="4">
        <v>0.4</v>
      </c>
      <c r="E3131" s="4">
        <v>0.14000000000000001</v>
      </c>
    </row>
    <row r="3132" spans="1:5" x14ac:dyDescent="0.25">
      <c r="A3132" s="4" t="s">
        <v>53</v>
      </c>
      <c r="B3132" s="4" t="s">
        <v>25</v>
      </c>
      <c r="C3132" s="5">
        <v>45320</v>
      </c>
      <c r="D3132" s="4">
        <v>0.4</v>
      </c>
      <c r="E3132" s="4">
        <v>0.14000000000000001</v>
      </c>
    </row>
    <row r="3133" spans="1:5" x14ac:dyDescent="0.25">
      <c r="A3133" s="4" t="s">
        <v>53</v>
      </c>
      <c r="B3133" s="4" t="s">
        <v>25</v>
      </c>
      <c r="C3133" s="5">
        <v>45320</v>
      </c>
      <c r="D3133" s="4">
        <v>0.4</v>
      </c>
      <c r="E3133" s="4">
        <v>0.14000000000000001</v>
      </c>
    </row>
    <row r="3134" spans="1:5" x14ac:dyDescent="0.25">
      <c r="A3134" s="4" t="s">
        <v>53</v>
      </c>
      <c r="B3134" s="4" t="s">
        <v>25</v>
      </c>
      <c r="C3134" s="5">
        <v>45320</v>
      </c>
      <c r="D3134" s="4">
        <v>0.4</v>
      </c>
      <c r="E3134" s="4">
        <v>0.14000000000000001</v>
      </c>
    </row>
    <row r="3135" spans="1:5" x14ac:dyDescent="0.25">
      <c r="A3135" s="4" t="s">
        <v>53</v>
      </c>
      <c r="B3135" s="4" t="s">
        <v>25</v>
      </c>
      <c r="C3135" s="5">
        <v>45320</v>
      </c>
      <c r="D3135" s="4">
        <v>0.4</v>
      </c>
      <c r="E3135" s="4">
        <v>0.14000000000000001</v>
      </c>
    </row>
    <row r="3136" spans="1:5" x14ac:dyDescent="0.25">
      <c r="A3136" s="4" t="s">
        <v>53</v>
      </c>
      <c r="B3136" s="4" t="s">
        <v>25</v>
      </c>
      <c r="C3136" s="5">
        <v>45320</v>
      </c>
      <c r="D3136" s="4">
        <v>0.4</v>
      </c>
      <c r="E3136" s="4">
        <v>0.14000000000000001</v>
      </c>
    </row>
    <row r="3137" spans="1:5" x14ac:dyDescent="0.25">
      <c r="A3137" s="4" t="s">
        <v>53</v>
      </c>
      <c r="B3137" s="4" t="s">
        <v>25</v>
      </c>
      <c r="C3137" s="5">
        <v>45320</v>
      </c>
      <c r="D3137" s="4">
        <v>0.4</v>
      </c>
      <c r="E3137" s="4">
        <v>0.14000000000000001</v>
      </c>
    </row>
    <row r="3138" spans="1:5" x14ac:dyDescent="0.25">
      <c r="A3138" s="4" t="s">
        <v>53</v>
      </c>
      <c r="B3138" s="4" t="s">
        <v>25</v>
      </c>
      <c r="C3138" s="5">
        <v>45320</v>
      </c>
      <c r="D3138" s="4">
        <v>0.4</v>
      </c>
      <c r="E3138" s="4">
        <v>0.14000000000000001</v>
      </c>
    </row>
    <row r="3139" spans="1:5" x14ac:dyDescent="0.25">
      <c r="A3139" s="4" t="s">
        <v>53</v>
      </c>
      <c r="B3139" s="4" t="s">
        <v>25</v>
      </c>
      <c r="C3139" s="5">
        <v>45320</v>
      </c>
      <c r="D3139" s="4">
        <v>0.4</v>
      </c>
      <c r="E3139" s="4">
        <v>0.14000000000000001</v>
      </c>
    </row>
    <row r="3140" spans="1:5" x14ac:dyDescent="0.25">
      <c r="A3140" s="4" t="s">
        <v>53</v>
      </c>
      <c r="B3140" s="4" t="s">
        <v>25</v>
      </c>
      <c r="C3140" s="5">
        <v>45321</v>
      </c>
      <c r="D3140" s="4">
        <v>0.4</v>
      </c>
      <c r="E3140" s="4">
        <v>0.14000000000000001</v>
      </c>
    </row>
    <row r="3141" spans="1:5" x14ac:dyDescent="0.25">
      <c r="A3141" s="4" t="s">
        <v>53</v>
      </c>
      <c r="B3141" s="4" t="s">
        <v>25</v>
      </c>
      <c r="C3141" s="5">
        <v>45321</v>
      </c>
      <c r="D3141" s="4">
        <v>0.4</v>
      </c>
      <c r="E3141" s="4">
        <v>0.14000000000000001</v>
      </c>
    </row>
    <row r="3142" spans="1:5" x14ac:dyDescent="0.25">
      <c r="A3142" s="4" t="s">
        <v>53</v>
      </c>
      <c r="B3142" s="4" t="s">
        <v>25</v>
      </c>
      <c r="C3142" s="5">
        <v>45321</v>
      </c>
      <c r="D3142" s="4">
        <v>0.4</v>
      </c>
      <c r="E3142" s="4">
        <v>0.14000000000000001</v>
      </c>
    </row>
    <row r="3143" spans="1:5" x14ac:dyDescent="0.25">
      <c r="A3143" s="4" t="s">
        <v>53</v>
      </c>
      <c r="B3143" s="4" t="s">
        <v>25</v>
      </c>
      <c r="C3143" s="5">
        <v>45321</v>
      </c>
      <c r="D3143" s="4">
        <v>0.4</v>
      </c>
      <c r="E3143" s="4">
        <v>0.14000000000000001</v>
      </c>
    </row>
    <row r="3144" spans="1:5" x14ac:dyDescent="0.25">
      <c r="A3144" s="4" t="s">
        <v>53</v>
      </c>
      <c r="B3144" s="4" t="s">
        <v>25</v>
      </c>
      <c r="C3144" s="5">
        <v>45321</v>
      </c>
      <c r="D3144" s="4">
        <v>0.4</v>
      </c>
      <c r="E3144" s="4">
        <v>0.14000000000000001</v>
      </c>
    </row>
    <row r="3145" spans="1:5" x14ac:dyDescent="0.25">
      <c r="A3145" s="4" t="s">
        <v>53</v>
      </c>
      <c r="B3145" s="4" t="s">
        <v>25</v>
      </c>
      <c r="C3145" s="5">
        <v>45321</v>
      </c>
      <c r="D3145" s="4">
        <v>0.4</v>
      </c>
      <c r="E3145" s="4">
        <v>0.14000000000000001</v>
      </c>
    </row>
    <row r="3146" spans="1:5" x14ac:dyDescent="0.25">
      <c r="A3146" s="4" t="s">
        <v>53</v>
      </c>
      <c r="B3146" s="4" t="s">
        <v>25</v>
      </c>
      <c r="C3146" s="5">
        <v>45321</v>
      </c>
      <c r="D3146" s="4">
        <v>0.4</v>
      </c>
      <c r="E3146" s="4">
        <v>0.14000000000000001</v>
      </c>
    </row>
    <row r="3147" spans="1:5" x14ac:dyDescent="0.25">
      <c r="A3147" s="4" t="s">
        <v>53</v>
      </c>
      <c r="B3147" s="4" t="s">
        <v>25</v>
      </c>
      <c r="C3147" s="5">
        <v>45321</v>
      </c>
      <c r="D3147" s="4">
        <v>0.4</v>
      </c>
      <c r="E3147" s="4">
        <v>0.14000000000000001</v>
      </c>
    </row>
    <row r="3148" spans="1:5" x14ac:dyDescent="0.25">
      <c r="A3148" s="4" t="s">
        <v>53</v>
      </c>
      <c r="B3148" s="4" t="s">
        <v>25</v>
      </c>
      <c r="C3148" s="5">
        <v>45321</v>
      </c>
      <c r="D3148" s="4">
        <v>0.4</v>
      </c>
      <c r="E3148" s="4">
        <v>0.14000000000000001</v>
      </c>
    </row>
    <row r="3149" spans="1:5" x14ac:dyDescent="0.25">
      <c r="A3149" s="4" t="s">
        <v>53</v>
      </c>
      <c r="B3149" s="4" t="s">
        <v>25</v>
      </c>
      <c r="C3149" s="5">
        <v>45321</v>
      </c>
      <c r="D3149" s="4">
        <v>0.4</v>
      </c>
      <c r="E3149" s="4">
        <v>0.14000000000000001</v>
      </c>
    </row>
    <row r="3150" spans="1:5" x14ac:dyDescent="0.25">
      <c r="A3150" s="4" t="s">
        <v>53</v>
      </c>
      <c r="B3150" s="4" t="s">
        <v>25</v>
      </c>
      <c r="C3150" s="5">
        <v>45321</v>
      </c>
      <c r="D3150" s="4">
        <v>0.4</v>
      </c>
      <c r="E3150" s="4">
        <v>0.14000000000000001</v>
      </c>
    </row>
    <row r="3151" spans="1:5" x14ac:dyDescent="0.25">
      <c r="A3151" s="4" t="s">
        <v>53</v>
      </c>
      <c r="B3151" s="4" t="s">
        <v>25</v>
      </c>
      <c r="C3151" s="5">
        <v>45321</v>
      </c>
      <c r="D3151" s="4">
        <v>0.4</v>
      </c>
      <c r="E3151" s="4">
        <v>0.14000000000000001</v>
      </c>
    </row>
    <row r="3152" spans="1:5" x14ac:dyDescent="0.25">
      <c r="A3152" s="4" t="s">
        <v>53</v>
      </c>
      <c r="B3152" s="4" t="s">
        <v>25</v>
      </c>
      <c r="C3152" s="5">
        <v>45321</v>
      </c>
      <c r="D3152" s="4">
        <v>0.4</v>
      </c>
      <c r="E3152" s="4">
        <v>0.14000000000000001</v>
      </c>
    </row>
    <row r="3153" spans="1:5" x14ac:dyDescent="0.25">
      <c r="A3153" s="4" t="s">
        <v>53</v>
      </c>
      <c r="B3153" s="4" t="s">
        <v>25</v>
      </c>
      <c r="C3153" s="5">
        <v>45321</v>
      </c>
      <c r="D3153" s="4">
        <v>0.4</v>
      </c>
      <c r="E3153" s="4">
        <v>0.14000000000000001</v>
      </c>
    </row>
    <row r="3154" spans="1:5" x14ac:dyDescent="0.25">
      <c r="A3154" s="4" t="s">
        <v>53</v>
      </c>
      <c r="B3154" s="4" t="s">
        <v>25</v>
      </c>
      <c r="C3154" s="5">
        <v>45321</v>
      </c>
      <c r="D3154" s="4">
        <v>0.4</v>
      </c>
      <c r="E3154" s="4">
        <v>0.14000000000000001</v>
      </c>
    </row>
    <row r="3155" spans="1:5" x14ac:dyDescent="0.25">
      <c r="A3155" s="4" t="s">
        <v>53</v>
      </c>
      <c r="B3155" s="4" t="s">
        <v>25</v>
      </c>
      <c r="C3155" s="5">
        <v>45321</v>
      </c>
      <c r="D3155" s="4">
        <v>0.4</v>
      </c>
      <c r="E3155" s="4">
        <v>0.14000000000000001</v>
      </c>
    </row>
    <row r="3156" spans="1:5" x14ac:dyDescent="0.25">
      <c r="A3156" s="4" t="s">
        <v>53</v>
      </c>
      <c r="B3156" s="4" t="s">
        <v>25</v>
      </c>
      <c r="C3156" s="5">
        <v>45322</v>
      </c>
      <c r="D3156" s="4">
        <v>30.5</v>
      </c>
      <c r="E3156" s="4">
        <v>10.62</v>
      </c>
    </row>
    <row r="3157" spans="1:5" x14ac:dyDescent="0.25">
      <c r="A3157" s="4" t="s">
        <v>53</v>
      </c>
      <c r="B3157" s="4" t="s">
        <v>25</v>
      </c>
      <c r="C3157" s="5">
        <v>45322</v>
      </c>
      <c r="D3157" s="4">
        <v>1.2</v>
      </c>
      <c r="E3157" s="4">
        <v>0.41</v>
      </c>
    </row>
    <row r="3158" spans="1:5" x14ac:dyDescent="0.25">
      <c r="A3158" s="4" t="s">
        <v>53</v>
      </c>
      <c r="B3158" s="4" t="s">
        <v>25</v>
      </c>
      <c r="C3158" s="5">
        <v>45322</v>
      </c>
      <c r="D3158" s="4">
        <v>1.2</v>
      </c>
      <c r="E3158" s="4">
        <v>0.41</v>
      </c>
    </row>
    <row r="3159" spans="1:5" x14ac:dyDescent="0.25">
      <c r="A3159" s="4" t="s">
        <v>53</v>
      </c>
      <c r="B3159" s="4" t="s">
        <v>25</v>
      </c>
      <c r="C3159" s="5">
        <v>45322</v>
      </c>
      <c r="D3159" s="4">
        <v>1.2</v>
      </c>
      <c r="E3159" s="4">
        <v>0.41</v>
      </c>
    </row>
    <row r="3160" spans="1:5" x14ac:dyDescent="0.25">
      <c r="A3160" s="4" t="s">
        <v>53</v>
      </c>
      <c r="B3160" s="4" t="s">
        <v>25</v>
      </c>
      <c r="C3160" s="5">
        <v>45322</v>
      </c>
      <c r="D3160" s="4">
        <v>1.2</v>
      </c>
      <c r="E3160" s="4">
        <v>0.41</v>
      </c>
    </row>
    <row r="3161" spans="1:5" x14ac:dyDescent="0.25">
      <c r="A3161" s="4" t="s">
        <v>53</v>
      </c>
      <c r="B3161" s="4" t="s">
        <v>25</v>
      </c>
      <c r="C3161" s="5">
        <v>45322</v>
      </c>
      <c r="D3161" s="4">
        <v>1.2</v>
      </c>
      <c r="E3161" s="4">
        <v>0.41</v>
      </c>
    </row>
    <row r="3162" spans="1:5" x14ac:dyDescent="0.25">
      <c r="A3162" s="4" t="s">
        <v>53</v>
      </c>
      <c r="B3162" s="4" t="s">
        <v>25</v>
      </c>
      <c r="C3162" s="5">
        <v>45322</v>
      </c>
      <c r="D3162" s="4">
        <v>1.2</v>
      </c>
      <c r="E3162" s="4">
        <v>0.41</v>
      </c>
    </row>
    <row r="3163" spans="1:5" x14ac:dyDescent="0.25">
      <c r="A3163" s="4" t="s">
        <v>53</v>
      </c>
      <c r="B3163" s="4" t="s">
        <v>25</v>
      </c>
      <c r="C3163" s="5">
        <v>45322</v>
      </c>
      <c r="D3163" s="4">
        <v>1.2</v>
      </c>
      <c r="E3163" s="4">
        <v>0.41</v>
      </c>
    </row>
    <row r="3164" spans="1:5" x14ac:dyDescent="0.25">
      <c r="A3164" s="4" t="s">
        <v>53</v>
      </c>
      <c r="B3164" s="4" t="s">
        <v>25</v>
      </c>
      <c r="C3164" s="5">
        <v>45322</v>
      </c>
      <c r="D3164" s="4">
        <v>1.2</v>
      </c>
      <c r="E3164" s="4">
        <v>0.41</v>
      </c>
    </row>
    <row r="3165" spans="1:5" x14ac:dyDescent="0.25">
      <c r="A3165" s="4" t="s">
        <v>53</v>
      </c>
      <c r="B3165" s="4" t="s">
        <v>25</v>
      </c>
      <c r="C3165" s="5">
        <v>45322</v>
      </c>
      <c r="D3165" s="4">
        <v>1.2</v>
      </c>
      <c r="E3165" s="4">
        <v>0.41</v>
      </c>
    </row>
    <row r="3166" spans="1:5" x14ac:dyDescent="0.25">
      <c r="A3166" s="4" t="s">
        <v>53</v>
      </c>
      <c r="B3166" s="4" t="s">
        <v>25</v>
      </c>
      <c r="C3166" s="5">
        <v>45322</v>
      </c>
      <c r="D3166" s="4">
        <v>30.6</v>
      </c>
      <c r="E3166" s="4">
        <v>10.67</v>
      </c>
    </row>
    <row r="3167" spans="1:5" x14ac:dyDescent="0.25">
      <c r="A3167" s="4" t="s">
        <v>53</v>
      </c>
      <c r="B3167" s="4" t="s">
        <v>25</v>
      </c>
      <c r="C3167" s="5">
        <v>45324</v>
      </c>
      <c r="D3167" s="4">
        <v>15.4</v>
      </c>
      <c r="E3167" s="4">
        <v>5.35</v>
      </c>
    </row>
    <row r="3168" spans="1:5" x14ac:dyDescent="0.25">
      <c r="A3168" s="4" t="s">
        <v>53</v>
      </c>
      <c r="B3168" s="4" t="s">
        <v>25</v>
      </c>
      <c r="C3168" s="5">
        <v>45324</v>
      </c>
      <c r="D3168" s="4">
        <v>26</v>
      </c>
      <c r="E3168" s="4">
        <v>9.0399999999999991</v>
      </c>
    </row>
    <row r="3169" spans="1:5" x14ac:dyDescent="0.25">
      <c r="A3169" s="4" t="s">
        <v>53</v>
      </c>
      <c r="B3169" s="4" t="s">
        <v>25</v>
      </c>
      <c r="C3169" s="5">
        <v>45324</v>
      </c>
      <c r="D3169" s="4">
        <v>26</v>
      </c>
      <c r="E3169" s="4">
        <v>9.0399999999999991</v>
      </c>
    </row>
    <row r="3170" spans="1:5" x14ac:dyDescent="0.25">
      <c r="A3170" s="4" t="s">
        <v>53</v>
      </c>
      <c r="B3170" s="4" t="s">
        <v>25</v>
      </c>
      <c r="C3170" s="5">
        <v>45324</v>
      </c>
      <c r="D3170" s="4">
        <v>26</v>
      </c>
      <c r="E3170" s="4">
        <v>9.0399999999999991</v>
      </c>
    </row>
    <row r="3171" spans="1:5" x14ac:dyDescent="0.25">
      <c r="A3171" s="4" t="s">
        <v>53</v>
      </c>
      <c r="B3171" s="4" t="s">
        <v>25</v>
      </c>
      <c r="C3171" s="5">
        <v>45324</v>
      </c>
      <c r="D3171" s="4">
        <v>26</v>
      </c>
      <c r="E3171" s="4">
        <v>9.0399999999999991</v>
      </c>
    </row>
    <row r="3172" spans="1:5" x14ac:dyDescent="0.25">
      <c r="A3172" s="4" t="s">
        <v>53</v>
      </c>
      <c r="B3172" s="4" t="s">
        <v>25</v>
      </c>
      <c r="C3172" s="5">
        <v>45324</v>
      </c>
      <c r="D3172" s="4">
        <v>26</v>
      </c>
      <c r="E3172" s="4">
        <v>9.0399999999999991</v>
      </c>
    </row>
    <row r="3173" spans="1:5" x14ac:dyDescent="0.25">
      <c r="A3173" s="4" t="s">
        <v>53</v>
      </c>
      <c r="B3173" s="4" t="s">
        <v>25</v>
      </c>
      <c r="C3173" s="5">
        <v>45324</v>
      </c>
      <c r="D3173" s="4">
        <v>26</v>
      </c>
      <c r="E3173" s="4">
        <v>9.0399999999999991</v>
      </c>
    </row>
    <row r="3174" spans="1:5" x14ac:dyDescent="0.25">
      <c r="A3174" s="4" t="s">
        <v>53</v>
      </c>
      <c r="B3174" s="4" t="s">
        <v>25</v>
      </c>
      <c r="C3174" s="5">
        <v>45324</v>
      </c>
      <c r="D3174" s="4">
        <v>26</v>
      </c>
      <c r="E3174" s="4">
        <v>9.0399999999999991</v>
      </c>
    </row>
    <row r="3175" spans="1:5" x14ac:dyDescent="0.25">
      <c r="A3175" s="4" t="s">
        <v>53</v>
      </c>
      <c r="B3175" s="4" t="s">
        <v>25</v>
      </c>
      <c r="C3175" s="5">
        <v>45324</v>
      </c>
      <c r="D3175" s="4">
        <v>10.6</v>
      </c>
      <c r="E3175" s="4">
        <v>3.69</v>
      </c>
    </row>
    <row r="3176" spans="1:5" x14ac:dyDescent="0.25">
      <c r="A3176" s="4" t="s">
        <v>53</v>
      </c>
      <c r="B3176" s="4" t="s">
        <v>25</v>
      </c>
      <c r="C3176" s="5">
        <v>45327</v>
      </c>
      <c r="D3176" s="4">
        <v>22.6</v>
      </c>
      <c r="E3176" s="4">
        <v>7.88</v>
      </c>
    </row>
    <row r="3177" spans="1:5" x14ac:dyDescent="0.25">
      <c r="A3177" s="4" t="s">
        <v>53</v>
      </c>
      <c r="B3177" s="4" t="s">
        <v>25</v>
      </c>
      <c r="C3177" s="5">
        <v>45327</v>
      </c>
      <c r="D3177" s="4">
        <v>22.6</v>
      </c>
      <c r="E3177" s="4">
        <v>7.88</v>
      </c>
    </row>
    <row r="3178" spans="1:5" x14ac:dyDescent="0.25">
      <c r="A3178" s="4" t="s">
        <v>53</v>
      </c>
      <c r="B3178" s="4" t="s">
        <v>25</v>
      </c>
      <c r="C3178" s="5">
        <v>45327</v>
      </c>
      <c r="D3178" s="4">
        <v>22.6</v>
      </c>
      <c r="E3178" s="4">
        <v>7.88</v>
      </c>
    </row>
    <row r="3179" spans="1:5" x14ac:dyDescent="0.25">
      <c r="A3179" s="4" t="s">
        <v>53</v>
      </c>
      <c r="B3179" s="4" t="s">
        <v>25</v>
      </c>
      <c r="C3179" s="5">
        <v>45327</v>
      </c>
      <c r="D3179" s="4">
        <v>22.6</v>
      </c>
      <c r="E3179" s="4">
        <v>7.88</v>
      </c>
    </row>
    <row r="3180" spans="1:5" x14ac:dyDescent="0.25">
      <c r="A3180" s="4" t="s">
        <v>53</v>
      </c>
      <c r="B3180" s="4" t="s">
        <v>25</v>
      </c>
      <c r="C3180" s="5">
        <v>45327</v>
      </c>
      <c r="D3180" s="4">
        <v>22.6</v>
      </c>
      <c r="E3180" s="4">
        <v>7.88</v>
      </c>
    </row>
    <row r="3181" spans="1:5" x14ac:dyDescent="0.25">
      <c r="A3181" s="4" t="s">
        <v>53</v>
      </c>
      <c r="B3181" s="4" t="s">
        <v>25</v>
      </c>
      <c r="C3181" s="5">
        <v>45327</v>
      </c>
      <c r="D3181" s="4">
        <v>22.6</v>
      </c>
      <c r="E3181" s="4">
        <v>7.88</v>
      </c>
    </row>
    <row r="3182" spans="1:5" x14ac:dyDescent="0.25">
      <c r="A3182" s="4" t="s">
        <v>53</v>
      </c>
      <c r="B3182" s="4" t="s">
        <v>25</v>
      </c>
      <c r="C3182" s="5">
        <v>45327</v>
      </c>
      <c r="D3182" s="4">
        <v>22.6</v>
      </c>
      <c r="E3182" s="4">
        <v>7.88</v>
      </c>
    </row>
    <row r="3183" spans="1:5" x14ac:dyDescent="0.25">
      <c r="A3183" s="4" t="s">
        <v>53</v>
      </c>
      <c r="B3183" s="4" t="s">
        <v>25</v>
      </c>
      <c r="C3183" s="5">
        <v>45327</v>
      </c>
      <c r="D3183" s="4">
        <v>22.6</v>
      </c>
      <c r="E3183" s="4">
        <v>7.88</v>
      </c>
    </row>
    <row r="3184" spans="1:5" x14ac:dyDescent="0.25">
      <c r="A3184" s="4" t="s">
        <v>53</v>
      </c>
      <c r="B3184" s="4" t="s">
        <v>25</v>
      </c>
      <c r="C3184" s="5">
        <v>45327</v>
      </c>
      <c r="D3184" s="4">
        <v>22.6</v>
      </c>
      <c r="E3184" s="4">
        <v>7.88</v>
      </c>
    </row>
    <row r="3185" spans="1:5" x14ac:dyDescent="0.25">
      <c r="A3185" s="4" t="s">
        <v>53</v>
      </c>
      <c r="B3185" s="4" t="s">
        <v>25</v>
      </c>
      <c r="C3185" s="5">
        <v>45327</v>
      </c>
      <c r="D3185" s="4">
        <v>22.6</v>
      </c>
      <c r="E3185" s="4">
        <v>7.88</v>
      </c>
    </row>
    <row r="3186" spans="1:5" x14ac:dyDescent="0.25">
      <c r="A3186" s="4" t="s">
        <v>53</v>
      </c>
      <c r="B3186" s="4" t="s">
        <v>25</v>
      </c>
      <c r="C3186" s="5">
        <v>45327</v>
      </c>
      <c r="D3186" s="4">
        <v>22.6</v>
      </c>
      <c r="E3186" s="4">
        <v>7.88</v>
      </c>
    </row>
    <row r="3187" spans="1:5" x14ac:dyDescent="0.25">
      <c r="A3187" s="4" t="s">
        <v>53</v>
      </c>
      <c r="B3187" s="4" t="s">
        <v>25</v>
      </c>
      <c r="C3187" s="5">
        <v>45327</v>
      </c>
      <c r="D3187" s="4">
        <v>22.6</v>
      </c>
      <c r="E3187" s="4">
        <v>7.88</v>
      </c>
    </row>
    <row r="3188" spans="1:5" x14ac:dyDescent="0.25">
      <c r="A3188" s="4" t="s">
        <v>53</v>
      </c>
      <c r="B3188" s="4" t="s">
        <v>25</v>
      </c>
      <c r="C3188" s="5">
        <v>45327</v>
      </c>
      <c r="D3188" s="4">
        <v>22.6</v>
      </c>
      <c r="E3188" s="4">
        <v>7.88</v>
      </c>
    </row>
    <row r="3189" spans="1:5" x14ac:dyDescent="0.25">
      <c r="A3189" s="4" t="s">
        <v>53</v>
      </c>
      <c r="B3189" s="4" t="s">
        <v>25</v>
      </c>
      <c r="C3189" s="5">
        <v>45327</v>
      </c>
      <c r="D3189" s="4">
        <v>22.6</v>
      </c>
      <c r="E3189" s="4">
        <v>7.88</v>
      </c>
    </row>
    <row r="3190" spans="1:5" x14ac:dyDescent="0.25">
      <c r="A3190" s="4" t="s">
        <v>53</v>
      </c>
      <c r="B3190" s="4" t="s">
        <v>25</v>
      </c>
      <c r="C3190" s="5">
        <v>45328</v>
      </c>
      <c r="D3190" s="4">
        <v>41.3</v>
      </c>
      <c r="E3190" s="4">
        <v>14.36</v>
      </c>
    </row>
    <row r="3191" spans="1:5" x14ac:dyDescent="0.25">
      <c r="A3191" s="4" t="s">
        <v>53</v>
      </c>
      <c r="B3191" s="4" t="s">
        <v>25</v>
      </c>
      <c r="C3191" s="5">
        <v>45328</v>
      </c>
      <c r="D3191" s="4">
        <v>17.3</v>
      </c>
      <c r="E3191" s="4">
        <v>6.03</v>
      </c>
    </row>
    <row r="3192" spans="1:5" x14ac:dyDescent="0.25">
      <c r="A3192" s="4" t="s">
        <v>53</v>
      </c>
      <c r="B3192" s="4" t="s">
        <v>25</v>
      </c>
      <c r="C3192" s="5">
        <v>45328</v>
      </c>
      <c r="D3192" s="4">
        <v>17.3</v>
      </c>
      <c r="E3192" s="4">
        <v>6.03</v>
      </c>
    </row>
    <row r="3193" spans="1:5" x14ac:dyDescent="0.25">
      <c r="A3193" s="4" t="s">
        <v>53</v>
      </c>
      <c r="B3193" s="4" t="s">
        <v>25</v>
      </c>
      <c r="C3193" s="5">
        <v>45328</v>
      </c>
      <c r="D3193" s="4">
        <v>67.5</v>
      </c>
      <c r="E3193" s="4">
        <v>23.48</v>
      </c>
    </row>
    <row r="3194" spans="1:5" x14ac:dyDescent="0.25">
      <c r="A3194" s="4" t="s">
        <v>53</v>
      </c>
      <c r="B3194" s="4" t="s">
        <v>25</v>
      </c>
      <c r="C3194" s="5">
        <v>45328</v>
      </c>
      <c r="D3194" s="4">
        <v>71.2</v>
      </c>
      <c r="E3194" s="4">
        <v>24.72</v>
      </c>
    </row>
    <row r="3195" spans="1:5" x14ac:dyDescent="0.25">
      <c r="A3195" s="4" t="s">
        <v>53</v>
      </c>
      <c r="B3195" s="4" t="s">
        <v>25</v>
      </c>
      <c r="C3195" s="5">
        <v>45328</v>
      </c>
      <c r="D3195" s="4">
        <v>17.3</v>
      </c>
      <c r="E3195" s="4">
        <v>6.03</v>
      </c>
    </row>
    <row r="3196" spans="1:5" x14ac:dyDescent="0.25">
      <c r="A3196" s="4" t="s">
        <v>53</v>
      </c>
      <c r="B3196" s="4" t="s">
        <v>25</v>
      </c>
      <c r="C3196" s="5">
        <v>45328</v>
      </c>
      <c r="D3196" s="4">
        <v>17.3</v>
      </c>
      <c r="E3196" s="4">
        <v>6.03</v>
      </c>
    </row>
    <row r="3197" spans="1:5" x14ac:dyDescent="0.25">
      <c r="A3197" s="4" t="s">
        <v>53</v>
      </c>
      <c r="B3197" s="4" t="s">
        <v>25</v>
      </c>
      <c r="C3197" s="5">
        <v>45328</v>
      </c>
      <c r="D3197" s="4">
        <v>67.5</v>
      </c>
      <c r="E3197" s="4">
        <v>23.48</v>
      </c>
    </row>
    <row r="3198" spans="1:5" x14ac:dyDescent="0.25">
      <c r="A3198" s="4" t="s">
        <v>53</v>
      </c>
      <c r="B3198" s="4" t="s">
        <v>25</v>
      </c>
      <c r="C3198" s="5">
        <v>45328</v>
      </c>
      <c r="D3198" s="4">
        <v>47.3</v>
      </c>
      <c r="E3198" s="4">
        <v>16.43</v>
      </c>
    </row>
    <row r="3199" spans="1:5" x14ac:dyDescent="0.25">
      <c r="A3199" s="4" t="s">
        <v>53</v>
      </c>
      <c r="B3199" s="4" t="s">
        <v>25</v>
      </c>
      <c r="C3199" s="5">
        <v>45328</v>
      </c>
      <c r="D3199" s="4">
        <v>1.2</v>
      </c>
      <c r="E3199" s="4">
        <v>0.41</v>
      </c>
    </row>
    <row r="3200" spans="1:5" x14ac:dyDescent="0.25">
      <c r="A3200" s="4" t="s">
        <v>53</v>
      </c>
      <c r="B3200" s="4" t="s">
        <v>25</v>
      </c>
      <c r="C3200" s="5">
        <v>45329</v>
      </c>
      <c r="D3200" s="4">
        <v>30.6</v>
      </c>
      <c r="E3200" s="4">
        <v>10.67</v>
      </c>
    </row>
    <row r="3201" spans="1:5" x14ac:dyDescent="0.25">
      <c r="A3201" s="4" t="s">
        <v>53</v>
      </c>
      <c r="B3201" s="4" t="s">
        <v>25</v>
      </c>
      <c r="C3201" s="5">
        <v>45329</v>
      </c>
      <c r="D3201" s="4">
        <v>1.2</v>
      </c>
      <c r="E3201" s="4">
        <v>0.41</v>
      </c>
    </row>
    <row r="3202" spans="1:5" x14ac:dyDescent="0.25">
      <c r="A3202" s="4" t="s">
        <v>53</v>
      </c>
      <c r="B3202" s="4" t="s">
        <v>25</v>
      </c>
      <c r="C3202" s="5">
        <v>45329</v>
      </c>
      <c r="D3202" s="4">
        <v>1.2</v>
      </c>
      <c r="E3202" s="4">
        <v>0.41</v>
      </c>
    </row>
    <row r="3203" spans="1:5" x14ac:dyDescent="0.25">
      <c r="A3203" s="4" t="s">
        <v>53</v>
      </c>
      <c r="B3203" s="4" t="s">
        <v>25</v>
      </c>
      <c r="C3203" s="5">
        <v>45329</v>
      </c>
      <c r="D3203" s="4">
        <v>1.2</v>
      </c>
      <c r="E3203" s="4">
        <v>0.41</v>
      </c>
    </row>
    <row r="3204" spans="1:5" x14ac:dyDescent="0.25">
      <c r="A3204" s="4" t="s">
        <v>53</v>
      </c>
      <c r="B3204" s="4" t="s">
        <v>25</v>
      </c>
      <c r="C3204" s="5">
        <v>45329</v>
      </c>
      <c r="D3204" s="4">
        <v>1.2</v>
      </c>
      <c r="E3204" s="4">
        <v>0.41</v>
      </c>
    </row>
    <row r="3205" spans="1:5" x14ac:dyDescent="0.25">
      <c r="A3205" s="4" t="s">
        <v>53</v>
      </c>
      <c r="B3205" s="4" t="s">
        <v>25</v>
      </c>
      <c r="C3205" s="5">
        <v>45329</v>
      </c>
      <c r="D3205" s="4">
        <v>1.2</v>
      </c>
      <c r="E3205" s="4">
        <v>0.41</v>
      </c>
    </row>
    <row r="3206" spans="1:5" x14ac:dyDescent="0.25">
      <c r="A3206" s="4" t="s">
        <v>53</v>
      </c>
      <c r="B3206" s="4" t="s">
        <v>25</v>
      </c>
      <c r="C3206" s="5">
        <v>45329</v>
      </c>
      <c r="D3206" s="4">
        <v>1.2</v>
      </c>
      <c r="E3206" s="4">
        <v>0.41</v>
      </c>
    </row>
    <row r="3207" spans="1:5" x14ac:dyDescent="0.25">
      <c r="A3207" s="4" t="s">
        <v>53</v>
      </c>
      <c r="B3207" s="4" t="s">
        <v>25</v>
      </c>
      <c r="C3207" s="5">
        <v>45329</v>
      </c>
      <c r="D3207" s="4">
        <v>1.2</v>
      </c>
      <c r="E3207" s="4">
        <v>0.41</v>
      </c>
    </row>
    <row r="3208" spans="1:5" x14ac:dyDescent="0.25">
      <c r="A3208" s="4" t="s">
        <v>53</v>
      </c>
      <c r="B3208" s="4" t="s">
        <v>25</v>
      </c>
      <c r="C3208" s="5">
        <v>45329</v>
      </c>
      <c r="D3208" s="4">
        <v>1.2</v>
      </c>
      <c r="E3208" s="4">
        <v>0.41</v>
      </c>
    </row>
    <row r="3209" spans="1:5" x14ac:dyDescent="0.25">
      <c r="A3209" s="4" t="s">
        <v>53</v>
      </c>
      <c r="B3209" s="4" t="s">
        <v>25</v>
      </c>
      <c r="C3209" s="5">
        <v>45329</v>
      </c>
      <c r="D3209" s="4">
        <v>1.2</v>
      </c>
      <c r="E3209" s="4">
        <v>0.41</v>
      </c>
    </row>
    <row r="3210" spans="1:5" x14ac:dyDescent="0.25">
      <c r="A3210" s="4" t="s">
        <v>53</v>
      </c>
      <c r="B3210" s="4" t="s">
        <v>25</v>
      </c>
      <c r="C3210" s="5">
        <v>45329</v>
      </c>
      <c r="D3210" s="4">
        <v>30.6</v>
      </c>
      <c r="E3210" s="4">
        <v>10.67</v>
      </c>
    </row>
    <row r="3211" spans="1:5" x14ac:dyDescent="0.25">
      <c r="A3211" s="4" t="s">
        <v>53</v>
      </c>
      <c r="B3211" s="4" t="s">
        <v>25</v>
      </c>
      <c r="C3211" s="5">
        <v>45330</v>
      </c>
      <c r="D3211" s="4">
        <v>30.6</v>
      </c>
      <c r="E3211" s="4">
        <v>10.67</v>
      </c>
    </row>
    <row r="3212" spans="1:5" x14ac:dyDescent="0.25">
      <c r="A3212" s="4" t="s">
        <v>53</v>
      </c>
      <c r="B3212" s="4" t="s">
        <v>25</v>
      </c>
      <c r="C3212" s="5">
        <v>45330</v>
      </c>
      <c r="D3212" s="4">
        <v>1.2</v>
      </c>
      <c r="E3212" s="4">
        <v>0.41</v>
      </c>
    </row>
    <row r="3213" spans="1:5" x14ac:dyDescent="0.25">
      <c r="A3213" s="4" t="s">
        <v>53</v>
      </c>
      <c r="B3213" s="4" t="s">
        <v>25</v>
      </c>
      <c r="C3213" s="5">
        <v>45330</v>
      </c>
      <c r="D3213" s="4">
        <v>28.8</v>
      </c>
      <c r="E3213" s="4">
        <v>10.039999999999999</v>
      </c>
    </row>
    <row r="3214" spans="1:5" x14ac:dyDescent="0.25">
      <c r="A3214" s="4" t="s">
        <v>53</v>
      </c>
      <c r="B3214" s="4" t="s">
        <v>25</v>
      </c>
      <c r="C3214" s="5">
        <v>45330</v>
      </c>
      <c r="D3214" s="4">
        <v>15.4</v>
      </c>
      <c r="E3214" s="4">
        <v>5.35</v>
      </c>
    </row>
    <row r="3215" spans="1:5" x14ac:dyDescent="0.25">
      <c r="A3215" s="4" t="s">
        <v>53</v>
      </c>
      <c r="B3215" s="4" t="s">
        <v>25</v>
      </c>
      <c r="C3215" s="5">
        <v>45330</v>
      </c>
      <c r="D3215" s="4">
        <v>0.9</v>
      </c>
      <c r="E3215" s="4">
        <v>0.31</v>
      </c>
    </row>
    <row r="3216" spans="1:5" x14ac:dyDescent="0.25">
      <c r="A3216" s="4" t="s">
        <v>53</v>
      </c>
      <c r="B3216" s="4" t="s">
        <v>25</v>
      </c>
      <c r="C3216" s="5">
        <v>45330</v>
      </c>
      <c r="D3216" s="4">
        <v>1.2</v>
      </c>
      <c r="E3216" s="4">
        <v>0.41</v>
      </c>
    </row>
    <row r="3217" spans="1:5" x14ac:dyDescent="0.25">
      <c r="A3217" s="4" t="s">
        <v>53</v>
      </c>
      <c r="B3217" s="4" t="s">
        <v>25</v>
      </c>
      <c r="C3217" s="5">
        <v>45330</v>
      </c>
      <c r="D3217" s="4">
        <v>15.4</v>
      </c>
      <c r="E3217" s="4">
        <v>5.35</v>
      </c>
    </row>
    <row r="3218" spans="1:5" x14ac:dyDescent="0.25">
      <c r="A3218" s="4" t="s">
        <v>53</v>
      </c>
      <c r="B3218" s="4" t="s">
        <v>25</v>
      </c>
      <c r="C3218" s="5">
        <v>45330</v>
      </c>
      <c r="D3218" s="4">
        <v>15.4</v>
      </c>
      <c r="E3218" s="4">
        <v>5.35</v>
      </c>
    </row>
    <row r="3219" spans="1:5" x14ac:dyDescent="0.25">
      <c r="A3219" s="4" t="s">
        <v>53</v>
      </c>
      <c r="B3219" s="4" t="s">
        <v>25</v>
      </c>
      <c r="C3219" s="5">
        <v>45330</v>
      </c>
      <c r="D3219" s="4">
        <v>0.9</v>
      </c>
      <c r="E3219" s="4">
        <v>0.31</v>
      </c>
    </row>
    <row r="3220" spans="1:5" x14ac:dyDescent="0.25">
      <c r="A3220" s="4" t="s">
        <v>53</v>
      </c>
      <c r="B3220" s="4" t="s">
        <v>25</v>
      </c>
      <c r="C3220" s="5">
        <v>45330</v>
      </c>
      <c r="D3220" s="4">
        <v>1.2</v>
      </c>
      <c r="E3220" s="4">
        <v>0.41</v>
      </c>
    </row>
    <row r="3221" spans="1:5" x14ac:dyDescent="0.25">
      <c r="A3221" s="4" t="s">
        <v>53</v>
      </c>
      <c r="B3221" s="4" t="s">
        <v>25</v>
      </c>
      <c r="C3221" s="5">
        <v>45331</v>
      </c>
      <c r="D3221" s="4">
        <v>28.9</v>
      </c>
      <c r="E3221" s="4">
        <v>10.02</v>
      </c>
    </row>
    <row r="3222" spans="1:5" x14ac:dyDescent="0.25">
      <c r="A3222" s="4" t="s">
        <v>53</v>
      </c>
      <c r="B3222" s="4" t="s">
        <v>25</v>
      </c>
      <c r="C3222" s="5">
        <v>45331</v>
      </c>
      <c r="D3222" s="4">
        <v>31.6</v>
      </c>
      <c r="E3222" s="4">
        <v>10.98</v>
      </c>
    </row>
    <row r="3223" spans="1:5" x14ac:dyDescent="0.25">
      <c r="A3223" s="4" t="s">
        <v>53</v>
      </c>
      <c r="B3223" s="4" t="s">
        <v>25</v>
      </c>
      <c r="C3223" s="5">
        <v>45331</v>
      </c>
      <c r="D3223" s="4">
        <v>33</v>
      </c>
      <c r="E3223" s="4">
        <v>11.48</v>
      </c>
    </row>
    <row r="3224" spans="1:5" x14ac:dyDescent="0.25">
      <c r="A3224" s="4" t="s">
        <v>53</v>
      </c>
      <c r="B3224" s="4" t="s">
        <v>25</v>
      </c>
      <c r="C3224" s="5">
        <v>45331</v>
      </c>
      <c r="D3224" s="4">
        <v>31.6</v>
      </c>
      <c r="E3224" s="4">
        <v>10.98</v>
      </c>
    </row>
    <row r="3225" spans="1:5" x14ac:dyDescent="0.25">
      <c r="A3225" s="4" t="s">
        <v>53</v>
      </c>
      <c r="B3225" s="4" t="s">
        <v>25</v>
      </c>
      <c r="C3225" s="5">
        <v>45331</v>
      </c>
      <c r="D3225" s="4">
        <v>33</v>
      </c>
      <c r="E3225" s="4">
        <v>11.48</v>
      </c>
    </row>
    <row r="3226" spans="1:5" x14ac:dyDescent="0.25">
      <c r="A3226" s="4" t="s">
        <v>53</v>
      </c>
      <c r="B3226" s="4" t="s">
        <v>25</v>
      </c>
      <c r="C3226" s="5">
        <v>45331</v>
      </c>
      <c r="D3226" s="4">
        <v>31.6</v>
      </c>
      <c r="E3226" s="4">
        <v>10.98</v>
      </c>
    </row>
    <row r="3227" spans="1:5" x14ac:dyDescent="0.25">
      <c r="A3227" s="4" t="s">
        <v>53</v>
      </c>
      <c r="B3227" s="4" t="s">
        <v>25</v>
      </c>
      <c r="C3227" s="5">
        <v>45331</v>
      </c>
      <c r="D3227" s="4">
        <v>29.9</v>
      </c>
      <c r="E3227" s="4">
        <v>10.36</v>
      </c>
    </row>
    <row r="3228" spans="1:5" x14ac:dyDescent="0.25">
      <c r="A3228" s="4" t="s">
        <v>53</v>
      </c>
      <c r="B3228" s="4" t="s">
        <v>25</v>
      </c>
      <c r="C3228" s="5">
        <v>45334</v>
      </c>
      <c r="D3228" s="4">
        <v>30.6</v>
      </c>
      <c r="E3228" s="4">
        <v>10.67</v>
      </c>
    </row>
    <row r="3229" spans="1:5" x14ac:dyDescent="0.25">
      <c r="A3229" s="4" t="s">
        <v>53</v>
      </c>
      <c r="B3229" s="4" t="s">
        <v>25</v>
      </c>
      <c r="C3229" s="5">
        <v>45334</v>
      </c>
      <c r="D3229" s="4">
        <v>30.6</v>
      </c>
      <c r="E3229" s="4">
        <v>10.67</v>
      </c>
    </row>
    <row r="3230" spans="1:5" x14ac:dyDescent="0.25">
      <c r="A3230" s="4" t="s">
        <v>53</v>
      </c>
      <c r="B3230" s="4" t="s">
        <v>25</v>
      </c>
      <c r="C3230" s="5">
        <v>45335</v>
      </c>
      <c r="D3230" s="4">
        <v>18.100000000000001</v>
      </c>
      <c r="E3230" s="4">
        <v>6.31</v>
      </c>
    </row>
    <row r="3231" spans="1:5" x14ac:dyDescent="0.25">
      <c r="A3231" s="4" t="s">
        <v>53</v>
      </c>
      <c r="B3231" s="4" t="s">
        <v>25</v>
      </c>
      <c r="C3231" s="5">
        <v>45335</v>
      </c>
      <c r="D3231" s="4">
        <v>8</v>
      </c>
      <c r="E3231" s="4">
        <v>2.79</v>
      </c>
    </row>
    <row r="3232" spans="1:5" x14ac:dyDescent="0.25">
      <c r="A3232" s="4" t="s">
        <v>53</v>
      </c>
      <c r="B3232" s="4" t="s">
        <v>25</v>
      </c>
      <c r="C3232" s="5">
        <v>45335</v>
      </c>
      <c r="D3232" s="4">
        <v>30.6</v>
      </c>
      <c r="E3232" s="4">
        <v>10.67</v>
      </c>
    </row>
    <row r="3233" spans="1:5" x14ac:dyDescent="0.25">
      <c r="A3233" s="4" t="s">
        <v>53</v>
      </c>
      <c r="B3233" s="4" t="s">
        <v>25</v>
      </c>
      <c r="C3233" s="5">
        <v>45336</v>
      </c>
      <c r="D3233" s="4">
        <v>1.2</v>
      </c>
      <c r="E3233" s="4">
        <v>0.41</v>
      </c>
    </row>
    <row r="3234" spans="1:5" x14ac:dyDescent="0.25">
      <c r="A3234" s="4" t="s">
        <v>53</v>
      </c>
      <c r="B3234" s="4" t="s">
        <v>25</v>
      </c>
      <c r="C3234" s="5">
        <v>45336</v>
      </c>
      <c r="D3234" s="4">
        <v>1.2</v>
      </c>
      <c r="E3234" s="4">
        <v>0.41</v>
      </c>
    </row>
    <row r="3235" spans="1:5" x14ac:dyDescent="0.25">
      <c r="A3235" s="4" t="s">
        <v>53</v>
      </c>
      <c r="B3235" s="4" t="s">
        <v>25</v>
      </c>
      <c r="C3235" s="5">
        <v>45336</v>
      </c>
      <c r="D3235" s="4">
        <v>1.2</v>
      </c>
      <c r="E3235" s="4">
        <v>0.41</v>
      </c>
    </row>
    <row r="3236" spans="1:5" x14ac:dyDescent="0.25">
      <c r="A3236" s="4" t="s">
        <v>53</v>
      </c>
      <c r="B3236" s="4" t="s">
        <v>25</v>
      </c>
      <c r="C3236" s="5">
        <v>45336</v>
      </c>
      <c r="D3236" s="4">
        <v>1.2</v>
      </c>
      <c r="E3236" s="4">
        <v>0.41</v>
      </c>
    </row>
    <row r="3237" spans="1:5" x14ac:dyDescent="0.25">
      <c r="A3237" s="4" t="s">
        <v>53</v>
      </c>
      <c r="B3237" s="4" t="s">
        <v>25</v>
      </c>
      <c r="C3237" s="5">
        <v>45336</v>
      </c>
      <c r="D3237" s="4">
        <v>17.3</v>
      </c>
      <c r="E3237" s="4">
        <v>6.02</v>
      </c>
    </row>
    <row r="3238" spans="1:5" x14ac:dyDescent="0.25">
      <c r="A3238" s="4" t="s">
        <v>53</v>
      </c>
      <c r="B3238" s="4" t="s">
        <v>25</v>
      </c>
      <c r="C3238" s="5">
        <v>45336</v>
      </c>
      <c r="D3238" s="4">
        <v>4.3</v>
      </c>
      <c r="E3238" s="4">
        <v>1.48</v>
      </c>
    </row>
    <row r="3239" spans="1:5" x14ac:dyDescent="0.25">
      <c r="A3239" s="4" t="s">
        <v>53</v>
      </c>
      <c r="B3239" s="4" t="s">
        <v>25</v>
      </c>
      <c r="C3239" s="5">
        <v>45336</v>
      </c>
      <c r="D3239" s="4">
        <v>4.3</v>
      </c>
      <c r="E3239" s="4">
        <v>1.48</v>
      </c>
    </row>
    <row r="3240" spans="1:5" x14ac:dyDescent="0.25">
      <c r="A3240" s="4" t="s">
        <v>53</v>
      </c>
      <c r="B3240" s="4" t="s">
        <v>25</v>
      </c>
      <c r="C3240" s="5">
        <v>45336</v>
      </c>
      <c r="D3240" s="4">
        <v>21.6</v>
      </c>
      <c r="E3240" s="4">
        <v>7.49</v>
      </c>
    </row>
    <row r="3241" spans="1:5" x14ac:dyDescent="0.25">
      <c r="A3241" s="4" t="s">
        <v>53</v>
      </c>
      <c r="B3241" s="4" t="s">
        <v>25</v>
      </c>
      <c r="C3241" s="5">
        <v>45336</v>
      </c>
      <c r="D3241" s="4">
        <v>1.2</v>
      </c>
      <c r="E3241" s="4">
        <v>0.41</v>
      </c>
    </row>
    <row r="3242" spans="1:5" x14ac:dyDescent="0.25">
      <c r="A3242" s="4" t="s">
        <v>53</v>
      </c>
      <c r="B3242" s="4" t="s">
        <v>25</v>
      </c>
      <c r="C3242" s="5">
        <v>45336</v>
      </c>
      <c r="D3242" s="4">
        <v>1.2</v>
      </c>
      <c r="E3242" s="4">
        <v>0.41</v>
      </c>
    </row>
    <row r="3243" spans="1:5" x14ac:dyDescent="0.25">
      <c r="A3243" s="4" t="s">
        <v>53</v>
      </c>
      <c r="B3243" s="4" t="s">
        <v>25</v>
      </c>
      <c r="C3243" s="5">
        <v>45336</v>
      </c>
      <c r="D3243" s="4">
        <v>1.2</v>
      </c>
      <c r="E3243" s="4">
        <v>0.41</v>
      </c>
    </row>
    <row r="3244" spans="1:5" x14ac:dyDescent="0.25">
      <c r="A3244" s="4" t="s">
        <v>53</v>
      </c>
      <c r="B3244" s="4" t="s">
        <v>25</v>
      </c>
      <c r="C3244" s="5">
        <v>45336</v>
      </c>
      <c r="D3244" s="4">
        <v>17.3</v>
      </c>
      <c r="E3244" s="4">
        <v>6.02</v>
      </c>
    </row>
    <row r="3245" spans="1:5" x14ac:dyDescent="0.25">
      <c r="A3245" s="4" t="s">
        <v>53</v>
      </c>
      <c r="B3245" s="4" t="s">
        <v>25</v>
      </c>
      <c r="C3245" s="5">
        <v>45336</v>
      </c>
      <c r="D3245" s="4">
        <v>4.3</v>
      </c>
      <c r="E3245" s="4">
        <v>1.48</v>
      </c>
    </row>
    <row r="3246" spans="1:5" x14ac:dyDescent="0.25">
      <c r="A3246" s="4" t="s">
        <v>53</v>
      </c>
      <c r="B3246" s="4" t="s">
        <v>25</v>
      </c>
      <c r="C3246" s="5">
        <v>45336</v>
      </c>
      <c r="D3246" s="4">
        <v>4.3</v>
      </c>
      <c r="E3246" s="4">
        <v>1.48</v>
      </c>
    </row>
    <row r="3247" spans="1:5" x14ac:dyDescent="0.25">
      <c r="A3247" s="4" t="s">
        <v>53</v>
      </c>
      <c r="B3247" s="4" t="s">
        <v>25</v>
      </c>
      <c r="C3247" s="5">
        <v>45336</v>
      </c>
      <c r="D3247" s="4">
        <v>21.6</v>
      </c>
      <c r="E3247" s="4">
        <v>7.49</v>
      </c>
    </row>
    <row r="3248" spans="1:5" x14ac:dyDescent="0.25">
      <c r="A3248" s="4" t="s">
        <v>53</v>
      </c>
      <c r="B3248" s="4" t="s">
        <v>25</v>
      </c>
      <c r="C3248" s="5">
        <v>45336</v>
      </c>
      <c r="D3248" s="4">
        <v>1.2</v>
      </c>
      <c r="E3248" s="4">
        <v>0.41</v>
      </c>
    </row>
    <row r="3249" spans="1:5" x14ac:dyDescent="0.25">
      <c r="A3249" s="4" t="s">
        <v>53</v>
      </c>
      <c r="B3249" s="4" t="s">
        <v>25</v>
      </c>
      <c r="C3249" s="5">
        <v>45337</v>
      </c>
      <c r="D3249" s="4">
        <v>276.2</v>
      </c>
      <c r="E3249" s="4">
        <v>95.94</v>
      </c>
    </row>
    <row r="3250" spans="1:5" x14ac:dyDescent="0.25">
      <c r="A3250" s="4" t="s">
        <v>53</v>
      </c>
      <c r="B3250" s="4" t="s">
        <v>25</v>
      </c>
      <c r="C3250" s="5">
        <v>45337</v>
      </c>
      <c r="D3250" s="4">
        <v>278</v>
      </c>
      <c r="E3250" s="4">
        <v>96.69</v>
      </c>
    </row>
    <row r="3251" spans="1:5" x14ac:dyDescent="0.25">
      <c r="A3251" s="4" t="s">
        <v>53</v>
      </c>
      <c r="B3251" s="4" t="s">
        <v>26</v>
      </c>
      <c r="C3251" s="5">
        <v>45307</v>
      </c>
      <c r="D3251" s="4">
        <v>28.9</v>
      </c>
      <c r="E3251" s="4">
        <v>10.02</v>
      </c>
    </row>
    <row r="3252" spans="1:5" x14ac:dyDescent="0.25">
      <c r="A3252" s="4" t="s">
        <v>53</v>
      </c>
      <c r="B3252" s="4" t="s">
        <v>26</v>
      </c>
      <c r="C3252" s="5">
        <v>45307</v>
      </c>
      <c r="D3252" s="4">
        <v>46</v>
      </c>
      <c r="E3252" s="4">
        <v>16</v>
      </c>
    </row>
    <row r="3253" spans="1:5" x14ac:dyDescent="0.25">
      <c r="A3253" s="4" t="s">
        <v>53</v>
      </c>
      <c r="B3253" s="4" t="s">
        <v>26</v>
      </c>
      <c r="C3253" s="5">
        <v>45307</v>
      </c>
      <c r="D3253" s="4">
        <v>44.3</v>
      </c>
      <c r="E3253" s="4">
        <v>15.37</v>
      </c>
    </row>
    <row r="3254" spans="1:5" x14ac:dyDescent="0.25">
      <c r="A3254" s="4" t="s">
        <v>53</v>
      </c>
      <c r="B3254" s="4" t="s">
        <v>26</v>
      </c>
      <c r="C3254" s="5">
        <v>45307</v>
      </c>
      <c r="D3254" s="4">
        <v>44.3</v>
      </c>
      <c r="E3254" s="4">
        <v>15.37</v>
      </c>
    </row>
    <row r="3255" spans="1:5" x14ac:dyDescent="0.25">
      <c r="A3255" s="4" t="s">
        <v>53</v>
      </c>
      <c r="B3255" s="4" t="s">
        <v>26</v>
      </c>
      <c r="C3255" s="5">
        <v>45307</v>
      </c>
      <c r="D3255" s="4">
        <v>44.3</v>
      </c>
      <c r="E3255" s="4">
        <v>15.37</v>
      </c>
    </row>
    <row r="3256" spans="1:5" x14ac:dyDescent="0.25">
      <c r="A3256" s="4" t="s">
        <v>53</v>
      </c>
      <c r="B3256" s="4" t="s">
        <v>26</v>
      </c>
      <c r="C3256" s="5">
        <v>45307</v>
      </c>
      <c r="D3256" s="4">
        <v>44.3</v>
      </c>
      <c r="E3256" s="4">
        <v>15.37</v>
      </c>
    </row>
    <row r="3257" spans="1:5" x14ac:dyDescent="0.25">
      <c r="A3257" s="4" t="s">
        <v>53</v>
      </c>
      <c r="B3257" s="4" t="s">
        <v>26</v>
      </c>
      <c r="C3257" s="5">
        <v>45307</v>
      </c>
      <c r="D3257" s="4">
        <v>44.3</v>
      </c>
      <c r="E3257" s="4">
        <v>15.37</v>
      </c>
    </row>
    <row r="3258" spans="1:5" x14ac:dyDescent="0.25">
      <c r="A3258" s="4" t="s">
        <v>53</v>
      </c>
      <c r="B3258" s="4" t="s">
        <v>26</v>
      </c>
      <c r="C3258" s="5">
        <v>45307</v>
      </c>
      <c r="D3258" s="4">
        <v>28.9</v>
      </c>
      <c r="E3258" s="4">
        <v>10.02</v>
      </c>
    </row>
    <row r="3259" spans="1:5" x14ac:dyDescent="0.25">
      <c r="A3259" s="4" t="s">
        <v>53</v>
      </c>
      <c r="B3259" s="4" t="s">
        <v>26</v>
      </c>
      <c r="C3259" s="5">
        <v>45308</v>
      </c>
      <c r="D3259" s="4">
        <v>15.9</v>
      </c>
      <c r="E3259" s="4">
        <v>5.51</v>
      </c>
    </row>
    <row r="3260" spans="1:5" x14ac:dyDescent="0.25">
      <c r="A3260" s="4" t="s">
        <v>53</v>
      </c>
      <c r="B3260" s="4" t="s">
        <v>26</v>
      </c>
      <c r="C3260" s="5">
        <v>45308</v>
      </c>
      <c r="D3260" s="4">
        <v>30.5</v>
      </c>
      <c r="E3260" s="4">
        <v>10.59</v>
      </c>
    </row>
    <row r="3261" spans="1:5" x14ac:dyDescent="0.25">
      <c r="A3261" s="4" t="s">
        <v>53</v>
      </c>
      <c r="B3261" s="4" t="s">
        <v>26</v>
      </c>
      <c r="C3261" s="5">
        <v>45308</v>
      </c>
      <c r="D3261" s="4">
        <v>48.7</v>
      </c>
      <c r="E3261" s="4">
        <v>16.93</v>
      </c>
    </row>
    <row r="3262" spans="1:5" x14ac:dyDescent="0.25">
      <c r="A3262" s="4" t="s">
        <v>53</v>
      </c>
      <c r="B3262" s="4" t="s">
        <v>26</v>
      </c>
      <c r="C3262" s="5">
        <v>45308</v>
      </c>
      <c r="D3262" s="4">
        <v>30.5</v>
      </c>
      <c r="E3262" s="4">
        <v>10.59</v>
      </c>
    </row>
    <row r="3263" spans="1:5" x14ac:dyDescent="0.25">
      <c r="A3263" s="4" t="s">
        <v>53</v>
      </c>
      <c r="B3263" s="4" t="s">
        <v>26</v>
      </c>
      <c r="C3263" s="5">
        <v>45308</v>
      </c>
      <c r="D3263" s="4">
        <v>48.7</v>
      </c>
      <c r="E3263" s="4">
        <v>16.93</v>
      </c>
    </row>
    <row r="3264" spans="1:5" x14ac:dyDescent="0.25">
      <c r="A3264" s="4" t="s">
        <v>53</v>
      </c>
      <c r="B3264" s="4" t="s">
        <v>26</v>
      </c>
      <c r="C3264" s="5">
        <v>45308</v>
      </c>
      <c r="D3264" s="4">
        <v>30.5</v>
      </c>
      <c r="E3264" s="4">
        <v>10.59</v>
      </c>
    </row>
    <row r="3265" spans="1:5" x14ac:dyDescent="0.25">
      <c r="A3265" s="4" t="s">
        <v>53</v>
      </c>
      <c r="B3265" s="4" t="s">
        <v>26</v>
      </c>
      <c r="C3265" s="5">
        <v>45308</v>
      </c>
      <c r="D3265" s="4">
        <v>48.7</v>
      </c>
      <c r="E3265" s="4">
        <v>16.93</v>
      </c>
    </row>
    <row r="3266" spans="1:5" x14ac:dyDescent="0.25">
      <c r="A3266" s="4" t="s">
        <v>53</v>
      </c>
      <c r="B3266" s="4" t="s">
        <v>26</v>
      </c>
      <c r="C3266" s="5">
        <v>45308</v>
      </c>
      <c r="D3266" s="4">
        <v>30.5</v>
      </c>
      <c r="E3266" s="4">
        <v>10.59</v>
      </c>
    </row>
    <row r="3267" spans="1:5" x14ac:dyDescent="0.25">
      <c r="A3267" s="4" t="s">
        <v>53</v>
      </c>
      <c r="B3267" s="4" t="s">
        <v>26</v>
      </c>
      <c r="C3267" s="5">
        <v>45308</v>
      </c>
      <c r="D3267" s="4">
        <v>44.4</v>
      </c>
      <c r="E3267" s="4">
        <v>15.46</v>
      </c>
    </row>
    <row r="3268" spans="1:5" x14ac:dyDescent="0.25">
      <c r="A3268" s="4" t="s">
        <v>53</v>
      </c>
      <c r="B3268" s="4" t="s">
        <v>26</v>
      </c>
      <c r="C3268" s="5">
        <v>45309</v>
      </c>
      <c r="D3268" s="4">
        <v>0.9</v>
      </c>
      <c r="E3268" s="4">
        <v>0.31</v>
      </c>
    </row>
    <row r="3269" spans="1:5" x14ac:dyDescent="0.25">
      <c r="A3269" s="4" t="s">
        <v>53</v>
      </c>
      <c r="B3269" s="4" t="s">
        <v>26</v>
      </c>
      <c r="C3269" s="5">
        <v>45309</v>
      </c>
      <c r="D3269" s="4">
        <v>15.4</v>
      </c>
      <c r="E3269" s="4">
        <v>5.31</v>
      </c>
    </row>
    <row r="3270" spans="1:5" x14ac:dyDescent="0.25">
      <c r="A3270" s="4" t="s">
        <v>53</v>
      </c>
      <c r="B3270" s="4" t="s">
        <v>26</v>
      </c>
      <c r="C3270" s="5">
        <v>45309</v>
      </c>
      <c r="D3270" s="4">
        <v>15.5</v>
      </c>
      <c r="E3270" s="4">
        <v>5.33</v>
      </c>
    </row>
    <row r="3271" spans="1:5" x14ac:dyDescent="0.25">
      <c r="A3271" s="4" t="s">
        <v>53</v>
      </c>
      <c r="B3271" s="4" t="s">
        <v>26</v>
      </c>
      <c r="C3271" s="5">
        <v>45309</v>
      </c>
      <c r="D3271" s="4">
        <v>29.1</v>
      </c>
      <c r="E3271" s="4">
        <v>10.119999999999999</v>
      </c>
    </row>
    <row r="3272" spans="1:5" x14ac:dyDescent="0.25">
      <c r="A3272" s="4" t="s">
        <v>53</v>
      </c>
      <c r="B3272" s="4" t="s">
        <v>26</v>
      </c>
      <c r="C3272" s="5">
        <v>45309</v>
      </c>
      <c r="D3272" s="4">
        <v>1.1000000000000001</v>
      </c>
      <c r="E3272" s="4">
        <v>0.38</v>
      </c>
    </row>
    <row r="3273" spans="1:5" x14ac:dyDescent="0.25">
      <c r="A3273" s="4" t="s">
        <v>53</v>
      </c>
      <c r="B3273" s="4" t="s">
        <v>26</v>
      </c>
      <c r="C3273" s="5">
        <v>45309</v>
      </c>
      <c r="D3273" s="4">
        <v>18.2</v>
      </c>
      <c r="E3273" s="4">
        <v>6.34</v>
      </c>
    </row>
    <row r="3274" spans="1:5" x14ac:dyDescent="0.25">
      <c r="A3274" s="4" t="s">
        <v>53</v>
      </c>
      <c r="B3274" s="4" t="s">
        <v>26</v>
      </c>
      <c r="C3274" s="5">
        <v>45309</v>
      </c>
      <c r="D3274" s="4">
        <v>29.4</v>
      </c>
      <c r="E3274" s="4">
        <v>10.220000000000001</v>
      </c>
    </row>
    <row r="3275" spans="1:5" x14ac:dyDescent="0.25">
      <c r="A3275" s="4" t="s">
        <v>53</v>
      </c>
      <c r="B3275" s="4" t="s">
        <v>26</v>
      </c>
      <c r="C3275" s="5">
        <v>45309</v>
      </c>
      <c r="D3275" s="4">
        <v>1.1000000000000001</v>
      </c>
      <c r="E3275" s="4">
        <v>0.38</v>
      </c>
    </row>
    <row r="3276" spans="1:5" x14ac:dyDescent="0.25">
      <c r="A3276" s="4" t="s">
        <v>53</v>
      </c>
      <c r="B3276" s="4" t="s">
        <v>26</v>
      </c>
      <c r="C3276" s="5">
        <v>45309</v>
      </c>
      <c r="D3276" s="4">
        <v>16</v>
      </c>
      <c r="E3276" s="4">
        <v>5.57</v>
      </c>
    </row>
    <row r="3277" spans="1:5" x14ac:dyDescent="0.25">
      <c r="A3277" s="4" t="s">
        <v>53</v>
      </c>
      <c r="B3277" s="4" t="s">
        <v>26</v>
      </c>
      <c r="C3277" s="5">
        <v>45314</v>
      </c>
      <c r="D3277" s="4">
        <v>15.4</v>
      </c>
      <c r="E3277" s="4">
        <v>5.35</v>
      </c>
    </row>
    <row r="3278" spans="1:5" x14ac:dyDescent="0.25">
      <c r="A3278" s="4" t="s">
        <v>53</v>
      </c>
      <c r="B3278" s="4" t="s">
        <v>26</v>
      </c>
      <c r="C3278" s="5">
        <v>45314</v>
      </c>
      <c r="D3278" s="4">
        <v>28.8</v>
      </c>
      <c r="E3278" s="4">
        <v>10.039999999999999</v>
      </c>
    </row>
    <row r="3279" spans="1:5" x14ac:dyDescent="0.25">
      <c r="A3279" s="4" t="s">
        <v>53</v>
      </c>
      <c r="B3279" s="4" t="s">
        <v>26</v>
      </c>
      <c r="C3279" s="5">
        <v>45314</v>
      </c>
      <c r="D3279" s="4">
        <v>28.8</v>
      </c>
      <c r="E3279" s="4">
        <v>10.039999999999999</v>
      </c>
    </row>
    <row r="3280" spans="1:5" x14ac:dyDescent="0.25">
      <c r="A3280" s="4" t="s">
        <v>53</v>
      </c>
      <c r="B3280" s="4" t="s">
        <v>26</v>
      </c>
      <c r="C3280" s="5">
        <v>45314</v>
      </c>
      <c r="D3280" s="4">
        <v>28.8</v>
      </c>
      <c r="E3280" s="4">
        <v>10.039999999999999</v>
      </c>
    </row>
    <row r="3281" spans="1:5" x14ac:dyDescent="0.25">
      <c r="A3281" s="4" t="s">
        <v>53</v>
      </c>
      <c r="B3281" s="4" t="s">
        <v>26</v>
      </c>
      <c r="C3281" s="5">
        <v>45314</v>
      </c>
      <c r="D3281" s="4">
        <v>28.8</v>
      </c>
      <c r="E3281" s="4">
        <v>10.039999999999999</v>
      </c>
    </row>
    <row r="3282" spans="1:5" x14ac:dyDescent="0.25">
      <c r="A3282" s="4" t="s">
        <v>53</v>
      </c>
      <c r="B3282" s="4" t="s">
        <v>26</v>
      </c>
      <c r="C3282" s="5">
        <v>45314</v>
      </c>
      <c r="D3282" s="4">
        <v>28.8</v>
      </c>
      <c r="E3282" s="4">
        <v>10.039999999999999</v>
      </c>
    </row>
    <row r="3283" spans="1:5" x14ac:dyDescent="0.25">
      <c r="A3283" s="4" t="s">
        <v>53</v>
      </c>
      <c r="B3283" s="4" t="s">
        <v>26</v>
      </c>
      <c r="C3283" s="5">
        <v>45314</v>
      </c>
      <c r="D3283" s="4">
        <v>21.3</v>
      </c>
      <c r="E3283" s="4">
        <v>7.41</v>
      </c>
    </row>
    <row r="3284" spans="1:5" x14ac:dyDescent="0.25">
      <c r="A3284" s="4" t="s">
        <v>53</v>
      </c>
      <c r="B3284" s="4" t="s">
        <v>26</v>
      </c>
      <c r="C3284" s="5">
        <v>45314</v>
      </c>
      <c r="D3284" s="4">
        <v>20.100000000000001</v>
      </c>
      <c r="E3284" s="4">
        <v>6.99</v>
      </c>
    </row>
    <row r="3285" spans="1:5" x14ac:dyDescent="0.25">
      <c r="A3285" s="4" t="s">
        <v>53</v>
      </c>
      <c r="B3285" s="4" t="s">
        <v>26</v>
      </c>
      <c r="C3285" s="5">
        <v>45314</v>
      </c>
      <c r="D3285" s="4">
        <v>20.100000000000001</v>
      </c>
      <c r="E3285" s="4">
        <v>6.99</v>
      </c>
    </row>
    <row r="3286" spans="1:5" x14ac:dyDescent="0.25">
      <c r="A3286" s="4" t="s">
        <v>53</v>
      </c>
      <c r="B3286" s="4" t="s">
        <v>26</v>
      </c>
      <c r="C3286" s="5">
        <v>45314</v>
      </c>
      <c r="D3286" s="4">
        <v>20.100000000000001</v>
      </c>
      <c r="E3286" s="4">
        <v>6.99</v>
      </c>
    </row>
    <row r="3287" spans="1:5" x14ac:dyDescent="0.25">
      <c r="A3287" s="4" t="s">
        <v>53</v>
      </c>
      <c r="B3287" s="4" t="s">
        <v>26</v>
      </c>
      <c r="C3287" s="5">
        <v>45314</v>
      </c>
      <c r="D3287" s="4">
        <v>8.1999999999999993</v>
      </c>
      <c r="E3287" s="4">
        <v>2.85</v>
      </c>
    </row>
    <row r="3288" spans="1:5" x14ac:dyDescent="0.25">
      <c r="A3288" s="4" t="s">
        <v>53</v>
      </c>
      <c r="B3288" s="4" t="s">
        <v>26</v>
      </c>
      <c r="C3288" s="5">
        <v>45314</v>
      </c>
      <c r="D3288" s="4">
        <v>5.2</v>
      </c>
      <c r="E3288" s="4">
        <v>1.79</v>
      </c>
    </row>
    <row r="3289" spans="1:5" x14ac:dyDescent="0.25">
      <c r="A3289" s="4" t="s">
        <v>53</v>
      </c>
      <c r="B3289" s="4" t="s">
        <v>26</v>
      </c>
      <c r="C3289" s="5">
        <v>45314</v>
      </c>
      <c r="D3289" s="4">
        <v>5.2</v>
      </c>
      <c r="E3289" s="4">
        <v>1.79</v>
      </c>
    </row>
    <row r="3290" spans="1:5" x14ac:dyDescent="0.25">
      <c r="A3290" s="4" t="s">
        <v>53</v>
      </c>
      <c r="B3290" s="4" t="s">
        <v>26</v>
      </c>
      <c r="C3290" s="5">
        <v>45314</v>
      </c>
      <c r="D3290" s="4">
        <v>42.5</v>
      </c>
      <c r="E3290" s="4">
        <v>14.81</v>
      </c>
    </row>
    <row r="3291" spans="1:5" x14ac:dyDescent="0.25">
      <c r="A3291" s="4" t="s">
        <v>53</v>
      </c>
      <c r="B3291" s="4" t="s">
        <v>26</v>
      </c>
      <c r="C3291" s="5">
        <v>45315</v>
      </c>
      <c r="D3291" s="4">
        <v>9.5</v>
      </c>
      <c r="E3291" s="4">
        <v>3.31</v>
      </c>
    </row>
    <row r="3292" spans="1:5" x14ac:dyDescent="0.25">
      <c r="A3292" s="4" t="s">
        <v>53</v>
      </c>
      <c r="B3292" s="4" t="s">
        <v>26</v>
      </c>
      <c r="C3292" s="5">
        <v>45315</v>
      </c>
      <c r="D3292" s="4">
        <v>8.6999999999999993</v>
      </c>
      <c r="E3292" s="4">
        <v>3.03</v>
      </c>
    </row>
    <row r="3293" spans="1:5" x14ac:dyDescent="0.25">
      <c r="A3293" s="4" t="s">
        <v>53</v>
      </c>
      <c r="B3293" s="4" t="s">
        <v>26</v>
      </c>
      <c r="C3293" s="5">
        <v>45315</v>
      </c>
      <c r="D3293" s="4">
        <v>11</v>
      </c>
      <c r="E3293" s="4">
        <v>3.83</v>
      </c>
    </row>
    <row r="3294" spans="1:5" x14ac:dyDescent="0.25">
      <c r="A3294" s="4" t="s">
        <v>53</v>
      </c>
      <c r="B3294" s="4" t="s">
        <v>26</v>
      </c>
      <c r="C3294" s="5">
        <v>45315</v>
      </c>
      <c r="D3294" s="4">
        <v>3.6</v>
      </c>
      <c r="E3294" s="4">
        <v>1.25</v>
      </c>
    </row>
    <row r="3295" spans="1:5" x14ac:dyDescent="0.25">
      <c r="A3295" s="4" t="s">
        <v>53</v>
      </c>
      <c r="B3295" s="4" t="s">
        <v>26</v>
      </c>
      <c r="C3295" s="5">
        <v>45315</v>
      </c>
      <c r="D3295" s="4">
        <v>24.9</v>
      </c>
      <c r="E3295" s="4">
        <v>8.66</v>
      </c>
    </row>
    <row r="3296" spans="1:5" x14ac:dyDescent="0.25">
      <c r="A3296" s="4" t="s">
        <v>53</v>
      </c>
      <c r="B3296" s="4" t="s">
        <v>26</v>
      </c>
      <c r="C3296" s="5">
        <v>45315</v>
      </c>
      <c r="D3296" s="4">
        <v>24.1</v>
      </c>
      <c r="E3296" s="4">
        <v>8.3800000000000008</v>
      </c>
    </row>
    <row r="3297" spans="1:5" x14ac:dyDescent="0.25">
      <c r="A3297" s="4" t="s">
        <v>53</v>
      </c>
      <c r="B3297" s="4" t="s">
        <v>26</v>
      </c>
      <c r="C3297" s="5">
        <v>45315</v>
      </c>
      <c r="D3297" s="4">
        <v>43.3</v>
      </c>
      <c r="E3297" s="4">
        <v>15.05</v>
      </c>
    </row>
    <row r="3298" spans="1:5" x14ac:dyDescent="0.25">
      <c r="A3298" s="4" t="s">
        <v>53</v>
      </c>
      <c r="B3298" s="4" t="s">
        <v>26</v>
      </c>
      <c r="C3298" s="5">
        <v>45315</v>
      </c>
      <c r="D3298" s="4">
        <v>34.200000000000003</v>
      </c>
      <c r="E3298" s="4">
        <v>11.91</v>
      </c>
    </row>
    <row r="3299" spans="1:5" x14ac:dyDescent="0.25">
      <c r="A3299" s="4" t="s">
        <v>53</v>
      </c>
      <c r="B3299" s="4" t="s">
        <v>26</v>
      </c>
      <c r="C3299" s="5">
        <v>45315</v>
      </c>
      <c r="D3299" s="4">
        <v>35.6</v>
      </c>
      <c r="E3299" s="4">
        <v>12.4</v>
      </c>
    </row>
    <row r="3300" spans="1:5" x14ac:dyDescent="0.25">
      <c r="A3300" s="4" t="s">
        <v>53</v>
      </c>
      <c r="B3300" s="4" t="s">
        <v>26</v>
      </c>
      <c r="C3300" s="5">
        <v>45315</v>
      </c>
      <c r="D3300" s="4">
        <v>34.200000000000003</v>
      </c>
      <c r="E3300" s="4">
        <v>11.91</v>
      </c>
    </row>
    <row r="3301" spans="1:5" x14ac:dyDescent="0.25">
      <c r="A3301" s="4" t="s">
        <v>53</v>
      </c>
      <c r="B3301" s="4" t="s">
        <v>26</v>
      </c>
      <c r="C3301" s="5">
        <v>45315</v>
      </c>
      <c r="D3301" s="4">
        <v>35.6</v>
      </c>
      <c r="E3301" s="4">
        <v>12.4</v>
      </c>
    </row>
    <row r="3302" spans="1:5" x14ac:dyDescent="0.25">
      <c r="A3302" s="4" t="s">
        <v>53</v>
      </c>
      <c r="B3302" s="4" t="s">
        <v>26</v>
      </c>
      <c r="C3302" s="5">
        <v>45315</v>
      </c>
      <c r="D3302" s="4">
        <v>24.8</v>
      </c>
      <c r="E3302" s="4">
        <v>8.6</v>
      </c>
    </row>
    <row r="3303" spans="1:5" x14ac:dyDescent="0.25">
      <c r="A3303" s="4" t="s">
        <v>53</v>
      </c>
      <c r="B3303" s="4" t="s">
        <v>26</v>
      </c>
      <c r="C3303" s="5">
        <v>45321</v>
      </c>
      <c r="D3303" s="4">
        <v>2.2999999999999998</v>
      </c>
      <c r="E3303" s="4">
        <v>0.8</v>
      </c>
    </row>
    <row r="3304" spans="1:5" x14ac:dyDescent="0.25">
      <c r="A3304" s="4" t="s">
        <v>53</v>
      </c>
      <c r="B3304" s="4" t="s">
        <v>26</v>
      </c>
      <c r="C3304" s="5">
        <v>45321</v>
      </c>
      <c r="D3304" s="4">
        <v>19.100000000000001</v>
      </c>
      <c r="E3304" s="4">
        <v>6.65</v>
      </c>
    </row>
    <row r="3305" spans="1:5" x14ac:dyDescent="0.25">
      <c r="A3305" s="4" t="s">
        <v>53</v>
      </c>
      <c r="B3305" s="4" t="s">
        <v>26</v>
      </c>
      <c r="C3305" s="5">
        <v>45322</v>
      </c>
      <c r="D3305" s="4">
        <v>13.8</v>
      </c>
      <c r="E3305" s="4">
        <v>4.8099999999999996</v>
      </c>
    </row>
    <row r="3306" spans="1:5" x14ac:dyDescent="0.25">
      <c r="A3306" s="4" t="s">
        <v>53</v>
      </c>
      <c r="B3306" s="4" t="s">
        <v>26</v>
      </c>
      <c r="C3306" s="5">
        <v>45322</v>
      </c>
      <c r="D3306" s="4">
        <v>5.4</v>
      </c>
      <c r="E3306" s="4">
        <v>1.83</v>
      </c>
    </row>
    <row r="3307" spans="1:5" x14ac:dyDescent="0.25">
      <c r="A3307" s="4" t="s">
        <v>53</v>
      </c>
      <c r="B3307" s="4" t="s">
        <v>26</v>
      </c>
      <c r="C3307" s="5">
        <v>45322</v>
      </c>
      <c r="D3307" s="4">
        <v>2</v>
      </c>
      <c r="E3307" s="4">
        <v>0.68</v>
      </c>
    </row>
    <row r="3308" spans="1:5" x14ac:dyDescent="0.25">
      <c r="A3308" s="4" t="s">
        <v>53</v>
      </c>
      <c r="B3308" s="4" t="s">
        <v>26</v>
      </c>
      <c r="C3308" s="5">
        <v>45322</v>
      </c>
      <c r="D3308" s="4">
        <v>0.8</v>
      </c>
      <c r="E3308" s="4">
        <v>0.27</v>
      </c>
    </row>
    <row r="3309" spans="1:5" x14ac:dyDescent="0.25">
      <c r="A3309" s="4" t="s">
        <v>53</v>
      </c>
      <c r="B3309" s="4" t="s">
        <v>26</v>
      </c>
      <c r="C3309" s="5">
        <v>45322</v>
      </c>
      <c r="D3309" s="4">
        <v>7.9</v>
      </c>
      <c r="E3309" s="4">
        <v>2.68</v>
      </c>
    </row>
    <row r="3310" spans="1:5" x14ac:dyDescent="0.25">
      <c r="A3310" s="4" t="s">
        <v>53</v>
      </c>
      <c r="B3310" s="4" t="s">
        <v>26</v>
      </c>
      <c r="C3310" s="5">
        <v>45322</v>
      </c>
      <c r="D3310" s="4">
        <v>2.2000000000000002</v>
      </c>
      <c r="E3310" s="4">
        <v>0.75</v>
      </c>
    </row>
    <row r="3311" spans="1:5" x14ac:dyDescent="0.25">
      <c r="A3311" s="4" t="s">
        <v>53</v>
      </c>
      <c r="B3311" s="4" t="s">
        <v>26</v>
      </c>
      <c r="C3311" s="5">
        <v>45322</v>
      </c>
      <c r="D3311" s="4">
        <v>0.8</v>
      </c>
      <c r="E3311" s="4">
        <v>0.27</v>
      </c>
    </row>
    <row r="3312" spans="1:5" x14ac:dyDescent="0.25">
      <c r="A3312" s="4" t="s">
        <v>53</v>
      </c>
      <c r="B3312" s="4" t="s">
        <v>26</v>
      </c>
      <c r="C3312" s="5">
        <v>45322</v>
      </c>
      <c r="D3312" s="4">
        <v>7.9</v>
      </c>
      <c r="E3312" s="4">
        <v>2.68</v>
      </c>
    </row>
    <row r="3313" spans="1:5" x14ac:dyDescent="0.25">
      <c r="A3313" s="4" t="s">
        <v>53</v>
      </c>
      <c r="B3313" s="4" t="s">
        <v>26</v>
      </c>
      <c r="C3313" s="5">
        <v>45322</v>
      </c>
      <c r="D3313" s="4">
        <v>0.9</v>
      </c>
      <c r="E3313" s="4">
        <v>0.31</v>
      </c>
    </row>
    <row r="3314" spans="1:5" x14ac:dyDescent="0.25">
      <c r="A3314" s="4" t="s">
        <v>53</v>
      </c>
      <c r="B3314" s="4" t="s">
        <v>26</v>
      </c>
      <c r="C3314" s="5">
        <v>45322</v>
      </c>
      <c r="D3314" s="4">
        <v>2.2000000000000002</v>
      </c>
      <c r="E3314" s="4">
        <v>0.75</v>
      </c>
    </row>
    <row r="3315" spans="1:5" x14ac:dyDescent="0.25">
      <c r="A3315" s="4" t="s">
        <v>53</v>
      </c>
      <c r="B3315" s="4" t="s">
        <v>26</v>
      </c>
      <c r="C3315" s="5">
        <v>45322</v>
      </c>
      <c r="D3315" s="4">
        <v>2.2000000000000002</v>
      </c>
      <c r="E3315" s="4">
        <v>0.75</v>
      </c>
    </row>
    <row r="3316" spans="1:5" x14ac:dyDescent="0.25">
      <c r="A3316" s="4" t="s">
        <v>53</v>
      </c>
      <c r="B3316" s="4" t="s">
        <v>26</v>
      </c>
      <c r="C3316" s="5">
        <v>45322</v>
      </c>
      <c r="D3316" s="4">
        <v>2.2000000000000002</v>
      </c>
      <c r="E3316" s="4">
        <v>0.75</v>
      </c>
    </row>
    <row r="3317" spans="1:5" x14ac:dyDescent="0.25">
      <c r="A3317" s="4" t="s">
        <v>53</v>
      </c>
      <c r="B3317" s="4" t="s">
        <v>26</v>
      </c>
      <c r="C3317" s="5">
        <v>45322</v>
      </c>
      <c r="D3317" s="4">
        <v>2.2000000000000002</v>
      </c>
      <c r="E3317" s="4">
        <v>0.75</v>
      </c>
    </row>
    <row r="3318" spans="1:5" x14ac:dyDescent="0.25">
      <c r="A3318" s="4" t="s">
        <v>53</v>
      </c>
      <c r="B3318" s="4" t="s">
        <v>26</v>
      </c>
      <c r="C3318" s="5">
        <v>45322</v>
      </c>
      <c r="D3318" s="4">
        <v>2.2000000000000002</v>
      </c>
      <c r="E3318" s="4">
        <v>0.75</v>
      </c>
    </row>
    <row r="3319" spans="1:5" x14ac:dyDescent="0.25">
      <c r="A3319" s="4" t="s">
        <v>53</v>
      </c>
      <c r="B3319" s="4" t="s">
        <v>26</v>
      </c>
      <c r="C3319" s="5">
        <v>45322</v>
      </c>
      <c r="D3319" s="4">
        <v>2.2000000000000002</v>
      </c>
      <c r="E3319" s="4">
        <v>0.75</v>
      </c>
    </row>
    <row r="3320" spans="1:5" x14ac:dyDescent="0.25">
      <c r="A3320" s="4" t="s">
        <v>53</v>
      </c>
      <c r="B3320" s="4" t="s">
        <v>26</v>
      </c>
      <c r="C3320" s="5">
        <v>45322</v>
      </c>
      <c r="D3320" s="4">
        <v>2.2000000000000002</v>
      </c>
      <c r="E3320" s="4">
        <v>0.75</v>
      </c>
    </row>
    <row r="3321" spans="1:5" x14ac:dyDescent="0.25">
      <c r="A3321" s="4" t="s">
        <v>53</v>
      </c>
      <c r="B3321" s="4" t="s">
        <v>26</v>
      </c>
      <c r="C3321" s="5">
        <v>45322</v>
      </c>
      <c r="D3321" s="4">
        <v>2.2000000000000002</v>
      </c>
      <c r="E3321" s="4">
        <v>0.75</v>
      </c>
    </row>
    <row r="3322" spans="1:5" x14ac:dyDescent="0.25">
      <c r="A3322" s="4" t="s">
        <v>53</v>
      </c>
      <c r="B3322" s="4" t="s">
        <v>26</v>
      </c>
      <c r="C3322" s="5">
        <v>45322</v>
      </c>
      <c r="D3322" s="4">
        <v>2.2000000000000002</v>
      </c>
      <c r="E3322" s="4">
        <v>0.75</v>
      </c>
    </row>
    <row r="3323" spans="1:5" x14ac:dyDescent="0.25">
      <c r="A3323" s="4" t="s">
        <v>53</v>
      </c>
      <c r="B3323" s="4" t="s">
        <v>26</v>
      </c>
      <c r="C3323" s="5">
        <v>45322</v>
      </c>
      <c r="D3323" s="4">
        <v>2.2000000000000002</v>
      </c>
      <c r="E3323" s="4">
        <v>0.75</v>
      </c>
    </row>
    <row r="3324" spans="1:5" x14ac:dyDescent="0.25">
      <c r="A3324" s="4" t="s">
        <v>53</v>
      </c>
      <c r="B3324" s="4" t="s">
        <v>26</v>
      </c>
      <c r="C3324" s="5">
        <v>45322</v>
      </c>
      <c r="D3324" s="4">
        <v>2.2000000000000002</v>
      </c>
      <c r="E3324" s="4">
        <v>0.75</v>
      </c>
    </row>
    <row r="3325" spans="1:5" x14ac:dyDescent="0.25">
      <c r="A3325" s="4" t="s">
        <v>53</v>
      </c>
      <c r="B3325" s="4" t="s">
        <v>26</v>
      </c>
      <c r="C3325" s="5">
        <v>45322</v>
      </c>
      <c r="D3325" s="4">
        <v>2.2000000000000002</v>
      </c>
      <c r="E3325" s="4">
        <v>0.75</v>
      </c>
    </row>
    <row r="3326" spans="1:5" x14ac:dyDescent="0.25">
      <c r="A3326" s="4" t="s">
        <v>53</v>
      </c>
      <c r="B3326" s="4" t="s">
        <v>26</v>
      </c>
      <c r="C3326" s="5">
        <v>45322</v>
      </c>
      <c r="D3326" s="4">
        <v>2</v>
      </c>
      <c r="E3326" s="4">
        <v>0.68</v>
      </c>
    </row>
    <row r="3327" spans="1:5" x14ac:dyDescent="0.25">
      <c r="A3327" s="4" t="s">
        <v>53</v>
      </c>
      <c r="B3327" s="4" t="s">
        <v>26</v>
      </c>
      <c r="C3327" s="5">
        <v>45322</v>
      </c>
      <c r="D3327" s="4">
        <v>13.8</v>
      </c>
      <c r="E3327" s="4">
        <v>4.8099999999999996</v>
      </c>
    </row>
    <row r="3328" spans="1:5" x14ac:dyDescent="0.25">
      <c r="A3328" s="4" t="s">
        <v>53</v>
      </c>
      <c r="B3328" s="4" t="s">
        <v>26</v>
      </c>
      <c r="C3328" s="5">
        <v>45323</v>
      </c>
      <c r="D3328" s="4">
        <v>13.8</v>
      </c>
      <c r="E3328" s="4">
        <v>4.8099999999999996</v>
      </c>
    </row>
    <row r="3329" spans="1:5" x14ac:dyDescent="0.25">
      <c r="A3329" s="4" t="s">
        <v>53</v>
      </c>
      <c r="B3329" s="4" t="s">
        <v>26</v>
      </c>
      <c r="C3329" s="5">
        <v>45323</v>
      </c>
      <c r="D3329" s="4">
        <v>5</v>
      </c>
      <c r="E3329" s="4">
        <v>1.7</v>
      </c>
    </row>
    <row r="3330" spans="1:5" x14ac:dyDescent="0.25">
      <c r="A3330" s="4" t="s">
        <v>53</v>
      </c>
      <c r="B3330" s="4" t="s">
        <v>26</v>
      </c>
      <c r="C3330" s="5">
        <v>45323</v>
      </c>
      <c r="D3330" s="4">
        <v>2.2000000000000002</v>
      </c>
      <c r="E3330" s="4">
        <v>0.75</v>
      </c>
    </row>
    <row r="3331" spans="1:5" x14ac:dyDescent="0.25">
      <c r="A3331" s="4" t="s">
        <v>53</v>
      </c>
      <c r="B3331" s="4" t="s">
        <v>26</v>
      </c>
      <c r="C3331" s="5">
        <v>45323</v>
      </c>
      <c r="D3331" s="4">
        <v>5.3</v>
      </c>
      <c r="E3331" s="4">
        <v>1.82</v>
      </c>
    </row>
    <row r="3332" spans="1:5" x14ac:dyDescent="0.25">
      <c r="A3332" s="4" t="s">
        <v>53</v>
      </c>
      <c r="B3332" s="4" t="s">
        <v>26</v>
      </c>
      <c r="C3332" s="5">
        <v>45323</v>
      </c>
      <c r="D3332" s="4">
        <v>13.7</v>
      </c>
      <c r="E3332" s="4">
        <v>4.76</v>
      </c>
    </row>
    <row r="3333" spans="1:5" x14ac:dyDescent="0.25">
      <c r="A3333" s="4" t="s">
        <v>53</v>
      </c>
      <c r="B3333" s="4" t="s">
        <v>26</v>
      </c>
      <c r="C3333" s="5">
        <v>45323</v>
      </c>
      <c r="D3333" s="4">
        <v>14.2</v>
      </c>
      <c r="E3333" s="4">
        <v>4.91</v>
      </c>
    </row>
    <row r="3334" spans="1:5" x14ac:dyDescent="0.25">
      <c r="A3334" s="4" t="s">
        <v>53</v>
      </c>
      <c r="B3334" s="4" t="s">
        <v>26</v>
      </c>
      <c r="C3334" s="5">
        <v>45323</v>
      </c>
      <c r="D3334" s="4">
        <v>14.2</v>
      </c>
      <c r="E3334" s="4">
        <v>4.91</v>
      </c>
    </row>
    <row r="3335" spans="1:5" x14ac:dyDescent="0.25">
      <c r="A3335" s="4" t="s">
        <v>53</v>
      </c>
      <c r="B3335" s="4" t="s">
        <v>26</v>
      </c>
      <c r="C3335" s="5">
        <v>45323</v>
      </c>
      <c r="D3335" s="4">
        <v>14.2</v>
      </c>
      <c r="E3335" s="4">
        <v>4.91</v>
      </c>
    </row>
    <row r="3336" spans="1:5" x14ac:dyDescent="0.25">
      <c r="A3336" s="4" t="s">
        <v>53</v>
      </c>
      <c r="B3336" s="4" t="s">
        <v>26</v>
      </c>
      <c r="C3336" s="5">
        <v>45323</v>
      </c>
      <c r="D3336" s="4">
        <v>14.2</v>
      </c>
      <c r="E3336" s="4">
        <v>4.91</v>
      </c>
    </row>
    <row r="3337" spans="1:5" x14ac:dyDescent="0.25">
      <c r="A3337" s="4" t="s">
        <v>53</v>
      </c>
      <c r="B3337" s="4" t="s">
        <v>26</v>
      </c>
      <c r="C3337" s="5">
        <v>45323</v>
      </c>
      <c r="D3337" s="4">
        <v>14.2</v>
      </c>
      <c r="E3337" s="4">
        <v>4.91</v>
      </c>
    </row>
    <row r="3338" spans="1:5" x14ac:dyDescent="0.25">
      <c r="A3338" s="4" t="s">
        <v>53</v>
      </c>
      <c r="B3338" s="4" t="s">
        <v>26</v>
      </c>
      <c r="C3338" s="5">
        <v>45323</v>
      </c>
      <c r="D3338" s="4">
        <v>14.2</v>
      </c>
      <c r="E3338" s="4">
        <v>4.91</v>
      </c>
    </row>
    <row r="3339" spans="1:5" x14ac:dyDescent="0.25">
      <c r="A3339" s="4" t="s">
        <v>53</v>
      </c>
      <c r="B3339" s="4" t="s">
        <v>26</v>
      </c>
      <c r="C3339" s="5">
        <v>45323</v>
      </c>
      <c r="D3339" s="4">
        <v>29.9</v>
      </c>
      <c r="E3339" s="4">
        <v>10.36</v>
      </c>
    </row>
    <row r="3340" spans="1:5" x14ac:dyDescent="0.25">
      <c r="A3340" s="4" t="s">
        <v>53</v>
      </c>
      <c r="B3340" s="4" t="s">
        <v>26</v>
      </c>
      <c r="C3340" s="5">
        <v>45324</v>
      </c>
      <c r="D3340" s="4">
        <v>28.4</v>
      </c>
      <c r="E3340" s="4">
        <v>9.9</v>
      </c>
    </row>
    <row r="3341" spans="1:5" x14ac:dyDescent="0.25">
      <c r="A3341" s="4" t="s">
        <v>53</v>
      </c>
      <c r="B3341" s="4" t="s">
        <v>26</v>
      </c>
      <c r="C3341" s="5">
        <v>45324</v>
      </c>
      <c r="D3341" s="4">
        <v>2.1</v>
      </c>
      <c r="E3341" s="4">
        <v>0.72</v>
      </c>
    </row>
    <row r="3342" spans="1:5" x14ac:dyDescent="0.25">
      <c r="A3342" s="4" t="s">
        <v>53</v>
      </c>
      <c r="B3342" s="4" t="s">
        <v>26</v>
      </c>
      <c r="C3342" s="5">
        <v>45324</v>
      </c>
      <c r="D3342" s="4">
        <v>1</v>
      </c>
      <c r="E3342" s="4">
        <v>0.34</v>
      </c>
    </row>
    <row r="3343" spans="1:5" x14ac:dyDescent="0.25">
      <c r="A3343" s="4" t="s">
        <v>53</v>
      </c>
      <c r="B3343" s="4" t="s">
        <v>26</v>
      </c>
      <c r="C3343" s="5">
        <v>45324</v>
      </c>
      <c r="D3343" s="4">
        <v>0.2</v>
      </c>
      <c r="E3343" s="4">
        <v>7.0000000000000007E-2</v>
      </c>
    </row>
    <row r="3344" spans="1:5" x14ac:dyDescent="0.25">
      <c r="A3344" s="4" t="s">
        <v>53</v>
      </c>
      <c r="B3344" s="4" t="s">
        <v>26</v>
      </c>
      <c r="C3344" s="5">
        <v>45324</v>
      </c>
      <c r="D3344" s="4">
        <v>4.5999999999999996</v>
      </c>
      <c r="E3344" s="4">
        <v>1.58</v>
      </c>
    </row>
    <row r="3345" spans="1:5" x14ac:dyDescent="0.25">
      <c r="A3345" s="4" t="s">
        <v>53</v>
      </c>
      <c r="B3345" s="4" t="s">
        <v>26</v>
      </c>
      <c r="C3345" s="5">
        <v>45324</v>
      </c>
      <c r="D3345" s="4">
        <v>26.6</v>
      </c>
      <c r="E3345" s="4">
        <v>9.27</v>
      </c>
    </row>
    <row r="3346" spans="1:5" x14ac:dyDescent="0.25">
      <c r="A3346" s="4" t="s">
        <v>53</v>
      </c>
      <c r="B3346" s="4" t="s">
        <v>26</v>
      </c>
      <c r="C3346" s="5">
        <v>45324</v>
      </c>
      <c r="D3346" s="4">
        <v>15.4</v>
      </c>
      <c r="E3346" s="4">
        <v>5.35</v>
      </c>
    </row>
    <row r="3347" spans="1:5" x14ac:dyDescent="0.25">
      <c r="A3347" s="4" t="s">
        <v>53</v>
      </c>
      <c r="B3347" s="4" t="s">
        <v>26</v>
      </c>
      <c r="C3347" s="5">
        <v>45324</v>
      </c>
      <c r="D3347" s="4">
        <v>15.4</v>
      </c>
      <c r="E3347" s="4">
        <v>5.35</v>
      </c>
    </row>
    <row r="3348" spans="1:5" x14ac:dyDescent="0.25">
      <c r="A3348" s="4" t="s">
        <v>53</v>
      </c>
      <c r="B3348" s="4" t="s">
        <v>26</v>
      </c>
      <c r="C3348" s="5">
        <v>45324</v>
      </c>
      <c r="D3348" s="4">
        <v>15.4</v>
      </c>
      <c r="E3348" s="4">
        <v>5.35</v>
      </c>
    </row>
    <row r="3349" spans="1:5" x14ac:dyDescent="0.25">
      <c r="A3349" s="4" t="s">
        <v>53</v>
      </c>
      <c r="B3349" s="4" t="s">
        <v>26</v>
      </c>
      <c r="C3349" s="5">
        <v>45324</v>
      </c>
      <c r="D3349" s="4">
        <v>15.4</v>
      </c>
      <c r="E3349" s="4">
        <v>5.35</v>
      </c>
    </row>
    <row r="3350" spans="1:5" x14ac:dyDescent="0.25">
      <c r="A3350" s="4" t="s">
        <v>53</v>
      </c>
      <c r="B3350" s="4" t="s">
        <v>26</v>
      </c>
      <c r="C3350" s="5">
        <v>45324</v>
      </c>
      <c r="D3350" s="4">
        <v>15.4</v>
      </c>
      <c r="E3350" s="4">
        <v>5.35</v>
      </c>
    </row>
    <row r="3351" spans="1:5" x14ac:dyDescent="0.25">
      <c r="A3351" s="4" t="s">
        <v>53</v>
      </c>
      <c r="B3351" s="4" t="s">
        <v>26</v>
      </c>
      <c r="C3351" s="5">
        <v>45327</v>
      </c>
      <c r="D3351" s="4">
        <v>13.8</v>
      </c>
      <c r="E3351" s="4">
        <v>4.8099999999999996</v>
      </c>
    </row>
    <row r="3352" spans="1:5" x14ac:dyDescent="0.25">
      <c r="A3352" s="4" t="s">
        <v>53</v>
      </c>
      <c r="B3352" s="4" t="s">
        <v>26</v>
      </c>
      <c r="C3352" s="5">
        <v>45327</v>
      </c>
      <c r="D3352" s="4">
        <v>0.2</v>
      </c>
      <c r="E3352" s="4">
        <v>7.0000000000000007E-2</v>
      </c>
    </row>
    <row r="3353" spans="1:5" x14ac:dyDescent="0.25">
      <c r="A3353" s="4" t="s">
        <v>53</v>
      </c>
      <c r="B3353" s="4" t="s">
        <v>26</v>
      </c>
      <c r="C3353" s="5">
        <v>45327</v>
      </c>
      <c r="D3353" s="4">
        <v>3.1</v>
      </c>
      <c r="E3353" s="4">
        <v>1.07</v>
      </c>
    </row>
    <row r="3354" spans="1:5" x14ac:dyDescent="0.25">
      <c r="A3354" s="4" t="s">
        <v>53</v>
      </c>
      <c r="B3354" s="4" t="s">
        <v>26</v>
      </c>
      <c r="C3354" s="5">
        <v>45327</v>
      </c>
      <c r="D3354" s="4">
        <v>3.1</v>
      </c>
      <c r="E3354" s="4">
        <v>1.07</v>
      </c>
    </row>
    <row r="3355" spans="1:5" x14ac:dyDescent="0.25">
      <c r="A3355" s="4" t="s">
        <v>53</v>
      </c>
      <c r="B3355" s="4" t="s">
        <v>26</v>
      </c>
      <c r="C3355" s="5">
        <v>45327</v>
      </c>
      <c r="D3355" s="4">
        <v>3.1</v>
      </c>
      <c r="E3355" s="4">
        <v>1.07</v>
      </c>
    </row>
    <row r="3356" spans="1:5" x14ac:dyDescent="0.25">
      <c r="A3356" s="4" t="s">
        <v>53</v>
      </c>
      <c r="B3356" s="4" t="s">
        <v>26</v>
      </c>
      <c r="C3356" s="5">
        <v>45327</v>
      </c>
      <c r="D3356" s="4">
        <v>3.1</v>
      </c>
      <c r="E3356" s="4">
        <v>1.07</v>
      </c>
    </row>
    <row r="3357" spans="1:5" x14ac:dyDescent="0.25">
      <c r="A3357" s="4" t="s">
        <v>53</v>
      </c>
      <c r="B3357" s="4" t="s">
        <v>26</v>
      </c>
      <c r="C3357" s="5">
        <v>45327</v>
      </c>
      <c r="D3357" s="4">
        <v>3.1</v>
      </c>
      <c r="E3357" s="4">
        <v>1.07</v>
      </c>
    </row>
    <row r="3358" spans="1:5" x14ac:dyDescent="0.25">
      <c r="A3358" s="4" t="s">
        <v>53</v>
      </c>
      <c r="B3358" s="4" t="s">
        <v>26</v>
      </c>
      <c r="C3358" s="5">
        <v>45327</v>
      </c>
      <c r="D3358" s="4">
        <v>3.1</v>
      </c>
      <c r="E3358" s="4">
        <v>1.07</v>
      </c>
    </row>
    <row r="3359" spans="1:5" x14ac:dyDescent="0.25">
      <c r="A3359" s="4" t="s">
        <v>53</v>
      </c>
      <c r="B3359" s="4" t="s">
        <v>26</v>
      </c>
      <c r="C3359" s="5">
        <v>45327</v>
      </c>
      <c r="D3359" s="4">
        <v>3.1</v>
      </c>
      <c r="E3359" s="4">
        <v>1.07</v>
      </c>
    </row>
    <row r="3360" spans="1:5" x14ac:dyDescent="0.25">
      <c r="A3360" s="4" t="s">
        <v>53</v>
      </c>
      <c r="B3360" s="4" t="s">
        <v>26</v>
      </c>
      <c r="C3360" s="5">
        <v>45327</v>
      </c>
      <c r="D3360" s="4">
        <v>3.1</v>
      </c>
      <c r="E3360" s="4">
        <v>1.07</v>
      </c>
    </row>
    <row r="3361" spans="1:5" x14ac:dyDescent="0.25">
      <c r="A3361" s="4" t="s">
        <v>53</v>
      </c>
      <c r="B3361" s="4" t="s">
        <v>26</v>
      </c>
      <c r="C3361" s="5">
        <v>45327</v>
      </c>
      <c r="D3361" s="4">
        <v>3.1</v>
      </c>
      <c r="E3361" s="4">
        <v>1.07</v>
      </c>
    </row>
    <row r="3362" spans="1:5" x14ac:dyDescent="0.25">
      <c r="A3362" s="4" t="s">
        <v>53</v>
      </c>
      <c r="B3362" s="4" t="s">
        <v>26</v>
      </c>
      <c r="C3362" s="5">
        <v>45327</v>
      </c>
      <c r="D3362" s="4">
        <v>14.2</v>
      </c>
      <c r="E3362" s="4">
        <v>4.91</v>
      </c>
    </row>
    <row r="3363" spans="1:5" x14ac:dyDescent="0.25">
      <c r="A3363" s="4" t="s">
        <v>53</v>
      </c>
      <c r="B3363" s="4" t="s">
        <v>26</v>
      </c>
      <c r="C3363" s="5">
        <v>45327</v>
      </c>
      <c r="D3363" s="4">
        <v>17.3</v>
      </c>
      <c r="E3363" s="4">
        <v>5.98</v>
      </c>
    </row>
    <row r="3364" spans="1:5" x14ac:dyDescent="0.25">
      <c r="A3364" s="4" t="s">
        <v>53</v>
      </c>
      <c r="B3364" s="4" t="s">
        <v>26</v>
      </c>
      <c r="C3364" s="5">
        <v>45327</v>
      </c>
      <c r="D3364" s="4">
        <v>3.1</v>
      </c>
      <c r="E3364" s="4">
        <v>1.07</v>
      </c>
    </row>
    <row r="3365" spans="1:5" x14ac:dyDescent="0.25">
      <c r="A3365" s="4" t="s">
        <v>53</v>
      </c>
      <c r="B3365" s="4" t="s">
        <v>26</v>
      </c>
      <c r="C3365" s="5">
        <v>45327</v>
      </c>
      <c r="D3365" s="4">
        <v>3.1</v>
      </c>
      <c r="E3365" s="4">
        <v>1.07</v>
      </c>
    </row>
    <row r="3366" spans="1:5" x14ac:dyDescent="0.25">
      <c r="A3366" s="4" t="s">
        <v>53</v>
      </c>
      <c r="B3366" s="4" t="s">
        <v>26</v>
      </c>
      <c r="C3366" s="5">
        <v>45327</v>
      </c>
      <c r="D3366" s="4">
        <v>3.1</v>
      </c>
      <c r="E3366" s="4">
        <v>1.07</v>
      </c>
    </row>
    <row r="3367" spans="1:5" x14ac:dyDescent="0.25">
      <c r="A3367" s="4" t="s">
        <v>53</v>
      </c>
      <c r="B3367" s="4" t="s">
        <v>26</v>
      </c>
      <c r="C3367" s="5">
        <v>45327</v>
      </c>
      <c r="D3367" s="4">
        <v>3.1</v>
      </c>
      <c r="E3367" s="4">
        <v>1.07</v>
      </c>
    </row>
    <row r="3368" spans="1:5" x14ac:dyDescent="0.25">
      <c r="A3368" s="4" t="s">
        <v>53</v>
      </c>
      <c r="B3368" s="4" t="s">
        <v>26</v>
      </c>
      <c r="C3368" s="5">
        <v>45327</v>
      </c>
      <c r="D3368" s="4">
        <v>3.1</v>
      </c>
      <c r="E3368" s="4">
        <v>1.07</v>
      </c>
    </row>
    <row r="3369" spans="1:5" x14ac:dyDescent="0.25">
      <c r="A3369" s="4" t="s">
        <v>53</v>
      </c>
      <c r="B3369" s="4" t="s">
        <v>26</v>
      </c>
      <c r="C3369" s="5">
        <v>45327</v>
      </c>
      <c r="D3369" s="4">
        <v>17.3</v>
      </c>
      <c r="E3369" s="4">
        <v>6.02</v>
      </c>
    </row>
    <row r="3370" spans="1:5" x14ac:dyDescent="0.25">
      <c r="A3370" s="4" t="s">
        <v>53</v>
      </c>
      <c r="B3370" s="4" t="s">
        <v>26</v>
      </c>
      <c r="C3370" s="5">
        <v>45328</v>
      </c>
      <c r="D3370" s="4">
        <v>30.5</v>
      </c>
      <c r="E3370" s="4">
        <v>10.62</v>
      </c>
    </row>
    <row r="3371" spans="1:5" x14ac:dyDescent="0.25">
      <c r="A3371" s="4" t="s">
        <v>53</v>
      </c>
      <c r="B3371" s="4" t="s">
        <v>26</v>
      </c>
      <c r="C3371" s="5">
        <v>45328</v>
      </c>
      <c r="D3371" s="4">
        <v>30.6</v>
      </c>
      <c r="E3371" s="4">
        <v>10.67</v>
      </c>
    </row>
    <row r="3372" spans="1:5" x14ac:dyDescent="0.25">
      <c r="A3372" s="4" t="s">
        <v>53</v>
      </c>
      <c r="B3372" s="4" t="s">
        <v>26</v>
      </c>
      <c r="C3372" s="5">
        <v>45329</v>
      </c>
      <c r="D3372" s="4">
        <v>30.5</v>
      </c>
      <c r="E3372" s="4">
        <v>10.62</v>
      </c>
    </row>
    <row r="3373" spans="1:5" x14ac:dyDescent="0.25">
      <c r="A3373" s="4" t="s">
        <v>53</v>
      </c>
      <c r="B3373" s="4" t="s">
        <v>26</v>
      </c>
      <c r="C3373" s="5">
        <v>45329</v>
      </c>
      <c r="D3373" s="4">
        <v>30.6</v>
      </c>
      <c r="E3373" s="4">
        <v>10.67</v>
      </c>
    </row>
    <row r="3374" spans="1:5" x14ac:dyDescent="0.25">
      <c r="A3374" s="4" t="s">
        <v>53</v>
      </c>
      <c r="B3374" s="4" t="s">
        <v>26</v>
      </c>
      <c r="C3374" s="5">
        <v>45330</v>
      </c>
      <c r="D3374" s="4">
        <v>30.5</v>
      </c>
      <c r="E3374" s="4">
        <v>10.62</v>
      </c>
    </row>
    <row r="3375" spans="1:5" x14ac:dyDescent="0.25">
      <c r="A3375" s="4" t="s">
        <v>53</v>
      </c>
      <c r="B3375" s="4" t="s">
        <v>26</v>
      </c>
      <c r="C3375" s="5">
        <v>45330</v>
      </c>
      <c r="D3375" s="4">
        <v>1.2</v>
      </c>
      <c r="E3375" s="4">
        <v>0.41</v>
      </c>
    </row>
    <row r="3376" spans="1:5" x14ac:dyDescent="0.25">
      <c r="A3376" s="4" t="s">
        <v>53</v>
      </c>
      <c r="B3376" s="4" t="s">
        <v>26</v>
      </c>
      <c r="C3376" s="5">
        <v>45330</v>
      </c>
      <c r="D3376" s="4">
        <v>24.6</v>
      </c>
      <c r="E3376" s="4">
        <v>8.57</v>
      </c>
    </row>
    <row r="3377" spans="1:5" x14ac:dyDescent="0.25">
      <c r="A3377" s="4" t="s">
        <v>53</v>
      </c>
      <c r="B3377" s="4" t="s">
        <v>26</v>
      </c>
      <c r="C3377" s="5">
        <v>45330</v>
      </c>
      <c r="D3377" s="4">
        <v>14.4</v>
      </c>
      <c r="E3377" s="4">
        <v>5</v>
      </c>
    </row>
    <row r="3378" spans="1:5" x14ac:dyDescent="0.25">
      <c r="A3378" s="4" t="s">
        <v>53</v>
      </c>
      <c r="B3378" s="4" t="s">
        <v>26</v>
      </c>
      <c r="C3378" s="5">
        <v>45330</v>
      </c>
      <c r="D3378" s="4">
        <v>14.4</v>
      </c>
      <c r="E3378" s="4">
        <v>5</v>
      </c>
    </row>
    <row r="3379" spans="1:5" x14ac:dyDescent="0.25">
      <c r="A3379" s="4" t="s">
        <v>53</v>
      </c>
      <c r="B3379" s="4" t="s">
        <v>26</v>
      </c>
      <c r="C3379" s="5">
        <v>45330</v>
      </c>
      <c r="D3379" s="4">
        <v>14.4</v>
      </c>
      <c r="E3379" s="4">
        <v>5</v>
      </c>
    </row>
    <row r="3380" spans="1:5" x14ac:dyDescent="0.25">
      <c r="A3380" s="4" t="s">
        <v>53</v>
      </c>
      <c r="B3380" s="4" t="s">
        <v>26</v>
      </c>
      <c r="C3380" s="5">
        <v>45330</v>
      </c>
      <c r="D3380" s="4">
        <v>4.0999999999999996</v>
      </c>
      <c r="E3380" s="4">
        <v>1.38</v>
      </c>
    </row>
    <row r="3381" spans="1:5" x14ac:dyDescent="0.25">
      <c r="A3381" s="4" t="s">
        <v>53</v>
      </c>
      <c r="B3381" s="4" t="s">
        <v>26</v>
      </c>
      <c r="C3381" s="5">
        <v>45330</v>
      </c>
      <c r="D3381" s="4">
        <v>13.8</v>
      </c>
      <c r="E3381" s="4">
        <v>4.8099999999999996</v>
      </c>
    </row>
    <row r="3382" spans="1:5" x14ac:dyDescent="0.25">
      <c r="A3382" s="4" t="s">
        <v>53</v>
      </c>
      <c r="B3382" s="4" t="s">
        <v>26</v>
      </c>
      <c r="C3382" s="5">
        <v>45331</v>
      </c>
      <c r="D3382" s="4">
        <v>14.8</v>
      </c>
      <c r="E3382" s="4">
        <v>5.14</v>
      </c>
    </row>
    <row r="3383" spans="1:5" x14ac:dyDescent="0.25">
      <c r="A3383" s="4" t="s">
        <v>53</v>
      </c>
      <c r="B3383" s="4" t="s">
        <v>26</v>
      </c>
      <c r="C3383" s="5">
        <v>45331</v>
      </c>
      <c r="D3383" s="4">
        <v>42.4</v>
      </c>
      <c r="E3383" s="4">
        <v>14.76</v>
      </c>
    </row>
    <row r="3384" spans="1:5" x14ac:dyDescent="0.25">
      <c r="A3384" s="4" t="s">
        <v>53</v>
      </c>
      <c r="B3384" s="4" t="s">
        <v>26</v>
      </c>
      <c r="C3384" s="5">
        <v>45331</v>
      </c>
      <c r="D3384" s="4">
        <v>42.7</v>
      </c>
      <c r="E3384" s="4">
        <v>14.86</v>
      </c>
    </row>
    <row r="3385" spans="1:5" x14ac:dyDescent="0.25">
      <c r="A3385" s="4" t="s">
        <v>53</v>
      </c>
      <c r="B3385" s="4" t="s">
        <v>26</v>
      </c>
      <c r="C3385" s="5">
        <v>45331</v>
      </c>
      <c r="D3385" s="4">
        <v>42.4</v>
      </c>
      <c r="E3385" s="4">
        <v>14.76</v>
      </c>
    </row>
    <row r="3386" spans="1:5" x14ac:dyDescent="0.25">
      <c r="A3386" s="4" t="s">
        <v>53</v>
      </c>
      <c r="B3386" s="4" t="s">
        <v>26</v>
      </c>
      <c r="C3386" s="5">
        <v>45331</v>
      </c>
      <c r="D3386" s="4">
        <v>42.7</v>
      </c>
      <c r="E3386" s="4">
        <v>14.86</v>
      </c>
    </row>
    <row r="3387" spans="1:5" x14ac:dyDescent="0.25">
      <c r="A3387" s="4" t="s">
        <v>53</v>
      </c>
      <c r="B3387" s="4" t="s">
        <v>26</v>
      </c>
      <c r="C3387" s="5">
        <v>45331</v>
      </c>
      <c r="D3387" s="4">
        <v>42.4</v>
      </c>
      <c r="E3387" s="4">
        <v>14.76</v>
      </c>
    </row>
    <row r="3388" spans="1:5" x14ac:dyDescent="0.25">
      <c r="A3388" s="4" t="s">
        <v>53</v>
      </c>
      <c r="B3388" s="4" t="s">
        <v>26</v>
      </c>
      <c r="C3388" s="5">
        <v>45331</v>
      </c>
      <c r="D3388" s="4">
        <v>42.7</v>
      </c>
      <c r="E3388" s="4">
        <v>14.86</v>
      </c>
    </row>
    <row r="3389" spans="1:5" x14ac:dyDescent="0.25">
      <c r="A3389" s="4" t="s">
        <v>53</v>
      </c>
      <c r="B3389" s="4" t="s">
        <v>26</v>
      </c>
      <c r="C3389" s="5">
        <v>45331</v>
      </c>
      <c r="D3389" s="4">
        <v>42.4</v>
      </c>
      <c r="E3389" s="4">
        <v>14.76</v>
      </c>
    </row>
    <row r="3390" spans="1:5" x14ac:dyDescent="0.25">
      <c r="A3390" s="4" t="s">
        <v>53</v>
      </c>
      <c r="B3390" s="4" t="s">
        <v>26</v>
      </c>
      <c r="C3390" s="5">
        <v>45331</v>
      </c>
      <c r="D3390" s="4">
        <v>39.5</v>
      </c>
      <c r="E3390" s="4">
        <v>13.76</v>
      </c>
    </row>
    <row r="3391" spans="1:5" x14ac:dyDescent="0.25">
      <c r="A3391" s="4" t="s">
        <v>53</v>
      </c>
      <c r="B3391" s="4" t="s">
        <v>26</v>
      </c>
      <c r="C3391" s="5">
        <v>45334</v>
      </c>
      <c r="D3391" s="4">
        <v>30.5</v>
      </c>
      <c r="E3391" s="4">
        <v>10.62</v>
      </c>
    </row>
    <row r="3392" spans="1:5" x14ac:dyDescent="0.25">
      <c r="A3392" s="4" t="s">
        <v>53</v>
      </c>
      <c r="B3392" s="4" t="s">
        <v>26</v>
      </c>
      <c r="C3392" s="5">
        <v>45334</v>
      </c>
      <c r="D3392" s="4">
        <v>30.6</v>
      </c>
      <c r="E3392" s="4">
        <v>10.67</v>
      </c>
    </row>
    <row r="3393" spans="1:5" x14ac:dyDescent="0.25">
      <c r="A3393" s="4" t="s">
        <v>53</v>
      </c>
      <c r="B3393" s="4" t="s">
        <v>26</v>
      </c>
      <c r="C3393" s="5">
        <v>45335</v>
      </c>
      <c r="D3393" s="4">
        <v>30.5</v>
      </c>
      <c r="E3393" s="4">
        <v>10.62</v>
      </c>
    </row>
    <row r="3394" spans="1:5" x14ac:dyDescent="0.25">
      <c r="A3394" s="4" t="s">
        <v>53</v>
      </c>
      <c r="B3394" s="4" t="s">
        <v>26</v>
      </c>
      <c r="C3394" s="5">
        <v>45335</v>
      </c>
      <c r="D3394" s="4">
        <v>1</v>
      </c>
      <c r="E3394" s="4">
        <v>0.34</v>
      </c>
    </row>
    <row r="3395" spans="1:5" x14ac:dyDescent="0.25">
      <c r="A3395" s="4" t="s">
        <v>53</v>
      </c>
      <c r="B3395" s="4" t="s">
        <v>26</v>
      </c>
      <c r="C3395" s="5">
        <v>45335</v>
      </c>
      <c r="D3395" s="4">
        <v>30.5</v>
      </c>
      <c r="E3395" s="4">
        <v>10.62</v>
      </c>
    </row>
    <row r="3396" spans="1:5" x14ac:dyDescent="0.25">
      <c r="A3396" s="4" t="s">
        <v>53</v>
      </c>
      <c r="B3396" s="4" t="s">
        <v>26</v>
      </c>
      <c r="C3396" s="5">
        <v>45336</v>
      </c>
      <c r="D3396" s="4">
        <v>14.5</v>
      </c>
      <c r="E3396" s="4">
        <v>5.04</v>
      </c>
    </row>
    <row r="3397" spans="1:5" x14ac:dyDescent="0.25">
      <c r="A3397" s="4" t="s">
        <v>53</v>
      </c>
      <c r="B3397" s="4" t="s">
        <v>26</v>
      </c>
      <c r="C3397" s="5">
        <v>45336</v>
      </c>
      <c r="D3397" s="4">
        <v>42.4</v>
      </c>
      <c r="E3397" s="4">
        <v>14.76</v>
      </c>
    </row>
    <row r="3398" spans="1:5" x14ac:dyDescent="0.25">
      <c r="A3398" s="4" t="s">
        <v>53</v>
      </c>
      <c r="B3398" s="4" t="s">
        <v>26</v>
      </c>
      <c r="C3398" s="5">
        <v>45336</v>
      </c>
      <c r="D3398" s="4">
        <v>43.8</v>
      </c>
      <c r="E3398" s="4">
        <v>15.23</v>
      </c>
    </row>
    <row r="3399" spans="1:5" x14ac:dyDescent="0.25">
      <c r="A3399" s="4" t="s">
        <v>53</v>
      </c>
      <c r="B3399" s="4" t="s">
        <v>26</v>
      </c>
      <c r="C3399" s="5">
        <v>45336</v>
      </c>
      <c r="D3399" s="4">
        <v>42.4</v>
      </c>
      <c r="E3399" s="4">
        <v>14.76</v>
      </c>
    </row>
    <row r="3400" spans="1:5" x14ac:dyDescent="0.25">
      <c r="A3400" s="4" t="s">
        <v>53</v>
      </c>
      <c r="B3400" s="4" t="s">
        <v>26</v>
      </c>
      <c r="C3400" s="5">
        <v>45336</v>
      </c>
      <c r="D3400" s="4">
        <v>43.8</v>
      </c>
      <c r="E3400" s="4">
        <v>15.23</v>
      </c>
    </row>
    <row r="3401" spans="1:5" x14ac:dyDescent="0.25">
      <c r="A3401" s="4" t="s">
        <v>53</v>
      </c>
      <c r="B3401" s="4" t="s">
        <v>26</v>
      </c>
      <c r="C3401" s="5">
        <v>45336</v>
      </c>
      <c r="D3401" s="4">
        <v>42.4</v>
      </c>
      <c r="E3401" s="4">
        <v>14.76</v>
      </c>
    </row>
    <row r="3402" spans="1:5" x14ac:dyDescent="0.25">
      <c r="A3402" s="4" t="s">
        <v>53</v>
      </c>
      <c r="B3402" s="4" t="s">
        <v>26</v>
      </c>
      <c r="C3402" s="5">
        <v>45336</v>
      </c>
      <c r="D3402" s="4">
        <v>43.8</v>
      </c>
      <c r="E3402" s="4">
        <v>15.23</v>
      </c>
    </row>
    <row r="3403" spans="1:5" x14ac:dyDescent="0.25">
      <c r="A3403" s="4" t="s">
        <v>53</v>
      </c>
      <c r="B3403" s="4" t="s">
        <v>26</v>
      </c>
      <c r="C3403" s="5">
        <v>45336</v>
      </c>
      <c r="D3403" s="4">
        <v>42.4</v>
      </c>
      <c r="E3403" s="4">
        <v>14.76</v>
      </c>
    </row>
    <row r="3404" spans="1:5" x14ac:dyDescent="0.25">
      <c r="A3404" s="4" t="s">
        <v>53</v>
      </c>
      <c r="B3404" s="4" t="s">
        <v>26</v>
      </c>
      <c r="C3404" s="5">
        <v>45336</v>
      </c>
      <c r="D3404" s="4">
        <v>39.5</v>
      </c>
      <c r="E3404" s="4">
        <v>13.76</v>
      </c>
    </row>
    <row r="3405" spans="1:5" x14ac:dyDescent="0.25">
      <c r="A3405" s="4" t="s">
        <v>53</v>
      </c>
      <c r="B3405" s="4" t="s">
        <v>26</v>
      </c>
      <c r="C3405" s="5">
        <v>45337</v>
      </c>
      <c r="D3405" s="4">
        <v>15.9</v>
      </c>
      <c r="E3405" s="4">
        <v>5.51</v>
      </c>
    </row>
    <row r="3406" spans="1:5" x14ac:dyDescent="0.25">
      <c r="A3406" s="4" t="s">
        <v>53</v>
      </c>
      <c r="B3406" s="4" t="s">
        <v>26</v>
      </c>
      <c r="C3406" s="5">
        <v>45337</v>
      </c>
      <c r="D3406" s="4">
        <v>42.4</v>
      </c>
      <c r="E3406" s="4">
        <v>14.76</v>
      </c>
    </row>
    <row r="3407" spans="1:5" x14ac:dyDescent="0.25">
      <c r="A3407" s="4" t="s">
        <v>53</v>
      </c>
      <c r="B3407" s="4" t="s">
        <v>26</v>
      </c>
      <c r="C3407" s="5">
        <v>45337</v>
      </c>
      <c r="D3407" s="4">
        <v>43.8</v>
      </c>
      <c r="E3407" s="4">
        <v>15.23</v>
      </c>
    </row>
    <row r="3408" spans="1:5" x14ac:dyDescent="0.25">
      <c r="A3408" s="4" t="s">
        <v>53</v>
      </c>
      <c r="B3408" s="4" t="s">
        <v>26</v>
      </c>
      <c r="C3408" s="5">
        <v>45337</v>
      </c>
      <c r="D3408" s="4">
        <v>42.4</v>
      </c>
      <c r="E3408" s="4">
        <v>14.76</v>
      </c>
    </row>
    <row r="3409" spans="1:5" x14ac:dyDescent="0.25">
      <c r="A3409" s="4" t="s">
        <v>53</v>
      </c>
      <c r="B3409" s="4" t="s">
        <v>26</v>
      </c>
      <c r="C3409" s="5">
        <v>45337</v>
      </c>
      <c r="D3409" s="4">
        <v>43.8</v>
      </c>
      <c r="E3409" s="4">
        <v>15.23</v>
      </c>
    </row>
    <row r="3410" spans="1:5" x14ac:dyDescent="0.25">
      <c r="A3410" s="4" t="s">
        <v>53</v>
      </c>
      <c r="B3410" s="4" t="s">
        <v>26</v>
      </c>
      <c r="C3410" s="5">
        <v>45337</v>
      </c>
      <c r="D3410" s="4">
        <v>12.4</v>
      </c>
      <c r="E3410" s="4">
        <v>4.3099999999999996</v>
      </c>
    </row>
    <row r="3411" spans="1:5" x14ac:dyDescent="0.25">
      <c r="A3411" s="4" t="s">
        <v>53</v>
      </c>
      <c r="B3411" s="4" t="s">
        <v>26</v>
      </c>
      <c r="C3411" s="5">
        <v>45337</v>
      </c>
      <c r="D3411" s="4">
        <v>13</v>
      </c>
      <c r="E3411" s="4">
        <v>4.5</v>
      </c>
    </row>
    <row r="3412" spans="1:5" x14ac:dyDescent="0.25">
      <c r="A3412" s="4" t="s">
        <v>53</v>
      </c>
      <c r="B3412" s="4" t="s">
        <v>26</v>
      </c>
      <c r="C3412" s="5">
        <v>45337</v>
      </c>
      <c r="D3412" s="4">
        <v>12.4</v>
      </c>
      <c r="E3412" s="4">
        <v>4.3099999999999996</v>
      </c>
    </row>
    <row r="3413" spans="1:5" x14ac:dyDescent="0.25">
      <c r="A3413" s="4" t="s">
        <v>53</v>
      </c>
      <c r="B3413" s="4" t="s">
        <v>26</v>
      </c>
      <c r="C3413" s="5">
        <v>45337</v>
      </c>
      <c r="D3413" s="4">
        <v>13</v>
      </c>
      <c r="E3413" s="4">
        <v>4.5</v>
      </c>
    </row>
    <row r="3414" spans="1:5" x14ac:dyDescent="0.25">
      <c r="A3414" s="4" t="s">
        <v>53</v>
      </c>
      <c r="B3414" s="4" t="s">
        <v>26</v>
      </c>
      <c r="C3414" s="5">
        <v>45337</v>
      </c>
      <c r="D3414" s="4">
        <v>12.4</v>
      </c>
      <c r="E3414" s="4">
        <v>4.3099999999999996</v>
      </c>
    </row>
    <row r="3415" spans="1:5" x14ac:dyDescent="0.25">
      <c r="A3415" s="4" t="s">
        <v>53</v>
      </c>
      <c r="B3415" s="4" t="s">
        <v>26</v>
      </c>
      <c r="C3415" s="5">
        <v>45337</v>
      </c>
      <c r="D3415" s="4">
        <v>8.6999999999999993</v>
      </c>
      <c r="E3415" s="4">
        <v>3.03</v>
      </c>
    </row>
    <row r="3416" spans="1:5" x14ac:dyDescent="0.25">
      <c r="A3416" s="4" t="s">
        <v>53</v>
      </c>
      <c r="B3416" s="4" t="s">
        <v>27</v>
      </c>
      <c r="C3416" s="5">
        <v>45307</v>
      </c>
      <c r="D3416" s="4">
        <v>28.9</v>
      </c>
      <c r="E3416" s="4">
        <v>10.02</v>
      </c>
    </row>
    <row r="3417" spans="1:5" x14ac:dyDescent="0.25">
      <c r="A3417" s="4" t="s">
        <v>53</v>
      </c>
      <c r="B3417" s="4" t="s">
        <v>27</v>
      </c>
      <c r="C3417" s="5">
        <v>45307</v>
      </c>
      <c r="D3417" s="4">
        <v>50.1</v>
      </c>
      <c r="E3417" s="4">
        <v>17.45</v>
      </c>
    </row>
    <row r="3418" spans="1:5" x14ac:dyDescent="0.25">
      <c r="A3418" s="4" t="s">
        <v>53</v>
      </c>
      <c r="B3418" s="4" t="s">
        <v>27</v>
      </c>
      <c r="C3418" s="5">
        <v>45307</v>
      </c>
      <c r="D3418" s="4">
        <v>44.3</v>
      </c>
      <c r="E3418" s="4">
        <v>15.37</v>
      </c>
    </row>
    <row r="3419" spans="1:5" x14ac:dyDescent="0.25">
      <c r="A3419" s="4" t="s">
        <v>53</v>
      </c>
      <c r="B3419" s="4" t="s">
        <v>27</v>
      </c>
      <c r="C3419" s="5">
        <v>45307</v>
      </c>
      <c r="D3419" s="4">
        <v>44.3</v>
      </c>
      <c r="E3419" s="4">
        <v>15.37</v>
      </c>
    </row>
    <row r="3420" spans="1:5" x14ac:dyDescent="0.25">
      <c r="A3420" s="4" t="s">
        <v>53</v>
      </c>
      <c r="B3420" s="4" t="s">
        <v>27</v>
      </c>
      <c r="C3420" s="5">
        <v>45307</v>
      </c>
      <c r="D3420" s="4">
        <v>44.3</v>
      </c>
      <c r="E3420" s="4">
        <v>15.37</v>
      </c>
    </row>
    <row r="3421" spans="1:5" x14ac:dyDescent="0.25">
      <c r="A3421" s="4" t="s">
        <v>53</v>
      </c>
      <c r="B3421" s="4" t="s">
        <v>27</v>
      </c>
      <c r="C3421" s="5">
        <v>45307</v>
      </c>
      <c r="D3421" s="4">
        <v>28.9</v>
      </c>
      <c r="E3421" s="4">
        <v>10.02</v>
      </c>
    </row>
    <row r="3422" spans="1:5" x14ac:dyDescent="0.25">
      <c r="A3422" s="4" t="s">
        <v>53</v>
      </c>
      <c r="B3422" s="4" t="s">
        <v>27</v>
      </c>
      <c r="C3422" s="5">
        <v>45309</v>
      </c>
      <c r="D3422" s="4">
        <v>14.5</v>
      </c>
      <c r="E3422" s="4">
        <v>5.04</v>
      </c>
    </row>
    <row r="3423" spans="1:5" x14ac:dyDescent="0.25">
      <c r="A3423" s="4" t="s">
        <v>53</v>
      </c>
      <c r="B3423" s="4" t="s">
        <v>27</v>
      </c>
      <c r="C3423" s="5">
        <v>45309</v>
      </c>
      <c r="D3423" s="4">
        <v>15.9</v>
      </c>
      <c r="E3423" s="4">
        <v>5.51</v>
      </c>
    </row>
    <row r="3424" spans="1:5" x14ac:dyDescent="0.25">
      <c r="A3424" s="4" t="s">
        <v>53</v>
      </c>
      <c r="B3424" s="4" t="s">
        <v>27</v>
      </c>
      <c r="C3424" s="5">
        <v>45309</v>
      </c>
      <c r="D3424" s="4">
        <v>14.5</v>
      </c>
      <c r="E3424" s="4">
        <v>5.04</v>
      </c>
    </row>
    <row r="3425" spans="1:5" x14ac:dyDescent="0.25">
      <c r="A3425" s="4" t="s">
        <v>53</v>
      </c>
      <c r="B3425" s="4" t="s">
        <v>27</v>
      </c>
      <c r="C3425" s="5">
        <v>45309</v>
      </c>
      <c r="D3425" s="4">
        <v>14.8</v>
      </c>
      <c r="E3425" s="4">
        <v>5.14</v>
      </c>
    </row>
    <row r="3426" spans="1:5" x14ac:dyDescent="0.25">
      <c r="A3426" s="4" t="s">
        <v>53</v>
      </c>
      <c r="B3426" s="4" t="s">
        <v>27</v>
      </c>
      <c r="C3426" s="5">
        <v>45309</v>
      </c>
      <c r="D3426" s="4">
        <v>14.5</v>
      </c>
      <c r="E3426" s="4">
        <v>5.04</v>
      </c>
    </row>
    <row r="3427" spans="1:5" x14ac:dyDescent="0.25">
      <c r="A3427" s="4" t="s">
        <v>53</v>
      </c>
      <c r="B3427" s="4" t="s">
        <v>27</v>
      </c>
      <c r="C3427" s="5">
        <v>45309</v>
      </c>
      <c r="D3427" s="4">
        <v>15.9</v>
      </c>
      <c r="E3427" s="4">
        <v>5.51</v>
      </c>
    </row>
    <row r="3428" spans="1:5" x14ac:dyDescent="0.25">
      <c r="A3428" s="4" t="s">
        <v>53</v>
      </c>
      <c r="B3428" s="4" t="s">
        <v>27</v>
      </c>
      <c r="C3428" s="5">
        <v>45309</v>
      </c>
      <c r="D3428" s="4">
        <v>14.5</v>
      </c>
      <c r="E3428" s="4">
        <v>5.04</v>
      </c>
    </row>
    <row r="3429" spans="1:5" x14ac:dyDescent="0.25">
      <c r="A3429" s="4" t="s">
        <v>53</v>
      </c>
      <c r="B3429" s="4" t="s">
        <v>27</v>
      </c>
      <c r="C3429" s="5">
        <v>45309</v>
      </c>
      <c r="D3429" s="4">
        <v>14.8</v>
      </c>
      <c r="E3429" s="4">
        <v>5.14</v>
      </c>
    </row>
    <row r="3430" spans="1:5" x14ac:dyDescent="0.25">
      <c r="A3430" s="4" t="s">
        <v>53</v>
      </c>
      <c r="B3430" s="4" t="s">
        <v>27</v>
      </c>
      <c r="C3430" s="5">
        <v>45309</v>
      </c>
      <c r="D3430" s="4">
        <v>15.4</v>
      </c>
      <c r="E3430" s="4">
        <v>5.35</v>
      </c>
    </row>
    <row r="3431" spans="1:5" x14ac:dyDescent="0.25">
      <c r="A3431" s="4" t="s">
        <v>53</v>
      </c>
      <c r="B3431" s="4" t="s">
        <v>27</v>
      </c>
      <c r="C3431" s="5">
        <v>45309</v>
      </c>
      <c r="D3431" s="4">
        <v>28.8</v>
      </c>
      <c r="E3431" s="4">
        <v>10.039999999999999</v>
      </c>
    </row>
    <row r="3432" spans="1:5" x14ac:dyDescent="0.25">
      <c r="A3432" s="4" t="s">
        <v>53</v>
      </c>
      <c r="B3432" s="4" t="s">
        <v>27</v>
      </c>
      <c r="C3432" s="5">
        <v>45309</v>
      </c>
      <c r="D3432" s="4">
        <v>30.6</v>
      </c>
      <c r="E3432" s="4">
        <v>10.67</v>
      </c>
    </row>
    <row r="3433" spans="1:5" x14ac:dyDescent="0.25">
      <c r="A3433" s="4" t="s">
        <v>53</v>
      </c>
      <c r="B3433" s="4" t="s">
        <v>27</v>
      </c>
      <c r="C3433" s="5">
        <v>45314</v>
      </c>
      <c r="D3433" s="4">
        <v>16.7</v>
      </c>
      <c r="E3433" s="4">
        <v>5.75</v>
      </c>
    </row>
    <row r="3434" spans="1:5" x14ac:dyDescent="0.25">
      <c r="A3434" s="4" t="s">
        <v>53</v>
      </c>
      <c r="B3434" s="4" t="s">
        <v>27</v>
      </c>
      <c r="C3434" s="5">
        <v>45314</v>
      </c>
      <c r="D3434" s="4">
        <v>16.899999999999999</v>
      </c>
      <c r="E3434" s="4">
        <v>5.84</v>
      </c>
    </row>
    <row r="3435" spans="1:5" x14ac:dyDescent="0.25">
      <c r="A3435" s="4" t="s">
        <v>53</v>
      </c>
      <c r="B3435" s="4" t="s">
        <v>27</v>
      </c>
      <c r="C3435" s="5">
        <v>45314</v>
      </c>
      <c r="D3435" s="4">
        <v>16.899999999999999</v>
      </c>
      <c r="E3435" s="4">
        <v>5.84</v>
      </c>
    </row>
    <row r="3436" spans="1:5" x14ac:dyDescent="0.25">
      <c r="A3436" s="4" t="s">
        <v>53</v>
      </c>
      <c r="B3436" s="4" t="s">
        <v>27</v>
      </c>
      <c r="C3436" s="5">
        <v>45314</v>
      </c>
      <c r="D3436" s="4">
        <v>16.899999999999999</v>
      </c>
      <c r="E3436" s="4">
        <v>5.84</v>
      </c>
    </row>
    <row r="3437" spans="1:5" x14ac:dyDescent="0.25">
      <c r="A3437" s="4" t="s">
        <v>53</v>
      </c>
      <c r="B3437" s="4" t="s">
        <v>27</v>
      </c>
      <c r="C3437" s="5">
        <v>45314</v>
      </c>
      <c r="D3437" s="4">
        <v>17.2</v>
      </c>
      <c r="E3437" s="4">
        <v>5.97</v>
      </c>
    </row>
    <row r="3438" spans="1:5" x14ac:dyDescent="0.25">
      <c r="A3438" s="4" t="s">
        <v>53</v>
      </c>
      <c r="B3438" s="4" t="s">
        <v>27</v>
      </c>
      <c r="C3438" s="5">
        <v>45314</v>
      </c>
      <c r="D3438" s="4">
        <v>29.4</v>
      </c>
      <c r="E3438" s="4">
        <v>10.220000000000001</v>
      </c>
    </row>
    <row r="3439" spans="1:5" x14ac:dyDescent="0.25">
      <c r="A3439" s="4" t="s">
        <v>53</v>
      </c>
      <c r="B3439" s="4" t="s">
        <v>27</v>
      </c>
      <c r="C3439" s="5">
        <v>45314</v>
      </c>
      <c r="D3439" s="4">
        <v>46.2</v>
      </c>
      <c r="E3439" s="4">
        <v>16.059999999999999</v>
      </c>
    </row>
    <row r="3440" spans="1:5" x14ac:dyDescent="0.25">
      <c r="A3440" s="4" t="s">
        <v>53</v>
      </c>
      <c r="B3440" s="4" t="s">
        <v>27</v>
      </c>
      <c r="C3440" s="5">
        <v>45314</v>
      </c>
      <c r="D3440" s="4">
        <v>29.4</v>
      </c>
      <c r="E3440" s="4">
        <v>10.220000000000001</v>
      </c>
    </row>
    <row r="3441" spans="1:5" x14ac:dyDescent="0.25">
      <c r="A3441" s="4" t="s">
        <v>53</v>
      </c>
      <c r="B3441" s="4" t="s">
        <v>27</v>
      </c>
      <c r="C3441" s="5">
        <v>45314</v>
      </c>
      <c r="D3441" s="4">
        <v>43</v>
      </c>
      <c r="E3441" s="4">
        <v>14.96</v>
      </c>
    </row>
    <row r="3442" spans="1:5" x14ac:dyDescent="0.25">
      <c r="A3442" s="4" t="s">
        <v>53</v>
      </c>
      <c r="B3442" s="4" t="s">
        <v>27</v>
      </c>
      <c r="C3442" s="5">
        <v>45315</v>
      </c>
      <c r="D3442" s="4">
        <v>15.4</v>
      </c>
      <c r="E3442" s="4">
        <v>5.35</v>
      </c>
    </row>
    <row r="3443" spans="1:5" x14ac:dyDescent="0.25">
      <c r="A3443" s="4" t="s">
        <v>53</v>
      </c>
      <c r="B3443" s="4" t="s">
        <v>27</v>
      </c>
      <c r="C3443" s="5">
        <v>45315</v>
      </c>
      <c r="D3443" s="4">
        <v>28.8</v>
      </c>
      <c r="E3443" s="4">
        <v>10.039999999999999</v>
      </c>
    </row>
    <row r="3444" spans="1:5" x14ac:dyDescent="0.25">
      <c r="A3444" s="4" t="s">
        <v>53</v>
      </c>
      <c r="B3444" s="4" t="s">
        <v>27</v>
      </c>
      <c r="C3444" s="5">
        <v>45315</v>
      </c>
      <c r="D3444" s="4">
        <v>22.8</v>
      </c>
      <c r="E3444" s="4">
        <v>7.9</v>
      </c>
    </row>
    <row r="3445" spans="1:5" x14ac:dyDescent="0.25">
      <c r="A3445" s="4" t="s">
        <v>53</v>
      </c>
      <c r="B3445" s="4" t="s">
        <v>27</v>
      </c>
      <c r="C3445" s="5">
        <v>45315</v>
      </c>
      <c r="D3445" s="4">
        <v>16.600000000000001</v>
      </c>
      <c r="E3445" s="4">
        <v>5.75</v>
      </c>
    </row>
    <row r="3446" spans="1:5" x14ac:dyDescent="0.25">
      <c r="A3446" s="4" t="s">
        <v>53</v>
      </c>
      <c r="B3446" s="4" t="s">
        <v>27</v>
      </c>
      <c r="C3446" s="5">
        <v>45315</v>
      </c>
      <c r="D3446" s="4">
        <v>21.7</v>
      </c>
      <c r="E3446" s="4">
        <v>7.55</v>
      </c>
    </row>
    <row r="3447" spans="1:5" x14ac:dyDescent="0.25">
      <c r="A3447" s="4" t="s">
        <v>53</v>
      </c>
      <c r="B3447" s="4" t="s">
        <v>27</v>
      </c>
      <c r="C3447" s="5">
        <v>45315</v>
      </c>
      <c r="D3447" s="4">
        <v>38.299999999999997</v>
      </c>
      <c r="E3447" s="4">
        <v>13.3</v>
      </c>
    </row>
    <row r="3448" spans="1:5" x14ac:dyDescent="0.25">
      <c r="A3448" s="4" t="s">
        <v>53</v>
      </c>
      <c r="B3448" s="4" t="s">
        <v>27</v>
      </c>
      <c r="C3448" s="5">
        <v>45315</v>
      </c>
      <c r="D3448" s="4">
        <v>27</v>
      </c>
      <c r="E3448" s="4">
        <v>9.4</v>
      </c>
    </row>
    <row r="3449" spans="1:5" x14ac:dyDescent="0.25">
      <c r="A3449" s="4" t="s">
        <v>53</v>
      </c>
      <c r="B3449" s="4" t="s">
        <v>27</v>
      </c>
      <c r="C3449" s="5">
        <v>45315</v>
      </c>
      <c r="D3449" s="4">
        <v>65.599999999999994</v>
      </c>
      <c r="E3449" s="4">
        <v>22.84</v>
      </c>
    </row>
    <row r="3450" spans="1:5" x14ac:dyDescent="0.25">
      <c r="A3450" s="4" t="s">
        <v>53</v>
      </c>
      <c r="B3450" s="4" t="s">
        <v>27</v>
      </c>
      <c r="C3450" s="5">
        <v>45315</v>
      </c>
      <c r="D3450" s="4">
        <v>34.200000000000003</v>
      </c>
      <c r="E3450" s="4">
        <v>11.91</v>
      </c>
    </row>
    <row r="3451" spans="1:5" x14ac:dyDescent="0.25">
      <c r="A3451" s="4" t="s">
        <v>53</v>
      </c>
      <c r="B3451" s="4" t="s">
        <v>27</v>
      </c>
      <c r="C3451" s="5">
        <v>45315</v>
      </c>
      <c r="D3451" s="4">
        <v>2.8</v>
      </c>
      <c r="E3451" s="4">
        <v>0.96</v>
      </c>
    </row>
    <row r="3452" spans="1:5" x14ac:dyDescent="0.25">
      <c r="A3452" s="4" t="s">
        <v>53</v>
      </c>
      <c r="B3452" s="4" t="s">
        <v>27</v>
      </c>
      <c r="C3452" s="5">
        <v>45315</v>
      </c>
      <c r="D3452" s="4">
        <v>28.8</v>
      </c>
      <c r="E3452" s="4">
        <v>9.98</v>
      </c>
    </row>
    <row r="3453" spans="1:5" x14ac:dyDescent="0.25">
      <c r="A3453" s="4" t="s">
        <v>53</v>
      </c>
      <c r="B3453" s="4" t="s">
        <v>27</v>
      </c>
      <c r="C3453" s="5">
        <v>45320</v>
      </c>
      <c r="D3453" s="4">
        <v>41.3</v>
      </c>
      <c r="E3453" s="4">
        <v>14.36</v>
      </c>
    </row>
    <row r="3454" spans="1:5" x14ac:dyDescent="0.25">
      <c r="A3454" s="4" t="s">
        <v>53</v>
      </c>
      <c r="B3454" s="4" t="s">
        <v>27</v>
      </c>
      <c r="C3454" s="5">
        <v>45320</v>
      </c>
      <c r="D3454" s="4">
        <v>17.3</v>
      </c>
      <c r="E3454" s="4">
        <v>6.03</v>
      </c>
    </row>
    <row r="3455" spans="1:5" x14ac:dyDescent="0.25">
      <c r="A3455" s="4" t="s">
        <v>53</v>
      </c>
      <c r="B3455" s="4" t="s">
        <v>27</v>
      </c>
      <c r="C3455" s="5">
        <v>45320</v>
      </c>
      <c r="D3455" s="4">
        <v>19.100000000000001</v>
      </c>
      <c r="E3455" s="4">
        <v>6.65</v>
      </c>
    </row>
    <row r="3456" spans="1:5" x14ac:dyDescent="0.25">
      <c r="A3456" s="4" t="s">
        <v>53</v>
      </c>
      <c r="B3456" s="4" t="s">
        <v>27</v>
      </c>
      <c r="C3456" s="5">
        <v>45320</v>
      </c>
      <c r="D3456" s="4">
        <v>67.5</v>
      </c>
      <c r="E3456" s="4">
        <v>23.48</v>
      </c>
    </row>
    <row r="3457" spans="1:5" x14ac:dyDescent="0.25">
      <c r="A3457" s="4" t="s">
        <v>53</v>
      </c>
      <c r="B3457" s="4" t="s">
        <v>27</v>
      </c>
      <c r="C3457" s="5">
        <v>45320</v>
      </c>
      <c r="D3457" s="4">
        <v>78.7</v>
      </c>
      <c r="E3457" s="4">
        <v>27.38</v>
      </c>
    </row>
    <row r="3458" spans="1:5" x14ac:dyDescent="0.25">
      <c r="A3458" s="4" t="s">
        <v>53</v>
      </c>
      <c r="B3458" s="4" t="s">
        <v>27</v>
      </c>
      <c r="C3458" s="5">
        <v>45320</v>
      </c>
      <c r="D3458" s="4">
        <v>17.3</v>
      </c>
      <c r="E3458" s="4">
        <v>6.03</v>
      </c>
    </row>
    <row r="3459" spans="1:5" x14ac:dyDescent="0.25">
      <c r="A3459" s="4" t="s">
        <v>53</v>
      </c>
      <c r="B3459" s="4" t="s">
        <v>27</v>
      </c>
      <c r="C3459" s="5">
        <v>45320</v>
      </c>
      <c r="D3459" s="4">
        <v>17.3</v>
      </c>
      <c r="E3459" s="4">
        <v>6.03</v>
      </c>
    </row>
    <row r="3460" spans="1:5" x14ac:dyDescent="0.25">
      <c r="A3460" s="4" t="s">
        <v>53</v>
      </c>
      <c r="B3460" s="4" t="s">
        <v>27</v>
      </c>
      <c r="C3460" s="5">
        <v>45320</v>
      </c>
      <c r="D3460" s="4">
        <v>67.5</v>
      </c>
      <c r="E3460" s="4">
        <v>23.48</v>
      </c>
    </row>
    <row r="3461" spans="1:5" x14ac:dyDescent="0.25">
      <c r="A3461" s="4" t="s">
        <v>53</v>
      </c>
      <c r="B3461" s="4" t="s">
        <v>27</v>
      </c>
      <c r="C3461" s="5">
        <v>45320</v>
      </c>
      <c r="D3461" s="4">
        <v>1.7</v>
      </c>
      <c r="E3461" s="4">
        <v>0.57999999999999996</v>
      </c>
    </row>
    <row r="3462" spans="1:5" x14ac:dyDescent="0.25">
      <c r="A3462" s="4" t="s">
        <v>53</v>
      </c>
      <c r="B3462" s="4" t="s">
        <v>27</v>
      </c>
      <c r="C3462" s="5">
        <v>45320</v>
      </c>
      <c r="D3462" s="4">
        <v>20.3</v>
      </c>
      <c r="E3462" s="4">
        <v>7.02</v>
      </c>
    </row>
    <row r="3463" spans="1:5" x14ac:dyDescent="0.25">
      <c r="A3463" s="4" t="s">
        <v>53</v>
      </c>
      <c r="B3463" s="4" t="s">
        <v>27</v>
      </c>
      <c r="C3463" s="5">
        <v>45320</v>
      </c>
      <c r="D3463" s="4">
        <v>23.4</v>
      </c>
      <c r="E3463" s="4">
        <v>8.1199999999999992</v>
      </c>
    </row>
    <row r="3464" spans="1:5" x14ac:dyDescent="0.25">
      <c r="A3464" s="4" t="s">
        <v>53</v>
      </c>
      <c r="B3464" s="4" t="s">
        <v>27</v>
      </c>
      <c r="C3464" s="5">
        <v>45320</v>
      </c>
      <c r="D3464" s="4">
        <v>20.3</v>
      </c>
      <c r="E3464" s="4">
        <v>7.02</v>
      </c>
    </row>
    <row r="3465" spans="1:5" x14ac:dyDescent="0.25">
      <c r="A3465" s="4" t="s">
        <v>53</v>
      </c>
      <c r="B3465" s="4" t="s">
        <v>27</v>
      </c>
      <c r="C3465" s="5">
        <v>45320</v>
      </c>
      <c r="D3465" s="4">
        <v>4.9000000000000004</v>
      </c>
      <c r="E3465" s="4">
        <v>1.7</v>
      </c>
    </row>
    <row r="3466" spans="1:5" x14ac:dyDescent="0.25">
      <c r="A3466" s="4" t="s">
        <v>53</v>
      </c>
      <c r="B3466" s="4" t="s">
        <v>27</v>
      </c>
      <c r="C3466" s="5">
        <v>45320</v>
      </c>
      <c r="D3466" s="4">
        <v>8.6999999999999993</v>
      </c>
      <c r="E3466" s="4">
        <v>3.03</v>
      </c>
    </row>
    <row r="3467" spans="1:5" x14ac:dyDescent="0.25">
      <c r="A3467" s="4" t="s">
        <v>53</v>
      </c>
      <c r="B3467" s="4" t="s">
        <v>27</v>
      </c>
      <c r="C3467" s="5">
        <v>45321</v>
      </c>
      <c r="D3467" s="4">
        <v>18.7</v>
      </c>
      <c r="E3467" s="4">
        <v>6.52</v>
      </c>
    </row>
    <row r="3468" spans="1:5" x14ac:dyDescent="0.25">
      <c r="A3468" s="4" t="s">
        <v>53</v>
      </c>
      <c r="B3468" s="4" t="s">
        <v>27</v>
      </c>
      <c r="C3468" s="5">
        <v>45321</v>
      </c>
      <c r="D3468" s="4">
        <v>1.4</v>
      </c>
      <c r="E3468" s="4">
        <v>0.48</v>
      </c>
    </row>
    <row r="3469" spans="1:5" x14ac:dyDescent="0.25">
      <c r="A3469" s="4" t="s">
        <v>53</v>
      </c>
      <c r="B3469" s="4" t="s">
        <v>27</v>
      </c>
      <c r="C3469" s="5">
        <v>45321</v>
      </c>
      <c r="D3469" s="4">
        <v>9.9</v>
      </c>
      <c r="E3469" s="4">
        <v>3.38</v>
      </c>
    </row>
    <row r="3470" spans="1:5" x14ac:dyDescent="0.25">
      <c r="A3470" s="4" t="s">
        <v>53</v>
      </c>
      <c r="B3470" s="4" t="s">
        <v>27</v>
      </c>
      <c r="C3470" s="5">
        <v>45321</v>
      </c>
      <c r="D3470" s="4">
        <v>1.4</v>
      </c>
      <c r="E3470" s="4">
        <v>0.48</v>
      </c>
    </row>
    <row r="3471" spans="1:5" x14ac:dyDescent="0.25">
      <c r="A3471" s="4" t="s">
        <v>53</v>
      </c>
      <c r="B3471" s="4" t="s">
        <v>27</v>
      </c>
      <c r="C3471" s="5">
        <v>45321</v>
      </c>
      <c r="D3471" s="4">
        <v>17.3</v>
      </c>
      <c r="E3471" s="4">
        <v>6.02</v>
      </c>
    </row>
    <row r="3472" spans="1:5" x14ac:dyDescent="0.25">
      <c r="A3472" s="4" t="s">
        <v>53</v>
      </c>
      <c r="B3472" s="4" t="s">
        <v>27</v>
      </c>
      <c r="C3472" s="5">
        <v>45321</v>
      </c>
      <c r="D3472" s="4">
        <v>13.7</v>
      </c>
      <c r="E3472" s="4">
        <v>4.76</v>
      </c>
    </row>
    <row r="3473" spans="1:5" x14ac:dyDescent="0.25">
      <c r="A3473" s="4" t="s">
        <v>53</v>
      </c>
      <c r="B3473" s="4" t="s">
        <v>27</v>
      </c>
      <c r="C3473" s="5">
        <v>45321</v>
      </c>
      <c r="D3473" s="4">
        <v>13</v>
      </c>
      <c r="E3473" s="4">
        <v>4.5</v>
      </c>
    </row>
    <row r="3474" spans="1:5" x14ac:dyDescent="0.25">
      <c r="A3474" s="4" t="s">
        <v>53</v>
      </c>
      <c r="B3474" s="4" t="s">
        <v>27</v>
      </c>
      <c r="C3474" s="5">
        <v>45321</v>
      </c>
      <c r="D3474" s="4">
        <v>13</v>
      </c>
      <c r="E3474" s="4">
        <v>4.5</v>
      </c>
    </row>
    <row r="3475" spans="1:5" x14ac:dyDescent="0.25">
      <c r="A3475" s="4" t="s">
        <v>53</v>
      </c>
      <c r="B3475" s="4" t="s">
        <v>27</v>
      </c>
      <c r="C3475" s="5">
        <v>45321</v>
      </c>
      <c r="D3475" s="4">
        <v>29.9</v>
      </c>
      <c r="E3475" s="4">
        <v>10.36</v>
      </c>
    </row>
    <row r="3476" spans="1:5" x14ac:dyDescent="0.25">
      <c r="A3476" s="4" t="s">
        <v>53</v>
      </c>
      <c r="B3476" s="4" t="s">
        <v>27</v>
      </c>
      <c r="C3476" s="5">
        <v>45322</v>
      </c>
      <c r="D3476" s="4">
        <v>30.5</v>
      </c>
      <c r="E3476" s="4">
        <v>10.62</v>
      </c>
    </row>
    <row r="3477" spans="1:5" x14ac:dyDescent="0.25">
      <c r="A3477" s="4" t="s">
        <v>53</v>
      </c>
      <c r="B3477" s="4" t="s">
        <v>27</v>
      </c>
      <c r="C3477" s="5">
        <v>45322</v>
      </c>
      <c r="D3477" s="4">
        <v>1.2</v>
      </c>
      <c r="E3477" s="4">
        <v>0.41</v>
      </c>
    </row>
    <row r="3478" spans="1:5" x14ac:dyDescent="0.25">
      <c r="A3478" s="4" t="s">
        <v>53</v>
      </c>
      <c r="B3478" s="4" t="s">
        <v>27</v>
      </c>
      <c r="C3478" s="5">
        <v>45322</v>
      </c>
      <c r="D3478" s="4">
        <v>1.2</v>
      </c>
      <c r="E3478" s="4">
        <v>0.41</v>
      </c>
    </row>
    <row r="3479" spans="1:5" x14ac:dyDescent="0.25">
      <c r="A3479" s="4" t="s">
        <v>53</v>
      </c>
      <c r="B3479" s="4" t="s">
        <v>27</v>
      </c>
      <c r="C3479" s="5">
        <v>45322</v>
      </c>
      <c r="D3479" s="4">
        <v>1.2</v>
      </c>
      <c r="E3479" s="4">
        <v>0.41</v>
      </c>
    </row>
    <row r="3480" spans="1:5" x14ac:dyDescent="0.25">
      <c r="A3480" s="4" t="s">
        <v>53</v>
      </c>
      <c r="B3480" s="4" t="s">
        <v>27</v>
      </c>
      <c r="C3480" s="5">
        <v>45322</v>
      </c>
      <c r="D3480" s="4">
        <v>1.2</v>
      </c>
      <c r="E3480" s="4">
        <v>0.41</v>
      </c>
    </row>
    <row r="3481" spans="1:5" x14ac:dyDescent="0.25">
      <c r="A3481" s="4" t="s">
        <v>53</v>
      </c>
      <c r="B3481" s="4" t="s">
        <v>27</v>
      </c>
      <c r="C3481" s="5">
        <v>45322</v>
      </c>
      <c r="D3481" s="4">
        <v>1.2</v>
      </c>
      <c r="E3481" s="4">
        <v>0.41</v>
      </c>
    </row>
    <row r="3482" spans="1:5" x14ac:dyDescent="0.25">
      <c r="A3482" s="4" t="s">
        <v>53</v>
      </c>
      <c r="B3482" s="4" t="s">
        <v>27</v>
      </c>
      <c r="C3482" s="5">
        <v>45322</v>
      </c>
      <c r="D3482" s="4">
        <v>1.2</v>
      </c>
      <c r="E3482" s="4">
        <v>0.41</v>
      </c>
    </row>
    <row r="3483" spans="1:5" x14ac:dyDescent="0.25">
      <c r="A3483" s="4" t="s">
        <v>53</v>
      </c>
      <c r="B3483" s="4" t="s">
        <v>27</v>
      </c>
      <c r="C3483" s="5">
        <v>45322</v>
      </c>
      <c r="D3483" s="4">
        <v>1.2</v>
      </c>
      <c r="E3483" s="4">
        <v>0.41</v>
      </c>
    </row>
    <row r="3484" spans="1:5" x14ac:dyDescent="0.25">
      <c r="A3484" s="4" t="s">
        <v>53</v>
      </c>
      <c r="B3484" s="4" t="s">
        <v>27</v>
      </c>
      <c r="C3484" s="5">
        <v>45322</v>
      </c>
      <c r="D3484" s="4">
        <v>1.2</v>
      </c>
      <c r="E3484" s="4">
        <v>0.41</v>
      </c>
    </row>
    <row r="3485" spans="1:5" x14ac:dyDescent="0.25">
      <c r="A3485" s="4" t="s">
        <v>53</v>
      </c>
      <c r="B3485" s="4" t="s">
        <v>27</v>
      </c>
      <c r="C3485" s="5">
        <v>45322</v>
      </c>
      <c r="D3485" s="4">
        <v>1.2</v>
      </c>
      <c r="E3485" s="4">
        <v>0.41</v>
      </c>
    </row>
    <row r="3486" spans="1:5" x14ac:dyDescent="0.25">
      <c r="A3486" s="4" t="s">
        <v>53</v>
      </c>
      <c r="B3486" s="4" t="s">
        <v>27</v>
      </c>
      <c r="C3486" s="5">
        <v>45322</v>
      </c>
      <c r="D3486" s="4">
        <v>30.6</v>
      </c>
      <c r="E3486" s="4">
        <v>10.67</v>
      </c>
    </row>
    <row r="3487" spans="1:5" x14ac:dyDescent="0.25">
      <c r="A3487" s="4" t="s">
        <v>53</v>
      </c>
      <c r="B3487" s="4" t="s">
        <v>27</v>
      </c>
      <c r="C3487" s="5">
        <v>45323</v>
      </c>
      <c r="D3487" s="4">
        <v>41.3</v>
      </c>
      <c r="E3487" s="4">
        <v>14.36</v>
      </c>
    </row>
    <row r="3488" spans="1:5" x14ac:dyDescent="0.25">
      <c r="A3488" s="4" t="s">
        <v>53</v>
      </c>
      <c r="B3488" s="4" t="s">
        <v>27</v>
      </c>
      <c r="C3488" s="5">
        <v>45323</v>
      </c>
      <c r="D3488" s="4">
        <v>17.3</v>
      </c>
      <c r="E3488" s="4">
        <v>6.03</v>
      </c>
    </row>
    <row r="3489" spans="1:5" x14ac:dyDescent="0.25">
      <c r="A3489" s="4" t="s">
        <v>53</v>
      </c>
      <c r="B3489" s="4" t="s">
        <v>27</v>
      </c>
      <c r="C3489" s="5">
        <v>45323</v>
      </c>
      <c r="D3489" s="4">
        <v>17.3</v>
      </c>
      <c r="E3489" s="4">
        <v>6.03</v>
      </c>
    </row>
    <row r="3490" spans="1:5" x14ac:dyDescent="0.25">
      <c r="A3490" s="4" t="s">
        <v>53</v>
      </c>
      <c r="B3490" s="4" t="s">
        <v>27</v>
      </c>
      <c r="C3490" s="5">
        <v>45323</v>
      </c>
      <c r="D3490" s="4">
        <v>67.5</v>
      </c>
      <c r="E3490" s="4">
        <v>23.48</v>
      </c>
    </row>
    <row r="3491" spans="1:5" x14ac:dyDescent="0.25">
      <c r="A3491" s="4" t="s">
        <v>53</v>
      </c>
      <c r="B3491" s="4" t="s">
        <v>27</v>
      </c>
      <c r="C3491" s="5">
        <v>45323</v>
      </c>
      <c r="D3491" s="4">
        <v>29.9</v>
      </c>
      <c r="E3491" s="4">
        <v>10.36</v>
      </c>
    </row>
    <row r="3492" spans="1:5" x14ac:dyDescent="0.25">
      <c r="A3492" s="4" t="s">
        <v>53</v>
      </c>
      <c r="B3492" s="4" t="s">
        <v>27</v>
      </c>
      <c r="C3492" s="5">
        <v>45323</v>
      </c>
      <c r="D3492" s="4">
        <v>41.3</v>
      </c>
      <c r="E3492" s="4">
        <v>14.36</v>
      </c>
    </row>
    <row r="3493" spans="1:5" x14ac:dyDescent="0.25">
      <c r="A3493" s="4" t="s">
        <v>53</v>
      </c>
      <c r="B3493" s="4" t="s">
        <v>27</v>
      </c>
      <c r="C3493" s="5">
        <v>45323</v>
      </c>
      <c r="D3493" s="4">
        <v>17.3</v>
      </c>
      <c r="E3493" s="4">
        <v>6.03</v>
      </c>
    </row>
    <row r="3494" spans="1:5" x14ac:dyDescent="0.25">
      <c r="A3494" s="4" t="s">
        <v>53</v>
      </c>
      <c r="B3494" s="4" t="s">
        <v>27</v>
      </c>
      <c r="C3494" s="5">
        <v>45323</v>
      </c>
      <c r="D3494" s="4">
        <v>17.3</v>
      </c>
      <c r="E3494" s="4">
        <v>6.03</v>
      </c>
    </row>
    <row r="3495" spans="1:5" x14ac:dyDescent="0.25">
      <c r="A3495" s="4" t="s">
        <v>53</v>
      </c>
      <c r="B3495" s="4" t="s">
        <v>27</v>
      </c>
      <c r="C3495" s="5">
        <v>45323</v>
      </c>
      <c r="D3495" s="4">
        <v>67.5</v>
      </c>
      <c r="E3495" s="4">
        <v>23.48</v>
      </c>
    </row>
    <row r="3496" spans="1:5" x14ac:dyDescent="0.25">
      <c r="A3496" s="4" t="s">
        <v>53</v>
      </c>
      <c r="B3496" s="4" t="s">
        <v>27</v>
      </c>
      <c r="C3496" s="5">
        <v>45323</v>
      </c>
      <c r="D3496" s="4">
        <v>37.4</v>
      </c>
      <c r="E3496" s="4">
        <v>13.02</v>
      </c>
    </row>
    <row r="3497" spans="1:5" x14ac:dyDescent="0.25">
      <c r="A3497" s="4" t="s">
        <v>53</v>
      </c>
      <c r="B3497" s="4" t="s">
        <v>27</v>
      </c>
      <c r="C3497" s="5">
        <v>45324</v>
      </c>
      <c r="D3497" s="4">
        <v>15.4</v>
      </c>
      <c r="E3497" s="4">
        <v>5.35</v>
      </c>
    </row>
    <row r="3498" spans="1:5" x14ac:dyDescent="0.25">
      <c r="A3498" s="4" t="s">
        <v>53</v>
      </c>
      <c r="B3498" s="4" t="s">
        <v>27</v>
      </c>
      <c r="C3498" s="5">
        <v>45324</v>
      </c>
      <c r="D3498" s="4">
        <v>46</v>
      </c>
      <c r="E3498" s="4">
        <v>16</v>
      </c>
    </row>
    <row r="3499" spans="1:5" x14ac:dyDescent="0.25">
      <c r="A3499" s="4" t="s">
        <v>53</v>
      </c>
      <c r="B3499" s="4" t="s">
        <v>27</v>
      </c>
      <c r="C3499" s="5">
        <v>45324</v>
      </c>
      <c r="D3499" s="4">
        <v>46</v>
      </c>
      <c r="E3499" s="4">
        <v>16</v>
      </c>
    </row>
    <row r="3500" spans="1:5" x14ac:dyDescent="0.25">
      <c r="A3500" s="4" t="s">
        <v>53</v>
      </c>
      <c r="B3500" s="4" t="s">
        <v>27</v>
      </c>
      <c r="C3500" s="5">
        <v>45324</v>
      </c>
      <c r="D3500" s="4">
        <v>28.8</v>
      </c>
      <c r="E3500" s="4">
        <v>10.039999999999999</v>
      </c>
    </row>
    <row r="3501" spans="1:5" x14ac:dyDescent="0.25">
      <c r="A3501" s="4" t="s">
        <v>53</v>
      </c>
      <c r="B3501" s="4" t="s">
        <v>27</v>
      </c>
      <c r="C3501" s="5">
        <v>45324</v>
      </c>
      <c r="D3501" s="4">
        <v>2.4</v>
      </c>
      <c r="E3501" s="4">
        <v>0.84</v>
      </c>
    </row>
    <row r="3502" spans="1:5" x14ac:dyDescent="0.25">
      <c r="A3502" s="4" t="s">
        <v>53</v>
      </c>
      <c r="B3502" s="4" t="s">
        <v>27</v>
      </c>
      <c r="C3502" s="5">
        <v>45324</v>
      </c>
      <c r="D3502" s="4">
        <v>2.9</v>
      </c>
      <c r="E3502" s="4">
        <v>1.01</v>
      </c>
    </row>
    <row r="3503" spans="1:5" x14ac:dyDescent="0.25">
      <c r="A3503" s="4" t="s">
        <v>53</v>
      </c>
      <c r="B3503" s="4" t="s">
        <v>27</v>
      </c>
      <c r="C3503" s="5">
        <v>45324</v>
      </c>
      <c r="D3503" s="4">
        <v>46</v>
      </c>
      <c r="E3503" s="4">
        <v>16</v>
      </c>
    </row>
    <row r="3504" spans="1:5" x14ac:dyDescent="0.25">
      <c r="A3504" s="4" t="s">
        <v>53</v>
      </c>
      <c r="B3504" s="4" t="s">
        <v>27</v>
      </c>
      <c r="C3504" s="5">
        <v>45324</v>
      </c>
      <c r="D3504" s="4">
        <v>28.8</v>
      </c>
      <c r="E3504" s="4">
        <v>10.039999999999999</v>
      </c>
    </row>
    <row r="3505" spans="1:5" x14ac:dyDescent="0.25">
      <c r="A3505" s="4" t="s">
        <v>53</v>
      </c>
      <c r="B3505" s="4" t="s">
        <v>27</v>
      </c>
      <c r="C3505" s="5">
        <v>45324</v>
      </c>
      <c r="D3505" s="4">
        <v>2.4</v>
      </c>
      <c r="E3505" s="4">
        <v>0.84</v>
      </c>
    </row>
    <row r="3506" spans="1:5" x14ac:dyDescent="0.25">
      <c r="A3506" s="4" t="s">
        <v>53</v>
      </c>
      <c r="B3506" s="4" t="s">
        <v>27</v>
      </c>
      <c r="C3506" s="5">
        <v>45324</v>
      </c>
      <c r="D3506" s="4">
        <v>2.9</v>
      </c>
      <c r="E3506" s="4">
        <v>1.01</v>
      </c>
    </row>
    <row r="3507" spans="1:5" x14ac:dyDescent="0.25">
      <c r="A3507" s="4" t="s">
        <v>53</v>
      </c>
      <c r="B3507" s="4" t="s">
        <v>27</v>
      </c>
      <c r="C3507" s="5">
        <v>45324</v>
      </c>
      <c r="D3507" s="4">
        <v>28.9</v>
      </c>
      <c r="E3507" s="4">
        <v>10.02</v>
      </c>
    </row>
    <row r="3508" spans="1:5" x14ac:dyDescent="0.25">
      <c r="A3508" s="4" t="s">
        <v>53</v>
      </c>
      <c r="B3508" s="4" t="s">
        <v>27</v>
      </c>
      <c r="C3508" s="5">
        <v>45330</v>
      </c>
      <c r="D3508" s="4">
        <v>15.4</v>
      </c>
      <c r="E3508" s="4">
        <v>5.35</v>
      </c>
    </row>
    <row r="3509" spans="1:5" x14ac:dyDescent="0.25">
      <c r="A3509" s="4" t="s">
        <v>53</v>
      </c>
      <c r="B3509" s="4" t="s">
        <v>27</v>
      </c>
      <c r="C3509" s="5">
        <v>45330</v>
      </c>
      <c r="D3509" s="4">
        <v>30.2</v>
      </c>
      <c r="E3509" s="4">
        <v>10.49</v>
      </c>
    </row>
    <row r="3510" spans="1:5" x14ac:dyDescent="0.25">
      <c r="A3510" s="4" t="s">
        <v>53</v>
      </c>
      <c r="B3510" s="4" t="s">
        <v>27</v>
      </c>
      <c r="C3510" s="5">
        <v>45330</v>
      </c>
      <c r="D3510" s="4">
        <v>30.2</v>
      </c>
      <c r="E3510" s="4">
        <v>10.49</v>
      </c>
    </row>
    <row r="3511" spans="1:5" x14ac:dyDescent="0.25">
      <c r="A3511" s="4" t="s">
        <v>53</v>
      </c>
      <c r="B3511" s="4" t="s">
        <v>27</v>
      </c>
      <c r="C3511" s="5">
        <v>45330</v>
      </c>
      <c r="D3511" s="4">
        <v>15.4</v>
      </c>
      <c r="E3511" s="4">
        <v>5.35</v>
      </c>
    </row>
    <row r="3512" spans="1:5" x14ac:dyDescent="0.25">
      <c r="A3512" s="4" t="s">
        <v>53</v>
      </c>
      <c r="B3512" s="4" t="s">
        <v>27</v>
      </c>
      <c r="C3512" s="5">
        <v>45330</v>
      </c>
      <c r="D3512" s="4">
        <v>0.9</v>
      </c>
      <c r="E3512" s="4">
        <v>0.31</v>
      </c>
    </row>
    <row r="3513" spans="1:5" x14ac:dyDescent="0.25">
      <c r="A3513" s="4" t="s">
        <v>53</v>
      </c>
      <c r="B3513" s="4" t="s">
        <v>27</v>
      </c>
      <c r="C3513" s="5">
        <v>45330</v>
      </c>
      <c r="D3513" s="4">
        <v>0.9</v>
      </c>
      <c r="E3513" s="4">
        <v>0.31</v>
      </c>
    </row>
    <row r="3514" spans="1:5" x14ac:dyDescent="0.25">
      <c r="A3514" s="4" t="s">
        <v>53</v>
      </c>
      <c r="B3514" s="4" t="s">
        <v>27</v>
      </c>
      <c r="C3514" s="5">
        <v>45330</v>
      </c>
      <c r="D3514" s="4">
        <v>15.4</v>
      </c>
      <c r="E3514" s="4">
        <v>5.35</v>
      </c>
    </row>
    <row r="3515" spans="1:5" x14ac:dyDescent="0.25">
      <c r="A3515" s="4" t="s">
        <v>53</v>
      </c>
      <c r="B3515" s="4" t="s">
        <v>27</v>
      </c>
      <c r="C3515" s="5">
        <v>45330</v>
      </c>
      <c r="D3515" s="4">
        <v>15.4</v>
      </c>
      <c r="E3515" s="4">
        <v>5.35</v>
      </c>
    </row>
    <row r="3516" spans="1:5" x14ac:dyDescent="0.25">
      <c r="A3516" s="4" t="s">
        <v>53</v>
      </c>
      <c r="B3516" s="4" t="s">
        <v>27</v>
      </c>
      <c r="C3516" s="5">
        <v>45330</v>
      </c>
      <c r="D3516" s="4">
        <v>1.2</v>
      </c>
      <c r="E3516" s="4">
        <v>0.41</v>
      </c>
    </row>
    <row r="3517" spans="1:5" x14ac:dyDescent="0.25">
      <c r="A3517" s="4" t="s">
        <v>53</v>
      </c>
      <c r="B3517" s="4" t="s">
        <v>27</v>
      </c>
      <c r="C3517" s="5">
        <v>45330</v>
      </c>
      <c r="D3517" s="4">
        <v>1.2</v>
      </c>
      <c r="E3517" s="4">
        <v>0.41</v>
      </c>
    </row>
    <row r="3518" spans="1:5" x14ac:dyDescent="0.25">
      <c r="A3518" s="4" t="s">
        <v>53</v>
      </c>
      <c r="B3518" s="4" t="s">
        <v>27</v>
      </c>
      <c r="C3518" s="5">
        <v>45330</v>
      </c>
      <c r="D3518" s="4">
        <v>15.4</v>
      </c>
      <c r="E3518" s="4">
        <v>5.35</v>
      </c>
    </row>
    <row r="3519" spans="1:5" x14ac:dyDescent="0.25">
      <c r="A3519" s="4" t="s">
        <v>53</v>
      </c>
      <c r="B3519" s="4" t="s">
        <v>27</v>
      </c>
      <c r="C3519" s="5">
        <v>45330</v>
      </c>
      <c r="D3519" s="4">
        <v>17.3</v>
      </c>
      <c r="E3519" s="4">
        <v>6.02</v>
      </c>
    </row>
    <row r="3520" spans="1:5" x14ac:dyDescent="0.25">
      <c r="A3520" s="4" t="s">
        <v>53</v>
      </c>
      <c r="B3520" s="4" t="s">
        <v>27</v>
      </c>
      <c r="C3520" s="5">
        <v>45330</v>
      </c>
      <c r="D3520" s="4">
        <v>1.2</v>
      </c>
      <c r="E3520" s="4">
        <v>0.41</v>
      </c>
    </row>
    <row r="3521" spans="1:5" x14ac:dyDescent="0.25">
      <c r="A3521" s="4" t="s">
        <v>53</v>
      </c>
      <c r="B3521" s="4" t="s">
        <v>27</v>
      </c>
      <c r="C3521" s="5">
        <v>45330</v>
      </c>
      <c r="D3521" s="4">
        <v>15.4</v>
      </c>
      <c r="E3521" s="4">
        <v>5.35</v>
      </c>
    </row>
    <row r="3522" spans="1:5" x14ac:dyDescent="0.25">
      <c r="A3522" s="4" t="s">
        <v>53</v>
      </c>
      <c r="B3522" s="4" t="s">
        <v>27</v>
      </c>
      <c r="C3522" s="5">
        <v>45330</v>
      </c>
      <c r="D3522" s="4">
        <v>15.4</v>
      </c>
      <c r="E3522" s="4">
        <v>5.35</v>
      </c>
    </row>
    <row r="3523" spans="1:5" x14ac:dyDescent="0.25">
      <c r="A3523" s="4" t="s">
        <v>53</v>
      </c>
      <c r="B3523" s="4" t="s">
        <v>27</v>
      </c>
      <c r="C3523" s="5">
        <v>45330</v>
      </c>
      <c r="D3523" s="4">
        <v>0.9</v>
      </c>
      <c r="E3523" s="4">
        <v>0.31</v>
      </c>
    </row>
    <row r="3524" spans="1:5" x14ac:dyDescent="0.25">
      <c r="A3524" s="4" t="s">
        <v>53</v>
      </c>
      <c r="B3524" s="4" t="s">
        <v>27</v>
      </c>
      <c r="C3524" s="5">
        <v>45330</v>
      </c>
      <c r="D3524" s="4">
        <v>0.9</v>
      </c>
      <c r="E3524" s="4">
        <v>0.31</v>
      </c>
    </row>
    <row r="3525" spans="1:5" x14ac:dyDescent="0.25">
      <c r="A3525" s="4" t="s">
        <v>53</v>
      </c>
      <c r="B3525" s="4" t="s">
        <v>27</v>
      </c>
      <c r="C3525" s="5">
        <v>45331</v>
      </c>
      <c r="D3525" s="4">
        <v>15.4</v>
      </c>
      <c r="E3525" s="4">
        <v>5.35</v>
      </c>
    </row>
    <row r="3526" spans="1:5" x14ac:dyDescent="0.25">
      <c r="A3526" s="4" t="s">
        <v>53</v>
      </c>
      <c r="B3526" s="4" t="s">
        <v>27</v>
      </c>
      <c r="C3526" s="5">
        <v>45331</v>
      </c>
      <c r="D3526" s="4">
        <v>15.4</v>
      </c>
      <c r="E3526" s="4">
        <v>5.35</v>
      </c>
    </row>
    <row r="3527" spans="1:5" x14ac:dyDescent="0.25">
      <c r="A3527" s="4" t="s">
        <v>53</v>
      </c>
      <c r="B3527" s="4" t="s">
        <v>27</v>
      </c>
      <c r="C3527" s="5">
        <v>45331</v>
      </c>
      <c r="D3527" s="4">
        <v>0.9</v>
      </c>
      <c r="E3527" s="4">
        <v>0.31</v>
      </c>
    </row>
    <row r="3528" spans="1:5" x14ac:dyDescent="0.25">
      <c r="A3528" s="4" t="s">
        <v>53</v>
      </c>
      <c r="B3528" s="4" t="s">
        <v>27</v>
      </c>
      <c r="C3528" s="5">
        <v>45331</v>
      </c>
      <c r="D3528" s="4">
        <v>0.9</v>
      </c>
      <c r="E3528" s="4">
        <v>0.31</v>
      </c>
    </row>
    <row r="3529" spans="1:5" x14ac:dyDescent="0.25">
      <c r="A3529" s="4" t="s">
        <v>53</v>
      </c>
      <c r="B3529" s="4" t="s">
        <v>27</v>
      </c>
      <c r="C3529" s="5">
        <v>45331</v>
      </c>
      <c r="D3529" s="4">
        <v>15.4</v>
      </c>
      <c r="E3529" s="4">
        <v>5.35</v>
      </c>
    </row>
    <row r="3530" spans="1:5" x14ac:dyDescent="0.25">
      <c r="A3530" s="4" t="s">
        <v>53</v>
      </c>
      <c r="B3530" s="4" t="s">
        <v>27</v>
      </c>
      <c r="C3530" s="5">
        <v>45331</v>
      </c>
      <c r="D3530" s="4">
        <v>30.2</v>
      </c>
      <c r="E3530" s="4">
        <v>10.49</v>
      </c>
    </row>
    <row r="3531" spans="1:5" x14ac:dyDescent="0.25">
      <c r="A3531" s="4" t="s">
        <v>53</v>
      </c>
      <c r="B3531" s="4" t="s">
        <v>27</v>
      </c>
      <c r="C3531" s="5">
        <v>45331</v>
      </c>
      <c r="D3531" s="4">
        <v>0.9</v>
      </c>
      <c r="E3531" s="4">
        <v>0.31</v>
      </c>
    </row>
    <row r="3532" spans="1:5" x14ac:dyDescent="0.25">
      <c r="A3532" s="4" t="s">
        <v>53</v>
      </c>
      <c r="B3532" s="4" t="s">
        <v>27</v>
      </c>
      <c r="C3532" s="5">
        <v>45331</v>
      </c>
      <c r="D3532" s="4">
        <v>15.4</v>
      </c>
      <c r="E3532" s="4">
        <v>5.35</v>
      </c>
    </row>
    <row r="3533" spans="1:5" x14ac:dyDescent="0.25">
      <c r="A3533" s="4" t="s">
        <v>53</v>
      </c>
      <c r="B3533" s="4" t="s">
        <v>27</v>
      </c>
      <c r="C3533" s="5">
        <v>45331</v>
      </c>
      <c r="D3533" s="4">
        <v>15.4</v>
      </c>
      <c r="E3533" s="4">
        <v>5.35</v>
      </c>
    </row>
    <row r="3534" spans="1:5" x14ac:dyDescent="0.25">
      <c r="A3534" s="4" t="s">
        <v>53</v>
      </c>
      <c r="B3534" s="4" t="s">
        <v>27</v>
      </c>
      <c r="C3534" s="5">
        <v>45331</v>
      </c>
      <c r="D3534" s="4">
        <v>0.9</v>
      </c>
      <c r="E3534" s="4">
        <v>0.31</v>
      </c>
    </row>
    <row r="3535" spans="1:5" x14ac:dyDescent="0.25">
      <c r="A3535" s="4" t="s">
        <v>53</v>
      </c>
      <c r="B3535" s="4" t="s">
        <v>27</v>
      </c>
      <c r="C3535" s="5">
        <v>45331</v>
      </c>
      <c r="D3535" s="4">
        <v>30.2</v>
      </c>
      <c r="E3535" s="4">
        <v>10.49</v>
      </c>
    </row>
    <row r="3536" spans="1:5" x14ac:dyDescent="0.25">
      <c r="A3536" s="4" t="s">
        <v>53</v>
      </c>
      <c r="B3536" s="4" t="s">
        <v>27</v>
      </c>
      <c r="C3536" s="5">
        <v>45331</v>
      </c>
      <c r="D3536" s="4">
        <v>15.4</v>
      </c>
      <c r="E3536" s="4">
        <v>5.35</v>
      </c>
    </row>
    <row r="3537" spans="1:5" x14ac:dyDescent="0.25">
      <c r="A3537" s="4" t="s">
        <v>53</v>
      </c>
      <c r="B3537" s="4" t="s">
        <v>27</v>
      </c>
      <c r="C3537" s="5">
        <v>45331</v>
      </c>
      <c r="D3537" s="4">
        <v>0.9</v>
      </c>
      <c r="E3537" s="4">
        <v>0.31</v>
      </c>
    </row>
    <row r="3538" spans="1:5" x14ac:dyDescent="0.25">
      <c r="A3538" s="4" t="s">
        <v>53</v>
      </c>
      <c r="B3538" s="4" t="s">
        <v>27</v>
      </c>
      <c r="C3538" s="5">
        <v>45331</v>
      </c>
      <c r="D3538" s="4">
        <v>0.9</v>
      </c>
      <c r="E3538" s="4">
        <v>0.31</v>
      </c>
    </row>
    <row r="3539" spans="1:5" x14ac:dyDescent="0.25">
      <c r="A3539" s="4" t="s">
        <v>53</v>
      </c>
      <c r="B3539" s="4" t="s">
        <v>27</v>
      </c>
      <c r="C3539" s="5">
        <v>45331</v>
      </c>
      <c r="D3539" s="4">
        <v>15.4</v>
      </c>
      <c r="E3539" s="4">
        <v>5.35</v>
      </c>
    </row>
    <row r="3540" spans="1:5" x14ac:dyDescent="0.25">
      <c r="A3540" s="4" t="s">
        <v>53</v>
      </c>
      <c r="B3540" s="4" t="s">
        <v>27</v>
      </c>
      <c r="C3540" s="5">
        <v>45331</v>
      </c>
      <c r="D3540" s="4">
        <v>15.4</v>
      </c>
      <c r="E3540" s="4">
        <v>5.35</v>
      </c>
    </row>
    <row r="3541" spans="1:5" x14ac:dyDescent="0.25">
      <c r="A3541" s="4" t="s">
        <v>53</v>
      </c>
      <c r="B3541" s="4" t="s">
        <v>27</v>
      </c>
      <c r="C3541" s="5">
        <v>45331</v>
      </c>
      <c r="D3541" s="4">
        <v>0.9</v>
      </c>
      <c r="E3541" s="4">
        <v>0.31</v>
      </c>
    </row>
    <row r="3542" spans="1:5" x14ac:dyDescent="0.25">
      <c r="A3542" s="4" t="s">
        <v>53</v>
      </c>
      <c r="B3542" s="4" t="s">
        <v>27</v>
      </c>
      <c r="C3542" s="5">
        <v>45331</v>
      </c>
      <c r="D3542" s="4">
        <v>1.2</v>
      </c>
      <c r="E3542" s="4">
        <v>0.41</v>
      </c>
    </row>
    <row r="3543" spans="1:5" x14ac:dyDescent="0.25">
      <c r="A3543" s="4" t="s">
        <v>53</v>
      </c>
      <c r="B3543" s="4" t="s">
        <v>27</v>
      </c>
      <c r="C3543" s="5">
        <v>45334</v>
      </c>
      <c r="D3543" s="4">
        <v>21.7</v>
      </c>
      <c r="E3543" s="4">
        <v>7.55</v>
      </c>
    </row>
    <row r="3544" spans="1:5" x14ac:dyDescent="0.25">
      <c r="A3544" s="4" t="s">
        <v>53</v>
      </c>
      <c r="B3544" s="4" t="s">
        <v>27</v>
      </c>
      <c r="C3544" s="5">
        <v>45334</v>
      </c>
      <c r="D3544" s="4">
        <v>1.4</v>
      </c>
      <c r="E3544" s="4">
        <v>0.48</v>
      </c>
    </row>
    <row r="3545" spans="1:5" x14ac:dyDescent="0.25">
      <c r="A3545" s="4" t="s">
        <v>53</v>
      </c>
      <c r="B3545" s="4" t="s">
        <v>27</v>
      </c>
      <c r="C3545" s="5">
        <v>45334</v>
      </c>
      <c r="D3545" s="4">
        <v>7.1</v>
      </c>
      <c r="E3545" s="4">
        <v>2.46</v>
      </c>
    </row>
    <row r="3546" spans="1:5" x14ac:dyDescent="0.25">
      <c r="A3546" s="4" t="s">
        <v>53</v>
      </c>
      <c r="B3546" s="4" t="s">
        <v>27</v>
      </c>
      <c r="C3546" s="5">
        <v>45334</v>
      </c>
      <c r="D3546" s="4">
        <v>7.1</v>
      </c>
      <c r="E3546" s="4">
        <v>2.46</v>
      </c>
    </row>
    <row r="3547" spans="1:5" x14ac:dyDescent="0.25">
      <c r="A3547" s="4" t="s">
        <v>53</v>
      </c>
      <c r="B3547" s="4" t="s">
        <v>27</v>
      </c>
      <c r="C3547" s="5">
        <v>45334</v>
      </c>
      <c r="D3547" s="4">
        <v>7.1</v>
      </c>
      <c r="E3547" s="4">
        <v>2.46</v>
      </c>
    </row>
    <row r="3548" spans="1:5" x14ac:dyDescent="0.25">
      <c r="A3548" s="4" t="s">
        <v>53</v>
      </c>
      <c r="B3548" s="4" t="s">
        <v>27</v>
      </c>
      <c r="C3548" s="5">
        <v>45334</v>
      </c>
      <c r="D3548" s="4">
        <v>7.1</v>
      </c>
      <c r="E3548" s="4">
        <v>2.46</v>
      </c>
    </row>
    <row r="3549" spans="1:5" x14ac:dyDescent="0.25">
      <c r="A3549" s="4" t="s">
        <v>53</v>
      </c>
      <c r="B3549" s="4" t="s">
        <v>27</v>
      </c>
      <c r="C3549" s="5">
        <v>45334</v>
      </c>
      <c r="D3549" s="4">
        <v>40.9</v>
      </c>
      <c r="E3549" s="4">
        <v>14.23</v>
      </c>
    </row>
    <row r="3550" spans="1:5" x14ac:dyDescent="0.25">
      <c r="A3550" s="4" t="s">
        <v>53</v>
      </c>
      <c r="B3550" s="4" t="s">
        <v>27</v>
      </c>
      <c r="C3550" s="5">
        <v>45334</v>
      </c>
      <c r="D3550" s="4">
        <v>17.3</v>
      </c>
      <c r="E3550" s="4">
        <v>6.03</v>
      </c>
    </row>
    <row r="3551" spans="1:5" x14ac:dyDescent="0.25">
      <c r="A3551" s="4" t="s">
        <v>53</v>
      </c>
      <c r="B3551" s="4" t="s">
        <v>27</v>
      </c>
      <c r="C3551" s="5">
        <v>45334</v>
      </c>
      <c r="D3551" s="4">
        <v>17.3</v>
      </c>
      <c r="E3551" s="4">
        <v>6.03</v>
      </c>
    </row>
    <row r="3552" spans="1:5" x14ac:dyDescent="0.25">
      <c r="A3552" s="4" t="s">
        <v>53</v>
      </c>
      <c r="B3552" s="4" t="s">
        <v>27</v>
      </c>
      <c r="C3552" s="5">
        <v>45334</v>
      </c>
      <c r="D3552" s="4">
        <v>67.5</v>
      </c>
      <c r="E3552" s="4">
        <v>23.48</v>
      </c>
    </row>
    <row r="3553" spans="1:5" x14ac:dyDescent="0.25">
      <c r="A3553" s="4" t="s">
        <v>53</v>
      </c>
      <c r="B3553" s="4" t="s">
        <v>27</v>
      </c>
      <c r="C3553" s="5">
        <v>45334</v>
      </c>
      <c r="D3553" s="4">
        <v>37.4</v>
      </c>
      <c r="E3553" s="4">
        <v>13.02</v>
      </c>
    </row>
    <row r="3554" spans="1:5" x14ac:dyDescent="0.25">
      <c r="A3554" s="4" t="s">
        <v>53</v>
      </c>
      <c r="B3554" s="4" t="s">
        <v>27</v>
      </c>
      <c r="C3554" s="5">
        <v>45335</v>
      </c>
      <c r="D3554" s="4">
        <v>41.3</v>
      </c>
      <c r="E3554" s="4">
        <v>14.36</v>
      </c>
    </row>
    <row r="3555" spans="1:5" x14ac:dyDescent="0.25">
      <c r="A3555" s="4" t="s">
        <v>53</v>
      </c>
      <c r="B3555" s="4" t="s">
        <v>27</v>
      </c>
      <c r="C3555" s="5">
        <v>45335</v>
      </c>
      <c r="D3555" s="4">
        <v>17.3</v>
      </c>
      <c r="E3555" s="4">
        <v>6.03</v>
      </c>
    </row>
    <row r="3556" spans="1:5" x14ac:dyDescent="0.25">
      <c r="A3556" s="4" t="s">
        <v>53</v>
      </c>
      <c r="B3556" s="4" t="s">
        <v>27</v>
      </c>
      <c r="C3556" s="5">
        <v>45335</v>
      </c>
      <c r="D3556" s="4">
        <v>17.3</v>
      </c>
      <c r="E3556" s="4">
        <v>6.03</v>
      </c>
    </row>
    <row r="3557" spans="1:5" x14ac:dyDescent="0.25">
      <c r="A3557" s="4" t="s">
        <v>53</v>
      </c>
      <c r="B3557" s="4" t="s">
        <v>27</v>
      </c>
      <c r="C3557" s="5">
        <v>45335</v>
      </c>
      <c r="D3557" s="4">
        <v>67.5</v>
      </c>
      <c r="E3557" s="4">
        <v>23.48</v>
      </c>
    </row>
    <row r="3558" spans="1:5" x14ac:dyDescent="0.25">
      <c r="A3558" s="4" t="s">
        <v>53</v>
      </c>
      <c r="B3558" s="4" t="s">
        <v>27</v>
      </c>
      <c r="C3558" s="5">
        <v>45335</v>
      </c>
      <c r="D3558" s="4">
        <v>84.3</v>
      </c>
      <c r="E3558" s="4">
        <v>29.32</v>
      </c>
    </row>
    <row r="3559" spans="1:5" x14ac:dyDescent="0.25">
      <c r="A3559" s="4" t="s">
        <v>53</v>
      </c>
      <c r="B3559" s="4" t="s">
        <v>27</v>
      </c>
      <c r="C3559" s="5">
        <v>45335</v>
      </c>
      <c r="D3559" s="4">
        <v>17.3</v>
      </c>
      <c r="E3559" s="4">
        <v>6.03</v>
      </c>
    </row>
    <row r="3560" spans="1:5" x14ac:dyDescent="0.25">
      <c r="A3560" s="4" t="s">
        <v>53</v>
      </c>
      <c r="B3560" s="4" t="s">
        <v>27</v>
      </c>
      <c r="C3560" s="5">
        <v>45335</v>
      </c>
      <c r="D3560" s="4">
        <v>17.3</v>
      </c>
      <c r="E3560" s="4">
        <v>6.03</v>
      </c>
    </row>
    <row r="3561" spans="1:5" x14ac:dyDescent="0.25">
      <c r="A3561" s="4" t="s">
        <v>53</v>
      </c>
      <c r="B3561" s="4" t="s">
        <v>27</v>
      </c>
      <c r="C3561" s="5">
        <v>45335</v>
      </c>
      <c r="D3561" s="4">
        <v>67.5</v>
      </c>
      <c r="E3561" s="4">
        <v>23.48</v>
      </c>
    </row>
    <row r="3562" spans="1:5" x14ac:dyDescent="0.25">
      <c r="A3562" s="4" t="s">
        <v>53</v>
      </c>
      <c r="B3562" s="4" t="s">
        <v>27</v>
      </c>
      <c r="C3562" s="5">
        <v>45335</v>
      </c>
      <c r="D3562" s="4">
        <v>37.4</v>
      </c>
      <c r="E3562" s="4">
        <v>13.02</v>
      </c>
    </row>
    <row r="3563" spans="1:5" x14ac:dyDescent="0.25">
      <c r="A3563" s="4" t="s">
        <v>53</v>
      </c>
      <c r="B3563" s="4" t="s">
        <v>27</v>
      </c>
      <c r="C3563" s="5">
        <v>45336</v>
      </c>
      <c r="D3563" s="4">
        <v>41.3</v>
      </c>
      <c r="E3563" s="4">
        <v>14.36</v>
      </c>
    </row>
    <row r="3564" spans="1:5" x14ac:dyDescent="0.25">
      <c r="A3564" s="4" t="s">
        <v>53</v>
      </c>
      <c r="B3564" s="4" t="s">
        <v>27</v>
      </c>
      <c r="C3564" s="5">
        <v>45336</v>
      </c>
      <c r="D3564" s="4">
        <v>17.3</v>
      </c>
      <c r="E3564" s="4">
        <v>6.03</v>
      </c>
    </row>
    <row r="3565" spans="1:5" x14ac:dyDescent="0.25">
      <c r="A3565" s="4" t="s">
        <v>53</v>
      </c>
      <c r="B3565" s="4" t="s">
        <v>27</v>
      </c>
      <c r="C3565" s="5">
        <v>45336</v>
      </c>
      <c r="D3565" s="4">
        <v>17.3</v>
      </c>
      <c r="E3565" s="4">
        <v>6.03</v>
      </c>
    </row>
    <row r="3566" spans="1:5" x14ac:dyDescent="0.25">
      <c r="A3566" s="4" t="s">
        <v>53</v>
      </c>
      <c r="B3566" s="4" t="s">
        <v>27</v>
      </c>
      <c r="C3566" s="5">
        <v>45336</v>
      </c>
      <c r="D3566" s="4">
        <v>67.5</v>
      </c>
      <c r="E3566" s="4">
        <v>23.48</v>
      </c>
    </row>
    <row r="3567" spans="1:5" x14ac:dyDescent="0.25">
      <c r="A3567" s="4" t="s">
        <v>53</v>
      </c>
      <c r="B3567" s="4" t="s">
        <v>27</v>
      </c>
      <c r="C3567" s="5">
        <v>45336</v>
      </c>
      <c r="D3567" s="4">
        <v>74.900000000000006</v>
      </c>
      <c r="E3567" s="4">
        <v>26.05</v>
      </c>
    </row>
    <row r="3568" spans="1:5" x14ac:dyDescent="0.25">
      <c r="A3568" s="4" t="s">
        <v>53</v>
      </c>
      <c r="B3568" s="4" t="s">
        <v>27</v>
      </c>
      <c r="C3568" s="5">
        <v>45336</v>
      </c>
      <c r="D3568" s="4">
        <v>20.3</v>
      </c>
      <c r="E3568" s="4">
        <v>7.06</v>
      </c>
    </row>
    <row r="3569" spans="1:5" x14ac:dyDescent="0.25">
      <c r="A3569" s="4" t="s">
        <v>53</v>
      </c>
      <c r="B3569" s="4" t="s">
        <v>27</v>
      </c>
      <c r="C3569" s="5">
        <v>45336</v>
      </c>
      <c r="D3569" s="4">
        <v>17.3</v>
      </c>
      <c r="E3569" s="4">
        <v>6.03</v>
      </c>
    </row>
    <row r="3570" spans="1:5" x14ac:dyDescent="0.25">
      <c r="A3570" s="4" t="s">
        <v>53</v>
      </c>
      <c r="B3570" s="4" t="s">
        <v>27</v>
      </c>
      <c r="C3570" s="5">
        <v>45336</v>
      </c>
      <c r="D3570" s="4">
        <v>67.5</v>
      </c>
      <c r="E3570" s="4">
        <v>23.48</v>
      </c>
    </row>
    <row r="3571" spans="1:5" x14ac:dyDescent="0.25">
      <c r="A3571" s="4" t="s">
        <v>53</v>
      </c>
      <c r="B3571" s="4" t="s">
        <v>27</v>
      </c>
      <c r="C3571" s="5">
        <v>45336</v>
      </c>
      <c r="D3571" s="4">
        <v>1.1000000000000001</v>
      </c>
      <c r="E3571" s="4">
        <v>0.38</v>
      </c>
    </row>
    <row r="3572" spans="1:5" x14ac:dyDescent="0.25">
      <c r="A3572" s="4" t="s">
        <v>53</v>
      </c>
      <c r="B3572" s="4" t="s">
        <v>27</v>
      </c>
      <c r="C3572" s="5">
        <v>45336</v>
      </c>
      <c r="D3572" s="4">
        <v>36.299999999999997</v>
      </c>
      <c r="E3572" s="4">
        <v>12.64</v>
      </c>
    </row>
    <row r="3573" spans="1:5" x14ac:dyDescent="0.25">
      <c r="A3573" s="4" t="s">
        <v>53</v>
      </c>
      <c r="B3573" s="4" t="s">
        <v>28</v>
      </c>
      <c r="C3573" s="5">
        <v>45307</v>
      </c>
      <c r="D3573" s="4">
        <v>13.8</v>
      </c>
      <c r="E3573" s="4">
        <v>4.47</v>
      </c>
    </row>
    <row r="3574" spans="1:5" x14ac:dyDescent="0.25">
      <c r="A3574" s="4" t="s">
        <v>53</v>
      </c>
      <c r="B3574" s="4" t="s">
        <v>28</v>
      </c>
      <c r="C3574" s="5">
        <v>45307</v>
      </c>
      <c r="D3574" s="4">
        <v>11.7</v>
      </c>
      <c r="E3574" s="4">
        <v>3.79</v>
      </c>
    </row>
    <row r="3575" spans="1:5" x14ac:dyDescent="0.25">
      <c r="A3575" s="4" t="s">
        <v>53</v>
      </c>
      <c r="B3575" s="4" t="s">
        <v>28</v>
      </c>
      <c r="C3575" s="5">
        <v>45307</v>
      </c>
      <c r="D3575" s="4">
        <v>2.2999999999999998</v>
      </c>
      <c r="E3575" s="4">
        <v>0.74</v>
      </c>
    </row>
    <row r="3576" spans="1:5" x14ac:dyDescent="0.25">
      <c r="A3576" s="4" t="s">
        <v>53</v>
      </c>
      <c r="B3576" s="4" t="s">
        <v>28</v>
      </c>
      <c r="C3576" s="5">
        <v>45307</v>
      </c>
      <c r="D3576" s="4">
        <v>2.2999999999999998</v>
      </c>
      <c r="E3576" s="4">
        <v>0.74</v>
      </c>
    </row>
    <row r="3577" spans="1:5" x14ac:dyDescent="0.25">
      <c r="A3577" s="4" t="s">
        <v>53</v>
      </c>
      <c r="B3577" s="4" t="s">
        <v>28</v>
      </c>
      <c r="C3577" s="5">
        <v>45307</v>
      </c>
      <c r="D3577" s="4">
        <v>10.9</v>
      </c>
      <c r="E3577" s="4">
        <v>3.53</v>
      </c>
    </row>
    <row r="3578" spans="1:5" x14ac:dyDescent="0.25">
      <c r="A3578" s="4" t="s">
        <v>53</v>
      </c>
      <c r="B3578" s="4" t="s">
        <v>28</v>
      </c>
      <c r="C3578" s="5">
        <v>45307</v>
      </c>
      <c r="D3578" s="4">
        <v>11.7</v>
      </c>
      <c r="E3578" s="4">
        <v>3.79</v>
      </c>
    </row>
    <row r="3579" spans="1:5" x14ac:dyDescent="0.25">
      <c r="A3579" s="4" t="s">
        <v>53</v>
      </c>
      <c r="B3579" s="4" t="s">
        <v>28</v>
      </c>
      <c r="C3579" s="5">
        <v>45307</v>
      </c>
      <c r="D3579" s="4">
        <v>2.2999999999999998</v>
      </c>
      <c r="E3579" s="4">
        <v>0.74</v>
      </c>
    </row>
    <row r="3580" spans="1:5" x14ac:dyDescent="0.25">
      <c r="A3580" s="4" t="s">
        <v>53</v>
      </c>
      <c r="B3580" s="4" t="s">
        <v>28</v>
      </c>
      <c r="C3580" s="5">
        <v>45307</v>
      </c>
      <c r="D3580" s="4">
        <v>2.2999999999999998</v>
      </c>
      <c r="E3580" s="4">
        <v>0.74</v>
      </c>
    </row>
    <row r="3581" spans="1:5" x14ac:dyDescent="0.25">
      <c r="A3581" s="4" t="s">
        <v>53</v>
      </c>
      <c r="B3581" s="4" t="s">
        <v>28</v>
      </c>
      <c r="C3581" s="5">
        <v>45307</v>
      </c>
      <c r="D3581" s="4">
        <v>10.9</v>
      </c>
      <c r="E3581" s="4">
        <v>3.53</v>
      </c>
    </row>
    <row r="3582" spans="1:5" x14ac:dyDescent="0.25">
      <c r="A3582" s="4" t="s">
        <v>53</v>
      </c>
      <c r="B3582" s="4" t="s">
        <v>28</v>
      </c>
      <c r="C3582" s="5">
        <v>45307</v>
      </c>
      <c r="D3582" s="4">
        <v>11.7</v>
      </c>
      <c r="E3582" s="4">
        <v>3.79</v>
      </c>
    </row>
    <row r="3583" spans="1:5" x14ac:dyDescent="0.25">
      <c r="A3583" s="4" t="s">
        <v>53</v>
      </c>
      <c r="B3583" s="4" t="s">
        <v>28</v>
      </c>
      <c r="C3583" s="5">
        <v>45307</v>
      </c>
      <c r="D3583" s="4">
        <v>2.2999999999999998</v>
      </c>
      <c r="E3583" s="4">
        <v>0.74</v>
      </c>
    </row>
    <row r="3584" spans="1:5" x14ac:dyDescent="0.25">
      <c r="A3584" s="4" t="s">
        <v>53</v>
      </c>
      <c r="B3584" s="4" t="s">
        <v>28</v>
      </c>
      <c r="C3584" s="5">
        <v>45307</v>
      </c>
      <c r="D3584" s="4">
        <v>2.2999999999999998</v>
      </c>
      <c r="E3584" s="4">
        <v>0.74</v>
      </c>
    </row>
    <row r="3585" spans="1:5" x14ac:dyDescent="0.25">
      <c r="A3585" s="4" t="s">
        <v>53</v>
      </c>
      <c r="B3585" s="4" t="s">
        <v>28</v>
      </c>
      <c r="C3585" s="5">
        <v>45307</v>
      </c>
      <c r="D3585" s="4">
        <v>10.9</v>
      </c>
      <c r="E3585" s="4">
        <v>3.53</v>
      </c>
    </row>
    <row r="3586" spans="1:5" x14ac:dyDescent="0.25">
      <c r="A3586" s="4" t="s">
        <v>53</v>
      </c>
      <c r="B3586" s="4" t="s">
        <v>28</v>
      </c>
      <c r="C3586" s="5">
        <v>45307</v>
      </c>
      <c r="D3586" s="4">
        <v>11.7</v>
      </c>
      <c r="E3586" s="4">
        <v>3.79</v>
      </c>
    </row>
    <row r="3587" spans="1:5" x14ac:dyDescent="0.25">
      <c r="A3587" s="4" t="s">
        <v>53</v>
      </c>
      <c r="B3587" s="4" t="s">
        <v>28</v>
      </c>
      <c r="C3587" s="5">
        <v>45307</v>
      </c>
      <c r="D3587" s="4">
        <v>2.2999999999999998</v>
      </c>
      <c r="E3587" s="4">
        <v>0.74</v>
      </c>
    </row>
    <row r="3588" spans="1:5" x14ac:dyDescent="0.25">
      <c r="A3588" s="4" t="s">
        <v>53</v>
      </c>
      <c r="B3588" s="4" t="s">
        <v>28</v>
      </c>
      <c r="C3588" s="5">
        <v>45307</v>
      </c>
      <c r="D3588" s="4">
        <v>2.2999999999999998</v>
      </c>
      <c r="E3588" s="4">
        <v>0.74</v>
      </c>
    </row>
    <row r="3589" spans="1:5" x14ac:dyDescent="0.25">
      <c r="A3589" s="4" t="s">
        <v>53</v>
      </c>
      <c r="B3589" s="4" t="s">
        <v>28</v>
      </c>
      <c r="C3589" s="5">
        <v>45307</v>
      </c>
      <c r="D3589" s="4">
        <v>8.6999999999999993</v>
      </c>
      <c r="E3589" s="4">
        <v>2.82</v>
      </c>
    </row>
    <row r="3590" spans="1:5" x14ac:dyDescent="0.25">
      <c r="A3590" s="4" t="s">
        <v>53</v>
      </c>
      <c r="B3590" s="4" t="s">
        <v>28</v>
      </c>
      <c r="C3590" s="5">
        <v>45308</v>
      </c>
      <c r="D3590" s="4">
        <v>13.8</v>
      </c>
      <c r="E3590" s="4">
        <v>4.47</v>
      </c>
    </row>
    <row r="3591" spans="1:5" x14ac:dyDescent="0.25">
      <c r="A3591" s="4" t="s">
        <v>53</v>
      </c>
      <c r="B3591" s="4" t="s">
        <v>28</v>
      </c>
      <c r="C3591" s="5">
        <v>45308</v>
      </c>
      <c r="D3591" s="4">
        <v>11.7</v>
      </c>
      <c r="E3591" s="4">
        <v>3.79</v>
      </c>
    </row>
    <row r="3592" spans="1:5" x14ac:dyDescent="0.25">
      <c r="A3592" s="4" t="s">
        <v>53</v>
      </c>
      <c r="B3592" s="4" t="s">
        <v>28</v>
      </c>
      <c r="C3592" s="5">
        <v>45308</v>
      </c>
      <c r="D3592" s="4">
        <v>2.2999999999999998</v>
      </c>
      <c r="E3592" s="4">
        <v>0.74</v>
      </c>
    </row>
    <row r="3593" spans="1:5" x14ac:dyDescent="0.25">
      <c r="A3593" s="4" t="s">
        <v>53</v>
      </c>
      <c r="B3593" s="4" t="s">
        <v>28</v>
      </c>
      <c r="C3593" s="5">
        <v>45308</v>
      </c>
      <c r="D3593" s="4">
        <v>2.2999999999999998</v>
      </c>
      <c r="E3593" s="4">
        <v>0.74</v>
      </c>
    </row>
    <row r="3594" spans="1:5" x14ac:dyDescent="0.25">
      <c r="A3594" s="4" t="s">
        <v>53</v>
      </c>
      <c r="B3594" s="4" t="s">
        <v>28</v>
      </c>
      <c r="C3594" s="5">
        <v>45308</v>
      </c>
      <c r="D3594" s="4">
        <v>10.9</v>
      </c>
      <c r="E3594" s="4">
        <v>3.53</v>
      </c>
    </row>
    <row r="3595" spans="1:5" x14ac:dyDescent="0.25">
      <c r="A3595" s="4" t="s">
        <v>53</v>
      </c>
      <c r="B3595" s="4" t="s">
        <v>28</v>
      </c>
      <c r="C3595" s="5">
        <v>45308</v>
      </c>
      <c r="D3595" s="4">
        <v>11.7</v>
      </c>
      <c r="E3595" s="4">
        <v>3.79</v>
      </c>
    </row>
    <row r="3596" spans="1:5" x14ac:dyDescent="0.25">
      <c r="A3596" s="4" t="s">
        <v>53</v>
      </c>
      <c r="B3596" s="4" t="s">
        <v>28</v>
      </c>
      <c r="C3596" s="5">
        <v>45308</v>
      </c>
      <c r="D3596" s="4">
        <v>2.2999999999999998</v>
      </c>
      <c r="E3596" s="4">
        <v>0.74</v>
      </c>
    </row>
    <row r="3597" spans="1:5" x14ac:dyDescent="0.25">
      <c r="A3597" s="4" t="s">
        <v>53</v>
      </c>
      <c r="B3597" s="4" t="s">
        <v>28</v>
      </c>
      <c r="C3597" s="5">
        <v>45308</v>
      </c>
      <c r="D3597" s="4">
        <v>2.2999999999999998</v>
      </c>
      <c r="E3597" s="4">
        <v>0.74</v>
      </c>
    </row>
    <row r="3598" spans="1:5" x14ac:dyDescent="0.25">
      <c r="A3598" s="4" t="s">
        <v>53</v>
      </c>
      <c r="B3598" s="4" t="s">
        <v>28</v>
      </c>
      <c r="C3598" s="5">
        <v>45308</v>
      </c>
      <c r="D3598" s="4">
        <v>10.9</v>
      </c>
      <c r="E3598" s="4">
        <v>3.53</v>
      </c>
    </row>
    <row r="3599" spans="1:5" x14ac:dyDescent="0.25">
      <c r="A3599" s="4" t="s">
        <v>53</v>
      </c>
      <c r="B3599" s="4" t="s">
        <v>28</v>
      </c>
      <c r="C3599" s="5">
        <v>45308</v>
      </c>
      <c r="D3599" s="4">
        <v>11.7</v>
      </c>
      <c r="E3599" s="4">
        <v>3.79</v>
      </c>
    </row>
    <row r="3600" spans="1:5" x14ac:dyDescent="0.25">
      <c r="A3600" s="4" t="s">
        <v>53</v>
      </c>
      <c r="B3600" s="4" t="s">
        <v>28</v>
      </c>
      <c r="C3600" s="5">
        <v>45308</v>
      </c>
      <c r="D3600" s="4">
        <v>2.2999999999999998</v>
      </c>
      <c r="E3600" s="4">
        <v>0.74</v>
      </c>
    </row>
    <row r="3601" spans="1:5" x14ac:dyDescent="0.25">
      <c r="A3601" s="4" t="s">
        <v>53</v>
      </c>
      <c r="B3601" s="4" t="s">
        <v>28</v>
      </c>
      <c r="C3601" s="5">
        <v>45308</v>
      </c>
      <c r="D3601" s="4">
        <v>2.2999999999999998</v>
      </c>
      <c r="E3601" s="4">
        <v>0.74</v>
      </c>
    </row>
    <row r="3602" spans="1:5" x14ac:dyDescent="0.25">
      <c r="A3602" s="4" t="s">
        <v>53</v>
      </c>
      <c r="B3602" s="4" t="s">
        <v>28</v>
      </c>
      <c r="C3602" s="5">
        <v>45308</v>
      </c>
      <c r="D3602" s="4">
        <v>10.9</v>
      </c>
      <c r="E3602" s="4">
        <v>3.53</v>
      </c>
    </row>
    <row r="3603" spans="1:5" x14ac:dyDescent="0.25">
      <c r="A3603" s="4" t="s">
        <v>53</v>
      </c>
      <c r="B3603" s="4" t="s">
        <v>28</v>
      </c>
      <c r="C3603" s="5">
        <v>45308</v>
      </c>
      <c r="D3603" s="4">
        <v>11.7</v>
      </c>
      <c r="E3603" s="4">
        <v>3.79</v>
      </c>
    </row>
    <row r="3604" spans="1:5" x14ac:dyDescent="0.25">
      <c r="A3604" s="4" t="s">
        <v>53</v>
      </c>
      <c r="B3604" s="4" t="s">
        <v>28</v>
      </c>
      <c r="C3604" s="5">
        <v>45308</v>
      </c>
      <c r="D3604" s="4">
        <v>2.2999999999999998</v>
      </c>
      <c r="E3604" s="4">
        <v>0.74</v>
      </c>
    </row>
    <row r="3605" spans="1:5" x14ac:dyDescent="0.25">
      <c r="A3605" s="4" t="s">
        <v>53</v>
      </c>
      <c r="B3605" s="4" t="s">
        <v>28</v>
      </c>
      <c r="C3605" s="5">
        <v>45308</v>
      </c>
      <c r="D3605" s="4">
        <v>2.2999999999999998</v>
      </c>
      <c r="E3605" s="4">
        <v>0.74</v>
      </c>
    </row>
    <row r="3606" spans="1:5" x14ac:dyDescent="0.25">
      <c r="A3606" s="4" t="s">
        <v>53</v>
      </c>
      <c r="B3606" s="4" t="s">
        <v>28</v>
      </c>
      <c r="C3606" s="5">
        <v>45308</v>
      </c>
      <c r="D3606" s="4">
        <v>8.6999999999999993</v>
      </c>
      <c r="E3606" s="4">
        <v>2.82</v>
      </c>
    </row>
    <row r="3607" spans="1:5" x14ac:dyDescent="0.25">
      <c r="A3607" s="4" t="s">
        <v>53</v>
      </c>
      <c r="B3607" s="4" t="s">
        <v>28</v>
      </c>
      <c r="C3607" s="5">
        <v>45310</v>
      </c>
      <c r="D3607" s="4">
        <v>13.8</v>
      </c>
      <c r="E3607" s="4">
        <v>4.47</v>
      </c>
    </row>
    <row r="3608" spans="1:5" x14ac:dyDescent="0.25">
      <c r="A3608" s="4" t="s">
        <v>53</v>
      </c>
      <c r="B3608" s="4" t="s">
        <v>28</v>
      </c>
      <c r="C3608" s="5">
        <v>45310</v>
      </c>
      <c r="D3608" s="4">
        <v>11.7</v>
      </c>
      <c r="E3608" s="4">
        <v>3.79</v>
      </c>
    </row>
    <row r="3609" spans="1:5" x14ac:dyDescent="0.25">
      <c r="A3609" s="4" t="s">
        <v>53</v>
      </c>
      <c r="B3609" s="4" t="s">
        <v>28</v>
      </c>
      <c r="C3609" s="5">
        <v>45310</v>
      </c>
      <c r="D3609" s="4">
        <v>10.9</v>
      </c>
      <c r="E3609" s="4">
        <v>3.53</v>
      </c>
    </row>
    <row r="3610" spans="1:5" x14ac:dyDescent="0.25">
      <c r="A3610" s="4" t="s">
        <v>53</v>
      </c>
      <c r="B3610" s="4" t="s">
        <v>28</v>
      </c>
      <c r="C3610" s="5">
        <v>45310</v>
      </c>
      <c r="D3610" s="4">
        <v>11.7</v>
      </c>
      <c r="E3610" s="4">
        <v>3.79</v>
      </c>
    </row>
    <row r="3611" spans="1:5" x14ac:dyDescent="0.25">
      <c r="A3611" s="4" t="s">
        <v>53</v>
      </c>
      <c r="B3611" s="4" t="s">
        <v>28</v>
      </c>
      <c r="C3611" s="5">
        <v>45310</v>
      </c>
      <c r="D3611" s="4">
        <v>10.9</v>
      </c>
      <c r="E3611" s="4">
        <v>3.53</v>
      </c>
    </row>
    <row r="3612" spans="1:5" x14ac:dyDescent="0.25">
      <c r="A3612" s="4" t="s">
        <v>53</v>
      </c>
      <c r="B3612" s="4" t="s">
        <v>28</v>
      </c>
      <c r="C3612" s="5">
        <v>45310</v>
      </c>
      <c r="D3612" s="4">
        <v>11.7</v>
      </c>
      <c r="E3612" s="4">
        <v>3.79</v>
      </c>
    </row>
    <row r="3613" spans="1:5" x14ac:dyDescent="0.25">
      <c r="A3613" s="4" t="s">
        <v>53</v>
      </c>
      <c r="B3613" s="4" t="s">
        <v>28</v>
      </c>
      <c r="C3613" s="5">
        <v>45310</v>
      </c>
      <c r="D3613" s="4">
        <v>10.9</v>
      </c>
      <c r="E3613" s="4">
        <v>3.53</v>
      </c>
    </row>
    <row r="3614" spans="1:5" x14ac:dyDescent="0.25">
      <c r="A3614" s="4" t="s">
        <v>53</v>
      </c>
      <c r="B3614" s="4" t="s">
        <v>28</v>
      </c>
      <c r="C3614" s="5">
        <v>45310</v>
      </c>
      <c r="D3614" s="4">
        <v>11.7</v>
      </c>
      <c r="E3614" s="4">
        <v>3.79</v>
      </c>
    </row>
    <row r="3615" spans="1:5" x14ac:dyDescent="0.25">
      <c r="A3615" s="4" t="s">
        <v>53</v>
      </c>
      <c r="B3615" s="4" t="s">
        <v>28</v>
      </c>
      <c r="C3615" s="5">
        <v>45310</v>
      </c>
      <c r="D3615" s="4">
        <v>10.9</v>
      </c>
      <c r="E3615" s="4">
        <v>3.53</v>
      </c>
    </row>
    <row r="3616" spans="1:5" x14ac:dyDescent="0.25">
      <c r="A3616" s="4" t="s">
        <v>53</v>
      </c>
      <c r="B3616" s="4" t="s">
        <v>28</v>
      </c>
      <c r="C3616" s="5">
        <v>45310</v>
      </c>
      <c r="D3616" s="4">
        <v>11.7</v>
      </c>
      <c r="E3616" s="4">
        <v>3.79</v>
      </c>
    </row>
    <row r="3617" spans="1:5" x14ac:dyDescent="0.25">
      <c r="A3617" s="4" t="s">
        <v>53</v>
      </c>
      <c r="B3617" s="4" t="s">
        <v>28</v>
      </c>
      <c r="C3617" s="5">
        <v>45310</v>
      </c>
      <c r="D3617" s="4">
        <v>8.6999999999999993</v>
      </c>
      <c r="E3617" s="4">
        <v>2.82</v>
      </c>
    </row>
    <row r="3618" spans="1:5" x14ac:dyDescent="0.25">
      <c r="A3618" s="4" t="s">
        <v>53</v>
      </c>
      <c r="B3618" s="4" t="s">
        <v>28</v>
      </c>
      <c r="C3618" s="5">
        <v>45313</v>
      </c>
      <c r="D3618" s="4">
        <v>13.8</v>
      </c>
      <c r="E3618" s="4">
        <v>4.47</v>
      </c>
    </row>
    <row r="3619" spans="1:5" x14ac:dyDescent="0.25">
      <c r="A3619" s="4" t="s">
        <v>53</v>
      </c>
      <c r="B3619" s="4" t="s">
        <v>28</v>
      </c>
      <c r="C3619" s="5">
        <v>45313</v>
      </c>
      <c r="D3619" s="4">
        <v>11.7</v>
      </c>
      <c r="E3619" s="4">
        <v>3.79</v>
      </c>
    </row>
    <row r="3620" spans="1:5" x14ac:dyDescent="0.25">
      <c r="A3620" s="4" t="s">
        <v>53</v>
      </c>
      <c r="B3620" s="4" t="s">
        <v>28</v>
      </c>
      <c r="C3620" s="5">
        <v>45313</v>
      </c>
      <c r="D3620" s="4">
        <v>10.9</v>
      </c>
      <c r="E3620" s="4">
        <v>3.53</v>
      </c>
    </row>
    <row r="3621" spans="1:5" x14ac:dyDescent="0.25">
      <c r="A3621" s="4" t="s">
        <v>53</v>
      </c>
      <c r="B3621" s="4" t="s">
        <v>28</v>
      </c>
      <c r="C3621" s="5">
        <v>45313</v>
      </c>
      <c r="D3621" s="4">
        <v>11.7</v>
      </c>
      <c r="E3621" s="4">
        <v>3.79</v>
      </c>
    </row>
    <row r="3622" spans="1:5" x14ac:dyDescent="0.25">
      <c r="A3622" s="4" t="s">
        <v>53</v>
      </c>
      <c r="B3622" s="4" t="s">
        <v>28</v>
      </c>
      <c r="C3622" s="5">
        <v>45313</v>
      </c>
      <c r="D3622" s="4">
        <v>10.9</v>
      </c>
      <c r="E3622" s="4">
        <v>3.53</v>
      </c>
    </row>
    <row r="3623" spans="1:5" x14ac:dyDescent="0.25">
      <c r="A3623" s="4" t="s">
        <v>53</v>
      </c>
      <c r="B3623" s="4" t="s">
        <v>28</v>
      </c>
      <c r="C3623" s="5">
        <v>45313</v>
      </c>
      <c r="D3623" s="4">
        <v>11.7</v>
      </c>
      <c r="E3623" s="4">
        <v>3.79</v>
      </c>
    </row>
    <row r="3624" spans="1:5" x14ac:dyDescent="0.25">
      <c r="A3624" s="4" t="s">
        <v>53</v>
      </c>
      <c r="B3624" s="4" t="s">
        <v>28</v>
      </c>
      <c r="C3624" s="5">
        <v>45313</v>
      </c>
      <c r="D3624" s="4">
        <v>10.9</v>
      </c>
      <c r="E3624" s="4">
        <v>3.53</v>
      </c>
    </row>
    <row r="3625" spans="1:5" x14ac:dyDescent="0.25">
      <c r="A3625" s="4" t="s">
        <v>53</v>
      </c>
      <c r="B3625" s="4" t="s">
        <v>28</v>
      </c>
      <c r="C3625" s="5">
        <v>45313</v>
      </c>
      <c r="D3625" s="4">
        <v>11.7</v>
      </c>
      <c r="E3625" s="4">
        <v>3.79</v>
      </c>
    </row>
    <row r="3626" spans="1:5" x14ac:dyDescent="0.25">
      <c r="A3626" s="4" t="s">
        <v>53</v>
      </c>
      <c r="B3626" s="4" t="s">
        <v>28</v>
      </c>
      <c r="C3626" s="5">
        <v>45313</v>
      </c>
      <c r="D3626" s="4">
        <v>10.9</v>
      </c>
      <c r="E3626" s="4">
        <v>3.53</v>
      </c>
    </row>
    <row r="3627" spans="1:5" x14ac:dyDescent="0.25">
      <c r="A3627" s="4" t="s">
        <v>53</v>
      </c>
      <c r="B3627" s="4" t="s">
        <v>28</v>
      </c>
      <c r="C3627" s="5">
        <v>45313</v>
      </c>
      <c r="D3627" s="4">
        <v>11.7</v>
      </c>
      <c r="E3627" s="4">
        <v>3.79</v>
      </c>
    </row>
    <row r="3628" spans="1:5" x14ac:dyDescent="0.25">
      <c r="A3628" s="4" t="s">
        <v>53</v>
      </c>
      <c r="B3628" s="4" t="s">
        <v>28</v>
      </c>
      <c r="C3628" s="5">
        <v>45313</v>
      </c>
      <c r="D3628" s="4">
        <v>10.9</v>
      </c>
      <c r="E3628" s="4">
        <v>3.53</v>
      </c>
    </row>
    <row r="3629" spans="1:5" x14ac:dyDescent="0.25">
      <c r="A3629" s="4" t="s">
        <v>53</v>
      </c>
      <c r="B3629" s="4" t="s">
        <v>28</v>
      </c>
      <c r="C3629" s="5">
        <v>45313</v>
      </c>
      <c r="D3629" s="4">
        <v>11.7</v>
      </c>
      <c r="E3629" s="4">
        <v>3.79</v>
      </c>
    </row>
    <row r="3630" spans="1:5" x14ac:dyDescent="0.25">
      <c r="A3630" s="4" t="s">
        <v>53</v>
      </c>
      <c r="B3630" s="4" t="s">
        <v>28</v>
      </c>
      <c r="C3630" s="5">
        <v>45313</v>
      </c>
      <c r="D3630" s="4">
        <v>10.9</v>
      </c>
      <c r="E3630" s="4">
        <v>3.53</v>
      </c>
    </row>
    <row r="3631" spans="1:5" x14ac:dyDescent="0.25">
      <c r="A3631" s="4" t="s">
        <v>53</v>
      </c>
      <c r="B3631" s="4" t="s">
        <v>28</v>
      </c>
      <c r="C3631" s="5">
        <v>45313</v>
      </c>
      <c r="D3631" s="4">
        <v>11.7</v>
      </c>
      <c r="E3631" s="4">
        <v>3.79</v>
      </c>
    </row>
    <row r="3632" spans="1:5" x14ac:dyDescent="0.25">
      <c r="A3632" s="4" t="s">
        <v>53</v>
      </c>
      <c r="B3632" s="4" t="s">
        <v>28</v>
      </c>
      <c r="C3632" s="5">
        <v>45313</v>
      </c>
      <c r="D3632" s="4">
        <v>8.6999999999999993</v>
      </c>
      <c r="E3632" s="4">
        <v>2.82</v>
      </c>
    </row>
    <row r="3633" spans="1:5" x14ac:dyDescent="0.25">
      <c r="A3633" s="4" t="s">
        <v>53</v>
      </c>
      <c r="B3633" s="4" t="s">
        <v>28</v>
      </c>
      <c r="C3633" s="5">
        <v>45314</v>
      </c>
      <c r="D3633" s="4">
        <v>13.8</v>
      </c>
      <c r="E3633" s="4">
        <v>4.47</v>
      </c>
    </row>
    <row r="3634" spans="1:5" x14ac:dyDescent="0.25">
      <c r="A3634" s="4" t="s">
        <v>53</v>
      </c>
      <c r="B3634" s="4" t="s">
        <v>28</v>
      </c>
      <c r="C3634" s="5">
        <v>45314</v>
      </c>
      <c r="D3634" s="4">
        <v>11.7</v>
      </c>
      <c r="E3634" s="4">
        <v>3.79</v>
      </c>
    </row>
    <row r="3635" spans="1:5" x14ac:dyDescent="0.25">
      <c r="A3635" s="4" t="s">
        <v>53</v>
      </c>
      <c r="B3635" s="4" t="s">
        <v>28</v>
      </c>
      <c r="C3635" s="5">
        <v>45314</v>
      </c>
      <c r="D3635" s="4">
        <v>2.2999999999999998</v>
      </c>
      <c r="E3635" s="4">
        <v>0.74</v>
      </c>
    </row>
    <row r="3636" spans="1:5" x14ac:dyDescent="0.25">
      <c r="A3636" s="4" t="s">
        <v>53</v>
      </c>
      <c r="B3636" s="4" t="s">
        <v>28</v>
      </c>
      <c r="C3636" s="5">
        <v>45314</v>
      </c>
      <c r="D3636" s="4">
        <v>2.2999999999999998</v>
      </c>
      <c r="E3636" s="4">
        <v>0.74</v>
      </c>
    </row>
    <row r="3637" spans="1:5" x14ac:dyDescent="0.25">
      <c r="A3637" s="4" t="s">
        <v>53</v>
      </c>
      <c r="B3637" s="4" t="s">
        <v>28</v>
      </c>
      <c r="C3637" s="5">
        <v>45314</v>
      </c>
      <c r="D3637" s="4">
        <v>10.9</v>
      </c>
      <c r="E3637" s="4">
        <v>3.53</v>
      </c>
    </row>
    <row r="3638" spans="1:5" x14ac:dyDescent="0.25">
      <c r="A3638" s="4" t="s">
        <v>53</v>
      </c>
      <c r="B3638" s="4" t="s">
        <v>28</v>
      </c>
      <c r="C3638" s="5">
        <v>45314</v>
      </c>
      <c r="D3638" s="4">
        <v>11.7</v>
      </c>
      <c r="E3638" s="4">
        <v>3.79</v>
      </c>
    </row>
    <row r="3639" spans="1:5" x14ac:dyDescent="0.25">
      <c r="A3639" s="4" t="s">
        <v>53</v>
      </c>
      <c r="B3639" s="4" t="s">
        <v>28</v>
      </c>
      <c r="C3639" s="5">
        <v>45314</v>
      </c>
      <c r="D3639" s="4">
        <v>2.2999999999999998</v>
      </c>
      <c r="E3639" s="4">
        <v>0.74</v>
      </c>
    </row>
    <row r="3640" spans="1:5" x14ac:dyDescent="0.25">
      <c r="A3640" s="4" t="s">
        <v>53</v>
      </c>
      <c r="B3640" s="4" t="s">
        <v>28</v>
      </c>
      <c r="C3640" s="5">
        <v>45314</v>
      </c>
      <c r="D3640" s="4">
        <v>2.2999999999999998</v>
      </c>
      <c r="E3640" s="4">
        <v>0.74</v>
      </c>
    </row>
    <row r="3641" spans="1:5" x14ac:dyDescent="0.25">
      <c r="A3641" s="4" t="s">
        <v>53</v>
      </c>
      <c r="B3641" s="4" t="s">
        <v>28</v>
      </c>
      <c r="C3641" s="5">
        <v>45314</v>
      </c>
      <c r="D3641" s="4">
        <v>10.9</v>
      </c>
      <c r="E3641" s="4">
        <v>3.53</v>
      </c>
    </row>
    <row r="3642" spans="1:5" x14ac:dyDescent="0.25">
      <c r="A3642" s="4" t="s">
        <v>53</v>
      </c>
      <c r="B3642" s="4" t="s">
        <v>28</v>
      </c>
      <c r="C3642" s="5">
        <v>45314</v>
      </c>
      <c r="D3642" s="4">
        <v>11.7</v>
      </c>
      <c r="E3642" s="4">
        <v>3.79</v>
      </c>
    </row>
    <row r="3643" spans="1:5" x14ac:dyDescent="0.25">
      <c r="A3643" s="4" t="s">
        <v>53</v>
      </c>
      <c r="B3643" s="4" t="s">
        <v>28</v>
      </c>
      <c r="C3643" s="5">
        <v>45314</v>
      </c>
      <c r="D3643" s="4">
        <v>2.2999999999999998</v>
      </c>
      <c r="E3643" s="4">
        <v>0.74</v>
      </c>
    </row>
    <row r="3644" spans="1:5" x14ac:dyDescent="0.25">
      <c r="A3644" s="4" t="s">
        <v>53</v>
      </c>
      <c r="B3644" s="4" t="s">
        <v>28</v>
      </c>
      <c r="C3644" s="5">
        <v>45314</v>
      </c>
      <c r="D3644" s="4">
        <v>2.2999999999999998</v>
      </c>
      <c r="E3644" s="4">
        <v>0.74</v>
      </c>
    </row>
    <row r="3645" spans="1:5" x14ac:dyDescent="0.25">
      <c r="A3645" s="4" t="s">
        <v>53</v>
      </c>
      <c r="B3645" s="4" t="s">
        <v>28</v>
      </c>
      <c r="C3645" s="5">
        <v>45314</v>
      </c>
      <c r="D3645" s="4">
        <v>10.9</v>
      </c>
      <c r="E3645" s="4">
        <v>3.53</v>
      </c>
    </row>
    <row r="3646" spans="1:5" x14ac:dyDescent="0.25">
      <c r="A3646" s="4" t="s">
        <v>53</v>
      </c>
      <c r="B3646" s="4" t="s">
        <v>28</v>
      </c>
      <c r="C3646" s="5">
        <v>45314</v>
      </c>
      <c r="D3646" s="4">
        <v>11.7</v>
      </c>
      <c r="E3646" s="4">
        <v>3.79</v>
      </c>
    </row>
    <row r="3647" spans="1:5" x14ac:dyDescent="0.25">
      <c r="A3647" s="4" t="s">
        <v>53</v>
      </c>
      <c r="B3647" s="4" t="s">
        <v>28</v>
      </c>
      <c r="C3647" s="5">
        <v>45314</v>
      </c>
      <c r="D3647" s="4">
        <v>2.2999999999999998</v>
      </c>
      <c r="E3647" s="4">
        <v>0.74</v>
      </c>
    </row>
    <row r="3648" spans="1:5" x14ac:dyDescent="0.25">
      <c r="A3648" s="4" t="s">
        <v>53</v>
      </c>
      <c r="B3648" s="4" t="s">
        <v>28</v>
      </c>
      <c r="C3648" s="5">
        <v>45314</v>
      </c>
      <c r="D3648" s="4">
        <v>2.2999999999999998</v>
      </c>
      <c r="E3648" s="4">
        <v>0.74</v>
      </c>
    </row>
    <row r="3649" spans="1:5" x14ac:dyDescent="0.25">
      <c r="A3649" s="4" t="s">
        <v>53</v>
      </c>
      <c r="B3649" s="4" t="s">
        <v>28</v>
      </c>
      <c r="C3649" s="5">
        <v>45314</v>
      </c>
      <c r="D3649" s="4">
        <v>8.6999999999999993</v>
      </c>
      <c r="E3649" s="4">
        <v>2.82</v>
      </c>
    </row>
    <row r="3650" spans="1:5" x14ac:dyDescent="0.25">
      <c r="A3650" s="4" t="s">
        <v>53</v>
      </c>
      <c r="B3650" s="4" t="s">
        <v>28</v>
      </c>
      <c r="C3650" s="5">
        <v>45315</v>
      </c>
      <c r="D3650" s="4">
        <v>13.8</v>
      </c>
      <c r="E3650" s="4">
        <v>4.47</v>
      </c>
    </row>
    <row r="3651" spans="1:5" x14ac:dyDescent="0.25">
      <c r="A3651" s="4" t="s">
        <v>53</v>
      </c>
      <c r="B3651" s="4" t="s">
        <v>28</v>
      </c>
      <c r="C3651" s="5">
        <v>45315</v>
      </c>
      <c r="D3651" s="4">
        <v>11.7</v>
      </c>
      <c r="E3651" s="4">
        <v>3.79</v>
      </c>
    </row>
    <row r="3652" spans="1:5" x14ac:dyDescent="0.25">
      <c r="A3652" s="4" t="s">
        <v>53</v>
      </c>
      <c r="B3652" s="4" t="s">
        <v>28</v>
      </c>
      <c r="C3652" s="5">
        <v>45315</v>
      </c>
      <c r="D3652" s="4">
        <v>2.2999999999999998</v>
      </c>
      <c r="E3652" s="4">
        <v>0.74</v>
      </c>
    </row>
    <row r="3653" spans="1:5" x14ac:dyDescent="0.25">
      <c r="A3653" s="4" t="s">
        <v>53</v>
      </c>
      <c r="B3653" s="4" t="s">
        <v>28</v>
      </c>
      <c r="C3653" s="5">
        <v>45315</v>
      </c>
      <c r="D3653" s="4">
        <v>2.2999999999999998</v>
      </c>
      <c r="E3653" s="4">
        <v>0.74</v>
      </c>
    </row>
    <row r="3654" spans="1:5" x14ac:dyDescent="0.25">
      <c r="A3654" s="4" t="s">
        <v>53</v>
      </c>
      <c r="B3654" s="4" t="s">
        <v>28</v>
      </c>
      <c r="C3654" s="5">
        <v>45315</v>
      </c>
      <c r="D3654" s="4">
        <v>10.9</v>
      </c>
      <c r="E3654" s="4">
        <v>3.53</v>
      </c>
    </row>
    <row r="3655" spans="1:5" x14ac:dyDescent="0.25">
      <c r="A3655" s="4" t="s">
        <v>53</v>
      </c>
      <c r="B3655" s="4" t="s">
        <v>28</v>
      </c>
      <c r="C3655" s="5">
        <v>45315</v>
      </c>
      <c r="D3655" s="4">
        <v>13.8</v>
      </c>
      <c r="E3655" s="4">
        <v>4.47</v>
      </c>
    </row>
    <row r="3656" spans="1:5" x14ac:dyDescent="0.25">
      <c r="A3656" s="4" t="s">
        <v>53</v>
      </c>
      <c r="B3656" s="4" t="s">
        <v>28</v>
      </c>
      <c r="C3656" s="5">
        <v>45315</v>
      </c>
      <c r="D3656" s="4">
        <v>13.8</v>
      </c>
      <c r="E3656" s="4">
        <v>4.47</v>
      </c>
    </row>
    <row r="3657" spans="1:5" x14ac:dyDescent="0.25">
      <c r="A3657" s="4" t="s">
        <v>53</v>
      </c>
      <c r="B3657" s="4" t="s">
        <v>28</v>
      </c>
      <c r="C3657" s="5">
        <v>45315</v>
      </c>
      <c r="D3657" s="4">
        <v>11.7</v>
      </c>
      <c r="E3657" s="4">
        <v>3.79</v>
      </c>
    </row>
    <row r="3658" spans="1:5" x14ac:dyDescent="0.25">
      <c r="A3658" s="4" t="s">
        <v>53</v>
      </c>
      <c r="B3658" s="4" t="s">
        <v>28</v>
      </c>
      <c r="C3658" s="5">
        <v>45315</v>
      </c>
      <c r="D3658" s="4">
        <v>2.2999999999999998</v>
      </c>
      <c r="E3658" s="4">
        <v>0.74</v>
      </c>
    </row>
    <row r="3659" spans="1:5" x14ac:dyDescent="0.25">
      <c r="A3659" s="4" t="s">
        <v>53</v>
      </c>
      <c r="B3659" s="4" t="s">
        <v>28</v>
      </c>
      <c r="C3659" s="5">
        <v>45315</v>
      </c>
      <c r="D3659" s="4">
        <v>2.2999999999999998</v>
      </c>
      <c r="E3659" s="4">
        <v>0.74</v>
      </c>
    </row>
    <row r="3660" spans="1:5" x14ac:dyDescent="0.25">
      <c r="A3660" s="4" t="s">
        <v>53</v>
      </c>
      <c r="B3660" s="4" t="s">
        <v>28</v>
      </c>
      <c r="C3660" s="5">
        <v>45315</v>
      </c>
      <c r="D3660" s="4">
        <v>10.9</v>
      </c>
      <c r="E3660" s="4">
        <v>3.53</v>
      </c>
    </row>
    <row r="3661" spans="1:5" x14ac:dyDescent="0.25">
      <c r="A3661" s="4" t="s">
        <v>53</v>
      </c>
      <c r="B3661" s="4" t="s">
        <v>28</v>
      </c>
      <c r="C3661" s="5">
        <v>45315</v>
      </c>
      <c r="D3661" s="4">
        <v>11.7</v>
      </c>
      <c r="E3661" s="4">
        <v>3.79</v>
      </c>
    </row>
    <row r="3662" spans="1:5" x14ac:dyDescent="0.25">
      <c r="A3662" s="4" t="s">
        <v>53</v>
      </c>
      <c r="B3662" s="4" t="s">
        <v>28</v>
      </c>
      <c r="C3662" s="5">
        <v>45315</v>
      </c>
      <c r="D3662" s="4">
        <v>10.9</v>
      </c>
      <c r="E3662" s="4">
        <v>3.53</v>
      </c>
    </row>
    <row r="3663" spans="1:5" x14ac:dyDescent="0.25">
      <c r="A3663" s="4" t="s">
        <v>53</v>
      </c>
      <c r="B3663" s="4" t="s">
        <v>28</v>
      </c>
      <c r="C3663" s="5">
        <v>45315</v>
      </c>
      <c r="D3663" s="4">
        <v>11.7</v>
      </c>
      <c r="E3663" s="4">
        <v>3.79</v>
      </c>
    </row>
    <row r="3664" spans="1:5" x14ac:dyDescent="0.25">
      <c r="A3664" s="4" t="s">
        <v>53</v>
      </c>
      <c r="B3664" s="4" t="s">
        <v>28</v>
      </c>
      <c r="C3664" s="5">
        <v>45315</v>
      </c>
      <c r="D3664" s="4">
        <v>10.9</v>
      </c>
      <c r="E3664" s="4">
        <v>3.53</v>
      </c>
    </row>
    <row r="3665" spans="1:5" x14ac:dyDescent="0.25">
      <c r="A3665" s="4" t="s">
        <v>53</v>
      </c>
      <c r="B3665" s="4" t="s">
        <v>28</v>
      </c>
      <c r="C3665" s="5">
        <v>45315</v>
      </c>
      <c r="D3665" s="4">
        <v>11.7</v>
      </c>
      <c r="E3665" s="4">
        <v>3.79</v>
      </c>
    </row>
    <row r="3666" spans="1:5" x14ac:dyDescent="0.25">
      <c r="A3666" s="4" t="s">
        <v>53</v>
      </c>
      <c r="B3666" s="4" t="s">
        <v>28</v>
      </c>
      <c r="C3666" s="5">
        <v>45315</v>
      </c>
      <c r="D3666" s="4">
        <v>8.6999999999999993</v>
      </c>
      <c r="E3666" s="4">
        <v>2.82</v>
      </c>
    </row>
    <row r="3667" spans="1:5" x14ac:dyDescent="0.25">
      <c r="A3667" s="4" t="s">
        <v>53</v>
      </c>
      <c r="B3667" s="4" t="s">
        <v>28</v>
      </c>
      <c r="C3667" s="5">
        <v>45316</v>
      </c>
      <c r="D3667" s="4">
        <v>13.8</v>
      </c>
      <c r="E3667" s="4">
        <v>4.47</v>
      </c>
    </row>
    <row r="3668" spans="1:5" x14ac:dyDescent="0.25">
      <c r="A3668" s="4" t="s">
        <v>53</v>
      </c>
      <c r="B3668" s="4" t="s">
        <v>28</v>
      </c>
      <c r="C3668" s="5">
        <v>45316</v>
      </c>
      <c r="D3668" s="4">
        <v>11.7</v>
      </c>
      <c r="E3668" s="4">
        <v>3.79</v>
      </c>
    </row>
    <row r="3669" spans="1:5" x14ac:dyDescent="0.25">
      <c r="A3669" s="4" t="s">
        <v>53</v>
      </c>
      <c r="B3669" s="4" t="s">
        <v>28</v>
      </c>
      <c r="C3669" s="5">
        <v>45316</v>
      </c>
      <c r="D3669" s="4">
        <v>10.9</v>
      </c>
      <c r="E3669" s="4">
        <v>3.53</v>
      </c>
    </row>
    <row r="3670" spans="1:5" x14ac:dyDescent="0.25">
      <c r="A3670" s="4" t="s">
        <v>53</v>
      </c>
      <c r="B3670" s="4" t="s">
        <v>28</v>
      </c>
      <c r="C3670" s="5">
        <v>45316</v>
      </c>
      <c r="D3670" s="4">
        <v>11.7</v>
      </c>
      <c r="E3670" s="4">
        <v>3.79</v>
      </c>
    </row>
    <row r="3671" spans="1:5" x14ac:dyDescent="0.25">
      <c r="A3671" s="4" t="s">
        <v>53</v>
      </c>
      <c r="B3671" s="4" t="s">
        <v>28</v>
      </c>
      <c r="C3671" s="5">
        <v>45316</v>
      </c>
      <c r="D3671" s="4">
        <v>10.9</v>
      </c>
      <c r="E3671" s="4">
        <v>3.53</v>
      </c>
    </row>
    <row r="3672" spans="1:5" x14ac:dyDescent="0.25">
      <c r="A3672" s="4" t="s">
        <v>53</v>
      </c>
      <c r="B3672" s="4" t="s">
        <v>28</v>
      </c>
      <c r="C3672" s="5">
        <v>45316</v>
      </c>
      <c r="D3672" s="4">
        <v>11.7</v>
      </c>
      <c r="E3672" s="4">
        <v>3.79</v>
      </c>
    </row>
    <row r="3673" spans="1:5" x14ac:dyDescent="0.25">
      <c r="A3673" s="4" t="s">
        <v>53</v>
      </c>
      <c r="B3673" s="4" t="s">
        <v>28</v>
      </c>
      <c r="C3673" s="5">
        <v>45316</v>
      </c>
      <c r="D3673" s="4">
        <v>10.9</v>
      </c>
      <c r="E3673" s="4">
        <v>3.53</v>
      </c>
    </row>
    <row r="3674" spans="1:5" x14ac:dyDescent="0.25">
      <c r="A3674" s="4" t="s">
        <v>53</v>
      </c>
      <c r="B3674" s="4" t="s">
        <v>28</v>
      </c>
      <c r="C3674" s="5">
        <v>45316</v>
      </c>
      <c r="D3674" s="4">
        <v>11.7</v>
      </c>
      <c r="E3674" s="4">
        <v>3.79</v>
      </c>
    </row>
    <row r="3675" spans="1:5" x14ac:dyDescent="0.25">
      <c r="A3675" s="4" t="s">
        <v>53</v>
      </c>
      <c r="B3675" s="4" t="s">
        <v>28</v>
      </c>
      <c r="C3675" s="5">
        <v>45316</v>
      </c>
      <c r="D3675" s="4">
        <v>14.1</v>
      </c>
      <c r="E3675" s="4">
        <v>4.58</v>
      </c>
    </row>
    <row r="3676" spans="1:5" x14ac:dyDescent="0.25">
      <c r="A3676" s="4" t="s">
        <v>53</v>
      </c>
      <c r="B3676" s="4" t="s">
        <v>28</v>
      </c>
      <c r="C3676" s="5">
        <v>45316</v>
      </c>
      <c r="D3676" s="4">
        <v>9.6999999999999993</v>
      </c>
      <c r="E3676" s="4">
        <v>3.15</v>
      </c>
    </row>
    <row r="3677" spans="1:5" x14ac:dyDescent="0.25">
      <c r="A3677" s="4" t="s">
        <v>53</v>
      </c>
      <c r="B3677" s="4" t="s">
        <v>28</v>
      </c>
      <c r="C3677" s="5">
        <v>45316</v>
      </c>
      <c r="D3677" s="4">
        <v>9.6999999999999993</v>
      </c>
      <c r="E3677" s="4">
        <v>3.15</v>
      </c>
    </row>
    <row r="3678" spans="1:5" x14ac:dyDescent="0.25">
      <c r="A3678" s="4" t="s">
        <v>53</v>
      </c>
      <c r="B3678" s="4" t="s">
        <v>28</v>
      </c>
      <c r="C3678" s="5">
        <v>45316</v>
      </c>
      <c r="D3678" s="4">
        <v>9.6999999999999993</v>
      </c>
      <c r="E3678" s="4">
        <v>3.15</v>
      </c>
    </row>
    <row r="3679" spans="1:5" x14ac:dyDescent="0.25">
      <c r="A3679" s="4" t="s">
        <v>53</v>
      </c>
      <c r="B3679" s="4" t="s">
        <v>28</v>
      </c>
      <c r="C3679" s="5">
        <v>45317</v>
      </c>
      <c r="D3679" s="4">
        <v>13.8</v>
      </c>
      <c r="E3679" s="4">
        <v>4.47</v>
      </c>
    </row>
    <row r="3680" spans="1:5" x14ac:dyDescent="0.25">
      <c r="A3680" s="4" t="s">
        <v>53</v>
      </c>
      <c r="B3680" s="4" t="s">
        <v>28</v>
      </c>
      <c r="C3680" s="5">
        <v>45317</v>
      </c>
      <c r="D3680" s="4">
        <v>11.7</v>
      </c>
      <c r="E3680" s="4">
        <v>3.79</v>
      </c>
    </row>
    <row r="3681" spans="1:5" x14ac:dyDescent="0.25">
      <c r="A3681" s="4" t="s">
        <v>53</v>
      </c>
      <c r="B3681" s="4" t="s">
        <v>28</v>
      </c>
      <c r="C3681" s="5">
        <v>45317</v>
      </c>
      <c r="D3681" s="4">
        <v>10.9</v>
      </c>
      <c r="E3681" s="4">
        <v>3.53</v>
      </c>
    </row>
    <row r="3682" spans="1:5" x14ac:dyDescent="0.25">
      <c r="A3682" s="4" t="s">
        <v>53</v>
      </c>
      <c r="B3682" s="4" t="s">
        <v>28</v>
      </c>
      <c r="C3682" s="5">
        <v>45317</v>
      </c>
      <c r="D3682" s="4">
        <v>11.7</v>
      </c>
      <c r="E3682" s="4">
        <v>3.79</v>
      </c>
    </row>
    <row r="3683" spans="1:5" x14ac:dyDescent="0.25">
      <c r="A3683" s="4" t="s">
        <v>53</v>
      </c>
      <c r="B3683" s="4" t="s">
        <v>28</v>
      </c>
      <c r="C3683" s="5">
        <v>45317</v>
      </c>
      <c r="D3683" s="4">
        <v>10.9</v>
      </c>
      <c r="E3683" s="4">
        <v>3.53</v>
      </c>
    </row>
    <row r="3684" spans="1:5" x14ac:dyDescent="0.25">
      <c r="A3684" s="4" t="s">
        <v>53</v>
      </c>
      <c r="B3684" s="4" t="s">
        <v>28</v>
      </c>
      <c r="C3684" s="5">
        <v>45317</v>
      </c>
      <c r="D3684" s="4">
        <v>11.7</v>
      </c>
      <c r="E3684" s="4">
        <v>3.79</v>
      </c>
    </row>
    <row r="3685" spans="1:5" x14ac:dyDescent="0.25">
      <c r="A3685" s="4" t="s">
        <v>53</v>
      </c>
      <c r="B3685" s="4" t="s">
        <v>28</v>
      </c>
      <c r="C3685" s="5">
        <v>45317</v>
      </c>
      <c r="D3685" s="4">
        <v>8.6999999999999993</v>
      </c>
      <c r="E3685" s="4">
        <v>2.82</v>
      </c>
    </row>
    <row r="3686" spans="1:5" x14ac:dyDescent="0.25">
      <c r="A3686" s="4" t="s">
        <v>53</v>
      </c>
      <c r="B3686" s="4" t="s">
        <v>28</v>
      </c>
      <c r="C3686" s="5">
        <v>45320</v>
      </c>
      <c r="D3686" s="4">
        <v>15.4</v>
      </c>
      <c r="E3686" s="4">
        <v>5</v>
      </c>
    </row>
    <row r="3687" spans="1:5" x14ac:dyDescent="0.25">
      <c r="A3687" s="4" t="s">
        <v>53</v>
      </c>
      <c r="B3687" s="4" t="s">
        <v>28</v>
      </c>
      <c r="C3687" s="5">
        <v>45320</v>
      </c>
      <c r="D3687" s="4">
        <v>24.2</v>
      </c>
      <c r="E3687" s="4">
        <v>7.85</v>
      </c>
    </row>
    <row r="3688" spans="1:5" x14ac:dyDescent="0.25">
      <c r="A3688" s="4" t="s">
        <v>53</v>
      </c>
      <c r="B3688" s="4" t="s">
        <v>28</v>
      </c>
      <c r="C3688" s="5">
        <v>45320</v>
      </c>
      <c r="D3688" s="4">
        <v>8.5</v>
      </c>
      <c r="E3688" s="4">
        <v>2.75</v>
      </c>
    </row>
    <row r="3689" spans="1:5" x14ac:dyDescent="0.25">
      <c r="A3689" s="4" t="s">
        <v>53</v>
      </c>
      <c r="B3689" s="4" t="s">
        <v>28</v>
      </c>
      <c r="C3689" s="5">
        <v>45320</v>
      </c>
      <c r="D3689" s="4">
        <v>5.9</v>
      </c>
      <c r="E3689" s="4">
        <v>1.91</v>
      </c>
    </row>
    <row r="3690" spans="1:5" x14ac:dyDescent="0.25">
      <c r="A3690" s="4" t="s">
        <v>53</v>
      </c>
      <c r="B3690" s="4" t="s">
        <v>28</v>
      </c>
      <c r="C3690" s="5">
        <v>45320</v>
      </c>
      <c r="D3690" s="4">
        <v>10.6</v>
      </c>
      <c r="E3690" s="4">
        <v>3.43</v>
      </c>
    </row>
    <row r="3691" spans="1:5" x14ac:dyDescent="0.25">
      <c r="A3691" s="4" t="s">
        <v>53</v>
      </c>
      <c r="B3691" s="4" t="s">
        <v>28</v>
      </c>
      <c r="C3691" s="5">
        <v>45321</v>
      </c>
      <c r="D3691" s="4">
        <v>15.4</v>
      </c>
      <c r="E3691" s="4">
        <v>5</v>
      </c>
    </row>
    <row r="3692" spans="1:5" x14ac:dyDescent="0.25">
      <c r="A3692" s="4" t="s">
        <v>53</v>
      </c>
      <c r="B3692" s="4" t="s">
        <v>28</v>
      </c>
      <c r="C3692" s="5">
        <v>45321</v>
      </c>
      <c r="D3692" s="4">
        <v>28.8</v>
      </c>
      <c r="E3692" s="4">
        <v>9.34</v>
      </c>
    </row>
    <row r="3693" spans="1:5" x14ac:dyDescent="0.25">
      <c r="A3693" s="4" t="s">
        <v>53</v>
      </c>
      <c r="B3693" s="4" t="s">
        <v>28</v>
      </c>
      <c r="C3693" s="5">
        <v>45321</v>
      </c>
      <c r="D3693" s="4">
        <v>2.4</v>
      </c>
      <c r="E3693" s="4">
        <v>0.75</v>
      </c>
    </row>
    <row r="3694" spans="1:5" x14ac:dyDescent="0.25">
      <c r="A3694" s="4" t="s">
        <v>53</v>
      </c>
      <c r="B3694" s="4" t="s">
        <v>28</v>
      </c>
      <c r="C3694" s="5">
        <v>45321</v>
      </c>
      <c r="D3694" s="4">
        <v>2.4</v>
      </c>
      <c r="E3694" s="4">
        <v>0.75</v>
      </c>
    </row>
    <row r="3695" spans="1:5" x14ac:dyDescent="0.25">
      <c r="A3695" s="4" t="s">
        <v>53</v>
      </c>
      <c r="B3695" s="4" t="s">
        <v>28</v>
      </c>
      <c r="C3695" s="5">
        <v>45321</v>
      </c>
      <c r="D3695" s="4">
        <v>30.6</v>
      </c>
      <c r="E3695" s="4">
        <v>9.92</v>
      </c>
    </row>
    <row r="3696" spans="1:5" x14ac:dyDescent="0.25">
      <c r="A3696" s="4" t="s">
        <v>53</v>
      </c>
      <c r="B3696" s="4" t="s">
        <v>28</v>
      </c>
      <c r="C3696" s="5">
        <v>45321</v>
      </c>
      <c r="D3696" s="4">
        <v>15.4</v>
      </c>
      <c r="E3696" s="4">
        <v>5</v>
      </c>
    </row>
    <row r="3697" spans="1:5" x14ac:dyDescent="0.25">
      <c r="A3697" s="4" t="s">
        <v>53</v>
      </c>
      <c r="B3697" s="4" t="s">
        <v>28</v>
      </c>
      <c r="C3697" s="5">
        <v>45321</v>
      </c>
      <c r="D3697" s="4">
        <v>28.8</v>
      </c>
      <c r="E3697" s="4">
        <v>9.34</v>
      </c>
    </row>
    <row r="3698" spans="1:5" x14ac:dyDescent="0.25">
      <c r="A3698" s="4" t="s">
        <v>53</v>
      </c>
      <c r="B3698" s="4" t="s">
        <v>28</v>
      </c>
      <c r="C3698" s="5">
        <v>45321</v>
      </c>
      <c r="D3698" s="4">
        <v>2.4</v>
      </c>
      <c r="E3698" s="4">
        <v>0.75</v>
      </c>
    </row>
    <row r="3699" spans="1:5" x14ac:dyDescent="0.25">
      <c r="A3699" s="4" t="s">
        <v>53</v>
      </c>
      <c r="B3699" s="4" t="s">
        <v>28</v>
      </c>
      <c r="C3699" s="5">
        <v>45321</v>
      </c>
      <c r="D3699" s="4">
        <v>2.4</v>
      </c>
      <c r="E3699" s="4">
        <v>0.75</v>
      </c>
    </row>
    <row r="3700" spans="1:5" x14ac:dyDescent="0.25">
      <c r="A3700" s="4" t="s">
        <v>53</v>
      </c>
      <c r="B3700" s="4" t="s">
        <v>28</v>
      </c>
      <c r="C3700" s="5">
        <v>45321</v>
      </c>
      <c r="D3700" s="4">
        <v>28.8</v>
      </c>
      <c r="E3700" s="4">
        <v>9.34</v>
      </c>
    </row>
    <row r="3701" spans="1:5" x14ac:dyDescent="0.25">
      <c r="A3701" s="4" t="s">
        <v>53</v>
      </c>
      <c r="B3701" s="4" t="s">
        <v>28</v>
      </c>
      <c r="C3701" s="5">
        <v>45321</v>
      </c>
      <c r="D3701" s="4">
        <v>28.8</v>
      </c>
      <c r="E3701" s="4">
        <v>9.34</v>
      </c>
    </row>
    <row r="3702" spans="1:5" x14ac:dyDescent="0.25">
      <c r="A3702" s="4" t="s">
        <v>53</v>
      </c>
      <c r="B3702" s="4" t="s">
        <v>28</v>
      </c>
      <c r="C3702" s="5">
        <v>45321</v>
      </c>
      <c r="D3702" s="4">
        <v>2.4</v>
      </c>
      <c r="E3702" s="4">
        <v>0.75</v>
      </c>
    </row>
    <row r="3703" spans="1:5" x14ac:dyDescent="0.25">
      <c r="A3703" s="4" t="s">
        <v>53</v>
      </c>
      <c r="B3703" s="4" t="s">
        <v>28</v>
      </c>
      <c r="C3703" s="5">
        <v>45321</v>
      </c>
      <c r="D3703" s="4">
        <v>2.4</v>
      </c>
      <c r="E3703" s="4">
        <v>0.75</v>
      </c>
    </row>
    <row r="3704" spans="1:5" x14ac:dyDescent="0.25">
      <c r="A3704" s="4" t="s">
        <v>53</v>
      </c>
      <c r="B3704" s="4" t="s">
        <v>28</v>
      </c>
      <c r="C3704" s="5">
        <v>45321</v>
      </c>
      <c r="D3704" s="4">
        <v>28.8</v>
      </c>
      <c r="E3704" s="4">
        <v>9.34</v>
      </c>
    </row>
    <row r="3705" spans="1:5" x14ac:dyDescent="0.25">
      <c r="A3705" s="4" t="s">
        <v>53</v>
      </c>
      <c r="B3705" s="4" t="s">
        <v>28</v>
      </c>
      <c r="C3705" s="5">
        <v>45321</v>
      </c>
      <c r="D3705" s="4">
        <v>21.6</v>
      </c>
      <c r="E3705" s="4">
        <v>6.99</v>
      </c>
    </row>
    <row r="3706" spans="1:5" x14ac:dyDescent="0.25">
      <c r="A3706" s="4" t="s">
        <v>53</v>
      </c>
      <c r="B3706" s="4" t="s">
        <v>28</v>
      </c>
      <c r="C3706" s="5">
        <v>45321</v>
      </c>
      <c r="D3706" s="4">
        <v>23.4</v>
      </c>
      <c r="E3706" s="4">
        <v>7.57</v>
      </c>
    </row>
    <row r="3707" spans="1:5" x14ac:dyDescent="0.25">
      <c r="A3707" s="4" t="s">
        <v>53</v>
      </c>
      <c r="B3707" s="4" t="s">
        <v>28</v>
      </c>
      <c r="C3707" s="5">
        <v>45322</v>
      </c>
      <c r="D3707" s="4">
        <v>16.8</v>
      </c>
      <c r="E3707" s="4">
        <v>5.45</v>
      </c>
    </row>
    <row r="3708" spans="1:5" x14ac:dyDescent="0.25">
      <c r="A3708" s="4" t="s">
        <v>53</v>
      </c>
      <c r="B3708" s="4" t="s">
        <v>28</v>
      </c>
      <c r="C3708" s="5">
        <v>45322</v>
      </c>
      <c r="D3708" s="4">
        <v>16.8</v>
      </c>
      <c r="E3708" s="4">
        <v>5.45</v>
      </c>
    </row>
    <row r="3709" spans="1:5" x14ac:dyDescent="0.25">
      <c r="A3709" s="4" t="s">
        <v>53</v>
      </c>
      <c r="B3709" s="4" t="s">
        <v>28</v>
      </c>
      <c r="C3709" s="5">
        <v>45323</v>
      </c>
      <c r="D3709" s="4">
        <v>16.8</v>
      </c>
      <c r="E3709" s="4">
        <v>5.45</v>
      </c>
    </row>
    <row r="3710" spans="1:5" x14ac:dyDescent="0.25">
      <c r="A3710" s="4" t="s">
        <v>53</v>
      </c>
      <c r="B3710" s="4" t="s">
        <v>28</v>
      </c>
      <c r="C3710" s="5">
        <v>45323</v>
      </c>
      <c r="D3710" s="4">
        <v>16.8</v>
      </c>
      <c r="E3710" s="4">
        <v>5.45</v>
      </c>
    </row>
    <row r="3711" spans="1:5" x14ac:dyDescent="0.25">
      <c r="A3711" s="4" t="s">
        <v>53</v>
      </c>
      <c r="B3711" s="4" t="s">
        <v>28</v>
      </c>
      <c r="C3711" s="5">
        <v>45324</v>
      </c>
      <c r="D3711" s="4">
        <v>15.4</v>
      </c>
      <c r="E3711" s="4">
        <v>5</v>
      </c>
    </row>
    <row r="3712" spans="1:5" x14ac:dyDescent="0.25">
      <c r="A3712" s="4" t="s">
        <v>53</v>
      </c>
      <c r="B3712" s="4" t="s">
        <v>28</v>
      </c>
      <c r="C3712" s="5">
        <v>45324</v>
      </c>
      <c r="D3712" s="4">
        <v>15.4</v>
      </c>
      <c r="E3712" s="4">
        <v>5</v>
      </c>
    </row>
    <row r="3713" spans="1:5" x14ac:dyDescent="0.25">
      <c r="A3713" s="4" t="s">
        <v>53</v>
      </c>
      <c r="B3713" s="4" t="s">
        <v>28</v>
      </c>
      <c r="C3713" s="5">
        <v>45324</v>
      </c>
      <c r="D3713" s="4">
        <v>33.9</v>
      </c>
      <c r="E3713" s="4">
        <v>11</v>
      </c>
    </row>
    <row r="3714" spans="1:5" x14ac:dyDescent="0.25">
      <c r="A3714" s="4" t="s">
        <v>53</v>
      </c>
      <c r="B3714" s="4" t="s">
        <v>28</v>
      </c>
      <c r="C3714" s="5">
        <v>45324</v>
      </c>
      <c r="D3714" s="4">
        <v>29.3</v>
      </c>
      <c r="E3714" s="4">
        <v>9.51</v>
      </c>
    </row>
    <row r="3715" spans="1:5" x14ac:dyDescent="0.25">
      <c r="A3715" s="4" t="s">
        <v>53</v>
      </c>
      <c r="B3715" s="4" t="s">
        <v>28</v>
      </c>
      <c r="C3715" s="5">
        <v>45324</v>
      </c>
      <c r="D3715" s="4">
        <v>27</v>
      </c>
      <c r="E3715" s="4">
        <v>8.76</v>
      </c>
    </row>
    <row r="3716" spans="1:5" x14ac:dyDescent="0.25">
      <c r="A3716" s="4" t="s">
        <v>53</v>
      </c>
      <c r="B3716" s="4" t="s">
        <v>28</v>
      </c>
      <c r="C3716" s="5">
        <v>45324</v>
      </c>
      <c r="D3716" s="4">
        <v>10.1</v>
      </c>
      <c r="E3716" s="4">
        <v>3.26</v>
      </c>
    </row>
    <row r="3717" spans="1:5" x14ac:dyDescent="0.25">
      <c r="A3717" s="4" t="s">
        <v>53</v>
      </c>
      <c r="B3717" s="4" t="s">
        <v>28</v>
      </c>
      <c r="C3717" s="5">
        <v>45324</v>
      </c>
      <c r="D3717" s="4">
        <v>4.4000000000000004</v>
      </c>
      <c r="E3717" s="4">
        <v>1.43</v>
      </c>
    </row>
    <row r="3718" spans="1:5" x14ac:dyDescent="0.25">
      <c r="A3718" s="4" t="s">
        <v>53</v>
      </c>
      <c r="B3718" s="4" t="s">
        <v>28</v>
      </c>
      <c r="C3718" s="5">
        <v>45324</v>
      </c>
      <c r="D3718" s="4">
        <v>27</v>
      </c>
      <c r="E3718" s="4">
        <v>8.76</v>
      </c>
    </row>
    <row r="3719" spans="1:5" x14ac:dyDescent="0.25">
      <c r="A3719" s="4" t="s">
        <v>53</v>
      </c>
      <c r="B3719" s="4" t="s">
        <v>28</v>
      </c>
      <c r="C3719" s="5">
        <v>45324</v>
      </c>
      <c r="D3719" s="4">
        <v>20.100000000000001</v>
      </c>
      <c r="E3719" s="4">
        <v>6.52</v>
      </c>
    </row>
    <row r="3720" spans="1:5" x14ac:dyDescent="0.25">
      <c r="A3720" s="4" t="s">
        <v>53</v>
      </c>
      <c r="B3720" s="4" t="s">
        <v>28</v>
      </c>
      <c r="C3720" s="5">
        <v>45327</v>
      </c>
      <c r="D3720" s="4">
        <v>35.9</v>
      </c>
      <c r="E3720" s="4">
        <v>11.61</v>
      </c>
    </row>
    <row r="3721" spans="1:5" x14ac:dyDescent="0.25">
      <c r="A3721" s="4" t="s">
        <v>53</v>
      </c>
      <c r="B3721" s="4" t="s">
        <v>28</v>
      </c>
      <c r="C3721" s="5">
        <v>45327</v>
      </c>
      <c r="D3721" s="4">
        <v>0.9</v>
      </c>
      <c r="E3721" s="4">
        <v>0.28999999999999998</v>
      </c>
    </row>
    <row r="3722" spans="1:5" x14ac:dyDescent="0.25">
      <c r="A3722" s="4" t="s">
        <v>53</v>
      </c>
      <c r="B3722" s="4" t="s">
        <v>28</v>
      </c>
      <c r="C3722" s="5">
        <v>45327</v>
      </c>
      <c r="D3722" s="4">
        <v>18.8</v>
      </c>
      <c r="E3722" s="4">
        <v>6.04</v>
      </c>
    </row>
    <row r="3723" spans="1:5" x14ac:dyDescent="0.25">
      <c r="A3723" s="4" t="s">
        <v>53</v>
      </c>
      <c r="B3723" s="4" t="s">
        <v>28</v>
      </c>
      <c r="C3723" s="5">
        <v>45327</v>
      </c>
      <c r="D3723" s="4">
        <v>0.9</v>
      </c>
      <c r="E3723" s="4">
        <v>0.28999999999999998</v>
      </c>
    </row>
    <row r="3724" spans="1:5" x14ac:dyDescent="0.25">
      <c r="A3724" s="4" t="s">
        <v>53</v>
      </c>
      <c r="B3724" s="4" t="s">
        <v>28</v>
      </c>
      <c r="C3724" s="5">
        <v>45327</v>
      </c>
      <c r="D3724" s="4">
        <v>2.2999999999999998</v>
      </c>
      <c r="E3724" s="4">
        <v>0.74</v>
      </c>
    </row>
    <row r="3725" spans="1:5" x14ac:dyDescent="0.25">
      <c r="A3725" s="4" t="s">
        <v>53</v>
      </c>
      <c r="B3725" s="4" t="s">
        <v>28</v>
      </c>
      <c r="C3725" s="5">
        <v>45327</v>
      </c>
      <c r="D3725" s="4">
        <v>16.8</v>
      </c>
      <c r="E3725" s="4">
        <v>5.45</v>
      </c>
    </row>
    <row r="3726" spans="1:5" x14ac:dyDescent="0.25">
      <c r="A3726" s="4" t="s">
        <v>53</v>
      </c>
      <c r="B3726" s="4" t="s">
        <v>28</v>
      </c>
      <c r="C3726" s="5">
        <v>45328</v>
      </c>
      <c r="D3726" s="4">
        <v>4.0999999999999996</v>
      </c>
      <c r="E3726" s="4">
        <v>1.28</v>
      </c>
    </row>
    <row r="3727" spans="1:5" x14ac:dyDescent="0.25">
      <c r="A3727" s="4" t="s">
        <v>53</v>
      </c>
      <c r="B3727" s="4" t="s">
        <v>28</v>
      </c>
      <c r="C3727" s="5">
        <v>45328</v>
      </c>
      <c r="D3727" s="4">
        <v>13.1</v>
      </c>
      <c r="E3727" s="4">
        <v>4.22</v>
      </c>
    </row>
    <row r="3728" spans="1:5" x14ac:dyDescent="0.25">
      <c r="A3728" s="4" t="s">
        <v>53</v>
      </c>
      <c r="B3728" s="4" t="s">
        <v>28</v>
      </c>
      <c r="C3728" s="5">
        <v>45328</v>
      </c>
      <c r="D3728" s="4">
        <v>25.4</v>
      </c>
      <c r="E3728" s="4">
        <v>8.23</v>
      </c>
    </row>
    <row r="3729" spans="1:5" x14ac:dyDescent="0.25">
      <c r="A3729" s="4" t="s">
        <v>53</v>
      </c>
      <c r="B3729" s="4" t="s">
        <v>28</v>
      </c>
      <c r="C3729" s="5">
        <v>45328</v>
      </c>
      <c r="D3729" s="4">
        <v>34.200000000000003</v>
      </c>
      <c r="E3729" s="4">
        <v>11.08</v>
      </c>
    </row>
    <row r="3730" spans="1:5" x14ac:dyDescent="0.25">
      <c r="A3730" s="4" t="s">
        <v>53</v>
      </c>
      <c r="B3730" s="4" t="s">
        <v>28</v>
      </c>
      <c r="C3730" s="5">
        <v>45328</v>
      </c>
      <c r="D3730" s="4">
        <v>34.200000000000003</v>
      </c>
      <c r="E3730" s="4">
        <v>11.08</v>
      </c>
    </row>
    <row r="3731" spans="1:5" x14ac:dyDescent="0.25">
      <c r="A3731" s="4" t="s">
        <v>53</v>
      </c>
      <c r="B3731" s="4" t="s">
        <v>28</v>
      </c>
      <c r="C3731" s="5">
        <v>45328</v>
      </c>
      <c r="D3731" s="4">
        <v>34.200000000000003</v>
      </c>
      <c r="E3731" s="4">
        <v>11.08</v>
      </c>
    </row>
    <row r="3732" spans="1:5" x14ac:dyDescent="0.25">
      <c r="A3732" s="4" t="s">
        <v>53</v>
      </c>
      <c r="B3732" s="4" t="s">
        <v>28</v>
      </c>
      <c r="C3732" s="5">
        <v>45328</v>
      </c>
      <c r="D3732" s="4">
        <v>24.8</v>
      </c>
      <c r="E3732" s="4">
        <v>8</v>
      </c>
    </row>
    <row r="3733" spans="1:5" x14ac:dyDescent="0.25">
      <c r="A3733" s="4" t="s">
        <v>53</v>
      </c>
      <c r="B3733" s="4" t="s">
        <v>28</v>
      </c>
      <c r="C3733" s="5">
        <v>45329</v>
      </c>
      <c r="D3733" s="4">
        <v>16.8</v>
      </c>
      <c r="E3733" s="4">
        <v>5.45</v>
      </c>
    </row>
    <row r="3734" spans="1:5" x14ac:dyDescent="0.25">
      <c r="A3734" s="4" t="s">
        <v>53</v>
      </c>
      <c r="B3734" s="4" t="s">
        <v>28</v>
      </c>
      <c r="C3734" s="5">
        <v>45329</v>
      </c>
      <c r="D3734" s="4">
        <v>16.8</v>
      </c>
      <c r="E3734" s="4">
        <v>5.45</v>
      </c>
    </row>
    <row r="3735" spans="1:5" x14ac:dyDescent="0.25">
      <c r="A3735" s="4" t="s">
        <v>53</v>
      </c>
      <c r="B3735" s="4" t="s">
        <v>28</v>
      </c>
      <c r="C3735" s="5">
        <v>45330</v>
      </c>
      <c r="D3735" s="4">
        <v>30.6</v>
      </c>
      <c r="E3735" s="4">
        <v>9.92</v>
      </c>
    </row>
    <row r="3736" spans="1:5" x14ac:dyDescent="0.25">
      <c r="A3736" s="4" t="s">
        <v>53</v>
      </c>
      <c r="B3736" s="4" t="s">
        <v>28</v>
      </c>
      <c r="C3736" s="5">
        <v>45330</v>
      </c>
      <c r="D3736" s="4">
        <v>2.4</v>
      </c>
      <c r="E3736" s="4">
        <v>0.75</v>
      </c>
    </row>
    <row r="3737" spans="1:5" x14ac:dyDescent="0.25">
      <c r="A3737" s="4" t="s">
        <v>53</v>
      </c>
      <c r="B3737" s="4" t="s">
        <v>28</v>
      </c>
      <c r="C3737" s="5">
        <v>45330</v>
      </c>
      <c r="D3737" s="4">
        <v>1.8</v>
      </c>
      <c r="E3737" s="4">
        <v>0.57999999999999996</v>
      </c>
    </row>
    <row r="3738" spans="1:5" x14ac:dyDescent="0.25">
      <c r="A3738" s="4" t="s">
        <v>53</v>
      </c>
      <c r="B3738" s="4" t="s">
        <v>28</v>
      </c>
      <c r="C3738" s="5">
        <v>45330</v>
      </c>
      <c r="D3738" s="4">
        <v>1.8</v>
      </c>
      <c r="E3738" s="4">
        <v>0.57999999999999996</v>
      </c>
    </row>
    <row r="3739" spans="1:5" x14ac:dyDescent="0.25">
      <c r="A3739" s="4" t="s">
        <v>53</v>
      </c>
      <c r="B3739" s="4" t="s">
        <v>28</v>
      </c>
      <c r="C3739" s="5">
        <v>45330</v>
      </c>
      <c r="D3739" s="4">
        <v>2.4</v>
      </c>
      <c r="E3739" s="4">
        <v>0.75</v>
      </c>
    </row>
    <row r="3740" spans="1:5" x14ac:dyDescent="0.25">
      <c r="A3740" s="4" t="s">
        <v>53</v>
      </c>
      <c r="B3740" s="4" t="s">
        <v>28</v>
      </c>
      <c r="C3740" s="5">
        <v>45330</v>
      </c>
      <c r="D3740" s="4">
        <v>4.8</v>
      </c>
      <c r="E3740" s="4">
        <v>1.5</v>
      </c>
    </row>
    <row r="3741" spans="1:5" x14ac:dyDescent="0.25">
      <c r="A3741" s="4" t="s">
        <v>53</v>
      </c>
      <c r="B3741" s="4" t="s">
        <v>28</v>
      </c>
      <c r="C3741" s="5">
        <v>45330</v>
      </c>
      <c r="D3741" s="4">
        <v>4.8</v>
      </c>
      <c r="E3741" s="4">
        <v>1.5</v>
      </c>
    </row>
    <row r="3742" spans="1:5" x14ac:dyDescent="0.25">
      <c r="A3742" s="4" t="s">
        <v>53</v>
      </c>
      <c r="B3742" s="4" t="s">
        <v>28</v>
      </c>
      <c r="C3742" s="5">
        <v>45330</v>
      </c>
      <c r="D3742" s="4">
        <v>2.4</v>
      </c>
      <c r="E3742" s="4">
        <v>0.75</v>
      </c>
    </row>
    <row r="3743" spans="1:5" x14ac:dyDescent="0.25">
      <c r="A3743" s="4" t="s">
        <v>53</v>
      </c>
      <c r="B3743" s="4" t="s">
        <v>28</v>
      </c>
      <c r="C3743" s="5">
        <v>45330</v>
      </c>
      <c r="D3743" s="4">
        <v>2.4</v>
      </c>
      <c r="E3743" s="4">
        <v>0.75</v>
      </c>
    </row>
    <row r="3744" spans="1:5" x14ac:dyDescent="0.25">
      <c r="A3744" s="4" t="s">
        <v>53</v>
      </c>
      <c r="B3744" s="4" t="s">
        <v>28</v>
      </c>
      <c r="C3744" s="5">
        <v>45330</v>
      </c>
      <c r="D3744" s="4">
        <v>30.6</v>
      </c>
      <c r="E3744" s="4">
        <v>9.92</v>
      </c>
    </row>
    <row r="3745" spans="1:5" x14ac:dyDescent="0.25">
      <c r="A3745" s="4" t="s">
        <v>53</v>
      </c>
      <c r="B3745" s="4" t="s">
        <v>28</v>
      </c>
      <c r="C3745" s="5">
        <v>45331</v>
      </c>
      <c r="D3745" s="4">
        <v>15</v>
      </c>
      <c r="E3745" s="4">
        <v>4.87</v>
      </c>
    </row>
    <row r="3746" spans="1:5" x14ac:dyDescent="0.25">
      <c r="A3746" s="4" t="s">
        <v>53</v>
      </c>
      <c r="B3746" s="4" t="s">
        <v>28</v>
      </c>
      <c r="C3746" s="5">
        <v>45331</v>
      </c>
      <c r="D3746" s="4">
        <v>24.5</v>
      </c>
      <c r="E3746" s="4">
        <v>7.95</v>
      </c>
    </row>
    <row r="3747" spans="1:5" x14ac:dyDescent="0.25">
      <c r="A3747" s="4" t="s">
        <v>53</v>
      </c>
      <c r="B3747" s="4" t="s">
        <v>28</v>
      </c>
      <c r="C3747" s="5">
        <v>45331</v>
      </c>
      <c r="D3747" s="4">
        <v>27</v>
      </c>
      <c r="E3747" s="4">
        <v>8.76</v>
      </c>
    </row>
    <row r="3748" spans="1:5" x14ac:dyDescent="0.25">
      <c r="A3748" s="4" t="s">
        <v>53</v>
      </c>
      <c r="B3748" s="4" t="s">
        <v>28</v>
      </c>
      <c r="C3748" s="5">
        <v>45331</v>
      </c>
      <c r="D3748" s="4">
        <v>24.5</v>
      </c>
      <c r="E3748" s="4">
        <v>7.95</v>
      </c>
    </row>
    <row r="3749" spans="1:5" x14ac:dyDescent="0.25">
      <c r="A3749" s="4" t="s">
        <v>53</v>
      </c>
      <c r="B3749" s="4" t="s">
        <v>28</v>
      </c>
      <c r="C3749" s="5">
        <v>45331</v>
      </c>
      <c r="D3749" s="4">
        <v>27</v>
      </c>
      <c r="E3749" s="4">
        <v>8.76</v>
      </c>
    </row>
    <row r="3750" spans="1:5" x14ac:dyDescent="0.25">
      <c r="A3750" s="4" t="s">
        <v>53</v>
      </c>
      <c r="B3750" s="4" t="s">
        <v>28</v>
      </c>
      <c r="C3750" s="5">
        <v>45331</v>
      </c>
      <c r="D3750" s="4">
        <v>24.5</v>
      </c>
      <c r="E3750" s="4">
        <v>7.95</v>
      </c>
    </row>
    <row r="3751" spans="1:5" x14ac:dyDescent="0.25">
      <c r="A3751" s="4" t="s">
        <v>53</v>
      </c>
      <c r="B3751" s="4" t="s">
        <v>28</v>
      </c>
      <c r="C3751" s="5">
        <v>45331</v>
      </c>
      <c r="D3751" s="4">
        <v>26.3</v>
      </c>
      <c r="E3751" s="4">
        <v>8.5299999999999994</v>
      </c>
    </row>
    <row r="3752" spans="1:5" x14ac:dyDescent="0.25">
      <c r="A3752" s="4" t="s">
        <v>53</v>
      </c>
      <c r="B3752" s="4" t="s">
        <v>28</v>
      </c>
      <c r="C3752" s="5">
        <v>45334</v>
      </c>
      <c r="D3752" s="4">
        <v>15.4</v>
      </c>
      <c r="E3752" s="4">
        <v>5</v>
      </c>
    </row>
    <row r="3753" spans="1:5" x14ac:dyDescent="0.25">
      <c r="A3753" s="4" t="s">
        <v>53</v>
      </c>
      <c r="B3753" s="4" t="s">
        <v>28</v>
      </c>
      <c r="C3753" s="5">
        <v>45334</v>
      </c>
      <c r="D3753" s="4">
        <v>28.8</v>
      </c>
      <c r="E3753" s="4">
        <v>9.34</v>
      </c>
    </row>
    <row r="3754" spans="1:5" x14ac:dyDescent="0.25">
      <c r="A3754" s="4" t="s">
        <v>53</v>
      </c>
      <c r="B3754" s="4" t="s">
        <v>28</v>
      </c>
      <c r="C3754" s="5">
        <v>45334</v>
      </c>
      <c r="D3754" s="4">
        <v>2.4</v>
      </c>
      <c r="E3754" s="4">
        <v>0.78</v>
      </c>
    </row>
    <row r="3755" spans="1:5" x14ac:dyDescent="0.25">
      <c r="A3755" s="4" t="s">
        <v>53</v>
      </c>
      <c r="B3755" s="4" t="s">
        <v>28</v>
      </c>
      <c r="C3755" s="5">
        <v>45334</v>
      </c>
      <c r="D3755" s="4">
        <v>42.6</v>
      </c>
      <c r="E3755" s="4">
        <v>13.8</v>
      </c>
    </row>
    <row r="3756" spans="1:5" x14ac:dyDescent="0.25">
      <c r="A3756" s="4" t="s">
        <v>53</v>
      </c>
      <c r="B3756" s="4" t="s">
        <v>28</v>
      </c>
      <c r="C3756" s="5">
        <v>45334</v>
      </c>
      <c r="D3756" s="4">
        <v>21.6</v>
      </c>
      <c r="E3756" s="4">
        <v>6.99</v>
      </c>
    </row>
    <row r="3757" spans="1:5" x14ac:dyDescent="0.25">
      <c r="A3757" s="4" t="s">
        <v>53</v>
      </c>
      <c r="B3757" s="4" t="s">
        <v>28</v>
      </c>
      <c r="C3757" s="5">
        <v>45334</v>
      </c>
      <c r="D3757" s="4">
        <v>12.4</v>
      </c>
      <c r="E3757" s="4">
        <v>4</v>
      </c>
    </row>
    <row r="3758" spans="1:5" x14ac:dyDescent="0.25">
      <c r="A3758" s="4" t="s">
        <v>53</v>
      </c>
      <c r="B3758" s="4" t="s">
        <v>28</v>
      </c>
      <c r="C3758" s="5">
        <v>45334</v>
      </c>
      <c r="D3758" s="4">
        <v>11</v>
      </c>
      <c r="E3758" s="4">
        <v>3.57</v>
      </c>
    </row>
    <row r="3759" spans="1:5" x14ac:dyDescent="0.25">
      <c r="A3759" s="4" t="s">
        <v>53</v>
      </c>
      <c r="B3759" s="4" t="s">
        <v>28</v>
      </c>
      <c r="C3759" s="5">
        <v>45334</v>
      </c>
      <c r="D3759" s="4">
        <v>15.4</v>
      </c>
      <c r="E3759" s="4">
        <v>5</v>
      </c>
    </row>
    <row r="3760" spans="1:5" x14ac:dyDescent="0.25">
      <c r="A3760" s="4" t="s">
        <v>53</v>
      </c>
      <c r="B3760" s="4" t="s">
        <v>28</v>
      </c>
      <c r="C3760" s="5">
        <v>45335</v>
      </c>
      <c r="D3760" s="4">
        <v>16.8</v>
      </c>
      <c r="E3760" s="4">
        <v>5.45</v>
      </c>
    </row>
    <row r="3761" spans="1:5" x14ac:dyDescent="0.25">
      <c r="A3761" s="4" t="s">
        <v>53</v>
      </c>
      <c r="B3761" s="4" t="s">
        <v>28</v>
      </c>
      <c r="C3761" s="5">
        <v>45335</v>
      </c>
      <c r="D3761" s="4">
        <v>15</v>
      </c>
      <c r="E3761" s="4">
        <v>4.87</v>
      </c>
    </row>
    <row r="3762" spans="1:5" x14ac:dyDescent="0.25">
      <c r="A3762" s="4" t="s">
        <v>53</v>
      </c>
      <c r="B3762" s="4" t="s">
        <v>28</v>
      </c>
      <c r="C3762" s="5">
        <v>45335</v>
      </c>
      <c r="D3762" s="4">
        <v>15</v>
      </c>
      <c r="E3762" s="4">
        <v>4.87</v>
      </c>
    </row>
    <row r="3763" spans="1:5" x14ac:dyDescent="0.25">
      <c r="A3763" s="4" t="s">
        <v>53</v>
      </c>
      <c r="B3763" s="4" t="s">
        <v>28</v>
      </c>
      <c r="C3763" s="5">
        <v>45335</v>
      </c>
      <c r="D3763" s="4">
        <v>15</v>
      </c>
      <c r="E3763" s="4">
        <v>4.87</v>
      </c>
    </row>
    <row r="3764" spans="1:5" x14ac:dyDescent="0.25">
      <c r="A3764" s="4" t="s">
        <v>53</v>
      </c>
      <c r="B3764" s="4" t="s">
        <v>28</v>
      </c>
      <c r="C3764" s="5">
        <v>45335</v>
      </c>
      <c r="D3764" s="4">
        <v>15</v>
      </c>
      <c r="E3764" s="4">
        <v>4.87</v>
      </c>
    </row>
    <row r="3765" spans="1:5" x14ac:dyDescent="0.25">
      <c r="A3765" s="4" t="s">
        <v>53</v>
      </c>
      <c r="B3765" s="4" t="s">
        <v>28</v>
      </c>
      <c r="C3765" s="5">
        <v>45335</v>
      </c>
      <c r="D3765" s="4">
        <v>16.8</v>
      </c>
      <c r="E3765" s="4">
        <v>5.45</v>
      </c>
    </row>
    <row r="3766" spans="1:5" x14ac:dyDescent="0.25">
      <c r="A3766" s="4" t="s">
        <v>53</v>
      </c>
      <c r="B3766" s="4" t="s">
        <v>28</v>
      </c>
      <c r="C3766" s="5">
        <v>45336</v>
      </c>
      <c r="D3766" s="4">
        <v>15.4</v>
      </c>
      <c r="E3766" s="4">
        <v>5</v>
      </c>
    </row>
    <row r="3767" spans="1:5" x14ac:dyDescent="0.25">
      <c r="A3767" s="4" t="s">
        <v>53</v>
      </c>
      <c r="B3767" s="4" t="s">
        <v>28</v>
      </c>
      <c r="C3767" s="5">
        <v>45336</v>
      </c>
      <c r="D3767" s="4">
        <v>26.6</v>
      </c>
      <c r="E3767" s="4">
        <v>8.6300000000000008</v>
      </c>
    </row>
    <row r="3768" spans="1:5" x14ac:dyDescent="0.25">
      <c r="A3768" s="4" t="s">
        <v>53</v>
      </c>
      <c r="B3768" s="4" t="s">
        <v>28</v>
      </c>
      <c r="C3768" s="5">
        <v>45336</v>
      </c>
      <c r="D3768" s="4">
        <v>26.6</v>
      </c>
      <c r="E3768" s="4">
        <v>8.6300000000000008</v>
      </c>
    </row>
    <row r="3769" spans="1:5" x14ac:dyDescent="0.25">
      <c r="A3769" s="4" t="s">
        <v>53</v>
      </c>
      <c r="B3769" s="4" t="s">
        <v>28</v>
      </c>
      <c r="C3769" s="5">
        <v>45336</v>
      </c>
      <c r="D3769" s="4">
        <v>26.6</v>
      </c>
      <c r="E3769" s="4">
        <v>8.6300000000000008</v>
      </c>
    </row>
    <row r="3770" spans="1:5" x14ac:dyDescent="0.25">
      <c r="A3770" s="4" t="s">
        <v>53</v>
      </c>
      <c r="B3770" s="4" t="s">
        <v>28</v>
      </c>
      <c r="C3770" s="5">
        <v>45336</v>
      </c>
      <c r="D3770" s="4">
        <v>26.6</v>
      </c>
      <c r="E3770" s="4">
        <v>8.6300000000000008</v>
      </c>
    </row>
    <row r="3771" spans="1:5" x14ac:dyDescent="0.25">
      <c r="A3771" s="4" t="s">
        <v>53</v>
      </c>
      <c r="B3771" s="4" t="s">
        <v>28</v>
      </c>
      <c r="C3771" s="5">
        <v>45336</v>
      </c>
      <c r="D3771" s="4">
        <v>26.6</v>
      </c>
      <c r="E3771" s="4">
        <v>8.6300000000000008</v>
      </c>
    </row>
    <row r="3772" spans="1:5" x14ac:dyDescent="0.25">
      <c r="A3772" s="4" t="s">
        <v>53</v>
      </c>
      <c r="B3772" s="4" t="s">
        <v>28</v>
      </c>
      <c r="C3772" s="5">
        <v>45336</v>
      </c>
      <c r="D3772" s="4">
        <v>30.2</v>
      </c>
      <c r="E3772" s="4">
        <v>9.7899999999999991</v>
      </c>
    </row>
    <row r="3773" spans="1:5" x14ac:dyDescent="0.25">
      <c r="A3773" s="4" t="s">
        <v>53</v>
      </c>
      <c r="B3773" s="4" t="s">
        <v>28</v>
      </c>
      <c r="C3773" s="5">
        <v>45337</v>
      </c>
      <c r="D3773" s="4">
        <v>13.8</v>
      </c>
      <c r="E3773" s="4">
        <v>4.47</v>
      </c>
    </row>
    <row r="3774" spans="1:5" x14ac:dyDescent="0.25">
      <c r="A3774" s="4" t="s">
        <v>53</v>
      </c>
      <c r="B3774" s="4" t="s">
        <v>28</v>
      </c>
      <c r="C3774" s="5">
        <v>45337</v>
      </c>
      <c r="D3774" s="4">
        <v>1.2</v>
      </c>
      <c r="E3774" s="4">
        <v>0.37</v>
      </c>
    </row>
    <row r="3775" spans="1:5" x14ac:dyDescent="0.25">
      <c r="A3775" s="4" t="s">
        <v>53</v>
      </c>
      <c r="B3775" s="4" t="s">
        <v>28</v>
      </c>
      <c r="C3775" s="5">
        <v>45337</v>
      </c>
      <c r="D3775" s="4">
        <v>9</v>
      </c>
      <c r="E3775" s="4">
        <v>2.91</v>
      </c>
    </row>
    <row r="3776" spans="1:5" x14ac:dyDescent="0.25">
      <c r="A3776" s="4" t="s">
        <v>53</v>
      </c>
      <c r="B3776" s="4" t="s">
        <v>28</v>
      </c>
      <c r="C3776" s="5">
        <v>45337</v>
      </c>
      <c r="D3776" s="4">
        <v>28.4</v>
      </c>
      <c r="E3776" s="4">
        <v>9.2100000000000009</v>
      </c>
    </row>
    <row r="3777" spans="1:5" x14ac:dyDescent="0.25">
      <c r="A3777" s="4" t="s">
        <v>53</v>
      </c>
      <c r="B3777" s="4" t="s">
        <v>29</v>
      </c>
      <c r="C3777" s="5">
        <v>45308</v>
      </c>
      <c r="D3777" s="4">
        <v>13.2</v>
      </c>
      <c r="E3777" s="4">
        <v>4.59</v>
      </c>
    </row>
    <row r="3778" spans="1:5" x14ac:dyDescent="0.25">
      <c r="A3778" s="4" t="s">
        <v>53</v>
      </c>
      <c r="B3778" s="4" t="s">
        <v>29</v>
      </c>
      <c r="C3778" s="5">
        <v>45308</v>
      </c>
      <c r="D3778" s="4">
        <v>4.9000000000000004</v>
      </c>
      <c r="E3778" s="4">
        <v>1.7</v>
      </c>
    </row>
    <row r="3779" spans="1:5" x14ac:dyDescent="0.25">
      <c r="A3779" s="4" t="s">
        <v>53</v>
      </c>
      <c r="B3779" s="4" t="s">
        <v>29</v>
      </c>
      <c r="C3779" s="5">
        <v>45308</v>
      </c>
      <c r="D3779" s="4">
        <v>8.6999999999999993</v>
      </c>
      <c r="E3779" s="4">
        <v>3.03</v>
      </c>
    </row>
    <row r="3780" spans="1:5" x14ac:dyDescent="0.25">
      <c r="A3780" s="4" t="s">
        <v>53</v>
      </c>
      <c r="B3780" s="4" t="s">
        <v>29</v>
      </c>
      <c r="C3780" s="5">
        <v>45317</v>
      </c>
      <c r="D3780" s="4">
        <v>22.6</v>
      </c>
      <c r="E3780" s="4">
        <v>7.88</v>
      </c>
    </row>
    <row r="3781" spans="1:5" x14ac:dyDescent="0.25">
      <c r="A3781" s="4" t="s">
        <v>53</v>
      </c>
      <c r="B3781" s="4" t="s">
        <v>29</v>
      </c>
      <c r="C3781" s="5">
        <v>45317</v>
      </c>
      <c r="D3781" s="4">
        <v>22.6</v>
      </c>
      <c r="E3781" s="4">
        <v>7.88</v>
      </c>
    </row>
    <row r="3782" spans="1:5" x14ac:dyDescent="0.25">
      <c r="A3782" s="4" t="s">
        <v>53</v>
      </c>
      <c r="B3782" s="4" t="s">
        <v>29</v>
      </c>
      <c r="C3782" s="5">
        <v>45317</v>
      </c>
      <c r="D3782" s="4">
        <v>22.6</v>
      </c>
      <c r="E3782" s="4">
        <v>7.88</v>
      </c>
    </row>
    <row r="3783" spans="1:5" x14ac:dyDescent="0.25">
      <c r="A3783" s="4" t="s">
        <v>53</v>
      </c>
      <c r="B3783" s="4" t="s">
        <v>29</v>
      </c>
      <c r="C3783" s="5">
        <v>45317</v>
      </c>
      <c r="D3783" s="4">
        <v>22.6</v>
      </c>
      <c r="E3783" s="4">
        <v>7.88</v>
      </c>
    </row>
    <row r="3784" spans="1:5" x14ac:dyDescent="0.25">
      <c r="A3784" s="4" t="s">
        <v>53</v>
      </c>
      <c r="B3784" s="4" t="s">
        <v>29</v>
      </c>
      <c r="C3784" s="5">
        <v>45317</v>
      </c>
      <c r="D3784" s="4">
        <v>22.6</v>
      </c>
      <c r="E3784" s="4">
        <v>7.88</v>
      </c>
    </row>
    <row r="3785" spans="1:5" x14ac:dyDescent="0.25">
      <c r="A3785" s="4" t="s">
        <v>53</v>
      </c>
      <c r="B3785" s="4" t="s">
        <v>29</v>
      </c>
      <c r="C3785" s="5">
        <v>45317</v>
      </c>
      <c r="D3785" s="4">
        <v>22.6</v>
      </c>
      <c r="E3785" s="4">
        <v>7.88</v>
      </c>
    </row>
    <row r="3786" spans="1:5" x14ac:dyDescent="0.25">
      <c r="A3786" s="4" t="s">
        <v>53</v>
      </c>
      <c r="B3786" s="4" t="s">
        <v>29</v>
      </c>
      <c r="C3786" s="5">
        <v>45317</v>
      </c>
      <c r="D3786" s="4">
        <v>22.6</v>
      </c>
      <c r="E3786" s="4">
        <v>7.88</v>
      </c>
    </row>
    <row r="3787" spans="1:5" x14ac:dyDescent="0.25">
      <c r="A3787" s="4" t="s">
        <v>53</v>
      </c>
      <c r="B3787" s="4" t="s">
        <v>29</v>
      </c>
      <c r="C3787" s="5">
        <v>45317</v>
      </c>
      <c r="D3787" s="4">
        <v>22.6</v>
      </c>
      <c r="E3787" s="4">
        <v>7.88</v>
      </c>
    </row>
    <row r="3788" spans="1:5" x14ac:dyDescent="0.25">
      <c r="A3788" s="4" t="s">
        <v>53</v>
      </c>
      <c r="B3788" s="4" t="s">
        <v>29</v>
      </c>
      <c r="C3788" s="5">
        <v>45317</v>
      </c>
      <c r="D3788" s="4">
        <v>22.6</v>
      </c>
      <c r="E3788" s="4">
        <v>7.88</v>
      </c>
    </row>
    <row r="3789" spans="1:5" x14ac:dyDescent="0.25">
      <c r="A3789" s="4" t="s">
        <v>53</v>
      </c>
      <c r="B3789" s="4" t="s">
        <v>29</v>
      </c>
      <c r="C3789" s="5">
        <v>45317</v>
      </c>
      <c r="D3789" s="4">
        <v>22.6</v>
      </c>
      <c r="E3789" s="4">
        <v>7.88</v>
      </c>
    </row>
    <row r="3790" spans="1:5" x14ac:dyDescent="0.25">
      <c r="A3790" s="4" t="s">
        <v>53</v>
      </c>
      <c r="B3790" s="4" t="s">
        <v>29</v>
      </c>
      <c r="C3790" s="5">
        <v>45320</v>
      </c>
      <c r="D3790" s="4">
        <v>41.3</v>
      </c>
      <c r="E3790" s="4">
        <v>14.36</v>
      </c>
    </row>
    <row r="3791" spans="1:5" x14ac:dyDescent="0.25">
      <c r="A3791" s="4" t="s">
        <v>53</v>
      </c>
      <c r="B3791" s="4" t="s">
        <v>29</v>
      </c>
      <c r="C3791" s="5">
        <v>45320</v>
      </c>
      <c r="D3791" s="4">
        <v>17.3</v>
      </c>
      <c r="E3791" s="4">
        <v>6.03</v>
      </c>
    </row>
    <row r="3792" spans="1:5" x14ac:dyDescent="0.25">
      <c r="A3792" s="4" t="s">
        <v>53</v>
      </c>
      <c r="B3792" s="4" t="s">
        <v>29</v>
      </c>
      <c r="C3792" s="5">
        <v>45320</v>
      </c>
      <c r="D3792" s="4">
        <v>17.3</v>
      </c>
      <c r="E3792" s="4">
        <v>6.03</v>
      </c>
    </row>
    <row r="3793" spans="1:5" x14ac:dyDescent="0.25">
      <c r="A3793" s="4" t="s">
        <v>53</v>
      </c>
      <c r="B3793" s="4" t="s">
        <v>29</v>
      </c>
      <c r="C3793" s="5">
        <v>45320</v>
      </c>
      <c r="D3793" s="4">
        <v>67.5</v>
      </c>
      <c r="E3793" s="4">
        <v>23.48</v>
      </c>
    </row>
    <row r="3794" spans="1:5" x14ac:dyDescent="0.25">
      <c r="A3794" s="4" t="s">
        <v>53</v>
      </c>
      <c r="B3794" s="4" t="s">
        <v>29</v>
      </c>
      <c r="C3794" s="5">
        <v>45320</v>
      </c>
      <c r="D3794" s="4">
        <v>78.7</v>
      </c>
      <c r="E3794" s="4">
        <v>27.38</v>
      </c>
    </row>
    <row r="3795" spans="1:5" x14ac:dyDescent="0.25">
      <c r="A3795" s="4" t="s">
        <v>53</v>
      </c>
      <c r="B3795" s="4" t="s">
        <v>29</v>
      </c>
      <c r="C3795" s="5">
        <v>45320</v>
      </c>
      <c r="D3795" s="4">
        <v>17.3</v>
      </c>
      <c r="E3795" s="4">
        <v>6.03</v>
      </c>
    </row>
    <row r="3796" spans="1:5" x14ac:dyDescent="0.25">
      <c r="A3796" s="4" t="s">
        <v>53</v>
      </c>
      <c r="B3796" s="4" t="s">
        <v>29</v>
      </c>
      <c r="C3796" s="5">
        <v>45320</v>
      </c>
      <c r="D3796" s="4">
        <v>17.3</v>
      </c>
      <c r="E3796" s="4">
        <v>6.03</v>
      </c>
    </row>
    <row r="3797" spans="1:5" x14ac:dyDescent="0.25">
      <c r="A3797" s="4" t="s">
        <v>53</v>
      </c>
      <c r="B3797" s="4" t="s">
        <v>29</v>
      </c>
      <c r="C3797" s="5">
        <v>45320</v>
      </c>
      <c r="D3797" s="4">
        <v>67.5</v>
      </c>
      <c r="E3797" s="4">
        <v>23.48</v>
      </c>
    </row>
    <row r="3798" spans="1:5" x14ac:dyDescent="0.25">
      <c r="A3798" s="4" t="s">
        <v>53</v>
      </c>
      <c r="B3798" s="4" t="s">
        <v>29</v>
      </c>
      <c r="C3798" s="5">
        <v>45320</v>
      </c>
      <c r="D3798" s="4">
        <v>37.4</v>
      </c>
      <c r="E3798" s="4">
        <v>13.02</v>
      </c>
    </row>
    <row r="3799" spans="1:5" x14ac:dyDescent="0.25">
      <c r="A3799" s="4" t="s">
        <v>53</v>
      </c>
      <c r="B3799" s="4" t="s">
        <v>29</v>
      </c>
      <c r="C3799" s="5">
        <v>45321</v>
      </c>
      <c r="D3799" s="4">
        <v>41.3</v>
      </c>
      <c r="E3799" s="4">
        <v>14.36</v>
      </c>
    </row>
    <row r="3800" spans="1:5" x14ac:dyDescent="0.25">
      <c r="A3800" s="4" t="s">
        <v>53</v>
      </c>
      <c r="B3800" s="4" t="s">
        <v>29</v>
      </c>
      <c r="C3800" s="5">
        <v>45321</v>
      </c>
      <c r="D3800" s="4">
        <v>17.3</v>
      </c>
      <c r="E3800" s="4">
        <v>6.03</v>
      </c>
    </row>
    <row r="3801" spans="1:5" x14ac:dyDescent="0.25">
      <c r="A3801" s="4" t="s">
        <v>53</v>
      </c>
      <c r="B3801" s="4" t="s">
        <v>29</v>
      </c>
      <c r="C3801" s="5">
        <v>45321</v>
      </c>
      <c r="D3801" s="4">
        <v>17.3</v>
      </c>
      <c r="E3801" s="4">
        <v>6.03</v>
      </c>
    </row>
    <row r="3802" spans="1:5" x14ac:dyDescent="0.25">
      <c r="A3802" s="4" t="s">
        <v>53</v>
      </c>
      <c r="B3802" s="4" t="s">
        <v>29</v>
      </c>
      <c r="C3802" s="5">
        <v>45321</v>
      </c>
      <c r="D3802" s="4">
        <v>67.5</v>
      </c>
      <c r="E3802" s="4">
        <v>23.48</v>
      </c>
    </row>
    <row r="3803" spans="1:5" x14ac:dyDescent="0.25">
      <c r="A3803" s="4" t="s">
        <v>53</v>
      </c>
      <c r="B3803" s="4" t="s">
        <v>29</v>
      </c>
      <c r="C3803" s="5">
        <v>45321</v>
      </c>
      <c r="D3803" s="4">
        <v>78.7</v>
      </c>
      <c r="E3803" s="4">
        <v>27.38</v>
      </c>
    </row>
    <row r="3804" spans="1:5" x14ac:dyDescent="0.25">
      <c r="A3804" s="4" t="s">
        <v>53</v>
      </c>
      <c r="B3804" s="4" t="s">
        <v>29</v>
      </c>
      <c r="C3804" s="5">
        <v>45321</v>
      </c>
      <c r="D3804" s="4">
        <v>17.3</v>
      </c>
      <c r="E3804" s="4">
        <v>6.03</v>
      </c>
    </row>
    <row r="3805" spans="1:5" x14ac:dyDescent="0.25">
      <c r="A3805" s="4" t="s">
        <v>53</v>
      </c>
      <c r="B3805" s="4" t="s">
        <v>29</v>
      </c>
      <c r="C3805" s="5">
        <v>45321</v>
      </c>
      <c r="D3805" s="4">
        <v>17.3</v>
      </c>
      <c r="E3805" s="4">
        <v>6.03</v>
      </c>
    </row>
    <row r="3806" spans="1:5" x14ac:dyDescent="0.25">
      <c r="A3806" s="4" t="s">
        <v>53</v>
      </c>
      <c r="B3806" s="4" t="s">
        <v>29</v>
      </c>
      <c r="C3806" s="5">
        <v>45321</v>
      </c>
      <c r="D3806" s="4">
        <v>67.5</v>
      </c>
      <c r="E3806" s="4">
        <v>23.48</v>
      </c>
    </row>
    <row r="3807" spans="1:5" x14ac:dyDescent="0.25">
      <c r="A3807" s="4" t="s">
        <v>53</v>
      </c>
      <c r="B3807" s="4" t="s">
        <v>29</v>
      </c>
      <c r="C3807" s="5">
        <v>45321</v>
      </c>
      <c r="D3807" s="4">
        <v>37.4</v>
      </c>
      <c r="E3807" s="4">
        <v>13.02</v>
      </c>
    </row>
    <row r="3808" spans="1:5" x14ac:dyDescent="0.25">
      <c r="A3808" s="4" t="s">
        <v>53</v>
      </c>
      <c r="B3808" s="4" t="s">
        <v>29</v>
      </c>
      <c r="C3808" s="5">
        <v>45322</v>
      </c>
      <c r="D3808" s="4">
        <v>41.3</v>
      </c>
      <c r="E3808" s="4">
        <v>14.36</v>
      </c>
    </row>
    <row r="3809" spans="1:5" x14ac:dyDescent="0.25">
      <c r="A3809" s="4" t="s">
        <v>53</v>
      </c>
      <c r="B3809" s="4" t="s">
        <v>29</v>
      </c>
      <c r="C3809" s="5">
        <v>45322</v>
      </c>
      <c r="D3809" s="4">
        <v>17.3</v>
      </c>
      <c r="E3809" s="4">
        <v>6.03</v>
      </c>
    </row>
    <row r="3810" spans="1:5" x14ac:dyDescent="0.25">
      <c r="A3810" s="4" t="s">
        <v>53</v>
      </c>
      <c r="B3810" s="4" t="s">
        <v>29</v>
      </c>
      <c r="C3810" s="5">
        <v>45322</v>
      </c>
      <c r="D3810" s="4">
        <v>17.3</v>
      </c>
      <c r="E3810" s="4">
        <v>6.03</v>
      </c>
    </row>
    <row r="3811" spans="1:5" x14ac:dyDescent="0.25">
      <c r="A3811" s="4" t="s">
        <v>53</v>
      </c>
      <c r="B3811" s="4" t="s">
        <v>29</v>
      </c>
      <c r="C3811" s="5">
        <v>45322</v>
      </c>
      <c r="D3811" s="4">
        <v>67.5</v>
      </c>
      <c r="E3811" s="4">
        <v>23.48</v>
      </c>
    </row>
    <row r="3812" spans="1:5" x14ac:dyDescent="0.25">
      <c r="A3812" s="4" t="s">
        <v>53</v>
      </c>
      <c r="B3812" s="4" t="s">
        <v>29</v>
      </c>
      <c r="C3812" s="5">
        <v>45322</v>
      </c>
      <c r="D3812" s="4">
        <v>71.2</v>
      </c>
      <c r="E3812" s="4">
        <v>24.72</v>
      </c>
    </row>
    <row r="3813" spans="1:5" x14ac:dyDescent="0.25">
      <c r="A3813" s="4" t="s">
        <v>53</v>
      </c>
      <c r="B3813" s="4" t="s">
        <v>29</v>
      </c>
      <c r="C3813" s="5">
        <v>45322</v>
      </c>
      <c r="D3813" s="4">
        <v>17.3</v>
      </c>
      <c r="E3813" s="4">
        <v>6.03</v>
      </c>
    </row>
    <row r="3814" spans="1:5" x14ac:dyDescent="0.25">
      <c r="A3814" s="4" t="s">
        <v>53</v>
      </c>
      <c r="B3814" s="4" t="s">
        <v>29</v>
      </c>
      <c r="C3814" s="5">
        <v>45322</v>
      </c>
      <c r="D3814" s="4">
        <v>17.3</v>
      </c>
      <c r="E3814" s="4">
        <v>6.03</v>
      </c>
    </row>
    <row r="3815" spans="1:5" x14ac:dyDescent="0.25">
      <c r="A3815" s="4" t="s">
        <v>53</v>
      </c>
      <c r="B3815" s="4" t="s">
        <v>29</v>
      </c>
      <c r="C3815" s="5">
        <v>45322</v>
      </c>
      <c r="D3815" s="4">
        <v>67.5</v>
      </c>
      <c r="E3815" s="4">
        <v>23.48</v>
      </c>
    </row>
    <row r="3816" spans="1:5" x14ac:dyDescent="0.25">
      <c r="A3816" s="4" t="s">
        <v>53</v>
      </c>
      <c r="B3816" s="4" t="s">
        <v>29</v>
      </c>
      <c r="C3816" s="5">
        <v>45322</v>
      </c>
      <c r="D3816" s="4">
        <v>29.9</v>
      </c>
      <c r="E3816" s="4">
        <v>10.36</v>
      </c>
    </row>
    <row r="3817" spans="1:5" x14ac:dyDescent="0.25">
      <c r="A3817" s="4" t="s">
        <v>53</v>
      </c>
      <c r="B3817" s="4" t="s">
        <v>29</v>
      </c>
      <c r="C3817" s="5">
        <v>45323</v>
      </c>
      <c r="D3817" s="4">
        <v>41.3</v>
      </c>
      <c r="E3817" s="4">
        <v>14.36</v>
      </c>
    </row>
    <row r="3818" spans="1:5" x14ac:dyDescent="0.25">
      <c r="A3818" s="4" t="s">
        <v>53</v>
      </c>
      <c r="B3818" s="4" t="s">
        <v>29</v>
      </c>
      <c r="C3818" s="5">
        <v>45323</v>
      </c>
      <c r="D3818" s="4">
        <v>17.3</v>
      </c>
      <c r="E3818" s="4">
        <v>6.03</v>
      </c>
    </row>
    <row r="3819" spans="1:5" x14ac:dyDescent="0.25">
      <c r="A3819" s="4" t="s">
        <v>53</v>
      </c>
      <c r="B3819" s="4" t="s">
        <v>29</v>
      </c>
      <c r="C3819" s="5">
        <v>45323</v>
      </c>
      <c r="D3819" s="4">
        <v>17.3</v>
      </c>
      <c r="E3819" s="4">
        <v>6.03</v>
      </c>
    </row>
    <row r="3820" spans="1:5" x14ac:dyDescent="0.25">
      <c r="A3820" s="4" t="s">
        <v>53</v>
      </c>
      <c r="B3820" s="4" t="s">
        <v>29</v>
      </c>
      <c r="C3820" s="5">
        <v>45323</v>
      </c>
      <c r="D3820" s="4">
        <v>67.5</v>
      </c>
      <c r="E3820" s="4">
        <v>23.48</v>
      </c>
    </row>
    <row r="3821" spans="1:5" x14ac:dyDescent="0.25">
      <c r="A3821" s="4" t="s">
        <v>53</v>
      </c>
      <c r="B3821" s="4" t="s">
        <v>29</v>
      </c>
      <c r="C3821" s="5">
        <v>45323</v>
      </c>
      <c r="D3821" s="4">
        <v>78.7</v>
      </c>
      <c r="E3821" s="4">
        <v>27.38</v>
      </c>
    </row>
    <row r="3822" spans="1:5" x14ac:dyDescent="0.25">
      <c r="A3822" s="4" t="s">
        <v>53</v>
      </c>
      <c r="B3822" s="4" t="s">
        <v>29</v>
      </c>
      <c r="C3822" s="5">
        <v>45323</v>
      </c>
      <c r="D3822" s="4">
        <v>17.3</v>
      </c>
      <c r="E3822" s="4">
        <v>6.03</v>
      </c>
    </row>
    <row r="3823" spans="1:5" x14ac:dyDescent="0.25">
      <c r="A3823" s="4" t="s">
        <v>53</v>
      </c>
      <c r="B3823" s="4" t="s">
        <v>29</v>
      </c>
      <c r="C3823" s="5">
        <v>45323</v>
      </c>
      <c r="D3823" s="4">
        <v>17.3</v>
      </c>
      <c r="E3823" s="4">
        <v>6.03</v>
      </c>
    </row>
    <row r="3824" spans="1:5" x14ac:dyDescent="0.25">
      <c r="A3824" s="4" t="s">
        <v>53</v>
      </c>
      <c r="B3824" s="4" t="s">
        <v>29</v>
      </c>
      <c r="C3824" s="5">
        <v>45323</v>
      </c>
      <c r="D3824" s="4">
        <v>67.5</v>
      </c>
      <c r="E3824" s="4">
        <v>23.48</v>
      </c>
    </row>
    <row r="3825" spans="1:5" x14ac:dyDescent="0.25">
      <c r="A3825" s="4" t="s">
        <v>53</v>
      </c>
      <c r="B3825" s="4" t="s">
        <v>29</v>
      </c>
      <c r="C3825" s="5">
        <v>45323</v>
      </c>
      <c r="D3825" s="4">
        <v>29.9</v>
      </c>
      <c r="E3825" s="4">
        <v>10.36</v>
      </c>
    </row>
    <row r="3826" spans="1:5" x14ac:dyDescent="0.25">
      <c r="A3826" s="4" t="s">
        <v>53</v>
      </c>
      <c r="B3826" s="4" t="s">
        <v>29</v>
      </c>
      <c r="C3826" s="5">
        <v>45324</v>
      </c>
      <c r="D3826" s="4">
        <v>41.3</v>
      </c>
      <c r="E3826" s="4">
        <v>14.36</v>
      </c>
    </row>
    <row r="3827" spans="1:5" x14ac:dyDescent="0.25">
      <c r="A3827" s="4" t="s">
        <v>53</v>
      </c>
      <c r="B3827" s="4" t="s">
        <v>29</v>
      </c>
      <c r="C3827" s="5">
        <v>45324</v>
      </c>
      <c r="D3827" s="4">
        <v>17.3</v>
      </c>
      <c r="E3827" s="4">
        <v>6.03</v>
      </c>
    </row>
    <row r="3828" spans="1:5" x14ac:dyDescent="0.25">
      <c r="A3828" s="4" t="s">
        <v>53</v>
      </c>
      <c r="B3828" s="4" t="s">
        <v>29</v>
      </c>
      <c r="C3828" s="5">
        <v>45324</v>
      </c>
      <c r="D3828" s="4">
        <v>17.3</v>
      </c>
      <c r="E3828" s="4">
        <v>6.03</v>
      </c>
    </row>
    <row r="3829" spans="1:5" x14ac:dyDescent="0.25">
      <c r="A3829" s="4" t="s">
        <v>53</v>
      </c>
      <c r="B3829" s="4" t="s">
        <v>29</v>
      </c>
      <c r="C3829" s="5">
        <v>45324</v>
      </c>
      <c r="D3829" s="4">
        <v>67.5</v>
      </c>
      <c r="E3829" s="4">
        <v>23.48</v>
      </c>
    </row>
    <row r="3830" spans="1:5" x14ac:dyDescent="0.25">
      <c r="A3830" s="4" t="s">
        <v>53</v>
      </c>
      <c r="B3830" s="4" t="s">
        <v>29</v>
      </c>
      <c r="C3830" s="5">
        <v>45324</v>
      </c>
      <c r="D3830" s="4">
        <v>78.7</v>
      </c>
      <c r="E3830" s="4">
        <v>27.38</v>
      </c>
    </row>
    <row r="3831" spans="1:5" x14ac:dyDescent="0.25">
      <c r="A3831" s="4" t="s">
        <v>53</v>
      </c>
      <c r="B3831" s="4" t="s">
        <v>29</v>
      </c>
      <c r="C3831" s="5">
        <v>45324</v>
      </c>
      <c r="D3831" s="4">
        <v>17.3</v>
      </c>
      <c r="E3831" s="4">
        <v>6.03</v>
      </c>
    </row>
    <row r="3832" spans="1:5" x14ac:dyDescent="0.25">
      <c r="A3832" s="4" t="s">
        <v>53</v>
      </c>
      <c r="B3832" s="4" t="s">
        <v>29</v>
      </c>
      <c r="C3832" s="5">
        <v>45324</v>
      </c>
      <c r="D3832" s="4">
        <v>17.3</v>
      </c>
      <c r="E3832" s="4">
        <v>6.03</v>
      </c>
    </row>
    <row r="3833" spans="1:5" x14ac:dyDescent="0.25">
      <c r="A3833" s="4" t="s">
        <v>53</v>
      </c>
      <c r="B3833" s="4" t="s">
        <v>29</v>
      </c>
      <c r="C3833" s="5">
        <v>45324</v>
      </c>
      <c r="D3833" s="4">
        <v>67.5</v>
      </c>
      <c r="E3833" s="4">
        <v>23.48</v>
      </c>
    </row>
    <row r="3834" spans="1:5" x14ac:dyDescent="0.25">
      <c r="A3834" s="4" t="s">
        <v>53</v>
      </c>
      <c r="B3834" s="4" t="s">
        <v>29</v>
      </c>
      <c r="C3834" s="5">
        <v>45324</v>
      </c>
      <c r="D3834" s="4">
        <v>37.4</v>
      </c>
      <c r="E3834" s="4">
        <v>13.02</v>
      </c>
    </row>
    <row r="3835" spans="1:5" x14ac:dyDescent="0.25">
      <c r="A3835" s="4" t="s">
        <v>53</v>
      </c>
      <c r="B3835" s="4" t="s">
        <v>29</v>
      </c>
      <c r="C3835" s="5">
        <v>45327</v>
      </c>
      <c r="D3835" s="4">
        <v>41.3</v>
      </c>
      <c r="E3835" s="4">
        <v>14.36</v>
      </c>
    </row>
    <row r="3836" spans="1:5" x14ac:dyDescent="0.25">
      <c r="A3836" s="4" t="s">
        <v>53</v>
      </c>
      <c r="B3836" s="4" t="s">
        <v>29</v>
      </c>
      <c r="C3836" s="5">
        <v>45327</v>
      </c>
      <c r="D3836" s="4">
        <v>17.3</v>
      </c>
      <c r="E3836" s="4">
        <v>6.03</v>
      </c>
    </row>
    <row r="3837" spans="1:5" x14ac:dyDescent="0.25">
      <c r="A3837" s="4" t="s">
        <v>53</v>
      </c>
      <c r="B3837" s="4" t="s">
        <v>29</v>
      </c>
      <c r="C3837" s="5">
        <v>45327</v>
      </c>
      <c r="D3837" s="4">
        <v>17.3</v>
      </c>
      <c r="E3837" s="4">
        <v>6.03</v>
      </c>
    </row>
    <row r="3838" spans="1:5" x14ac:dyDescent="0.25">
      <c r="A3838" s="4" t="s">
        <v>53</v>
      </c>
      <c r="B3838" s="4" t="s">
        <v>29</v>
      </c>
      <c r="C3838" s="5">
        <v>45327</v>
      </c>
      <c r="D3838" s="4">
        <v>22.8</v>
      </c>
      <c r="E3838" s="4">
        <v>7.93</v>
      </c>
    </row>
    <row r="3839" spans="1:5" x14ac:dyDescent="0.25">
      <c r="A3839" s="4" t="s">
        <v>53</v>
      </c>
      <c r="B3839" s="4" t="s">
        <v>29</v>
      </c>
      <c r="C3839" s="5">
        <v>45327</v>
      </c>
      <c r="D3839" s="4">
        <v>26.2</v>
      </c>
      <c r="E3839" s="4">
        <v>9.1199999999999992</v>
      </c>
    </row>
    <row r="3840" spans="1:5" x14ac:dyDescent="0.25">
      <c r="A3840" s="4" t="s">
        <v>53</v>
      </c>
      <c r="B3840" s="4" t="s">
        <v>29</v>
      </c>
      <c r="C3840" s="5">
        <v>45327</v>
      </c>
      <c r="D3840" s="4">
        <v>78.7</v>
      </c>
      <c r="E3840" s="4">
        <v>27.38</v>
      </c>
    </row>
    <row r="3841" spans="1:5" x14ac:dyDescent="0.25">
      <c r="A3841" s="4" t="s">
        <v>53</v>
      </c>
      <c r="B3841" s="4" t="s">
        <v>29</v>
      </c>
      <c r="C3841" s="5">
        <v>45327</v>
      </c>
      <c r="D3841" s="4">
        <v>17.3</v>
      </c>
      <c r="E3841" s="4">
        <v>6.03</v>
      </c>
    </row>
    <row r="3842" spans="1:5" x14ac:dyDescent="0.25">
      <c r="A3842" s="4" t="s">
        <v>53</v>
      </c>
      <c r="B3842" s="4" t="s">
        <v>29</v>
      </c>
      <c r="C3842" s="5">
        <v>45327</v>
      </c>
      <c r="D3842" s="4">
        <v>17.3</v>
      </c>
      <c r="E3842" s="4">
        <v>6.03</v>
      </c>
    </row>
    <row r="3843" spans="1:5" x14ac:dyDescent="0.25">
      <c r="A3843" s="4" t="s">
        <v>53</v>
      </c>
      <c r="B3843" s="4" t="s">
        <v>29</v>
      </c>
      <c r="C3843" s="5">
        <v>45327</v>
      </c>
      <c r="D3843" s="4">
        <v>67.5</v>
      </c>
      <c r="E3843" s="4">
        <v>23.48</v>
      </c>
    </row>
    <row r="3844" spans="1:5" x14ac:dyDescent="0.25">
      <c r="A3844" s="4" t="s">
        <v>53</v>
      </c>
      <c r="B3844" s="4" t="s">
        <v>29</v>
      </c>
      <c r="C3844" s="5">
        <v>45327</v>
      </c>
      <c r="D3844" s="4">
        <v>37.4</v>
      </c>
      <c r="E3844" s="4">
        <v>13.02</v>
      </c>
    </row>
    <row r="3845" spans="1:5" x14ac:dyDescent="0.25">
      <c r="A3845" s="4" t="s">
        <v>53</v>
      </c>
      <c r="B3845" s="4" t="s">
        <v>29</v>
      </c>
      <c r="C3845" s="5">
        <v>45328</v>
      </c>
      <c r="D3845" s="4">
        <v>41.3</v>
      </c>
      <c r="E3845" s="4">
        <v>14.36</v>
      </c>
    </row>
    <row r="3846" spans="1:5" x14ac:dyDescent="0.25">
      <c r="A3846" s="4" t="s">
        <v>53</v>
      </c>
      <c r="B3846" s="4" t="s">
        <v>29</v>
      </c>
      <c r="C3846" s="5">
        <v>45328</v>
      </c>
      <c r="D3846" s="4">
        <v>17.3</v>
      </c>
      <c r="E3846" s="4">
        <v>6.03</v>
      </c>
    </row>
    <row r="3847" spans="1:5" x14ac:dyDescent="0.25">
      <c r="A3847" s="4" t="s">
        <v>53</v>
      </c>
      <c r="B3847" s="4" t="s">
        <v>29</v>
      </c>
      <c r="C3847" s="5">
        <v>45328</v>
      </c>
      <c r="D3847" s="4">
        <v>17.3</v>
      </c>
      <c r="E3847" s="4">
        <v>6.03</v>
      </c>
    </row>
    <row r="3848" spans="1:5" x14ac:dyDescent="0.25">
      <c r="A3848" s="4" t="s">
        <v>53</v>
      </c>
      <c r="B3848" s="4" t="s">
        <v>29</v>
      </c>
      <c r="C3848" s="5">
        <v>45328</v>
      </c>
      <c r="D3848" s="4">
        <v>67.5</v>
      </c>
      <c r="E3848" s="4">
        <v>23.48</v>
      </c>
    </row>
    <row r="3849" spans="1:5" x14ac:dyDescent="0.25">
      <c r="A3849" s="4" t="s">
        <v>53</v>
      </c>
      <c r="B3849" s="4" t="s">
        <v>29</v>
      </c>
      <c r="C3849" s="5">
        <v>45328</v>
      </c>
      <c r="D3849" s="4">
        <v>78.7</v>
      </c>
      <c r="E3849" s="4">
        <v>27.38</v>
      </c>
    </row>
    <row r="3850" spans="1:5" x14ac:dyDescent="0.25">
      <c r="A3850" s="4" t="s">
        <v>53</v>
      </c>
      <c r="B3850" s="4" t="s">
        <v>29</v>
      </c>
      <c r="C3850" s="5">
        <v>45328</v>
      </c>
      <c r="D3850" s="4">
        <v>17.3</v>
      </c>
      <c r="E3850" s="4">
        <v>6.03</v>
      </c>
    </row>
    <row r="3851" spans="1:5" x14ac:dyDescent="0.25">
      <c r="A3851" s="4" t="s">
        <v>53</v>
      </c>
      <c r="B3851" s="4" t="s">
        <v>29</v>
      </c>
      <c r="C3851" s="5">
        <v>45328</v>
      </c>
      <c r="D3851" s="4">
        <v>17.3</v>
      </c>
      <c r="E3851" s="4">
        <v>6.03</v>
      </c>
    </row>
    <row r="3852" spans="1:5" x14ac:dyDescent="0.25">
      <c r="A3852" s="4" t="s">
        <v>53</v>
      </c>
      <c r="B3852" s="4" t="s">
        <v>29</v>
      </c>
      <c r="C3852" s="5">
        <v>45328</v>
      </c>
      <c r="D3852" s="4">
        <v>67.5</v>
      </c>
      <c r="E3852" s="4">
        <v>23.48</v>
      </c>
    </row>
    <row r="3853" spans="1:5" x14ac:dyDescent="0.25">
      <c r="A3853" s="4" t="s">
        <v>53</v>
      </c>
      <c r="B3853" s="4" t="s">
        <v>29</v>
      </c>
      <c r="C3853" s="5">
        <v>45328</v>
      </c>
      <c r="D3853" s="4">
        <v>58.5</v>
      </c>
      <c r="E3853" s="4">
        <v>20.36</v>
      </c>
    </row>
    <row r="3854" spans="1:5" x14ac:dyDescent="0.25">
      <c r="A3854" s="4" t="s">
        <v>53</v>
      </c>
      <c r="B3854" s="4" t="s">
        <v>29</v>
      </c>
      <c r="C3854" s="5">
        <v>45328</v>
      </c>
      <c r="D3854" s="4">
        <v>19.399999999999999</v>
      </c>
      <c r="E3854" s="4">
        <v>6.76</v>
      </c>
    </row>
    <row r="3855" spans="1:5" x14ac:dyDescent="0.25">
      <c r="A3855" s="4" t="s">
        <v>53</v>
      </c>
      <c r="B3855" s="4" t="s">
        <v>29</v>
      </c>
      <c r="C3855" s="5">
        <v>45329</v>
      </c>
      <c r="D3855" s="4">
        <v>41.3</v>
      </c>
      <c r="E3855" s="4">
        <v>14.36</v>
      </c>
    </row>
    <row r="3856" spans="1:5" x14ac:dyDescent="0.25">
      <c r="A3856" s="4" t="s">
        <v>53</v>
      </c>
      <c r="B3856" s="4" t="s">
        <v>29</v>
      </c>
      <c r="C3856" s="5">
        <v>45329</v>
      </c>
      <c r="D3856" s="4">
        <v>17.3</v>
      </c>
      <c r="E3856" s="4">
        <v>6.03</v>
      </c>
    </row>
    <row r="3857" spans="1:5" x14ac:dyDescent="0.25">
      <c r="A3857" s="4" t="s">
        <v>53</v>
      </c>
      <c r="B3857" s="4" t="s">
        <v>29</v>
      </c>
      <c r="C3857" s="5">
        <v>45329</v>
      </c>
      <c r="D3857" s="4">
        <v>17.3</v>
      </c>
      <c r="E3857" s="4">
        <v>6.03</v>
      </c>
    </row>
    <row r="3858" spans="1:5" x14ac:dyDescent="0.25">
      <c r="A3858" s="4" t="s">
        <v>53</v>
      </c>
      <c r="B3858" s="4" t="s">
        <v>29</v>
      </c>
      <c r="C3858" s="5">
        <v>45329</v>
      </c>
      <c r="D3858" s="4">
        <v>67.5</v>
      </c>
      <c r="E3858" s="4">
        <v>23.48</v>
      </c>
    </row>
    <row r="3859" spans="1:5" x14ac:dyDescent="0.25">
      <c r="A3859" s="4" t="s">
        <v>53</v>
      </c>
      <c r="B3859" s="4" t="s">
        <v>29</v>
      </c>
      <c r="C3859" s="5">
        <v>45329</v>
      </c>
      <c r="D3859" s="4">
        <v>78.7</v>
      </c>
      <c r="E3859" s="4">
        <v>27.38</v>
      </c>
    </row>
    <row r="3860" spans="1:5" x14ac:dyDescent="0.25">
      <c r="A3860" s="4" t="s">
        <v>53</v>
      </c>
      <c r="B3860" s="4" t="s">
        <v>29</v>
      </c>
      <c r="C3860" s="5">
        <v>45329</v>
      </c>
      <c r="D3860" s="4">
        <v>17.3</v>
      </c>
      <c r="E3860" s="4">
        <v>6.03</v>
      </c>
    </row>
    <row r="3861" spans="1:5" x14ac:dyDescent="0.25">
      <c r="A3861" s="4" t="s">
        <v>53</v>
      </c>
      <c r="B3861" s="4" t="s">
        <v>29</v>
      </c>
      <c r="C3861" s="5">
        <v>45329</v>
      </c>
      <c r="D3861" s="4">
        <v>17.3</v>
      </c>
      <c r="E3861" s="4">
        <v>6.03</v>
      </c>
    </row>
    <row r="3862" spans="1:5" x14ac:dyDescent="0.25">
      <c r="A3862" s="4" t="s">
        <v>53</v>
      </c>
      <c r="B3862" s="4" t="s">
        <v>29</v>
      </c>
      <c r="C3862" s="5">
        <v>45329</v>
      </c>
      <c r="D3862" s="4">
        <v>67.5</v>
      </c>
      <c r="E3862" s="4">
        <v>23.48</v>
      </c>
    </row>
    <row r="3863" spans="1:5" x14ac:dyDescent="0.25">
      <c r="A3863" s="4" t="s">
        <v>53</v>
      </c>
      <c r="B3863" s="4" t="s">
        <v>29</v>
      </c>
      <c r="C3863" s="5">
        <v>45329</v>
      </c>
      <c r="D3863" s="4">
        <v>29.9</v>
      </c>
      <c r="E3863" s="4">
        <v>10.36</v>
      </c>
    </row>
    <row r="3864" spans="1:5" x14ac:dyDescent="0.25">
      <c r="A3864" s="4" t="s">
        <v>53</v>
      </c>
      <c r="B3864" s="4" t="s">
        <v>29</v>
      </c>
      <c r="C3864" s="5">
        <v>45330</v>
      </c>
      <c r="D3864" s="4">
        <v>41.3</v>
      </c>
      <c r="E3864" s="4">
        <v>14.36</v>
      </c>
    </row>
    <row r="3865" spans="1:5" x14ac:dyDescent="0.25">
      <c r="A3865" s="4" t="s">
        <v>53</v>
      </c>
      <c r="B3865" s="4" t="s">
        <v>29</v>
      </c>
      <c r="C3865" s="5">
        <v>45330</v>
      </c>
      <c r="D3865" s="4">
        <v>17.3</v>
      </c>
      <c r="E3865" s="4">
        <v>6.03</v>
      </c>
    </row>
    <row r="3866" spans="1:5" x14ac:dyDescent="0.25">
      <c r="A3866" s="4" t="s">
        <v>53</v>
      </c>
      <c r="B3866" s="4" t="s">
        <v>29</v>
      </c>
      <c r="C3866" s="5">
        <v>45330</v>
      </c>
      <c r="D3866" s="4">
        <v>17.3</v>
      </c>
      <c r="E3866" s="4">
        <v>6.03</v>
      </c>
    </row>
    <row r="3867" spans="1:5" x14ac:dyDescent="0.25">
      <c r="A3867" s="4" t="s">
        <v>53</v>
      </c>
      <c r="B3867" s="4" t="s">
        <v>29</v>
      </c>
      <c r="C3867" s="5">
        <v>45330</v>
      </c>
      <c r="D3867" s="4">
        <v>67.5</v>
      </c>
      <c r="E3867" s="4">
        <v>23.48</v>
      </c>
    </row>
    <row r="3868" spans="1:5" x14ac:dyDescent="0.25">
      <c r="A3868" s="4" t="s">
        <v>53</v>
      </c>
      <c r="B3868" s="4" t="s">
        <v>29</v>
      </c>
      <c r="C3868" s="5">
        <v>45330</v>
      </c>
      <c r="D3868" s="4">
        <v>78.7</v>
      </c>
      <c r="E3868" s="4">
        <v>27.38</v>
      </c>
    </row>
    <row r="3869" spans="1:5" x14ac:dyDescent="0.25">
      <c r="A3869" s="4" t="s">
        <v>53</v>
      </c>
      <c r="B3869" s="4" t="s">
        <v>29</v>
      </c>
      <c r="C3869" s="5">
        <v>45330</v>
      </c>
      <c r="D3869" s="4">
        <v>17.3</v>
      </c>
      <c r="E3869" s="4">
        <v>6.03</v>
      </c>
    </row>
    <row r="3870" spans="1:5" x14ac:dyDescent="0.25">
      <c r="A3870" s="4" t="s">
        <v>53</v>
      </c>
      <c r="B3870" s="4" t="s">
        <v>29</v>
      </c>
      <c r="C3870" s="5">
        <v>45330</v>
      </c>
      <c r="D3870" s="4">
        <v>17.3</v>
      </c>
      <c r="E3870" s="4">
        <v>6.03</v>
      </c>
    </row>
    <row r="3871" spans="1:5" x14ac:dyDescent="0.25">
      <c r="A3871" s="4" t="s">
        <v>53</v>
      </c>
      <c r="B3871" s="4" t="s">
        <v>29</v>
      </c>
      <c r="C3871" s="5">
        <v>45330</v>
      </c>
      <c r="D3871" s="4">
        <v>67.5</v>
      </c>
      <c r="E3871" s="4">
        <v>23.48</v>
      </c>
    </row>
    <row r="3872" spans="1:5" x14ac:dyDescent="0.25">
      <c r="A3872" s="4" t="s">
        <v>53</v>
      </c>
      <c r="B3872" s="4" t="s">
        <v>29</v>
      </c>
      <c r="C3872" s="5">
        <v>45330</v>
      </c>
      <c r="D3872" s="4">
        <v>29.9</v>
      </c>
      <c r="E3872" s="4">
        <v>10.36</v>
      </c>
    </row>
    <row r="3873" spans="1:5" x14ac:dyDescent="0.25">
      <c r="A3873" s="4" t="s">
        <v>53</v>
      </c>
      <c r="B3873" s="4" t="s">
        <v>29</v>
      </c>
      <c r="C3873" s="5">
        <v>45331</v>
      </c>
      <c r="D3873" s="4">
        <v>41.3</v>
      </c>
      <c r="E3873" s="4">
        <v>14.36</v>
      </c>
    </row>
    <row r="3874" spans="1:5" x14ac:dyDescent="0.25">
      <c r="A3874" s="4" t="s">
        <v>53</v>
      </c>
      <c r="B3874" s="4" t="s">
        <v>29</v>
      </c>
      <c r="C3874" s="5">
        <v>45331</v>
      </c>
      <c r="D3874" s="4">
        <v>17.3</v>
      </c>
      <c r="E3874" s="4">
        <v>6.03</v>
      </c>
    </row>
    <row r="3875" spans="1:5" x14ac:dyDescent="0.25">
      <c r="A3875" s="4" t="s">
        <v>53</v>
      </c>
      <c r="B3875" s="4" t="s">
        <v>29</v>
      </c>
      <c r="C3875" s="5">
        <v>45331</v>
      </c>
      <c r="D3875" s="4">
        <v>17.3</v>
      </c>
      <c r="E3875" s="4">
        <v>6.03</v>
      </c>
    </row>
    <row r="3876" spans="1:5" x14ac:dyDescent="0.25">
      <c r="A3876" s="4" t="s">
        <v>53</v>
      </c>
      <c r="B3876" s="4" t="s">
        <v>29</v>
      </c>
      <c r="C3876" s="5">
        <v>45331</v>
      </c>
      <c r="D3876" s="4">
        <v>67.5</v>
      </c>
      <c r="E3876" s="4">
        <v>23.48</v>
      </c>
    </row>
    <row r="3877" spans="1:5" x14ac:dyDescent="0.25">
      <c r="A3877" s="4" t="s">
        <v>53</v>
      </c>
      <c r="B3877" s="4" t="s">
        <v>29</v>
      </c>
      <c r="C3877" s="5">
        <v>45331</v>
      </c>
      <c r="D3877" s="4">
        <v>36.299999999999997</v>
      </c>
      <c r="E3877" s="4">
        <v>12.55</v>
      </c>
    </row>
    <row r="3878" spans="1:5" x14ac:dyDescent="0.25">
      <c r="A3878" s="4" t="s">
        <v>53</v>
      </c>
      <c r="B3878" s="4" t="s">
        <v>29</v>
      </c>
      <c r="C3878" s="5">
        <v>45331</v>
      </c>
      <c r="D3878" s="4">
        <v>1.2</v>
      </c>
      <c r="E3878" s="4">
        <v>0.41</v>
      </c>
    </row>
    <row r="3879" spans="1:5" x14ac:dyDescent="0.25">
      <c r="A3879" s="4" t="s">
        <v>53</v>
      </c>
      <c r="B3879" s="4" t="s">
        <v>29</v>
      </c>
      <c r="C3879" s="5">
        <v>45334</v>
      </c>
      <c r="D3879" s="4">
        <v>41.3</v>
      </c>
      <c r="E3879" s="4">
        <v>14.36</v>
      </c>
    </row>
    <row r="3880" spans="1:5" x14ac:dyDescent="0.25">
      <c r="A3880" s="4" t="s">
        <v>53</v>
      </c>
      <c r="B3880" s="4" t="s">
        <v>29</v>
      </c>
      <c r="C3880" s="5">
        <v>45334</v>
      </c>
      <c r="D3880" s="4">
        <v>17.3</v>
      </c>
      <c r="E3880" s="4">
        <v>6.03</v>
      </c>
    </row>
    <row r="3881" spans="1:5" x14ac:dyDescent="0.25">
      <c r="A3881" s="4" t="s">
        <v>53</v>
      </c>
      <c r="B3881" s="4" t="s">
        <v>29</v>
      </c>
      <c r="C3881" s="5">
        <v>45334</v>
      </c>
      <c r="D3881" s="4">
        <v>17.3</v>
      </c>
      <c r="E3881" s="4">
        <v>6.03</v>
      </c>
    </row>
    <row r="3882" spans="1:5" x14ac:dyDescent="0.25">
      <c r="A3882" s="4" t="s">
        <v>53</v>
      </c>
      <c r="B3882" s="4" t="s">
        <v>29</v>
      </c>
      <c r="C3882" s="5">
        <v>45334</v>
      </c>
      <c r="D3882" s="4">
        <v>67.5</v>
      </c>
      <c r="E3882" s="4">
        <v>23.48</v>
      </c>
    </row>
    <row r="3883" spans="1:5" x14ac:dyDescent="0.25">
      <c r="A3883" s="4" t="s">
        <v>53</v>
      </c>
      <c r="B3883" s="4" t="s">
        <v>29</v>
      </c>
      <c r="C3883" s="5">
        <v>45334</v>
      </c>
      <c r="D3883" s="4">
        <v>78.7</v>
      </c>
      <c r="E3883" s="4">
        <v>27.38</v>
      </c>
    </row>
    <row r="3884" spans="1:5" x14ac:dyDescent="0.25">
      <c r="A3884" s="4" t="s">
        <v>53</v>
      </c>
      <c r="B3884" s="4" t="s">
        <v>29</v>
      </c>
      <c r="C3884" s="5">
        <v>45334</v>
      </c>
      <c r="D3884" s="4">
        <v>17.3</v>
      </c>
      <c r="E3884" s="4">
        <v>6.03</v>
      </c>
    </row>
    <row r="3885" spans="1:5" x14ac:dyDescent="0.25">
      <c r="A3885" s="4" t="s">
        <v>53</v>
      </c>
      <c r="B3885" s="4" t="s">
        <v>29</v>
      </c>
      <c r="C3885" s="5">
        <v>45334</v>
      </c>
      <c r="D3885" s="4">
        <v>17.3</v>
      </c>
      <c r="E3885" s="4">
        <v>6.03</v>
      </c>
    </row>
    <row r="3886" spans="1:5" x14ac:dyDescent="0.25">
      <c r="A3886" s="4" t="s">
        <v>53</v>
      </c>
      <c r="B3886" s="4" t="s">
        <v>29</v>
      </c>
      <c r="C3886" s="5">
        <v>45334</v>
      </c>
      <c r="D3886" s="4">
        <v>67.5</v>
      </c>
      <c r="E3886" s="4">
        <v>23.48</v>
      </c>
    </row>
    <row r="3887" spans="1:5" x14ac:dyDescent="0.25">
      <c r="A3887" s="4" t="s">
        <v>53</v>
      </c>
      <c r="B3887" s="4" t="s">
        <v>29</v>
      </c>
      <c r="C3887" s="5">
        <v>45334</v>
      </c>
      <c r="D3887" s="4">
        <v>29.9</v>
      </c>
      <c r="E3887" s="4">
        <v>10.36</v>
      </c>
    </row>
    <row r="3888" spans="1:5" x14ac:dyDescent="0.25">
      <c r="A3888" s="4" t="s">
        <v>53</v>
      </c>
      <c r="B3888" s="4" t="s">
        <v>29</v>
      </c>
      <c r="C3888" s="5">
        <v>45335</v>
      </c>
      <c r="D3888" s="4">
        <v>41.3</v>
      </c>
      <c r="E3888" s="4">
        <v>14.36</v>
      </c>
    </row>
    <row r="3889" spans="1:5" x14ac:dyDescent="0.25">
      <c r="A3889" s="4" t="s">
        <v>53</v>
      </c>
      <c r="B3889" s="4" t="s">
        <v>29</v>
      </c>
      <c r="C3889" s="5">
        <v>45335</v>
      </c>
      <c r="D3889" s="4">
        <v>17.3</v>
      </c>
      <c r="E3889" s="4">
        <v>6.03</v>
      </c>
    </row>
    <row r="3890" spans="1:5" x14ac:dyDescent="0.25">
      <c r="A3890" s="4" t="s">
        <v>53</v>
      </c>
      <c r="B3890" s="4" t="s">
        <v>29</v>
      </c>
      <c r="C3890" s="5">
        <v>45335</v>
      </c>
      <c r="D3890" s="4">
        <v>17.3</v>
      </c>
      <c r="E3890" s="4">
        <v>6.03</v>
      </c>
    </row>
    <row r="3891" spans="1:5" x14ac:dyDescent="0.25">
      <c r="A3891" s="4" t="s">
        <v>53</v>
      </c>
      <c r="B3891" s="4" t="s">
        <v>29</v>
      </c>
      <c r="C3891" s="5">
        <v>45335</v>
      </c>
      <c r="D3891" s="4">
        <v>67.5</v>
      </c>
      <c r="E3891" s="4">
        <v>23.48</v>
      </c>
    </row>
    <row r="3892" spans="1:5" x14ac:dyDescent="0.25">
      <c r="A3892" s="4" t="s">
        <v>53</v>
      </c>
      <c r="B3892" s="4" t="s">
        <v>29</v>
      </c>
      <c r="C3892" s="5">
        <v>45335</v>
      </c>
      <c r="D3892" s="4">
        <v>71.2</v>
      </c>
      <c r="E3892" s="4">
        <v>24.72</v>
      </c>
    </row>
    <row r="3893" spans="1:5" x14ac:dyDescent="0.25">
      <c r="A3893" s="4" t="s">
        <v>53</v>
      </c>
      <c r="B3893" s="4" t="s">
        <v>29</v>
      </c>
      <c r="C3893" s="5">
        <v>45335</v>
      </c>
      <c r="D3893" s="4">
        <v>17.3</v>
      </c>
      <c r="E3893" s="4">
        <v>6.03</v>
      </c>
    </row>
    <row r="3894" spans="1:5" x14ac:dyDescent="0.25">
      <c r="A3894" s="4" t="s">
        <v>53</v>
      </c>
      <c r="B3894" s="4" t="s">
        <v>29</v>
      </c>
      <c r="C3894" s="5">
        <v>45335</v>
      </c>
      <c r="D3894" s="4">
        <v>17.3</v>
      </c>
      <c r="E3894" s="4">
        <v>6.03</v>
      </c>
    </row>
    <row r="3895" spans="1:5" x14ac:dyDescent="0.25">
      <c r="A3895" s="4" t="s">
        <v>53</v>
      </c>
      <c r="B3895" s="4" t="s">
        <v>29</v>
      </c>
      <c r="C3895" s="5">
        <v>45335</v>
      </c>
      <c r="D3895" s="4">
        <v>67.5</v>
      </c>
      <c r="E3895" s="4">
        <v>23.48</v>
      </c>
    </row>
    <row r="3896" spans="1:5" x14ac:dyDescent="0.25">
      <c r="A3896" s="4" t="s">
        <v>53</v>
      </c>
      <c r="B3896" s="4" t="s">
        <v>29</v>
      </c>
      <c r="C3896" s="5">
        <v>45335</v>
      </c>
      <c r="D3896" s="4">
        <v>37.4</v>
      </c>
      <c r="E3896" s="4">
        <v>13.02</v>
      </c>
    </row>
    <row r="3897" spans="1:5" x14ac:dyDescent="0.25">
      <c r="A3897" s="4" t="s">
        <v>53</v>
      </c>
      <c r="B3897" s="4" t="s">
        <v>29</v>
      </c>
      <c r="C3897" s="5">
        <v>45336</v>
      </c>
      <c r="D3897" s="4">
        <v>41.3</v>
      </c>
      <c r="E3897" s="4">
        <v>14.36</v>
      </c>
    </row>
    <row r="3898" spans="1:5" x14ac:dyDescent="0.25">
      <c r="A3898" s="4" t="s">
        <v>53</v>
      </c>
      <c r="B3898" s="4" t="s">
        <v>29</v>
      </c>
      <c r="C3898" s="5">
        <v>45336</v>
      </c>
      <c r="D3898" s="4">
        <v>17.3</v>
      </c>
      <c r="E3898" s="4">
        <v>6.03</v>
      </c>
    </row>
    <row r="3899" spans="1:5" x14ac:dyDescent="0.25">
      <c r="A3899" s="4" t="s">
        <v>53</v>
      </c>
      <c r="B3899" s="4" t="s">
        <v>29</v>
      </c>
      <c r="C3899" s="5">
        <v>45336</v>
      </c>
      <c r="D3899" s="4">
        <v>17.3</v>
      </c>
      <c r="E3899" s="4">
        <v>6.03</v>
      </c>
    </row>
    <row r="3900" spans="1:5" x14ac:dyDescent="0.25">
      <c r="A3900" s="4" t="s">
        <v>53</v>
      </c>
      <c r="B3900" s="4" t="s">
        <v>29</v>
      </c>
      <c r="C3900" s="5">
        <v>45336</v>
      </c>
      <c r="D3900" s="4">
        <v>67.5</v>
      </c>
      <c r="E3900" s="4">
        <v>23.48</v>
      </c>
    </row>
    <row r="3901" spans="1:5" x14ac:dyDescent="0.25">
      <c r="A3901" s="4" t="s">
        <v>53</v>
      </c>
      <c r="B3901" s="4" t="s">
        <v>29</v>
      </c>
      <c r="C3901" s="5">
        <v>45336</v>
      </c>
      <c r="D3901" s="4">
        <v>69.3</v>
      </c>
      <c r="E3901" s="4">
        <v>24.11</v>
      </c>
    </row>
    <row r="3902" spans="1:5" x14ac:dyDescent="0.25">
      <c r="A3902" s="4" t="s">
        <v>53</v>
      </c>
      <c r="B3902" s="4" t="s">
        <v>29</v>
      </c>
      <c r="C3902" s="5">
        <v>45336</v>
      </c>
      <c r="D3902" s="4">
        <v>20.3</v>
      </c>
      <c r="E3902" s="4">
        <v>7.06</v>
      </c>
    </row>
    <row r="3903" spans="1:5" x14ac:dyDescent="0.25">
      <c r="A3903" s="4" t="s">
        <v>53</v>
      </c>
      <c r="B3903" s="4" t="s">
        <v>29</v>
      </c>
      <c r="C3903" s="5">
        <v>45336</v>
      </c>
      <c r="D3903" s="4">
        <v>17.3</v>
      </c>
      <c r="E3903" s="4">
        <v>6.03</v>
      </c>
    </row>
    <row r="3904" spans="1:5" x14ac:dyDescent="0.25">
      <c r="A3904" s="4" t="s">
        <v>53</v>
      </c>
      <c r="B3904" s="4" t="s">
        <v>29</v>
      </c>
      <c r="C3904" s="5">
        <v>45336</v>
      </c>
      <c r="D3904" s="4">
        <v>67.5</v>
      </c>
      <c r="E3904" s="4">
        <v>23.48</v>
      </c>
    </row>
    <row r="3905" spans="1:5" x14ac:dyDescent="0.25">
      <c r="A3905" s="4" t="s">
        <v>53</v>
      </c>
      <c r="B3905" s="4" t="s">
        <v>29</v>
      </c>
      <c r="C3905" s="5">
        <v>45336</v>
      </c>
      <c r="D3905" s="4">
        <v>1.1000000000000001</v>
      </c>
      <c r="E3905" s="4">
        <v>0.38</v>
      </c>
    </row>
    <row r="3906" spans="1:5" x14ac:dyDescent="0.25">
      <c r="A3906" s="4" t="s">
        <v>53</v>
      </c>
      <c r="B3906" s="4" t="s">
        <v>29</v>
      </c>
      <c r="C3906" s="5">
        <v>45336</v>
      </c>
      <c r="D3906" s="4">
        <v>1.1000000000000001</v>
      </c>
      <c r="E3906" s="4">
        <v>0.38</v>
      </c>
    </row>
    <row r="3907" spans="1:5" x14ac:dyDescent="0.25">
      <c r="A3907" s="4" t="s">
        <v>53</v>
      </c>
      <c r="B3907" s="4" t="s">
        <v>29</v>
      </c>
      <c r="C3907" s="5">
        <v>45336</v>
      </c>
      <c r="D3907" s="4">
        <v>1.1000000000000001</v>
      </c>
      <c r="E3907" s="4">
        <v>0.38</v>
      </c>
    </row>
    <row r="3908" spans="1:5" x14ac:dyDescent="0.25">
      <c r="A3908" s="4" t="s">
        <v>53</v>
      </c>
      <c r="B3908" s="4" t="s">
        <v>29</v>
      </c>
      <c r="C3908" s="5">
        <v>45336</v>
      </c>
      <c r="D3908" s="4">
        <v>36.299999999999997</v>
      </c>
      <c r="E3908" s="4">
        <v>12.64</v>
      </c>
    </row>
    <row r="3909" spans="1:5" x14ac:dyDescent="0.25">
      <c r="A3909" s="4" t="s">
        <v>53</v>
      </c>
      <c r="B3909" s="4" t="s">
        <v>29</v>
      </c>
      <c r="C3909" s="5">
        <v>45337</v>
      </c>
      <c r="D3909" s="4">
        <v>31.9</v>
      </c>
      <c r="E3909" s="4">
        <v>11.09</v>
      </c>
    </row>
    <row r="3910" spans="1:5" x14ac:dyDescent="0.25">
      <c r="A3910" s="4" t="s">
        <v>53</v>
      </c>
      <c r="B3910" s="4" t="s">
        <v>29</v>
      </c>
      <c r="C3910" s="5">
        <v>45337</v>
      </c>
      <c r="D3910" s="4">
        <v>20.3</v>
      </c>
      <c r="E3910" s="4">
        <v>7.06</v>
      </c>
    </row>
    <row r="3911" spans="1:5" x14ac:dyDescent="0.25">
      <c r="A3911" s="4" t="s">
        <v>53</v>
      </c>
      <c r="B3911" s="4" t="s">
        <v>29</v>
      </c>
      <c r="C3911" s="5">
        <v>45337</v>
      </c>
      <c r="D3911" s="4">
        <v>17.3</v>
      </c>
      <c r="E3911" s="4">
        <v>6.03</v>
      </c>
    </row>
    <row r="3912" spans="1:5" x14ac:dyDescent="0.25">
      <c r="A3912" s="4" t="s">
        <v>53</v>
      </c>
      <c r="B3912" s="4" t="s">
        <v>29</v>
      </c>
      <c r="C3912" s="5">
        <v>45337</v>
      </c>
      <c r="D3912" s="4">
        <v>67.5</v>
      </c>
      <c r="E3912" s="4">
        <v>23.48</v>
      </c>
    </row>
    <row r="3913" spans="1:5" x14ac:dyDescent="0.25">
      <c r="A3913" s="4" t="s">
        <v>53</v>
      </c>
      <c r="B3913" s="4" t="s">
        <v>29</v>
      </c>
      <c r="C3913" s="5">
        <v>45337</v>
      </c>
      <c r="D3913" s="4">
        <v>37.4</v>
      </c>
      <c r="E3913" s="4">
        <v>13.02</v>
      </c>
    </row>
    <row r="3914" spans="1:5" x14ac:dyDescent="0.25">
      <c r="A3914" s="4" t="s">
        <v>53</v>
      </c>
      <c r="B3914" s="4" t="s">
        <v>29</v>
      </c>
      <c r="C3914" s="5">
        <v>45337</v>
      </c>
      <c r="D3914" s="4">
        <v>81.5</v>
      </c>
      <c r="E3914" s="4">
        <v>28.32</v>
      </c>
    </row>
    <row r="3915" spans="1:5" x14ac:dyDescent="0.25">
      <c r="A3915" s="4" t="s">
        <v>53</v>
      </c>
      <c r="B3915" s="4" t="s">
        <v>29</v>
      </c>
      <c r="C3915" s="5">
        <v>45337</v>
      </c>
      <c r="D3915" s="4">
        <v>17.3</v>
      </c>
      <c r="E3915" s="4">
        <v>6.03</v>
      </c>
    </row>
    <row r="3916" spans="1:5" x14ac:dyDescent="0.25">
      <c r="A3916" s="4" t="s">
        <v>53</v>
      </c>
      <c r="B3916" s="4" t="s">
        <v>29</v>
      </c>
      <c r="C3916" s="5">
        <v>45337</v>
      </c>
      <c r="D3916" s="4">
        <v>67.5</v>
      </c>
      <c r="E3916" s="4">
        <v>23.48</v>
      </c>
    </row>
    <row r="3917" spans="1:5" x14ac:dyDescent="0.25">
      <c r="A3917" s="4" t="s">
        <v>53</v>
      </c>
      <c r="B3917" s="4" t="s">
        <v>29</v>
      </c>
      <c r="C3917" s="5">
        <v>45337</v>
      </c>
      <c r="D3917" s="4">
        <v>37.4</v>
      </c>
      <c r="E3917" s="4">
        <v>13.02</v>
      </c>
    </row>
    <row r="3918" spans="1:5" x14ac:dyDescent="0.25">
      <c r="A3918" s="4" t="s">
        <v>53</v>
      </c>
      <c r="B3918" s="4" t="s">
        <v>30</v>
      </c>
      <c r="C3918" s="5">
        <v>45307</v>
      </c>
      <c r="D3918" s="4">
        <v>28.9</v>
      </c>
      <c r="E3918" s="4">
        <v>10.02</v>
      </c>
    </row>
    <row r="3919" spans="1:5" x14ac:dyDescent="0.25">
      <c r="A3919" s="4" t="s">
        <v>53</v>
      </c>
      <c r="B3919" s="4" t="s">
        <v>30</v>
      </c>
      <c r="C3919" s="5">
        <v>45307</v>
      </c>
      <c r="D3919" s="4">
        <v>46</v>
      </c>
      <c r="E3919" s="4">
        <v>16</v>
      </c>
    </row>
    <row r="3920" spans="1:5" x14ac:dyDescent="0.25">
      <c r="A3920" s="4" t="s">
        <v>53</v>
      </c>
      <c r="B3920" s="4" t="s">
        <v>30</v>
      </c>
      <c r="C3920" s="5">
        <v>45307</v>
      </c>
      <c r="D3920" s="4">
        <v>44.3</v>
      </c>
      <c r="E3920" s="4">
        <v>15.37</v>
      </c>
    </row>
    <row r="3921" spans="1:5" x14ac:dyDescent="0.25">
      <c r="A3921" s="4" t="s">
        <v>53</v>
      </c>
      <c r="B3921" s="4" t="s">
        <v>30</v>
      </c>
      <c r="C3921" s="5">
        <v>45307</v>
      </c>
      <c r="D3921" s="4">
        <v>50.1</v>
      </c>
      <c r="E3921" s="4">
        <v>17.45</v>
      </c>
    </row>
    <row r="3922" spans="1:5" x14ac:dyDescent="0.25">
      <c r="A3922" s="4" t="s">
        <v>53</v>
      </c>
      <c r="B3922" s="4" t="s">
        <v>30</v>
      </c>
      <c r="C3922" s="5">
        <v>45307</v>
      </c>
      <c r="D3922" s="4">
        <v>44.3</v>
      </c>
      <c r="E3922" s="4">
        <v>15.37</v>
      </c>
    </row>
    <row r="3923" spans="1:5" x14ac:dyDescent="0.25">
      <c r="A3923" s="4" t="s">
        <v>53</v>
      </c>
      <c r="B3923" s="4" t="s">
        <v>30</v>
      </c>
      <c r="C3923" s="5">
        <v>45307</v>
      </c>
      <c r="D3923" s="4">
        <v>28.9</v>
      </c>
      <c r="E3923" s="4">
        <v>10.02</v>
      </c>
    </row>
    <row r="3924" spans="1:5" x14ac:dyDescent="0.25">
      <c r="A3924" s="4" t="s">
        <v>53</v>
      </c>
      <c r="B3924" s="4" t="s">
        <v>30</v>
      </c>
      <c r="C3924" s="5">
        <v>45309</v>
      </c>
      <c r="D3924" s="4">
        <v>13.2</v>
      </c>
      <c r="E3924" s="4">
        <v>4.59</v>
      </c>
    </row>
    <row r="3925" spans="1:5" x14ac:dyDescent="0.25">
      <c r="A3925" s="4" t="s">
        <v>53</v>
      </c>
      <c r="B3925" s="4" t="s">
        <v>30</v>
      </c>
      <c r="C3925" s="5">
        <v>45309</v>
      </c>
      <c r="D3925" s="4">
        <v>28.1</v>
      </c>
      <c r="E3925" s="4">
        <v>9.7899999999999991</v>
      </c>
    </row>
    <row r="3926" spans="1:5" x14ac:dyDescent="0.25">
      <c r="A3926" s="4" t="s">
        <v>53</v>
      </c>
      <c r="B3926" s="4" t="s">
        <v>30</v>
      </c>
      <c r="C3926" s="5">
        <v>45309</v>
      </c>
      <c r="D3926" s="4">
        <v>0.7</v>
      </c>
      <c r="E3926" s="4">
        <v>0.24</v>
      </c>
    </row>
    <row r="3927" spans="1:5" x14ac:dyDescent="0.25">
      <c r="A3927" s="4" t="s">
        <v>53</v>
      </c>
      <c r="B3927" s="4" t="s">
        <v>30</v>
      </c>
      <c r="C3927" s="5">
        <v>45320</v>
      </c>
      <c r="D3927" s="4">
        <v>41.3</v>
      </c>
      <c r="E3927" s="4">
        <v>14.36</v>
      </c>
    </row>
    <row r="3928" spans="1:5" x14ac:dyDescent="0.25">
      <c r="A3928" s="4" t="s">
        <v>53</v>
      </c>
      <c r="B3928" s="4" t="s">
        <v>30</v>
      </c>
      <c r="C3928" s="5">
        <v>45320</v>
      </c>
      <c r="D3928" s="4">
        <v>17.3</v>
      </c>
      <c r="E3928" s="4">
        <v>6.03</v>
      </c>
    </row>
    <row r="3929" spans="1:5" x14ac:dyDescent="0.25">
      <c r="A3929" s="4" t="s">
        <v>53</v>
      </c>
      <c r="B3929" s="4" t="s">
        <v>30</v>
      </c>
      <c r="C3929" s="5">
        <v>45320</v>
      </c>
      <c r="D3929" s="4">
        <v>17.3</v>
      </c>
      <c r="E3929" s="4">
        <v>6.03</v>
      </c>
    </row>
    <row r="3930" spans="1:5" x14ac:dyDescent="0.25">
      <c r="A3930" s="4" t="s">
        <v>53</v>
      </c>
      <c r="B3930" s="4" t="s">
        <v>30</v>
      </c>
      <c r="C3930" s="5">
        <v>45320</v>
      </c>
      <c r="D3930" s="4">
        <v>67.5</v>
      </c>
      <c r="E3930" s="4">
        <v>23.48</v>
      </c>
    </row>
    <row r="3931" spans="1:5" x14ac:dyDescent="0.25">
      <c r="A3931" s="4" t="s">
        <v>53</v>
      </c>
      <c r="B3931" s="4" t="s">
        <v>30</v>
      </c>
      <c r="C3931" s="5">
        <v>45320</v>
      </c>
      <c r="D3931" s="4">
        <v>85.7</v>
      </c>
      <c r="E3931" s="4">
        <v>29.82</v>
      </c>
    </row>
    <row r="3932" spans="1:5" x14ac:dyDescent="0.25">
      <c r="A3932" s="4" t="s">
        <v>53</v>
      </c>
      <c r="B3932" s="4" t="s">
        <v>30</v>
      </c>
      <c r="C3932" s="5">
        <v>45320</v>
      </c>
      <c r="D3932" s="4">
        <v>17.3</v>
      </c>
      <c r="E3932" s="4">
        <v>6.03</v>
      </c>
    </row>
    <row r="3933" spans="1:5" x14ac:dyDescent="0.25">
      <c r="A3933" s="4" t="s">
        <v>53</v>
      </c>
      <c r="B3933" s="4" t="s">
        <v>30</v>
      </c>
      <c r="C3933" s="5">
        <v>45320</v>
      </c>
      <c r="D3933" s="4">
        <v>17.3</v>
      </c>
      <c r="E3933" s="4">
        <v>6.03</v>
      </c>
    </row>
    <row r="3934" spans="1:5" x14ac:dyDescent="0.25">
      <c r="A3934" s="4" t="s">
        <v>53</v>
      </c>
      <c r="B3934" s="4" t="s">
        <v>30</v>
      </c>
      <c r="C3934" s="5">
        <v>45320</v>
      </c>
      <c r="D3934" s="4">
        <v>67.5</v>
      </c>
      <c r="E3934" s="4">
        <v>23.48</v>
      </c>
    </row>
    <row r="3935" spans="1:5" x14ac:dyDescent="0.25">
      <c r="A3935" s="4" t="s">
        <v>53</v>
      </c>
      <c r="B3935" s="4" t="s">
        <v>30</v>
      </c>
      <c r="C3935" s="5">
        <v>45320</v>
      </c>
      <c r="D3935" s="4">
        <v>44.4</v>
      </c>
      <c r="E3935" s="4">
        <v>15.46</v>
      </c>
    </row>
    <row r="3936" spans="1:5" x14ac:dyDescent="0.25">
      <c r="A3936" s="4" t="s">
        <v>53</v>
      </c>
      <c r="B3936" s="4" t="s">
        <v>30</v>
      </c>
      <c r="C3936" s="5">
        <v>45321</v>
      </c>
      <c r="D3936" s="4">
        <v>41.3</v>
      </c>
      <c r="E3936" s="4">
        <v>14.36</v>
      </c>
    </row>
    <row r="3937" spans="1:5" x14ac:dyDescent="0.25">
      <c r="A3937" s="4" t="s">
        <v>53</v>
      </c>
      <c r="B3937" s="4" t="s">
        <v>30</v>
      </c>
      <c r="C3937" s="5">
        <v>45321</v>
      </c>
      <c r="D3937" s="4">
        <v>17.3</v>
      </c>
      <c r="E3937" s="4">
        <v>6.03</v>
      </c>
    </row>
    <row r="3938" spans="1:5" x14ac:dyDescent="0.25">
      <c r="A3938" s="4" t="s">
        <v>53</v>
      </c>
      <c r="B3938" s="4" t="s">
        <v>30</v>
      </c>
      <c r="C3938" s="5">
        <v>45321</v>
      </c>
      <c r="D3938" s="4">
        <v>17.3</v>
      </c>
      <c r="E3938" s="4">
        <v>6.03</v>
      </c>
    </row>
    <row r="3939" spans="1:5" x14ac:dyDescent="0.25">
      <c r="A3939" s="4" t="s">
        <v>53</v>
      </c>
      <c r="B3939" s="4" t="s">
        <v>30</v>
      </c>
      <c r="C3939" s="5">
        <v>45321</v>
      </c>
      <c r="D3939" s="4">
        <v>67.5</v>
      </c>
      <c r="E3939" s="4">
        <v>23.48</v>
      </c>
    </row>
    <row r="3940" spans="1:5" x14ac:dyDescent="0.25">
      <c r="A3940" s="4" t="s">
        <v>53</v>
      </c>
      <c r="B3940" s="4" t="s">
        <v>30</v>
      </c>
      <c r="C3940" s="5">
        <v>45321</v>
      </c>
      <c r="D3940" s="4">
        <v>67.5</v>
      </c>
      <c r="E3940" s="4">
        <v>23.49</v>
      </c>
    </row>
    <row r="3941" spans="1:5" x14ac:dyDescent="0.25">
      <c r="A3941" s="4" t="s">
        <v>53</v>
      </c>
      <c r="B3941" s="4" t="s">
        <v>30</v>
      </c>
      <c r="C3941" s="5">
        <v>45321</v>
      </c>
      <c r="D3941" s="4">
        <v>19</v>
      </c>
      <c r="E3941" s="4">
        <v>6.61</v>
      </c>
    </row>
    <row r="3942" spans="1:5" x14ac:dyDescent="0.25">
      <c r="A3942" s="4" t="s">
        <v>53</v>
      </c>
      <c r="B3942" s="4" t="s">
        <v>30</v>
      </c>
      <c r="C3942" s="5">
        <v>45321</v>
      </c>
      <c r="D3942" s="4">
        <v>17.3</v>
      </c>
      <c r="E3942" s="4">
        <v>6.03</v>
      </c>
    </row>
    <row r="3943" spans="1:5" x14ac:dyDescent="0.25">
      <c r="A3943" s="4" t="s">
        <v>53</v>
      </c>
      <c r="B3943" s="4" t="s">
        <v>30</v>
      </c>
      <c r="C3943" s="5">
        <v>45321</v>
      </c>
      <c r="D3943" s="4">
        <v>17.3</v>
      </c>
      <c r="E3943" s="4">
        <v>6.03</v>
      </c>
    </row>
    <row r="3944" spans="1:5" x14ac:dyDescent="0.25">
      <c r="A3944" s="4" t="s">
        <v>53</v>
      </c>
      <c r="B3944" s="4" t="s">
        <v>30</v>
      </c>
      <c r="C3944" s="5">
        <v>45321</v>
      </c>
      <c r="D3944" s="4">
        <v>67.5</v>
      </c>
      <c r="E3944" s="4">
        <v>23.48</v>
      </c>
    </row>
    <row r="3945" spans="1:5" x14ac:dyDescent="0.25">
      <c r="A3945" s="4" t="s">
        <v>53</v>
      </c>
      <c r="B3945" s="4" t="s">
        <v>30</v>
      </c>
      <c r="C3945" s="5">
        <v>45321</v>
      </c>
      <c r="D3945" s="4">
        <v>59.8</v>
      </c>
      <c r="E3945" s="4">
        <v>20.81</v>
      </c>
    </row>
    <row r="3946" spans="1:5" x14ac:dyDescent="0.25">
      <c r="A3946" s="4" t="s">
        <v>53</v>
      </c>
      <c r="B3946" s="4" t="s">
        <v>30</v>
      </c>
      <c r="C3946" s="5">
        <v>45321</v>
      </c>
      <c r="D3946" s="4">
        <v>16.899999999999999</v>
      </c>
      <c r="E3946" s="4">
        <v>5.89</v>
      </c>
    </row>
    <row r="3947" spans="1:5" x14ac:dyDescent="0.25">
      <c r="A3947" s="4" t="s">
        <v>53</v>
      </c>
      <c r="B3947" s="4" t="s">
        <v>30</v>
      </c>
      <c r="C3947" s="5">
        <v>45321</v>
      </c>
      <c r="D3947" s="4">
        <v>18.7</v>
      </c>
      <c r="E3947" s="4">
        <v>6.52</v>
      </c>
    </row>
    <row r="3948" spans="1:5" x14ac:dyDescent="0.25">
      <c r="A3948" s="4" t="s">
        <v>53</v>
      </c>
      <c r="B3948" s="4" t="s">
        <v>30</v>
      </c>
      <c r="C3948" s="5">
        <v>45322</v>
      </c>
      <c r="D3948" s="4">
        <v>41.3</v>
      </c>
      <c r="E3948" s="4">
        <v>14.36</v>
      </c>
    </row>
    <row r="3949" spans="1:5" x14ac:dyDescent="0.25">
      <c r="A3949" s="4" t="s">
        <v>53</v>
      </c>
      <c r="B3949" s="4" t="s">
        <v>30</v>
      </c>
      <c r="C3949" s="5">
        <v>45322</v>
      </c>
      <c r="D3949" s="4">
        <v>17.3</v>
      </c>
      <c r="E3949" s="4">
        <v>6.03</v>
      </c>
    </row>
    <row r="3950" spans="1:5" x14ac:dyDescent="0.25">
      <c r="A3950" s="4" t="s">
        <v>53</v>
      </c>
      <c r="B3950" s="4" t="s">
        <v>30</v>
      </c>
      <c r="C3950" s="5">
        <v>45322</v>
      </c>
      <c r="D3950" s="4">
        <v>17.3</v>
      </c>
      <c r="E3950" s="4">
        <v>6.03</v>
      </c>
    </row>
    <row r="3951" spans="1:5" x14ac:dyDescent="0.25">
      <c r="A3951" s="4" t="s">
        <v>53</v>
      </c>
      <c r="B3951" s="4" t="s">
        <v>30</v>
      </c>
      <c r="C3951" s="5">
        <v>45322</v>
      </c>
      <c r="D3951" s="4">
        <v>67.5</v>
      </c>
      <c r="E3951" s="4">
        <v>23.48</v>
      </c>
    </row>
    <row r="3952" spans="1:5" x14ac:dyDescent="0.25">
      <c r="A3952" s="4" t="s">
        <v>53</v>
      </c>
      <c r="B3952" s="4" t="s">
        <v>30</v>
      </c>
      <c r="C3952" s="5">
        <v>45322</v>
      </c>
      <c r="D3952" s="4">
        <v>71.2</v>
      </c>
      <c r="E3952" s="4">
        <v>24.72</v>
      </c>
    </row>
    <row r="3953" spans="1:5" x14ac:dyDescent="0.25">
      <c r="A3953" s="4" t="s">
        <v>53</v>
      </c>
      <c r="B3953" s="4" t="s">
        <v>30</v>
      </c>
      <c r="C3953" s="5">
        <v>45322</v>
      </c>
      <c r="D3953" s="4">
        <v>17.3</v>
      </c>
      <c r="E3953" s="4">
        <v>6.03</v>
      </c>
    </row>
    <row r="3954" spans="1:5" x14ac:dyDescent="0.25">
      <c r="A3954" s="4" t="s">
        <v>53</v>
      </c>
      <c r="B3954" s="4" t="s">
        <v>30</v>
      </c>
      <c r="C3954" s="5">
        <v>45322</v>
      </c>
      <c r="D3954" s="4">
        <v>17.3</v>
      </c>
      <c r="E3954" s="4">
        <v>6.03</v>
      </c>
    </row>
    <row r="3955" spans="1:5" x14ac:dyDescent="0.25">
      <c r="A3955" s="4" t="s">
        <v>53</v>
      </c>
      <c r="B3955" s="4" t="s">
        <v>30</v>
      </c>
      <c r="C3955" s="5">
        <v>45322</v>
      </c>
      <c r="D3955" s="4">
        <v>67.5</v>
      </c>
      <c r="E3955" s="4">
        <v>23.48</v>
      </c>
    </row>
    <row r="3956" spans="1:5" x14ac:dyDescent="0.25">
      <c r="A3956" s="4" t="s">
        <v>53</v>
      </c>
      <c r="B3956" s="4" t="s">
        <v>30</v>
      </c>
      <c r="C3956" s="5">
        <v>45322</v>
      </c>
      <c r="D3956" s="4">
        <v>45.3</v>
      </c>
      <c r="E3956" s="4">
        <v>15.71</v>
      </c>
    </row>
    <row r="3957" spans="1:5" x14ac:dyDescent="0.25">
      <c r="A3957" s="4" t="s">
        <v>53</v>
      </c>
      <c r="B3957" s="4" t="s">
        <v>30</v>
      </c>
      <c r="C3957" s="5">
        <v>45322</v>
      </c>
      <c r="D3957" s="4">
        <v>15.4</v>
      </c>
      <c r="E3957" s="4">
        <v>5.35</v>
      </c>
    </row>
    <row r="3958" spans="1:5" x14ac:dyDescent="0.25">
      <c r="A3958" s="4" t="s">
        <v>53</v>
      </c>
      <c r="B3958" s="4" t="s">
        <v>30</v>
      </c>
      <c r="C3958" s="5">
        <v>45323</v>
      </c>
      <c r="D3958" s="4">
        <v>41.3</v>
      </c>
      <c r="E3958" s="4">
        <v>14.36</v>
      </c>
    </row>
    <row r="3959" spans="1:5" x14ac:dyDescent="0.25">
      <c r="A3959" s="4" t="s">
        <v>53</v>
      </c>
      <c r="B3959" s="4" t="s">
        <v>30</v>
      </c>
      <c r="C3959" s="5">
        <v>45323</v>
      </c>
      <c r="D3959" s="4">
        <v>17.3</v>
      </c>
      <c r="E3959" s="4">
        <v>6.03</v>
      </c>
    </row>
    <row r="3960" spans="1:5" x14ac:dyDescent="0.25">
      <c r="A3960" s="4" t="s">
        <v>53</v>
      </c>
      <c r="B3960" s="4" t="s">
        <v>30</v>
      </c>
      <c r="C3960" s="5">
        <v>45323</v>
      </c>
      <c r="D3960" s="4">
        <v>17.3</v>
      </c>
      <c r="E3960" s="4">
        <v>6.03</v>
      </c>
    </row>
    <row r="3961" spans="1:5" x14ac:dyDescent="0.25">
      <c r="A3961" s="4" t="s">
        <v>53</v>
      </c>
      <c r="B3961" s="4" t="s">
        <v>30</v>
      </c>
      <c r="C3961" s="5">
        <v>45323</v>
      </c>
      <c r="D3961" s="4">
        <v>67.5</v>
      </c>
      <c r="E3961" s="4">
        <v>23.48</v>
      </c>
    </row>
    <row r="3962" spans="1:5" x14ac:dyDescent="0.25">
      <c r="A3962" s="4" t="s">
        <v>53</v>
      </c>
      <c r="B3962" s="4" t="s">
        <v>30</v>
      </c>
      <c r="C3962" s="5">
        <v>45323</v>
      </c>
      <c r="D3962" s="4">
        <v>85.7</v>
      </c>
      <c r="E3962" s="4">
        <v>29.82</v>
      </c>
    </row>
    <row r="3963" spans="1:5" x14ac:dyDescent="0.25">
      <c r="A3963" s="4" t="s">
        <v>53</v>
      </c>
      <c r="B3963" s="4" t="s">
        <v>30</v>
      </c>
      <c r="C3963" s="5">
        <v>45323</v>
      </c>
      <c r="D3963" s="4">
        <v>17.3</v>
      </c>
      <c r="E3963" s="4">
        <v>6.03</v>
      </c>
    </row>
    <row r="3964" spans="1:5" x14ac:dyDescent="0.25">
      <c r="A3964" s="4" t="s">
        <v>53</v>
      </c>
      <c r="B3964" s="4" t="s">
        <v>30</v>
      </c>
      <c r="C3964" s="5">
        <v>45323</v>
      </c>
      <c r="D3964" s="4">
        <v>17.3</v>
      </c>
      <c r="E3964" s="4">
        <v>6.03</v>
      </c>
    </row>
    <row r="3965" spans="1:5" x14ac:dyDescent="0.25">
      <c r="A3965" s="4" t="s">
        <v>53</v>
      </c>
      <c r="B3965" s="4" t="s">
        <v>30</v>
      </c>
      <c r="C3965" s="5">
        <v>45323</v>
      </c>
      <c r="D3965" s="4">
        <v>71.2</v>
      </c>
      <c r="E3965" s="4">
        <v>24.72</v>
      </c>
    </row>
    <row r="3966" spans="1:5" x14ac:dyDescent="0.25">
      <c r="A3966" s="4" t="s">
        <v>53</v>
      </c>
      <c r="B3966" s="4" t="s">
        <v>30</v>
      </c>
      <c r="C3966" s="5">
        <v>45323</v>
      </c>
      <c r="D3966" s="4">
        <v>29.9</v>
      </c>
      <c r="E3966" s="4">
        <v>10.36</v>
      </c>
    </row>
    <row r="3967" spans="1:5" x14ac:dyDescent="0.25">
      <c r="A3967" s="4" t="s">
        <v>53</v>
      </c>
      <c r="B3967" s="4" t="s">
        <v>30</v>
      </c>
      <c r="C3967" s="5">
        <v>45324</v>
      </c>
      <c r="D3967" s="4">
        <v>22.6</v>
      </c>
      <c r="E3967" s="4">
        <v>7.88</v>
      </c>
    </row>
    <row r="3968" spans="1:5" x14ac:dyDescent="0.25">
      <c r="A3968" s="4" t="s">
        <v>53</v>
      </c>
      <c r="B3968" s="4" t="s">
        <v>30</v>
      </c>
      <c r="C3968" s="5">
        <v>45324</v>
      </c>
      <c r="D3968" s="4">
        <v>22.6</v>
      </c>
      <c r="E3968" s="4">
        <v>7.88</v>
      </c>
    </row>
    <row r="3969" spans="1:5" x14ac:dyDescent="0.25">
      <c r="A3969" s="4" t="s">
        <v>53</v>
      </c>
      <c r="B3969" s="4" t="s">
        <v>30</v>
      </c>
      <c r="C3969" s="5">
        <v>45324</v>
      </c>
      <c r="D3969" s="4">
        <v>22.6</v>
      </c>
      <c r="E3969" s="4">
        <v>7.88</v>
      </c>
    </row>
    <row r="3970" spans="1:5" x14ac:dyDescent="0.25">
      <c r="A3970" s="4" t="s">
        <v>53</v>
      </c>
      <c r="B3970" s="4" t="s">
        <v>30</v>
      </c>
      <c r="C3970" s="5">
        <v>45324</v>
      </c>
      <c r="D3970" s="4">
        <v>22.6</v>
      </c>
      <c r="E3970" s="4">
        <v>7.88</v>
      </c>
    </row>
    <row r="3971" spans="1:5" x14ac:dyDescent="0.25">
      <c r="A3971" s="4" t="s">
        <v>53</v>
      </c>
      <c r="B3971" s="4" t="s">
        <v>30</v>
      </c>
      <c r="C3971" s="5">
        <v>45324</v>
      </c>
      <c r="D3971" s="4">
        <v>22.6</v>
      </c>
      <c r="E3971" s="4">
        <v>7.88</v>
      </c>
    </row>
    <row r="3972" spans="1:5" x14ac:dyDescent="0.25">
      <c r="A3972" s="4" t="s">
        <v>53</v>
      </c>
      <c r="B3972" s="4" t="s">
        <v>30</v>
      </c>
      <c r="C3972" s="5">
        <v>45324</v>
      </c>
      <c r="D3972" s="4">
        <v>22.6</v>
      </c>
      <c r="E3972" s="4">
        <v>7.88</v>
      </c>
    </row>
    <row r="3973" spans="1:5" x14ac:dyDescent="0.25">
      <c r="A3973" s="4" t="s">
        <v>53</v>
      </c>
      <c r="B3973" s="4" t="s">
        <v>30</v>
      </c>
      <c r="C3973" s="5">
        <v>45324</v>
      </c>
      <c r="D3973" s="4">
        <v>22.6</v>
      </c>
      <c r="E3973" s="4">
        <v>7.88</v>
      </c>
    </row>
    <row r="3974" spans="1:5" x14ac:dyDescent="0.25">
      <c r="A3974" s="4" t="s">
        <v>53</v>
      </c>
      <c r="B3974" s="4" t="s">
        <v>30</v>
      </c>
      <c r="C3974" s="5">
        <v>45324</v>
      </c>
      <c r="D3974" s="4">
        <v>22.6</v>
      </c>
      <c r="E3974" s="4">
        <v>7.88</v>
      </c>
    </row>
    <row r="3975" spans="1:5" x14ac:dyDescent="0.25">
      <c r="A3975" s="4" t="s">
        <v>53</v>
      </c>
      <c r="B3975" s="4" t="s">
        <v>30</v>
      </c>
      <c r="C3975" s="5">
        <v>45324</v>
      </c>
      <c r="D3975" s="4">
        <v>22.6</v>
      </c>
      <c r="E3975" s="4">
        <v>7.88</v>
      </c>
    </row>
    <row r="3976" spans="1:5" x14ac:dyDescent="0.25">
      <c r="A3976" s="4" t="s">
        <v>53</v>
      </c>
      <c r="B3976" s="4" t="s">
        <v>30</v>
      </c>
      <c r="C3976" s="5">
        <v>45324</v>
      </c>
      <c r="D3976" s="4">
        <v>22.6</v>
      </c>
      <c r="E3976" s="4">
        <v>7.88</v>
      </c>
    </row>
    <row r="3977" spans="1:5" x14ac:dyDescent="0.25">
      <c r="A3977" s="4" t="s">
        <v>53</v>
      </c>
      <c r="B3977" s="4" t="s">
        <v>30</v>
      </c>
      <c r="C3977" s="5">
        <v>45327</v>
      </c>
      <c r="D3977" s="4">
        <v>41.3</v>
      </c>
      <c r="E3977" s="4">
        <v>14.36</v>
      </c>
    </row>
    <row r="3978" spans="1:5" x14ac:dyDescent="0.25">
      <c r="A3978" s="4" t="s">
        <v>53</v>
      </c>
      <c r="B3978" s="4" t="s">
        <v>30</v>
      </c>
      <c r="C3978" s="5">
        <v>45327</v>
      </c>
      <c r="D3978" s="4">
        <v>17.3</v>
      </c>
      <c r="E3978" s="4">
        <v>6.03</v>
      </c>
    </row>
    <row r="3979" spans="1:5" x14ac:dyDescent="0.25">
      <c r="A3979" s="4" t="s">
        <v>53</v>
      </c>
      <c r="B3979" s="4" t="s">
        <v>30</v>
      </c>
      <c r="C3979" s="5">
        <v>45327</v>
      </c>
      <c r="D3979" s="4">
        <v>17.3</v>
      </c>
      <c r="E3979" s="4">
        <v>6.03</v>
      </c>
    </row>
    <row r="3980" spans="1:5" x14ac:dyDescent="0.25">
      <c r="A3980" s="4" t="s">
        <v>53</v>
      </c>
      <c r="B3980" s="4" t="s">
        <v>30</v>
      </c>
      <c r="C3980" s="5">
        <v>45327</v>
      </c>
      <c r="D3980" s="4">
        <v>22.8</v>
      </c>
      <c r="E3980" s="4">
        <v>7.93</v>
      </c>
    </row>
    <row r="3981" spans="1:5" x14ac:dyDescent="0.25">
      <c r="A3981" s="4" t="s">
        <v>53</v>
      </c>
      <c r="B3981" s="4" t="s">
        <v>30</v>
      </c>
      <c r="C3981" s="5">
        <v>45327</v>
      </c>
      <c r="D3981" s="4">
        <v>26.2</v>
      </c>
      <c r="E3981" s="4">
        <v>9.1199999999999992</v>
      </c>
    </row>
    <row r="3982" spans="1:5" x14ac:dyDescent="0.25">
      <c r="A3982" s="4" t="s">
        <v>53</v>
      </c>
      <c r="B3982" s="4" t="s">
        <v>30</v>
      </c>
      <c r="C3982" s="5">
        <v>45327</v>
      </c>
      <c r="D3982" s="4">
        <v>71.2</v>
      </c>
      <c r="E3982" s="4">
        <v>24.72</v>
      </c>
    </row>
    <row r="3983" spans="1:5" x14ac:dyDescent="0.25">
      <c r="A3983" s="4" t="s">
        <v>53</v>
      </c>
      <c r="B3983" s="4" t="s">
        <v>30</v>
      </c>
      <c r="C3983" s="5">
        <v>45327</v>
      </c>
      <c r="D3983" s="4">
        <v>17.3</v>
      </c>
      <c r="E3983" s="4">
        <v>6.03</v>
      </c>
    </row>
    <row r="3984" spans="1:5" x14ac:dyDescent="0.25">
      <c r="A3984" s="4" t="s">
        <v>53</v>
      </c>
      <c r="B3984" s="4" t="s">
        <v>30</v>
      </c>
      <c r="C3984" s="5">
        <v>45327</v>
      </c>
      <c r="D3984" s="4">
        <v>17.3</v>
      </c>
      <c r="E3984" s="4">
        <v>6.03</v>
      </c>
    </row>
    <row r="3985" spans="1:5" x14ac:dyDescent="0.25">
      <c r="A3985" s="4" t="s">
        <v>53</v>
      </c>
      <c r="B3985" s="4" t="s">
        <v>30</v>
      </c>
      <c r="C3985" s="5">
        <v>45327</v>
      </c>
      <c r="D3985" s="4">
        <v>67.5</v>
      </c>
      <c r="E3985" s="4">
        <v>23.48</v>
      </c>
    </row>
    <row r="3986" spans="1:5" x14ac:dyDescent="0.25">
      <c r="A3986" s="4" t="s">
        <v>53</v>
      </c>
      <c r="B3986" s="4" t="s">
        <v>30</v>
      </c>
      <c r="C3986" s="5">
        <v>45327</v>
      </c>
      <c r="D3986" s="4">
        <v>29.9</v>
      </c>
      <c r="E3986" s="4">
        <v>10.36</v>
      </c>
    </row>
    <row r="3987" spans="1:5" x14ac:dyDescent="0.25">
      <c r="A3987" s="4" t="s">
        <v>53</v>
      </c>
      <c r="B3987" s="4" t="s">
        <v>30</v>
      </c>
      <c r="C3987" s="5">
        <v>45328</v>
      </c>
      <c r="D3987" s="4">
        <v>41.3</v>
      </c>
      <c r="E3987" s="4">
        <v>14.36</v>
      </c>
    </row>
    <row r="3988" spans="1:5" x14ac:dyDescent="0.25">
      <c r="A3988" s="4" t="s">
        <v>53</v>
      </c>
      <c r="B3988" s="4" t="s">
        <v>30</v>
      </c>
      <c r="C3988" s="5">
        <v>45328</v>
      </c>
      <c r="D3988" s="4">
        <v>17.3</v>
      </c>
      <c r="E3988" s="4">
        <v>6.03</v>
      </c>
    </row>
    <row r="3989" spans="1:5" x14ac:dyDescent="0.25">
      <c r="A3989" s="4" t="s">
        <v>53</v>
      </c>
      <c r="B3989" s="4" t="s">
        <v>30</v>
      </c>
      <c r="C3989" s="5">
        <v>45328</v>
      </c>
      <c r="D3989" s="4">
        <v>17.3</v>
      </c>
      <c r="E3989" s="4">
        <v>6.03</v>
      </c>
    </row>
    <row r="3990" spans="1:5" x14ac:dyDescent="0.25">
      <c r="A3990" s="4" t="s">
        <v>53</v>
      </c>
      <c r="B3990" s="4" t="s">
        <v>30</v>
      </c>
      <c r="C3990" s="5">
        <v>45328</v>
      </c>
      <c r="D3990" s="4">
        <v>67.5</v>
      </c>
      <c r="E3990" s="4">
        <v>23.48</v>
      </c>
    </row>
    <row r="3991" spans="1:5" x14ac:dyDescent="0.25">
      <c r="A3991" s="4" t="s">
        <v>53</v>
      </c>
      <c r="B3991" s="4" t="s">
        <v>30</v>
      </c>
      <c r="C3991" s="5">
        <v>45328</v>
      </c>
      <c r="D3991" s="4">
        <v>71.2</v>
      </c>
      <c r="E3991" s="4">
        <v>24.72</v>
      </c>
    </row>
    <row r="3992" spans="1:5" x14ac:dyDescent="0.25">
      <c r="A3992" s="4" t="s">
        <v>53</v>
      </c>
      <c r="B3992" s="4" t="s">
        <v>30</v>
      </c>
      <c r="C3992" s="5">
        <v>45328</v>
      </c>
      <c r="D3992" s="4">
        <v>17.3</v>
      </c>
      <c r="E3992" s="4">
        <v>6.03</v>
      </c>
    </row>
    <row r="3993" spans="1:5" x14ac:dyDescent="0.25">
      <c r="A3993" s="4" t="s">
        <v>53</v>
      </c>
      <c r="B3993" s="4" t="s">
        <v>30</v>
      </c>
      <c r="C3993" s="5">
        <v>45328</v>
      </c>
      <c r="D3993" s="4">
        <v>17.3</v>
      </c>
      <c r="E3993" s="4">
        <v>6.03</v>
      </c>
    </row>
    <row r="3994" spans="1:5" x14ac:dyDescent="0.25">
      <c r="A3994" s="4" t="s">
        <v>53</v>
      </c>
      <c r="B3994" s="4" t="s">
        <v>30</v>
      </c>
      <c r="C3994" s="5">
        <v>45328</v>
      </c>
      <c r="D3994" s="4">
        <v>67.5</v>
      </c>
      <c r="E3994" s="4">
        <v>23.48</v>
      </c>
    </row>
    <row r="3995" spans="1:5" x14ac:dyDescent="0.25">
      <c r="A3995" s="4" t="s">
        <v>53</v>
      </c>
      <c r="B3995" s="4" t="s">
        <v>30</v>
      </c>
      <c r="C3995" s="5">
        <v>45328</v>
      </c>
      <c r="D3995" s="4">
        <v>29.9</v>
      </c>
      <c r="E3995" s="4">
        <v>10.36</v>
      </c>
    </row>
    <row r="3996" spans="1:5" x14ac:dyDescent="0.25">
      <c r="A3996" s="4" t="s">
        <v>53</v>
      </c>
      <c r="B3996" s="4" t="s">
        <v>30</v>
      </c>
      <c r="C3996" s="5">
        <v>45329</v>
      </c>
      <c r="D3996" s="4">
        <v>41.3</v>
      </c>
      <c r="E3996" s="4">
        <v>14.36</v>
      </c>
    </row>
    <row r="3997" spans="1:5" x14ac:dyDescent="0.25">
      <c r="A3997" s="4" t="s">
        <v>53</v>
      </c>
      <c r="B3997" s="4" t="s">
        <v>30</v>
      </c>
      <c r="C3997" s="5">
        <v>45329</v>
      </c>
      <c r="D3997" s="4">
        <v>17.3</v>
      </c>
      <c r="E3997" s="4">
        <v>6.03</v>
      </c>
    </row>
    <row r="3998" spans="1:5" x14ac:dyDescent="0.25">
      <c r="A3998" s="4" t="s">
        <v>53</v>
      </c>
      <c r="B3998" s="4" t="s">
        <v>30</v>
      </c>
      <c r="C3998" s="5">
        <v>45329</v>
      </c>
      <c r="D3998" s="4">
        <v>17.3</v>
      </c>
      <c r="E3998" s="4">
        <v>6.03</v>
      </c>
    </row>
    <row r="3999" spans="1:5" x14ac:dyDescent="0.25">
      <c r="A3999" s="4" t="s">
        <v>53</v>
      </c>
      <c r="B3999" s="4" t="s">
        <v>30</v>
      </c>
      <c r="C3999" s="5">
        <v>45329</v>
      </c>
      <c r="D3999" s="4">
        <v>67.5</v>
      </c>
      <c r="E3999" s="4">
        <v>23.48</v>
      </c>
    </row>
    <row r="4000" spans="1:5" x14ac:dyDescent="0.25">
      <c r="A4000" s="4" t="s">
        <v>53</v>
      </c>
      <c r="B4000" s="4" t="s">
        <v>30</v>
      </c>
      <c r="C4000" s="5">
        <v>45329</v>
      </c>
      <c r="D4000" s="4">
        <v>85.7</v>
      </c>
      <c r="E4000" s="4">
        <v>29.82</v>
      </c>
    </row>
    <row r="4001" spans="1:5" x14ac:dyDescent="0.25">
      <c r="A4001" s="4" t="s">
        <v>53</v>
      </c>
      <c r="B4001" s="4" t="s">
        <v>30</v>
      </c>
      <c r="C4001" s="5">
        <v>45329</v>
      </c>
      <c r="D4001" s="4">
        <v>0.2</v>
      </c>
      <c r="E4001" s="4">
        <v>7.0000000000000007E-2</v>
      </c>
    </row>
    <row r="4002" spans="1:5" x14ac:dyDescent="0.25">
      <c r="A4002" s="4" t="s">
        <v>53</v>
      </c>
      <c r="B4002" s="4" t="s">
        <v>30</v>
      </c>
      <c r="C4002" s="5">
        <v>45329</v>
      </c>
      <c r="D4002" s="4">
        <v>17.100000000000001</v>
      </c>
      <c r="E4002" s="4">
        <v>5.96</v>
      </c>
    </row>
    <row r="4003" spans="1:5" x14ac:dyDescent="0.25">
      <c r="A4003" s="4" t="s">
        <v>53</v>
      </c>
      <c r="B4003" s="4" t="s">
        <v>30</v>
      </c>
      <c r="C4003" s="5">
        <v>45329</v>
      </c>
      <c r="D4003" s="4">
        <v>17.3</v>
      </c>
      <c r="E4003" s="4">
        <v>6.03</v>
      </c>
    </row>
    <row r="4004" spans="1:5" x14ac:dyDescent="0.25">
      <c r="A4004" s="4" t="s">
        <v>53</v>
      </c>
      <c r="B4004" s="4" t="s">
        <v>30</v>
      </c>
      <c r="C4004" s="5">
        <v>45329</v>
      </c>
      <c r="D4004" s="4">
        <v>67.5</v>
      </c>
      <c r="E4004" s="4">
        <v>23.48</v>
      </c>
    </row>
    <row r="4005" spans="1:5" x14ac:dyDescent="0.25">
      <c r="A4005" s="4" t="s">
        <v>53</v>
      </c>
      <c r="B4005" s="4" t="s">
        <v>30</v>
      </c>
      <c r="C4005" s="5">
        <v>45329</v>
      </c>
      <c r="D4005" s="4">
        <v>29.9</v>
      </c>
      <c r="E4005" s="4">
        <v>10.36</v>
      </c>
    </row>
    <row r="4006" spans="1:5" x14ac:dyDescent="0.25">
      <c r="A4006" s="4" t="s">
        <v>53</v>
      </c>
      <c r="B4006" s="4" t="s">
        <v>30</v>
      </c>
      <c r="C4006" s="5">
        <v>45330</v>
      </c>
      <c r="D4006" s="4">
        <v>41.3</v>
      </c>
      <c r="E4006" s="4">
        <v>14.36</v>
      </c>
    </row>
    <row r="4007" spans="1:5" x14ac:dyDescent="0.25">
      <c r="A4007" s="4" t="s">
        <v>53</v>
      </c>
      <c r="B4007" s="4" t="s">
        <v>30</v>
      </c>
      <c r="C4007" s="5">
        <v>45330</v>
      </c>
      <c r="D4007" s="4">
        <v>17.3</v>
      </c>
      <c r="E4007" s="4">
        <v>6.03</v>
      </c>
    </row>
    <row r="4008" spans="1:5" x14ac:dyDescent="0.25">
      <c r="A4008" s="4" t="s">
        <v>53</v>
      </c>
      <c r="B4008" s="4" t="s">
        <v>30</v>
      </c>
      <c r="C4008" s="5">
        <v>45330</v>
      </c>
      <c r="D4008" s="4">
        <v>17.3</v>
      </c>
      <c r="E4008" s="4">
        <v>6.03</v>
      </c>
    </row>
    <row r="4009" spans="1:5" x14ac:dyDescent="0.25">
      <c r="A4009" s="4" t="s">
        <v>53</v>
      </c>
      <c r="B4009" s="4" t="s">
        <v>30</v>
      </c>
      <c r="C4009" s="5">
        <v>45330</v>
      </c>
      <c r="D4009" s="4">
        <v>67.5</v>
      </c>
      <c r="E4009" s="4">
        <v>23.48</v>
      </c>
    </row>
    <row r="4010" spans="1:5" x14ac:dyDescent="0.25">
      <c r="A4010" s="4" t="s">
        <v>53</v>
      </c>
      <c r="B4010" s="4" t="s">
        <v>30</v>
      </c>
      <c r="C4010" s="5">
        <v>45330</v>
      </c>
      <c r="D4010" s="4">
        <v>84.3</v>
      </c>
      <c r="E4010" s="4">
        <v>29.32</v>
      </c>
    </row>
    <row r="4011" spans="1:5" x14ac:dyDescent="0.25">
      <c r="A4011" s="4" t="s">
        <v>53</v>
      </c>
      <c r="B4011" s="4" t="s">
        <v>30</v>
      </c>
      <c r="C4011" s="5">
        <v>45330</v>
      </c>
      <c r="D4011" s="4">
        <v>0.2</v>
      </c>
      <c r="E4011" s="4">
        <v>7.0000000000000007E-2</v>
      </c>
    </row>
    <row r="4012" spans="1:5" x14ac:dyDescent="0.25">
      <c r="A4012" s="4" t="s">
        <v>53</v>
      </c>
      <c r="B4012" s="4" t="s">
        <v>30</v>
      </c>
      <c r="C4012" s="5">
        <v>45330</v>
      </c>
      <c r="D4012" s="4">
        <v>17.100000000000001</v>
      </c>
      <c r="E4012" s="4">
        <v>5.96</v>
      </c>
    </row>
    <row r="4013" spans="1:5" x14ac:dyDescent="0.25">
      <c r="A4013" s="4" t="s">
        <v>53</v>
      </c>
      <c r="B4013" s="4" t="s">
        <v>30</v>
      </c>
      <c r="C4013" s="5">
        <v>45330</v>
      </c>
      <c r="D4013" s="4">
        <v>17.3</v>
      </c>
      <c r="E4013" s="4">
        <v>6.03</v>
      </c>
    </row>
    <row r="4014" spans="1:5" x14ac:dyDescent="0.25">
      <c r="A4014" s="4" t="s">
        <v>53</v>
      </c>
      <c r="B4014" s="4" t="s">
        <v>30</v>
      </c>
      <c r="C4014" s="5">
        <v>45330</v>
      </c>
      <c r="D4014" s="4">
        <v>67.5</v>
      </c>
      <c r="E4014" s="4">
        <v>23.48</v>
      </c>
    </row>
    <row r="4015" spans="1:5" x14ac:dyDescent="0.25">
      <c r="A4015" s="4" t="s">
        <v>53</v>
      </c>
      <c r="B4015" s="4" t="s">
        <v>30</v>
      </c>
      <c r="C4015" s="5">
        <v>45330</v>
      </c>
      <c r="D4015" s="4">
        <v>29.9</v>
      </c>
      <c r="E4015" s="4">
        <v>10.36</v>
      </c>
    </row>
    <row r="4016" spans="1:5" x14ac:dyDescent="0.25">
      <c r="A4016" s="4" t="s">
        <v>53</v>
      </c>
      <c r="B4016" s="4" t="s">
        <v>30</v>
      </c>
      <c r="C4016" s="5">
        <v>45331</v>
      </c>
      <c r="D4016" s="4">
        <v>41.3</v>
      </c>
      <c r="E4016" s="4">
        <v>14.36</v>
      </c>
    </row>
    <row r="4017" spans="1:5" x14ac:dyDescent="0.25">
      <c r="A4017" s="4" t="s">
        <v>53</v>
      </c>
      <c r="B4017" s="4" t="s">
        <v>30</v>
      </c>
      <c r="C4017" s="5">
        <v>45331</v>
      </c>
      <c r="D4017" s="4">
        <v>17.3</v>
      </c>
      <c r="E4017" s="4">
        <v>6.03</v>
      </c>
    </row>
    <row r="4018" spans="1:5" x14ac:dyDescent="0.25">
      <c r="A4018" s="4" t="s">
        <v>53</v>
      </c>
      <c r="B4018" s="4" t="s">
        <v>30</v>
      </c>
      <c r="C4018" s="5">
        <v>45331</v>
      </c>
      <c r="D4018" s="4">
        <v>17.3</v>
      </c>
      <c r="E4018" s="4">
        <v>6.03</v>
      </c>
    </row>
    <row r="4019" spans="1:5" x14ac:dyDescent="0.25">
      <c r="A4019" s="4" t="s">
        <v>53</v>
      </c>
      <c r="B4019" s="4" t="s">
        <v>30</v>
      </c>
      <c r="C4019" s="5">
        <v>45331</v>
      </c>
      <c r="D4019" s="4">
        <v>67.5</v>
      </c>
      <c r="E4019" s="4">
        <v>23.48</v>
      </c>
    </row>
    <row r="4020" spans="1:5" x14ac:dyDescent="0.25">
      <c r="A4020" s="4" t="s">
        <v>53</v>
      </c>
      <c r="B4020" s="4" t="s">
        <v>30</v>
      </c>
      <c r="C4020" s="5">
        <v>45331</v>
      </c>
      <c r="D4020" s="4">
        <v>5.3</v>
      </c>
      <c r="E4020" s="4">
        <v>1.84</v>
      </c>
    </row>
    <row r="4021" spans="1:5" x14ac:dyDescent="0.25">
      <c r="A4021" s="4" t="s">
        <v>53</v>
      </c>
      <c r="B4021" s="4" t="s">
        <v>30</v>
      </c>
      <c r="C4021" s="5">
        <v>45331</v>
      </c>
      <c r="D4021" s="4">
        <v>80.599999999999994</v>
      </c>
      <c r="E4021" s="4">
        <v>28.04</v>
      </c>
    </row>
    <row r="4022" spans="1:5" x14ac:dyDescent="0.25">
      <c r="A4022" s="4" t="s">
        <v>53</v>
      </c>
      <c r="B4022" s="4" t="s">
        <v>30</v>
      </c>
      <c r="C4022" s="5">
        <v>45331</v>
      </c>
      <c r="D4022" s="4">
        <v>17.3</v>
      </c>
      <c r="E4022" s="4">
        <v>6.03</v>
      </c>
    </row>
    <row r="4023" spans="1:5" x14ac:dyDescent="0.25">
      <c r="A4023" s="4" t="s">
        <v>53</v>
      </c>
      <c r="B4023" s="4" t="s">
        <v>30</v>
      </c>
      <c r="C4023" s="5">
        <v>45331</v>
      </c>
      <c r="D4023" s="4">
        <v>17.3</v>
      </c>
      <c r="E4023" s="4">
        <v>6.03</v>
      </c>
    </row>
    <row r="4024" spans="1:5" x14ac:dyDescent="0.25">
      <c r="A4024" s="4" t="s">
        <v>53</v>
      </c>
      <c r="B4024" s="4" t="s">
        <v>30</v>
      </c>
      <c r="C4024" s="5">
        <v>45331</v>
      </c>
      <c r="D4024" s="4">
        <v>67.5</v>
      </c>
      <c r="E4024" s="4">
        <v>23.48</v>
      </c>
    </row>
    <row r="4025" spans="1:5" x14ac:dyDescent="0.25">
      <c r="A4025" s="4" t="s">
        <v>53</v>
      </c>
      <c r="B4025" s="4" t="s">
        <v>30</v>
      </c>
      <c r="C4025" s="5">
        <v>45331</v>
      </c>
      <c r="D4025" s="4">
        <v>29.9</v>
      </c>
      <c r="E4025" s="4">
        <v>10.36</v>
      </c>
    </row>
    <row r="4026" spans="1:5" x14ac:dyDescent="0.25">
      <c r="A4026" s="4" t="s">
        <v>53</v>
      </c>
      <c r="B4026" s="4" t="s">
        <v>30</v>
      </c>
      <c r="C4026" s="5">
        <v>45334</v>
      </c>
      <c r="D4026" s="4">
        <v>41.3</v>
      </c>
      <c r="E4026" s="4">
        <v>14.36</v>
      </c>
    </row>
    <row r="4027" spans="1:5" x14ac:dyDescent="0.25">
      <c r="A4027" s="4" t="s">
        <v>53</v>
      </c>
      <c r="B4027" s="4" t="s">
        <v>30</v>
      </c>
      <c r="C4027" s="5">
        <v>45334</v>
      </c>
      <c r="D4027" s="4">
        <v>17.3</v>
      </c>
      <c r="E4027" s="4">
        <v>6.03</v>
      </c>
    </row>
    <row r="4028" spans="1:5" x14ac:dyDescent="0.25">
      <c r="A4028" s="4" t="s">
        <v>53</v>
      </c>
      <c r="B4028" s="4" t="s">
        <v>30</v>
      </c>
      <c r="C4028" s="5">
        <v>45334</v>
      </c>
      <c r="D4028" s="4">
        <v>17.3</v>
      </c>
      <c r="E4028" s="4">
        <v>6.03</v>
      </c>
    </row>
    <row r="4029" spans="1:5" x14ac:dyDescent="0.25">
      <c r="A4029" s="4" t="s">
        <v>53</v>
      </c>
      <c r="B4029" s="4" t="s">
        <v>30</v>
      </c>
      <c r="C4029" s="5">
        <v>45334</v>
      </c>
      <c r="D4029" s="4">
        <v>67.5</v>
      </c>
      <c r="E4029" s="4">
        <v>23.48</v>
      </c>
    </row>
    <row r="4030" spans="1:5" x14ac:dyDescent="0.25">
      <c r="A4030" s="4" t="s">
        <v>53</v>
      </c>
      <c r="B4030" s="4" t="s">
        <v>30</v>
      </c>
      <c r="C4030" s="5">
        <v>45334</v>
      </c>
      <c r="D4030" s="4">
        <v>71.2</v>
      </c>
      <c r="E4030" s="4">
        <v>24.72</v>
      </c>
    </row>
    <row r="4031" spans="1:5" x14ac:dyDescent="0.25">
      <c r="A4031" s="4" t="s">
        <v>53</v>
      </c>
      <c r="B4031" s="4" t="s">
        <v>30</v>
      </c>
      <c r="C4031" s="5">
        <v>45334</v>
      </c>
      <c r="D4031" s="4">
        <v>17.3</v>
      </c>
      <c r="E4031" s="4">
        <v>6.03</v>
      </c>
    </row>
    <row r="4032" spans="1:5" x14ac:dyDescent="0.25">
      <c r="A4032" s="4" t="s">
        <v>53</v>
      </c>
      <c r="B4032" s="4" t="s">
        <v>30</v>
      </c>
      <c r="C4032" s="5">
        <v>45334</v>
      </c>
      <c r="D4032" s="4">
        <v>17.3</v>
      </c>
      <c r="E4032" s="4">
        <v>6.03</v>
      </c>
    </row>
    <row r="4033" spans="1:5" x14ac:dyDescent="0.25">
      <c r="A4033" s="4" t="s">
        <v>53</v>
      </c>
      <c r="B4033" s="4" t="s">
        <v>30</v>
      </c>
      <c r="C4033" s="5">
        <v>45334</v>
      </c>
      <c r="D4033" s="4">
        <v>67.5</v>
      </c>
      <c r="E4033" s="4">
        <v>23.48</v>
      </c>
    </row>
    <row r="4034" spans="1:5" x14ac:dyDescent="0.25">
      <c r="A4034" s="4" t="s">
        <v>53</v>
      </c>
      <c r="B4034" s="4" t="s">
        <v>30</v>
      </c>
      <c r="C4034" s="5">
        <v>45334</v>
      </c>
      <c r="D4034" s="4">
        <v>29.9</v>
      </c>
      <c r="E4034" s="4">
        <v>10.36</v>
      </c>
    </row>
    <row r="4035" spans="1:5" x14ac:dyDescent="0.25">
      <c r="A4035" s="4" t="s">
        <v>53</v>
      </c>
      <c r="B4035" s="4" t="s">
        <v>30</v>
      </c>
      <c r="C4035" s="5">
        <v>45335</v>
      </c>
      <c r="D4035" s="4">
        <v>0.9</v>
      </c>
      <c r="E4035" s="4">
        <v>0.31</v>
      </c>
    </row>
    <row r="4036" spans="1:5" x14ac:dyDescent="0.25">
      <c r="A4036" s="4" t="s">
        <v>53</v>
      </c>
      <c r="B4036" s="4" t="s">
        <v>30</v>
      </c>
      <c r="C4036" s="5">
        <v>45335</v>
      </c>
      <c r="D4036" s="4">
        <v>42.4</v>
      </c>
      <c r="E4036" s="4">
        <v>14.76</v>
      </c>
    </row>
    <row r="4037" spans="1:5" x14ac:dyDescent="0.25">
      <c r="A4037" s="4" t="s">
        <v>53</v>
      </c>
      <c r="B4037" s="4" t="s">
        <v>30</v>
      </c>
      <c r="C4037" s="5">
        <v>45335</v>
      </c>
      <c r="D4037" s="4">
        <v>41.7</v>
      </c>
      <c r="E4037" s="4">
        <v>14.53</v>
      </c>
    </row>
    <row r="4038" spans="1:5" x14ac:dyDescent="0.25">
      <c r="A4038" s="4" t="s">
        <v>53</v>
      </c>
      <c r="B4038" s="4" t="s">
        <v>30</v>
      </c>
      <c r="C4038" s="5">
        <v>45335</v>
      </c>
      <c r="D4038" s="4">
        <v>1.4</v>
      </c>
      <c r="E4038" s="4">
        <v>0.47</v>
      </c>
    </row>
    <row r="4039" spans="1:5" x14ac:dyDescent="0.25">
      <c r="A4039" s="4" t="s">
        <v>53</v>
      </c>
      <c r="B4039" s="4" t="s">
        <v>30</v>
      </c>
      <c r="C4039" s="5">
        <v>45335</v>
      </c>
      <c r="D4039" s="4">
        <v>42.4</v>
      </c>
      <c r="E4039" s="4">
        <v>14.76</v>
      </c>
    </row>
    <row r="4040" spans="1:5" x14ac:dyDescent="0.25">
      <c r="A4040" s="4" t="s">
        <v>53</v>
      </c>
      <c r="B4040" s="4" t="s">
        <v>30</v>
      </c>
      <c r="C4040" s="5">
        <v>45335</v>
      </c>
      <c r="D4040" s="4">
        <v>41.7</v>
      </c>
      <c r="E4040" s="4">
        <v>14.53</v>
      </c>
    </row>
    <row r="4041" spans="1:5" x14ac:dyDescent="0.25">
      <c r="A4041" s="4" t="s">
        <v>53</v>
      </c>
      <c r="B4041" s="4" t="s">
        <v>30</v>
      </c>
      <c r="C4041" s="5">
        <v>45335</v>
      </c>
      <c r="D4041" s="4">
        <v>1.4</v>
      </c>
      <c r="E4041" s="4">
        <v>0.47</v>
      </c>
    </row>
    <row r="4042" spans="1:5" x14ac:dyDescent="0.25">
      <c r="A4042" s="4" t="s">
        <v>53</v>
      </c>
      <c r="B4042" s="4" t="s">
        <v>30</v>
      </c>
      <c r="C4042" s="5">
        <v>45335</v>
      </c>
      <c r="D4042" s="4">
        <v>42.4</v>
      </c>
      <c r="E4042" s="4">
        <v>14.76</v>
      </c>
    </row>
    <row r="4043" spans="1:5" x14ac:dyDescent="0.25">
      <c r="A4043" s="4" t="s">
        <v>53</v>
      </c>
      <c r="B4043" s="4" t="s">
        <v>30</v>
      </c>
      <c r="C4043" s="5">
        <v>45335</v>
      </c>
      <c r="D4043" s="4">
        <v>43.8</v>
      </c>
      <c r="E4043" s="4">
        <v>15.23</v>
      </c>
    </row>
    <row r="4044" spans="1:5" x14ac:dyDescent="0.25">
      <c r="A4044" s="4" t="s">
        <v>53</v>
      </c>
      <c r="B4044" s="4" t="s">
        <v>30</v>
      </c>
      <c r="C4044" s="5">
        <v>45335</v>
      </c>
      <c r="D4044" s="4">
        <v>43.8</v>
      </c>
      <c r="E4044" s="4">
        <v>15.23</v>
      </c>
    </row>
    <row r="4045" spans="1:5" x14ac:dyDescent="0.25">
      <c r="A4045" s="4" t="s">
        <v>53</v>
      </c>
      <c r="B4045" s="4" t="s">
        <v>30</v>
      </c>
      <c r="C4045" s="5">
        <v>45335</v>
      </c>
      <c r="D4045" s="4">
        <v>39.5</v>
      </c>
      <c r="E4045" s="4">
        <v>13.76</v>
      </c>
    </row>
    <row r="4046" spans="1:5" x14ac:dyDescent="0.25">
      <c r="A4046" s="4" t="s">
        <v>53</v>
      </c>
      <c r="B4046" s="4" t="s">
        <v>30</v>
      </c>
      <c r="C4046" s="5">
        <v>45336</v>
      </c>
      <c r="D4046" s="4">
        <v>15.9</v>
      </c>
      <c r="E4046" s="4">
        <v>5.51</v>
      </c>
    </row>
    <row r="4047" spans="1:5" x14ac:dyDescent="0.25">
      <c r="A4047" s="4" t="s">
        <v>53</v>
      </c>
      <c r="B4047" s="4" t="s">
        <v>30</v>
      </c>
      <c r="C4047" s="5">
        <v>45336</v>
      </c>
      <c r="D4047" s="4">
        <v>42.4</v>
      </c>
      <c r="E4047" s="4">
        <v>14.76</v>
      </c>
    </row>
    <row r="4048" spans="1:5" x14ac:dyDescent="0.25">
      <c r="A4048" s="4" t="s">
        <v>53</v>
      </c>
      <c r="B4048" s="4" t="s">
        <v>30</v>
      </c>
      <c r="C4048" s="5">
        <v>45336</v>
      </c>
      <c r="D4048" s="4">
        <v>43.8</v>
      </c>
      <c r="E4048" s="4">
        <v>15.23</v>
      </c>
    </row>
    <row r="4049" spans="1:5" x14ac:dyDescent="0.25">
      <c r="A4049" s="4" t="s">
        <v>53</v>
      </c>
      <c r="B4049" s="4" t="s">
        <v>30</v>
      </c>
      <c r="C4049" s="5">
        <v>45336</v>
      </c>
      <c r="D4049" s="4">
        <v>42.4</v>
      </c>
      <c r="E4049" s="4">
        <v>14.76</v>
      </c>
    </row>
    <row r="4050" spans="1:5" x14ac:dyDescent="0.25">
      <c r="A4050" s="4" t="s">
        <v>53</v>
      </c>
      <c r="B4050" s="4" t="s">
        <v>30</v>
      </c>
      <c r="C4050" s="5">
        <v>45336</v>
      </c>
      <c r="D4050" s="4">
        <v>43.8</v>
      </c>
      <c r="E4050" s="4">
        <v>15.23</v>
      </c>
    </row>
    <row r="4051" spans="1:5" x14ac:dyDescent="0.25">
      <c r="A4051" s="4" t="s">
        <v>53</v>
      </c>
      <c r="B4051" s="4" t="s">
        <v>30</v>
      </c>
      <c r="C4051" s="5">
        <v>45336</v>
      </c>
      <c r="D4051" s="4">
        <v>42.4</v>
      </c>
      <c r="E4051" s="4">
        <v>14.76</v>
      </c>
    </row>
    <row r="4052" spans="1:5" x14ac:dyDescent="0.25">
      <c r="A4052" s="4" t="s">
        <v>53</v>
      </c>
      <c r="B4052" s="4" t="s">
        <v>30</v>
      </c>
      <c r="C4052" s="5">
        <v>45336</v>
      </c>
      <c r="D4052" s="4">
        <v>43.8</v>
      </c>
      <c r="E4052" s="4">
        <v>15.23</v>
      </c>
    </row>
    <row r="4053" spans="1:5" x14ac:dyDescent="0.25">
      <c r="A4053" s="4" t="s">
        <v>53</v>
      </c>
      <c r="B4053" s="4" t="s">
        <v>30</v>
      </c>
      <c r="C4053" s="5">
        <v>45336</v>
      </c>
      <c r="D4053" s="4">
        <v>42.4</v>
      </c>
      <c r="E4053" s="4">
        <v>14.76</v>
      </c>
    </row>
    <row r="4054" spans="1:5" x14ac:dyDescent="0.25">
      <c r="A4054" s="4" t="s">
        <v>53</v>
      </c>
      <c r="B4054" s="4" t="s">
        <v>30</v>
      </c>
      <c r="C4054" s="5">
        <v>45336</v>
      </c>
      <c r="D4054" s="4">
        <v>39.5</v>
      </c>
      <c r="E4054" s="4">
        <v>13.76</v>
      </c>
    </row>
    <row r="4055" spans="1:5" x14ac:dyDescent="0.25">
      <c r="A4055" s="4" t="s">
        <v>53</v>
      </c>
      <c r="B4055" s="4" t="s">
        <v>30</v>
      </c>
      <c r="C4055" s="5">
        <v>45337</v>
      </c>
      <c r="D4055" s="4">
        <v>0.9</v>
      </c>
      <c r="E4055" s="4">
        <v>0.31</v>
      </c>
    </row>
    <row r="4056" spans="1:5" x14ac:dyDescent="0.25">
      <c r="A4056" s="4" t="s">
        <v>53</v>
      </c>
      <c r="B4056" s="4" t="s">
        <v>30</v>
      </c>
      <c r="C4056" s="5">
        <v>45337</v>
      </c>
      <c r="D4056" s="4">
        <v>42.4</v>
      </c>
      <c r="E4056" s="4">
        <v>14.76</v>
      </c>
    </row>
    <row r="4057" spans="1:5" x14ac:dyDescent="0.25">
      <c r="A4057" s="4" t="s">
        <v>53</v>
      </c>
      <c r="B4057" s="4" t="s">
        <v>30</v>
      </c>
      <c r="C4057" s="5">
        <v>45337</v>
      </c>
      <c r="D4057" s="4">
        <v>43.8</v>
      </c>
      <c r="E4057" s="4">
        <v>15.23</v>
      </c>
    </row>
    <row r="4058" spans="1:5" x14ac:dyDescent="0.25">
      <c r="A4058" s="4" t="s">
        <v>53</v>
      </c>
      <c r="B4058" s="4" t="s">
        <v>30</v>
      </c>
      <c r="C4058" s="5">
        <v>45337</v>
      </c>
      <c r="D4058" s="4">
        <v>42.4</v>
      </c>
      <c r="E4058" s="4">
        <v>14.76</v>
      </c>
    </row>
    <row r="4059" spans="1:5" x14ac:dyDescent="0.25">
      <c r="A4059" s="4" t="s">
        <v>53</v>
      </c>
      <c r="B4059" s="4" t="s">
        <v>30</v>
      </c>
      <c r="C4059" s="5">
        <v>45337</v>
      </c>
      <c r="D4059" s="4">
        <v>43.8</v>
      </c>
      <c r="E4059" s="4">
        <v>15.23</v>
      </c>
    </row>
    <row r="4060" spans="1:5" x14ac:dyDescent="0.25">
      <c r="A4060" s="4" t="s">
        <v>53</v>
      </c>
      <c r="B4060" s="4" t="s">
        <v>30</v>
      </c>
      <c r="C4060" s="5">
        <v>45337</v>
      </c>
      <c r="D4060" s="4">
        <v>12.4</v>
      </c>
      <c r="E4060" s="4">
        <v>4.3099999999999996</v>
      </c>
    </row>
    <row r="4061" spans="1:5" x14ac:dyDescent="0.25">
      <c r="A4061" s="4" t="s">
        <v>53</v>
      </c>
      <c r="B4061" s="4" t="s">
        <v>30</v>
      </c>
      <c r="C4061" s="5">
        <v>45337</v>
      </c>
      <c r="D4061" s="4">
        <v>13</v>
      </c>
      <c r="E4061" s="4">
        <v>4.5</v>
      </c>
    </row>
    <row r="4062" spans="1:5" x14ac:dyDescent="0.25">
      <c r="A4062" s="4" t="s">
        <v>53</v>
      </c>
      <c r="B4062" s="4" t="s">
        <v>30</v>
      </c>
      <c r="C4062" s="5">
        <v>45337</v>
      </c>
      <c r="D4062" s="4">
        <v>12.4</v>
      </c>
      <c r="E4062" s="4">
        <v>4.3099999999999996</v>
      </c>
    </row>
    <row r="4063" spans="1:5" x14ac:dyDescent="0.25">
      <c r="A4063" s="4" t="s">
        <v>53</v>
      </c>
      <c r="B4063" s="4" t="s">
        <v>30</v>
      </c>
      <c r="C4063" s="5">
        <v>45337</v>
      </c>
      <c r="D4063" s="4">
        <v>13</v>
      </c>
      <c r="E4063" s="4">
        <v>4.5</v>
      </c>
    </row>
    <row r="4064" spans="1:5" x14ac:dyDescent="0.25">
      <c r="A4064" s="4" t="s">
        <v>53</v>
      </c>
      <c r="B4064" s="4" t="s">
        <v>30</v>
      </c>
      <c r="C4064" s="5">
        <v>45337</v>
      </c>
      <c r="D4064" s="4">
        <v>12.4</v>
      </c>
      <c r="E4064" s="4">
        <v>4.3099999999999996</v>
      </c>
    </row>
    <row r="4065" spans="1:5" x14ac:dyDescent="0.25">
      <c r="A4065" s="4" t="s">
        <v>53</v>
      </c>
      <c r="B4065" s="4" t="s">
        <v>30</v>
      </c>
      <c r="C4065" s="5">
        <v>45337</v>
      </c>
      <c r="D4065" s="4">
        <v>8.6999999999999993</v>
      </c>
      <c r="E4065" s="4">
        <v>3.03</v>
      </c>
    </row>
    <row r="4066" spans="1:5" x14ac:dyDescent="0.25">
      <c r="A4066" s="4" t="s">
        <v>53</v>
      </c>
      <c r="B4066" s="4" t="s">
        <v>44</v>
      </c>
      <c r="C4066" s="5">
        <v>45308</v>
      </c>
      <c r="D4066" s="4">
        <v>19.100000000000001</v>
      </c>
      <c r="E4066" s="4">
        <v>6.65</v>
      </c>
    </row>
    <row r="4067" spans="1:5" x14ac:dyDescent="0.25">
      <c r="A4067" s="4" t="s">
        <v>53</v>
      </c>
      <c r="B4067" s="4" t="s">
        <v>44</v>
      </c>
      <c r="C4067" s="5">
        <v>45313</v>
      </c>
      <c r="D4067" s="4">
        <v>0.4</v>
      </c>
      <c r="E4067" s="4">
        <v>0.14000000000000001</v>
      </c>
    </row>
    <row r="4068" spans="1:5" x14ac:dyDescent="0.25">
      <c r="A4068" s="4" t="s">
        <v>53</v>
      </c>
      <c r="B4068" s="4" t="s">
        <v>44</v>
      </c>
      <c r="C4068" s="5">
        <v>45313</v>
      </c>
      <c r="D4068" s="4">
        <v>10.1</v>
      </c>
      <c r="E4068" s="4">
        <v>3.52</v>
      </c>
    </row>
    <row r="4069" spans="1:5" x14ac:dyDescent="0.25">
      <c r="A4069" s="4" t="s">
        <v>53</v>
      </c>
      <c r="B4069" s="4" t="s">
        <v>44</v>
      </c>
      <c r="C4069" s="5">
        <v>45313</v>
      </c>
      <c r="D4069" s="4">
        <v>1.3</v>
      </c>
      <c r="E4069" s="4">
        <v>0.45</v>
      </c>
    </row>
    <row r="4070" spans="1:5" x14ac:dyDescent="0.25">
      <c r="A4070" s="4" t="s">
        <v>53</v>
      </c>
      <c r="B4070" s="4" t="s">
        <v>44</v>
      </c>
      <c r="C4070" s="5">
        <v>45313</v>
      </c>
      <c r="D4070" s="4">
        <v>9.6</v>
      </c>
      <c r="E4070" s="4">
        <v>3.35</v>
      </c>
    </row>
    <row r="4071" spans="1:5" x14ac:dyDescent="0.25">
      <c r="A4071" s="4" t="s">
        <v>53</v>
      </c>
      <c r="B4071" s="4" t="s">
        <v>44</v>
      </c>
      <c r="C4071" s="5">
        <v>45313</v>
      </c>
      <c r="D4071" s="4">
        <v>10.1</v>
      </c>
      <c r="E4071" s="4">
        <v>3.52</v>
      </c>
    </row>
    <row r="4072" spans="1:5" x14ac:dyDescent="0.25">
      <c r="A4072" s="4" t="s">
        <v>53</v>
      </c>
      <c r="B4072" s="4" t="s">
        <v>44</v>
      </c>
      <c r="C4072" s="5">
        <v>45313</v>
      </c>
      <c r="D4072" s="4">
        <v>1.3</v>
      </c>
      <c r="E4072" s="4">
        <v>0.45</v>
      </c>
    </row>
    <row r="4073" spans="1:5" x14ac:dyDescent="0.25">
      <c r="A4073" s="4" t="s">
        <v>53</v>
      </c>
      <c r="B4073" s="4" t="s">
        <v>44</v>
      </c>
      <c r="C4073" s="5">
        <v>45313</v>
      </c>
      <c r="D4073" s="4">
        <v>22.8</v>
      </c>
      <c r="E4073" s="4">
        <v>7.93</v>
      </c>
    </row>
    <row r="4074" spans="1:5" x14ac:dyDescent="0.25">
      <c r="A4074" s="4" t="s">
        <v>53</v>
      </c>
      <c r="B4074" s="4" t="s">
        <v>44</v>
      </c>
      <c r="C4074" s="5">
        <v>45313</v>
      </c>
      <c r="D4074" s="4">
        <v>15.4</v>
      </c>
      <c r="E4074" s="4">
        <v>5.35</v>
      </c>
    </row>
    <row r="4075" spans="1:5" x14ac:dyDescent="0.25">
      <c r="A4075" s="4" t="s">
        <v>53</v>
      </c>
      <c r="B4075" s="4" t="s">
        <v>44</v>
      </c>
      <c r="C4075" s="5">
        <v>45313</v>
      </c>
      <c r="D4075" s="4">
        <v>0.4</v>
      </c>
      <c r="E4075" s="4">
        <v>0.14000000000000001</v>
      </c>
    </row>
    <row r="4076" spans="1:5" x14ac:dyDescent="0.25">
      <c r="A4076" s="4" t="s">
        <v>53</v>
      </c>
      <c r="B4076" s="4" t="s">
        <v>44</v>
      </c>
      <c r="C4076" s="5">
        <v>45313</v>
      </c>
      <c r="D4076" s="4">
        <v>10.1</v>
      </c>
      <c r="E4076" s="4">
        <v>3.52</v>
      </c>
    </row>
    <row r="4077" spans="1:5" x14ac:dyDescent="0.25">
      <c r="A4077" s="4" t="s">
        <v>53</v>
      </c>
      <c r="B4077" s="4" t="s">
        <v>44</v>
      </c>
      <c r="C4077" s="5">
        <v>45313</v>
      </c>
      <c r="D4077" s="4">
        <v>1.3</v>
      </c>
      <c r="E4077" s="4">
        <v>0.45</v>
      </c>
    </row>
    <row r="4078" spans="1:5" x14ac:dyDescent="0.25">
      <c r="A4078" s="4" t="s">
        <v>53</v>
      </c>
      <c r="B4078" s="4" t="s">
        <v>44</v>
      </c>
      <c r="C4078" s="5">
        <v>45313</v>
      </c>
      <c r="D4078" s="4">
        <v>22.8</v>
      </c>
      <c r="E4078" s="4">
        <v>7.93</v>
      </c>
    </row>
    <row r="4079" spans="1:5" x14ac:dyDescent="0.25">
      <c r="A4079" s="4" t="s">
        <v>53</v>
      </c>
      <c r="B4079" s="4" t="s">
        <v>44</v>
      </c>
      <c r="C4079" s="5">
        <v>45313</v>
      </c>
      <c r="D4079" s="4">
        <v>0.4</v>
      </c>
      <c r="E4079" s="4">
        <v>0.14000000000000001</v>
      </c>
    </row>
    <row r="4080" spans="1:5" x14ac:dyDescent="0.25">
      <c r="A4080" s="4" t="s">
        <v>53</v>
      </c>
      <c r="B4080" s="4" t="s">
        <v>44</v>
      </c>
      <c r="C4080" s="5">
        <v>45313</v>
      </c>
      <c r="D4080" s="4">
        <v>0.4</v>
      </c>
      <c r="E4080" s="4">
        <v>0.14000000000000001</v>
      </c>
    </row>
    <row r="4081" spans="1:5" x14ac:dyDescent="0.25">
      <c r="A4081" s="4" t="s">
        <v>53</v>
      </c>
      <c r="B4081" s="4" t="s">
        <v>44</v>
      </c>
      <c r="C4081" s="5">
        <v>45313</v>
      </c>
      <c r="D4081" s="4">
        <v>15.4</v>
      </c>
      <c r="E4081" s="4">
        <v>5.35</v>
      </c>
    </row>
    <row r="4082" spans="1:5" x14ac:dyDescent="0.25">
      <c r="A4082" s="4" t="s">
        <v>53</v>
      </c>
      <c r="B4082" s="4" t="s">
        <v>44</v>
      </c>
      <c r="C4082" s="5">
        <v>45313</v>
      </c>
      <c r="D4082" s="4">
        <v>15.4</v>
      </c>
      <c r="E4082" s="4">
        <v>5.35</v>
      </c>
    </row>
    <row r="4083" spans="1:5" x14ac:dyDescent="0.25">
      <c r="A4083" s="4" t="s">
        <v>53</v>
      </c>
      <c r="B4083" s="4" t="s">
        <v>44</v>
      </c>
      <c r="C4083" s="5">
        <v>45313</v>
      </c>
      <c r="D4083" s="4">
        <v>0.4</v>
      </c>
      <c r="E4083" s="4">
        <v>0.14000000000000001</v>
      </c>
    </row>
    <row r="4084" spans="1:5" x14ac:dyDescent="0.25">
      <c r="A4084" s="4" t="s">
        <v>53</v>
      </c>
      <c r="B4084" s="4" t="s">
        <v>44</v>
      </c>
      <c r="C4084" s="5">
        <v>45313</v>
      </c>
      <c r="D4084" s="4">
        <v>0.4</v>
      </c>
      <c r="E4084" s="4">
        <v>0.14000000000000001</v>
      </c>
    </row>
    <row r="4085" spans="1:5" x14ac:dyDescent="0.25">
      <c r="A4085" s="4" t="s">
        <v>53</v>
      </c>
      <c r="B4085" s="4" t="s">
        <v>44</v>
      </c>
      <c r="C4085" s="5">
        <v>45314</v>
      </c>
      <c r="D4085" s="4">
        <v>15.4</v>
      </c>
      <c r="E4085" s="4">
        <v>5.35</v>
      </c>
    </row>
    <row r="4086" spans="1:5" x14ac:dyDescent="0.25">
      <c r="A4086" s="4" t="s">
        <v>53</v>
      </c>
      <c r="B4086" s="4" t="s">
        <v>44</v>
      </c>
      <c r="C4086" s="5">
        <v>45314</v>
      </c>
      <c r="D4086" s="4">
        <v>31.3</v>
      </c>
      <c r="E4086" s="4">
        <v>10.86</v>
      </c>
    </row>
    <row r="4087" spans="1:5" x14ac:dyDescent="0.25">
      <c r="A4087" s="4" t="s">
        <v>53</v>
      </c>
      <c r="B4087" s="4" t="s">
        <v>44</v>
      </c>
      <c r="C4087" s="5">
        <v>45314</v>
      </c>
      <c r="D4087" s="4">
        <v>31.3</v>
      </c>
      <c r="E4087" s="4">
        <v>10.86</v>
      </c>
    </row>
    <row r="4088" spans="1:5" x14ac:dyDescent="0.25">
      <c r="A4088" s="4" t="s">
        <v>53</v>
      </c>
      <c r="B4088" s="4" t="s">
        <v>44</v>
      </c>
      <c r="C4088" s="5">
        <v>45314</v>
      </c>
      <c r="D4088" s="4">
        <v>31.3</v>
      </c>
      <c r="E4088" s="4">
        <v>10.86</v>
      </c>
    </row>
    <row r="4089" spans="1:5" x14ac:dyDescent="0.25">
      <c r="A4089" s="4" t="s">
        <v>53</v>
      </c>
      <c r="B4089" s="4" t="s">
        <v>44</v>
      </c>
      <c r="C4089" s="5">
        <v>45314</v>
      </c>
      <c r="D4089" s="4">
        <v>30.2</v>
      </c>
      <c r="E4089" s="4">
        <v>10.49</v>
      </c>
    </row>
    <row r="4090" spans="1:5" x14ac:dyDescent="0.25">
      <c r="A4090" s="4" t="s">
        <v>53</v>
      </c>
      <c r="B4090" s="4" t="s">
        <v>44</v>
      </c>
      <c r="C4090" s="5">
        <v>45314</v>
      </c>
      <c r="D4090" s="4">
        <v>31.3</v>
      </c>
      <c r="E4090" s="4">
        <v>10.86</v>
      </c>
    </row>
    <row r="4091" spans="1:5" x14ac:dyDescent="0.25">
      <c r="A4091" s="4" t="s">
        <v>53</v>
      </c>
      <c r="B4091" s="4" t="s">
        <v>44</v>
      </c>
      <c r="C4091" s="5">
        <v>45314</v>
      </c>
      <c r="D4091" s="4">
        <v>31.3</v>
      </c>
      <c r="E4091" s="4">
        <v>10.86</v>
      </c>
    </row>
    <row r="4092" spans="1:5" x14ac:dyDescent="0.25">
      <c r="A4092" s="4" t="s">
        <v>53</v>
      </c>
      <c r="B4092" s="4" t="s">
        <v>44</v>
      </c>
      <c r="C4092" s="5">
        <v>45314</v>
      </c>
      <c r="D4092" s="4">
        <v>31.3</v>
      </c>
      <c r="E4092" s="4">
        <v>10.86</v>
      </c>
    </row>
    <row r="4093" spans="1:5" x14ac:dyDescent="0.25">
      <c r="A4093" s="4" t="s">
        <v>53</v>
      </c>
      <c r="B4093" s="4" t="s">
        <v>44</v>
      </c>
      <c r="C4093" s="5">
        <v>45314</v>
      </c>
      <c r="D4093" s="4">
        <v>31.3</v>
      </c>
      <c r="E4093" s="4">
        <v>10.86</v>
      </c>
    </row>
    <row r="4094" spans="1:5" x14ac:dyDescent="0.25">
      <c r="A4094" s="4" t="s">
        <v>53</v>
      </c>
      <c r="B4094" s="4" t="s">
        <v>44</v>
      </c>
      <c r="C4094" s="5">
        <v>45314</v>
      </c>
      <c r="D4094" s="4">
        <v>31.3</v>
      </c>
      <c r="E4094" s="4">
        <v>10.86</v>
      </c>
    </row>
    <row r="4095" spans="1:5" x14ac:dyDescent="0.25">
      <c r="A4095" s="4" t="s">
        <v>53</v>
      </c>
      <c r="B4095" s="4" t="s">
        <v>44</v>
      </c>
      <c r="C4095" s="5">
        <v>45314</v>
      </c>
      <c r="D4095" s="4">
        <v>1.2</v>
      </c>
      <c r="E4095" s="4">
        <v>0.41</v>
      </c>
    </row>
    <row r="4096" spans="1:5" x14ac:dyDescent="0.25">
      <c r="A4096" s="4" t="s">
        <v>53</v>
      </c>
      <c r="B4096" s="4" t="s">
        <v>44</v>
      </c>
      <c r="C4096" s="5">
        <v>45315</v>
      </c>
      <c r="D4096" s="4">
        <v>15.4</v>
      </c>
      <c r="E4096" s="4">
        <v>5.35</v>
      </c>
    </row>
    <row r="4097" spans="1:5" x14ac:dyDescent="0.25">
      <c r="A4097" s="4" t="s">
        <v>53</v>
      </c>
      <c r="B4097" s="4" t="s">
        <v>44</v>
      </c>
      <c r="C4097" s="5">
        <v>45315</v>
      </c>
      <c r="D4097" s="4">
        <v>44.3</v>
      </c>
      <c r="E4097" s="4">
        <v>15.37</v>
      </c>
    </row>
    <row r="4098" spans="1:5" x14ac:dyDescent="0.25">
      <c r="A4098" s="4" t="s">
        <v>53</v>
      </c>
      <c r="B4098" s="4" t="s">
        <v>44</v>
      </c>
      <c r="C4098" s="5">
        <v>45315</v>
      </c>
      <c r="D4098" s="4">
        <v>30.9</v>
      </c>
      <c r="E4098" s="4">
        <v>10.75</v>
      </c>
    </row>
    <row r="4099" spans="1:5" x14ac:dyDescent="0.25">
      <c r="A4099" s="4" t="s">
        <v>53</v>
      </c>
      <c r="B4099" s="4" t="s">
        <v>44</v>
      </c>
      <c r="C4099" s="5">
        <v>45315</v>
      </c>
      <c r="D4099" s="4">
        <v>28.2</v>
      </c>
      <c r="E4099" s="4">
        <v>9.7899999999999991</v>
      </c>
    </row>
    <row r="4100" spans="1:5" x14ac:dyDescent="0.25">
      <c r="A4100" s="4" t="s">
        <v>53</v>
      </c>
      <c r="B4100" s="4" t="s">
        <v>44</v>
      </c>
      <c r="C4100" s="5">
        <v>45315</v>
      </c>
      <c r="D4100" s="4">
        <v>28.2</v>
      </c>
      <c r="E4100" s="4">
        <v>9.7899999999999991</v>
      </c>
    </row>
    <row r="4101" spans="1:5" x14ac:dyDescent="0.25">
      <c r="A4101" s="4" t="s">
        <v>53</v>
      </c>
      <c r="B4101" s="4" t="s">
        <v>44</v>
      </c>
      <c r="C4101" s="5">
        <v>45315</v>
      </c>
      <c r="D4101" s="4">
        <v>28.2</v>
      </c>
      <c r="E4101" s="4">
        <v>9.7899999999999991</v>
      </c>
    </row>
    <row r="4102" spans="1:5" x14ac:dyDescent="0.25">
      <c r="A4102" s="4" t="s">
        <v>53</v>
      </c>
      <c r="B4102" s="4" t="s">
        <v>44</v>
      </c>
      <c r="C4102" s="5">
        <v>45315</v>
      </c>
      <c r="D4102" s="4">
        <v>28.2</v>
      </c>
      <c r="E4102" s="4">
        <v>9.7899999999999991</v>
      </c>
    </row>
    <row r="4103" spans="1:5" x14ac:dyDescent="0.25">
      <c r="A4103" s="4" t="s">
        <v>53</v>
      </c>
      <c r="B4103" s="4" t="s">
        <v>44</v>
      </c>
      <c r="C4103" s="5">
        <v>45315</v>
      </c>
      <c r="D4103" s="4">
        <v>26.8</v>
      </c>
      <c r="E4103" s="4">
        <v>9.3000000000000007</v>
      </c>
    </row>
    <row r="4104" spans="1:5" x14ac:dyDescent="0.25">
      <c r="A4104" s="4" t="s">
        <v>53</v>
      </c>
      <c r="B4104" s="4" t="s">
        <v>44</v>
      </c>
      <c r="C4104" s="5">
        <v>45315</v>
      </c>
      <c r="D4104" s="4">
        <v>30.9</v>
      </c>
      <c r="E4104" s="4">
        <v>10.75</v>
      </c>
    </row>
    <row r="4105" spans="1:5" x14ac:dyDescent="0.25">
      <c r="A4105" s="4" t="s">
        <v>53</v>
      </c>
      <c r="B4105" s="4" t="s">
        <v>44</v>
      </c>
      <c r="C4105" s="5">
        <v>45315</v>
      </c>
      <c r="D4105" s="4">
        <v>28.2</v>
      </c>
      <c r="E4105" s="4">
        <v>9.7899999999999991</v>
      </c>
    </row>
    <row r="4106" spans="1:5" x14ac:dyDescent="0.25">
      <c r="A4106" s="4" t="s">
        <v>53</v>
      </c>
      <c r="B4106" s="4" t="s">
        <v>44</v>
      </c>
      <c r="C4106" s="5">
        <v>45315</v>
      </c>
      <c r="D4106" s="4">
        <v>28.9</v>
      </c>
      <c r="E4106" s="4">
        <v>10.02</v>
      </c>
    </row>
    <row r="4107" spans="1:5" x14ac:dyDescent="0.25">
      <c r="A4107" s="4" t="s">
        <v>53</v>
      </c>
      <c r="B4107" s="4" t="s">
        <v>44</v>
      </c>
      <c r="C4107" s="5">
        <v>45316</v>
      </c>
      <c r="D4107" s="4">
        <v>15.4</v>
      </c>
      <c r="E4107" s="4">
        <v>5.35</v>
      </c>
    </row>
    <row r="4108" spans="1:5" x14ac:dyDescent="0.25">
      <c r="A4108" s="4" t="s">
        <v>53</v>
      </c>
      <c r="B4108" s="4" t="s">
        <v>44</v>
      </c>
      <c r="C4108" s="5">
        <v>45316</v>
      </c>
      <c r="D4108" s="4">
        <v>16.899999999999999</v>
      </c>
      <c r="E4108" s="4">
        <v>5.89</v>
      </c>
    </row>
    <row r="4109" spans="1:5" x14ac:dyDescent="0.25">
      <c r="A4109" s="4" t="s">
        <v>53</v>
      </c>
      <c r="B4109" s="4" t="s">
        <v>44</v>
      </c>
      <c r="C4109" s="5">
        <v>45316</v>
      </c>
      <c r="D4109" s="4">
        <v>16.899999999999999</v>
      </c>
      <c r="E4109" s="4">
        <v>5.89</v>
      </c>
    </row>
    <row r="4110" spans="1:5" x14ac:dyDescent="0.25">
      <c r="A4110" s="4" t="s">
        <v>53</v>
      </c>
      <c r="B4110" s="4" t="s">
        <v>44</v>
      </c>
      <c r="C4110" s="5">
        <v>45316</v>
      </c>
      <c r="D4110" s="4">
        <v>16.899999999999999</v>
      </c>
      <c r="E4110" s="4">
        <v>5.89</v>
      </c>
    </row>
    <row r="4111" spans="1:5" x14ac:dyDescent="0.25">
      <c r="A4111" s="4" t="s">
        <v>53</v>
      </c>
      <c r="B4111" s="4" t="s">
        <v>44</v>
      </c>
      <c r="C4111" s="5">
        <v>45316</v>
      </c>
      <c r="D4111" s="4">
        <v>16.899999999999999</v>
      </c>
      <c r="E4111" s="4">
        <v>5.89</v>
      </c>
    </row>
    <row r="4112" spans="1:5" x14ac:dyDescent="0.25">
      <c r="A4112" s="4" t="s">
        <v>53</v>
      </c>
      <c r="B4112" s="4" t="s">
        <v>44</v>
      </c>
      <c r="C4112" s="5">
        <v>45316</v>
      </c>
      <c r="D4112" s="4">
        <v>16.899999999999999</v>
      </c>
      <c r="E4112" s="4">
        <v>5.89</v>
      </c>
    </row>
    <row r="4113" spans="1:5" x14ac:dyDescent="0.25">
      <c r="A4113" s="4" t="s">
        <v>53</v>
      </c>
      <c r="B4113" s="4" t="s">
        <v>44</v>
      </c>
      <c r="C4113" s="5">
        <v>45316</v>
      </c>
      <c r="D4113" s="4">
        <v>4.2</v>
      </c>
      <c r="E4113" s="4">
        <v>1.45</v>
      </c>
    </row>
    <row r="4114" spans="1:5" x14ac:dyDescent="0.25">
      <c r="A4114" s="4" t="s">
        <v>53</v>
      </c>
      <c r="B4114" s="4" t="s">
        <v>44</v>
      </c>
      <c r="C4114" s="5">
        <v>45316</v>
      </c>
      <c r="D4114" s="4">
        <v>4.2</v>
      </c>
      <c r="E4114" s="4">
        <v>1.45</v>
      </c>
    </row>
    <row r="4115" spans="1:5" x14ac:dyDescent="0.25">
      <c r="A4115" s="4" t="s">
        <v>53</v>
      </c>
      <c r="B4115" s="4" t="s">
        <v>44</v>
      </c>
      <c r="C4115" s="5">
        <v>45316</v>
      </c>
      <c r="D4115" s="4">
        <v>4.2</v>
      </c>
      <c r="E4115" s="4">
        <v>1.45</v>
      </c>
    </row>
    <row r="4116" spans="1:5" x14ac:dyDescent="0.25">
      <c r="A4116" s="4" t="s">
        <v>53</v>
      </c>
      <c r="B4116" s="4" t="s">
        <v>44</v>
      </c>
      <c r="C4116" s="5">
        <v>45316</v>
      </c>
      <c r="D4116" s="4">
        <v>4.2</v>
      </c>
      <c r="E4116" s="4">
        <v>1.45</v>
      </c>
    </row>
    <row r="4117" spans="1:5" x14ac:dyDescent="0.25">
      <c r="A4117" s="4" t="s">
        <v>53</v>
      </c>
      <c r="B4117" s="4" t="s">
        <v>44</v>
      </c>
      <c r="C4117" s="5">
        <v>45316</v>
      </c>
      <c r="D4117" s="4">
        <v>18.7</v>
      </c>
      <c r="E4117" s="4">
        <v>6.52</v>
      </c>
    </row>
    <row r="4118" spans="1:5" x14ac:dyDescent="0.25">
      <c r="A4118" s="4" t="s">
        <v>53</v>
      </c>
      <c r="B4118" s="4" t="s">
        <v>44</v>
      </c>
      <c r="C4118" s="5">
        <v>45317</v>
      </c>
      <c r="D4118" s="4">
        <v>15.4</v>
      </c>
      <c r="E4118" s="4">
        <v>5.35</v>
      </c>
    </row>
    <row r="4119" spans="1:5" x14ac:dyDescent="0.25">
      <c r="A4119" s="4" t="s">
        <v>53</v>
      </c>
      <c r="B4119" s="4" t="s">
        <v>44</v>
      </c>
      <c r="C4119" s="5">
        <v>45317</v>
      </c>
      <c r="D4119" s="4">
        <v>15.4</v>
      </c>
      <c r="E4119" s="4">
        <v>5.35</v>
      </c>
    </row>
    <row r="4120" spans="1:5" x14ac:dyDescent="0.25">
      <c r="A4120" s="4" t="s">
        <v>53</v>
      </c>
      <c r="B4120" s="4" t="s">
        <v>44</v>
      </c>
      <c r="C4120" s="5">
        <v>45317</v>
      </c>
      <c r="D4120" s="4">
        <v>15.4</v>
      </c>
      <c r="E4120" s="4">
        <v>5.35</v>
      </c>
    </row>
    <row r="4121" spans="1:5" x14ac:dyDescent="0.25">
      <c r="A4121" s="4" t="s">
        <v>53</v>
      </c>
      <c r="B4121" s="4" t="s">
        <v>44</v>
      </c>
      <c r="C4121" s="5">
        <v>45317</v>
      </c>
      <c r="D4121" s="4">
        <v>15.4</v>
      </c>
      <c r="E4121" s="4">
        <v>5.35</v>
      </c>
    </row>
    <row r="4122" spans="1:5" x14ac:dyDescent="0.25">
      <c r="A4122" s="4" t="s">
        <v>53</v>
      </c>
      <c r="B4122" s="4" t="s">
        <v>44</v>
      </c>
      <c r="C4122" s="5">
        <v>45317</v>
      </c>
      <c r="D4122" s="4">
        <v>15.4</v>
      </c>
      <c r="E4122" s="4">
        <v>5.35</v>
      </c>
    </row>
    <row r="4123" spans="1:5" x14ac:dyDescent="0.25">
      <c r="A4123" s="4" t="s">
        <v>53</v>
      </c>
      <c r="B4123" s="4" t="s">
        <v>44</v>
      </c>
      <c r="C4123" s="5">
        <v>45317</v>
      </c>
      <c r="D4123" s="4">
        <v>15.4</v>
      </c>
      <c r="E4123" s="4">
        <v>5.35</v>
      </c>
    </row>
    <row r="4124" spans="1:5" x14ac:dyDescent="0.25">
      <c r="A4124" s="4" t="s">
        <v>53</v>
      </c>
      <c r="B4124" s="4" t="s">
        <v>44</v>
      </c>
      <c r="C4124" s="5">
        <v>45317</v>
      </c>
      <c r="D4124" s="4">
        <v>15.4</v>
      </c>
      <c r="E4124" s="4">
        <v>5.35</v>
      </c>
    </row>
    <row r="4125" spans="1:5" x14ac:dyDescent="0.25">
      <c r="A4125" s="4" t="s">
        <v>53</v>
      </c>
      <c r="B4125" s="4" t="s">
        <v>44</v>
      </c>
      <c r="C4125" s="5">
        <v>45317</v>
      </c>
      <c r="D4125" s="4">
        <v>24.9</v>
      </c>
      <c r="E4125" s="4">
        <v>8.66</v>
      </c>
    </row>
    <row r="4126" spans="1:5" x14ac:dyDescent="0.25">
      <c r="A4126" s="4" t="s">
        <v>53</v>
      </c>
      <c r="B4126" s="4" t="s">
        <v>44</v>
      </c>
      <c r="C4126" s="5">
        <v>45317</v>
      </c>
      <c r="D4126" s="4">
        <v>8.6999999999999993</v>
      </c>
      <c r="E4126" s="4">
        <v>3.03</v>
      </c>
    </row>
    <row r="4127" spans="1:5" x14ac:dyDescent="0.25">
      <c r="A4127" s="4" t="s">
        <v>53</v>
      </c>
      <c r="B4127" s="4" t="s">
        <v>44</v>
      </c>
      <c r="C4127" s="5">
        <v>45320</v>
      </c>
      <c r="D4127" s="4">
        <v>41.3</v>
      </c>
      <c r="E4127" s="4">
        <v>14.36</v>
      </c>
    </row>
    <row r="4128" spans="1:5" x14ac:dyDescent="0.25">
      <c r="A4128" s="4" t="s">
        <v>53</v>
      </c>
      <c r="B4128" s="4" t="s">
        <v>44</v>
      </c>
      <c r="C4128" s="5">
        <v>45320</v>
      </c>
      <c r="D4128" s="4">
        <v>17.3</v>
      </c>
      <c r="E4128" s="4">
        <v>6.03</v>
      </c>
    </row>
    <row r="4129" spans="1:5" x14ac:dyDescent="0.25">
      <c r="A4129" s="4" t="s">
        <v>53</v>
      </c>
      <c r="B4129" s="4" t="s">
        <v>44</v>
      </c>
      <c r="C4129" s="5">
        <v>45320</v>
      </c>
      <c r="D4129" s="4">
        <v>17.3</v>
      </c>
      <c r="E4129" s="4">
        <v>6.03</v>
      </c>
    </row>
    <row r="4130" spans="1:5" x14ac:dyDescent="0.25">
      <c r="A4130" s="4" t="s">
        <v>53</v>
      </c>
      <c r="B4130" s="4" t="s">
        <v>44</v>
      </c>
      <c r="C4130" s="5">
        <v>45320</v>
      </c>
      <c r="D4130" s="4">
        <v>67.5</v>
      </c>
      <c r="E4130" s="4">
        <v>23.48</v>
      </c>
    </row>
    <row r="4131" spans="1:5" x14ac:dyDescent="0.25">
      <c r="A4131" s="4" t="s">
        <v>53</v>
      </c>
      <c r="B4131" s="4" t="s">
        <v>44</v>
      </c>
      <c r="C4131" s="5">
        <v>45320</v>
      </c>
      <c r="D4131" s="4">
        <v>85.7</v>
      </c>
      <c r="E4131" s="4">
        <v>29.82</v>
      </c>
    </row>
    <row r="4132" spans="1:5" x14ac:dyDescent="0.25">
      <c r="A4132" s="4" t="s">
        <v>53</v>
      </c>
      <c r="B4132" s="4" t="s">
        <v>44</v>
      </c>
      <c r="C4132" s="5">
        <v>45320</v>
      </c>
      <c r="D4132" s="4">
        <v>17.3</v>
      </c>
      <c r="E4132" s="4">
        <v>6.03</v>
      </c>
    </row>
    <row r="4133" spans="1:5" x14ac:dyDescent="0.25">
      <c r="A4133" s="4" t="s">
        <v>53</v>
      </c>
      <c r="B4133" s="4" t="s">
        <v>44</v>
      </c>
      <c r="C4133" s="5">
        <v>45320</v>
      </c>
      <c r="D4133" s="4">
        <v>17.3</v>
      </c>
      <c r="E4133" s="4">
        <v>6.03</v>
      </c>
    </row>
    <row r="4134" spans="1:5" x14ac:dyDescent="0.25">
      <c r="A4134" s="4" t="s">
        <v>53</v>
      </c>
      <c r="B4134" s="4" t="s">
        <v>44</v>
      </c>
      <c r="C4134" s="5">
        <v>45320</v>
      </c>
      <c r="D4134" s="4">
        <v>67.5</v>
      </c>
      <c r="E4134" s="4">
        <v>23.48</v>
      </c>
    </row>
    <row r="4135" spans="1:5" x14ac:dyDescent="0.25">
      <c r="A4135" s="4" t="s">
        <v>53</v>
      </c>
      <c r="B4135" s="4" t="s">
        <v>44</v>
      </c>
      <c r="C4135" s="5">
        <v>45320</v>
      </c>
      <c r="D4135" s="4">
        <v>44.4</v>
      </c>
      <c r="E4135" s="4">
        <v>15.46</v>
      </c>
    </row>
    <row r="4136" spans="1:5" x14ac:dyDescent="0.25">
      <c r="A4136" s="4" t="s">
        <v>53</v>
      </c>
      <c r="B4136" s="4" t="s">
        <v>44</v>
      </c>
      <c r="C4136" s="5">
        <v>45321</v>
      </c>
      <c r="D4136" s="4">
        <v>41.3</v>
      </c>
      <c r="E4136" s="4">
        <v>14.36</v>
      </c>
    </row>
    <row r="4137" spans="1:5" x14ac:dyDescent="0.25">
      <c r="A4137" s="4" t="s">
        <v>53</v>
      </c>
      <c r="B4137" s="4" t="s">
        <v>44</v>
      </c>
      <c r="C4137" s="5">
        <v>45321</v>
      </c>
      <c r="D4137" s="4">
        <v>17.3</v>
      </c>
      <c r="E4137" s="4">
        <v>6.03</v>
      </c>
    </row>
    <row r="4138" spans="1:5" x14ac:dyDescent="0.25">
      <c r="A4138" s="4" t="s">
        <v>53</v>
      </c>
      <c r="B4138" s="4" t="s">
        <v>44</v>
      </c>
      <c r="C4138" s="5">
        <v>45321</v>
      </c>
      <c r="D4138" s="4">
        <v>17.3</v>
      </c>
      <c r="E4138" s="4">
        <v>6.03</v>
      </c>
    </row>
    <row r="4139" spans="1:5" x14ac:dyDescent="0.25">
      <c r="A4139" s="4" t="s">
        <v>53</v>
      </c>
      <c r="B4139" s="4" t="s">
        <v>44</v>
      </c>
      <c r="C4139" s="5">
        <v>45321</v>
      </c>
      <c r="D4139" s="4">
        <v>67.5</v>
      </c>
      <c r="E4139" s="4">
        <v>23.48</v>
      </c>
    </row>
    <row r="4140" spans="1:5" x14ac:dyDescent="0.25">
      <c r="A4140" s="4" t="s">
        <v>53</v>
      </c>
      <c r="B4140" s="4" t="s">
        <v>44</v>
      </c>
      <c r="C4140" s="5">
        <v>45321</v>
      </c>
      <c r="D4140" s="4">
        <v>85.7</v>
      </c>
      <c r="E4140" s="4">
        <v>29.82</v>
      </c>
    </row>
    <row r="4141" spans="1:5" x14ac:dyDescent="0.25">
      <c r="A4141" s="4" t="s">
        <v>53</v>
      </c>
      <c r="B4141" s="4" t="s">
        <v>44</v>
      </c>
      <c r="C4141" s="5">
        <v>45321</v>
      </c>
      <c r="D4141" s="4">
        <v>17.3</v>
      </c>
      <c r="E4141" s="4">
        <v>6.03</v>
      </c>
    </row>
    <row r="4142" spans="1:5" x14ac:dyDescent="0.25">
      <c r="A4142" s="4" t="s">
        <v>53</v>
      </c>
      <c r="B4142" s="4" t="s">
        <v>44</v>
      </c>
      <c r="C4142" s="5">
        <v>45321</v>
      </c>
      <c r="D4142" s="4">
        <v>17.3</v>
      </c>
      <c r="E4142" s="4">
        <v>6.03</v>
      </c>
    </row>
    <row r="4143" spans="1:5" x14ac:dyDescent="0.25">
      <c r="A4143" s="4" t="s">
        <v>53</v>
      </c>
      <c r="B4143" s="4" t="s">
        <v>44</v>
      </c>
      <c r="C4143" s="5">
        <v>45321</v>
      </c>
      <c r="D4143" s="4">
        <v>67.5</v>
      </c>
      <c r="E4143" s="4">
        <v>23.48</v>
      </c>
    </row>
    <row r="4144" spans="1:5" x14ac:dyDescent="0.25">
      <c r="A4144" s="4" t="s">
        <v>53</v>
      </c>
      <c r="B4144" s="4" t="s">
        <v>44</v>
      </c>
      <c r="C4144" s="5">
        <v>45321</v>
      </c>
      <c r="D4144" s="4">
        <v>59.8</v>
      </c>
      <c r="E4144" s="4">
        <v>20.81</v>
      </c>
    </row>
    <row r="4145" spans="1:5" x14ac:dyDescent="0.25">
      <c r="A4145" s="4" t="s">
        <v>53</v>
      </c>
      <c r="B4145" s="4" t="s">
        <v>44</v>
      </c>
      <c r="C4145" s="5">
        <v>45321</v>
      </c>
      <c r="D4145" s="4">
        <v>16.899999999999999</v>
      </c>
      <c r="E4145" s="4">
        <v>5.89</v>
      </c>
    </row>
    <row r="4146" spans="1:5" x14ac:dyDescent="0.25">
      <c r="A4146" s="4" t="s">
        <v>53</v>
      </c>
      <c r="B4146" s="4" t="s">
        <v>44</v>
      </c>
      <c r="C4146" s="5">
        <v>45321</v>
      </c>
      <c r="D4146" s="4">
        <v>18.7</v>
      </c>
      <c r="E4146" s="4">
        <v>6.52</v>
      </c>
    </row>
    <row r="4147" spans="1:5" x14ac:dyDescent="0.25">
      <c r="A4147" s="4" t="s">
        <v>53</v>
      </c>
      <c r="B4147" s="4" t="s">
        <v>44</v>
      </c>
      <c r="C4147" s="5">
        <v>45322</v>
      </c>
      <c r="D4147" s="4">
        <v>41.3</v>
      </c>
      <c r="E4147" s="4">
        <v>14.36</v>
      </c>
    </row>
    <row r="4148" spans="1:5" x14ac:dyDescent="0.25">
      <c r="A4148" s="4" t="s">
        <v>53</v>
      </c>
      <c r="B4148" s="4" t="s">
        <v>44</v>
      </c>
      <c r="C4148" s="5">
        <v>45322</v>
      </c>
      <c r="D4148" s="4">
        <v>17.3</v>
      </c>
      <c r="E4148" s="4">
        <v>6.03</v>
      </c>
    </row>
    <row r="4149" spans="1:5" x14ac:dyDescent="0.25">
      <c r="A4149" s="4" t="s">
        <v>53</v>
      </c>
      <c r="B4149" s="4" t="s">
        <v>44</v>
      </c>
      <c r="C4149" s="5">
        <v>45322</v>
      </c>
      <c r="D4149" s="4">
        <v>17.3</v>
      </c>
      <c r="E4149" s="4">
        <v>6.03</v>
      </c>
    </row>
    <row r="4150" spans="1:5" x14ac:dyDescent="0.25">
      <c r="A4150" s="4" t="s">
        <v>53</v>
      </c>
      <c r="B4150" s="4" t="s">
        <v>44</v>
      </c>
      <c r="C4150" s="5">
        <v>45322</v>
      </c>
      <c r="D4150" s="4">
        <v>67.5</v>
      </c>
      <c r="E4150" s="4">
        <v>23.48</v>
      </c>
    </row>
    <row r="4151" spans="1:5" x14ac:dyDescent="0.25">
      <c r="A4151" s="4" t="s">
        <v>53</v>
      </c>
      <c r="B4151" s="4" t="s">
        <v>44</v>
      </c>
      <c r="C4151" s="5">
        <v>45322</v>
      </c>
      <c r="D4151" s="4">
        <v>71.2</v>
      </c>
      <c r="E4151" s="4">
        <v>24.72</v>
      </c>
    </row>
    <row r="4152" spans="1:5" x14ac:dyDescent="0.25">
      <c r="A4152" s="4" t="s">
        <v>53</v>
      </c>
      <c r="B4152" s="4" t="s">
        <v>44</v>
      </c>
      <c r="C4152" s="5">
        <v>45322</v>
      </c>
      <c r="D4152" s="4">
        <v>17.3</v>
      </c>
      <c r="E4152" s="4">
        <v>6.03</v>
      </c>
    </row>
    <row r="4153" spans="1:5" x14ac:dyDescent="0.25">
      <c r="A4153" s="4" t="s">
        <v>53</v>
      </c>
      <c r="B4153" s="4" t="s">
        <v>44</v>
      </c>
      <c r="C4153" s="5">
        <v>45322</v>
      </c>
      <c r="D4153" s="4">
        <v>17.3</v>
      </c>
      <c r="E4153" s="4">
        <v>6.03</v>
      </c>
    </row>
    <row r="4154" spans="1:5" x14ac:dyDescent="0.25">
      <c r="A4154" s="4" t="s">
        <v>53</v>
      </c>
      <c r="B4154" s="4" t="s">
        <v>44</v>
      </c>
      <c r="C4154" s="5">
        <v>45322</v>
      </c>
      <c r="D4154" s="4">
        <v>67.5</v>
      </c>
      <c r="E4154" s="4">
        <v>23.48</v>
      </c>
    </row>
    <row r="4155" spans="1:5" x14ac:dyDescent="0.25">
      <c r="A4155" s="4" t="s">
        <v>53</v>
      </c>
      <c r="B4155" s="4" t="s">
        <v>44</v>
      </c>
      <c r="C4155" s="5">
        <v>45322</v>
      </c>
      <c r="D4155" s="4">
        <v>45.3</v>
      </c>
      <c r="E4155" s="4">
        <v>15.71</v>
      </c>
    </row>
    <row r="4156" spans="1:5" x14ac:dyDescent="0.25">
      <c r="A4156" s="4" t="s">
        <v>53</v>
      </c>
      <c r="B4156" s="4" t="s">
        <v>44</v>
      </c>
      <c r="C4156" s="5">
        <v>45322</v>
      </c>
      <c r="D4156" s="4">
        <v>15.4</v>
      </c>
      <c r="E4156" s="4">
        <v>5.35</v>
      </c>
    </row>
    <row r="4157" spans="1:5" x14ac:dyDescent="0.25">
      <c r="A4157" s="4" t="s">
        <v>53</v>
      </c>
      <c r="B4157" s="4" t="s">
        <v>44</v>
      </c>
      <c r="C4157" s="5">
        <v>45323</v>
      </c>
      <c r="D4157" s="4">
        <v>15.4</v>
      </c>
      <c r="E4157" s="4">
        <v>5.35</v>
      </c>
    </row>
    <row r="4158" spans="1:5" x14ac:dyDescent="0.25">
      <c r="A4158" s="4" t="s">
        <v>53</v>
      </c>
      <c r="B4158" s="4" t="s">
        <v>44</v>
      </c>
      <c r="C4158" s="5">
        <v>45323</v>
      </c>
      <c r="D4158" s="4">
        <v>31.3</v>
      </c>
      <c r="E4158" s="4">
        <v>10.86</v>
      </c>
    </row>
    <row r="4159" spans="1:5" x14ac:dyDescent="0.25">
      <c r="A4159" s="4" t="s">
        <v>53</v>
      </c>
      <c r="B4159" s="4" t="s">
        <v>44</v>
      </c>
      <c r="C4159" s="5">
        <v>45323</v>
      </c>
      <c r="D4159" s="4">
        <v>1.2</v>
      </c>
      <c r="E4159" s="4">
        <v>0.41</v>
      </c>
    </row>
    <row r="4160" spans="1:5" x14ac:dyDescent="0.25">
      <c r="A4160" s="4" t="s">
        <v>53</v>
      </c>
      <c r="B4160" s="4" t="s">
        <v>44</v>
      </c>
      <c r="C4160" s="5">
        <v>45323</v>
      </c>
      <c r="D4160" s="4">
        <v>15.4</v>
      </c>
      <c r="E4160" s="4">
        <v>5.35</v>
      </c>
    </row>
    <row r="4161" spans="1:5" x14ac:dyDescent="0.25">
      <c r="A4161" s="4" t="s">
        <v>53</v>
      </c>
      <c r="B4161" s="4" t="s">
        <v>44</v>
      </c>
      <c r="C4161" s="5">
        <v>45323</v>
      </c>
      <c r="D4161" s="4">
        <v>15.4</v>
      </c>
      <c r="E4161" s="4">
        <v>5.35</v>
      </c>
    </row>
    <row r="4162" spans="1:5" x14ac:dyDescent="0.25">
      <c r="A4162" s="4" t="s">
        <v>53</v>
      </c>
      <c r="B4162" s="4" t="s">
        <v>44</v>
      </c>
      <c r="C4162" s="5">
        <v>45323</v>
      </c>
      <c r="D4162" s="4">
        <v>1.2</v>
      </c>
      <c r="E4162" s="4">
        <v>0.41</v>
      </c>
    </row>
    <row r="4163" spans="1:5" x14ac:dyDescent="0.25">
      <c r="A4163" s="4" t="s">
        <v>53</v>
      </c>
      <c r="B4163" s="4" t="s">
        <v>44</v>
      </c>
      <c r="C4163" s="5">
        <v>45323</v>
      </c>
      <c r="D4163" s="4">
        <v>17.3</v>
      </c>
      <c r="E4163" s="4">
        <v>6.02</v>
      </c>
    </row>
    <row r="4164" spans="1:5" x14ac:dyDescent="0.25">
      <c r="A4164" s="4" t="s">
        <v>53</v>
      </c>
      <c r="B4164" s="4" t="s">
        <v>44</v>
      </c>
      <c r="C4164" s="5">
        <v>45323</v>
      </c>
      <c r="D4164" s="4">
        <v>15.4</v>
      </c>
      <c r="E4164" s="4">
        <v>5.35</v>
      </c>
    </row>
    <row r="4165" spans="1:5" x14ac:dyDescent="0.25">
      <c r="A4165" s="4" t="s">
        <v>53</v>
      </c>
      <c r="B4165" s="4" t="s">
        <v>44</v>
      </c>
      <c r="C4165" s="5">
        <v>45323</v>
      </c>
      <c r="D4165" s="4">
        <v>1.2</v>
      </c>
      <c r="E4165" s="4">
        <v>0.41</v>
      </c>
    </row>
    <row r="4166" spans="1:5" x14ac:dyDescent="0.25">
      <c r="A4166" s="4" t="s">
        <v>53</v>
      </c>
      <c r="B4166" s="4" t="s">
        <v>44</v>
      </c>
      <c r="C4166" s="5">
        <v>45323</v>
      </c>
      <c r="D4166" s="4">
        <v>1.2</v>
      </c>
      <c r="E4166" s="4">
        <v>0.41</v>
      </c>
    </row>
    <row r="4167" spans="1:5" x14ac:dyDescent="0.25">
      <c r="A4167" s="4" t="s">
        <v>53</v>
      </c>
      <c r="B4167" s="4" t="s">
        <v>44</v>
      </c>
      <c r="C4167" s="5">
        <v>45323</v>
      </c>
      <c r="D4167" s="4">
        <v>15.4</v>
      </c>
      <c r="E4167" s="4">
        <v>5.35</v>
      </c>
    </row>
    <row r="4168" spans="1:5" x14ac:dyDescent="0.25">
      <c r="A4168" s="4" t="s">
        <v>53</v>
      </c>
      <c r="B4168" s="4" t="s">
        <v>44</v>
      </c>
      <c r="C4168" s="5">
        <v>45323</v>
      </c>
      <c r="D4168" s="4">
        <v>15.4</v>
      </c>
      <c r="E4168" s="4">
        <v>5.35</v>
      </c>
    </row>
    <row r="4169" spans="1:5" x14ac:dyDescent="0.25">
      <c r="A4169" s="4" t="s">
        <v>53</v>
      </c>
      <c r="B4169" s="4" t="s">
        <v>44</v>
      </c>
      <c r="C4169" s="5">
        <v>45323</v>
      </c>
      <c r="D4169" s="4">
        <v>1.2</v>
      </c>
      <c r="E4169" s="4">
        <v>0.41</v>
      </c>
    </row>
    <row r="4170" spans="1:5" x14ac:dyDescent="0.25">
      <c r="A4170" s="4" t="s">
        <v>53</v>
      </c>
      <c r="B4170" s="4" t="s">
        <v>44</v>
      </c>
      <c r="C4170" s="5">
        <v>45323</v>
      </c>
      <c r="D4170" s="4">
        <v>1.2</v>
      </c>
      <c r="E4170" s="4">
        <v>0.41</v>
      </c>
    </row>
    <row r="4171" spans="1:5" x14ac:dyDescent="0.25">
      <c r="A4171" s="4" t="s">
        <v>53</v>
      </c>
      <c r="B4171" s="4" t="s">
        <v>44</v>
      </c>
      <c r="C4171" s="5">
        <v>45323</v>
      </c>
      <c r="D4171" s="4">
        <v>15.4</v>
      </c>
      <c r="E4171" s="4">
        <v>5.35</v>
      </c>
    </row>
    <row r="4172" spans="1:5" x14ac:dyDescent="0.25">
      <c r="A4172" s="4" t="s">
        <v>53</v>
      </c>
      <c r="B4172" s="4" t="s">
        <v>44</v>
      </c>
      <c r="C4172" s="5">
        <v>45323</v>
      </c>
      <c r="D4172" s="4">
        <v>15.4</v>
      </c>
      <c r="E4172" s="4">
        <v>5.35</v>
      </c>
    </row>
    <row r="4173" spans="1:5" x14ac:dyDescent="0.25">
      <c r="A4173" s="4" t="s">
        <v>53</v>
      </c>
      <c r="B4173" s="4" t="s">
        <v>44</v>
      </c>
      <c r="C4173" s="5">
        <v>45323</v>
      </c>
      <c r="D4173" s="4">
        <v>1.2</v>
      </c>
      <c r="E4173" s="4">
        <v>0.41</v>
      </c>
    </row>
    <row r="4174" spans="1:5" x14ac:dyDescent="0.25">
      <c r="A4174" s="4" t="s">
        <v>53</v>
      </c>
      <c r="B4174" s="4" t="s">
        <v>44</v>
      </c>
      <c r="C4174" s="5">
        <v>45323</v>
      </c>
      <c r="D4174" s="4">
        <v>1.2</v>
      </c>
      <c r="E4174" s="4">
        <v>0.41</v>
      </c>
    </row>
    <row r="4175" spans="1:5" x14ac:dyDescent="0.25">
      <c r="A4175" s="4" t="s">
        <v>53</v>
      </c>
      <c r="B4175" s="4" t="s">
        <v>44</v>
      </c>
      <c r="C4175" s="5">
        <v>45323</v>
      </c>
      <c r="D4175" s="4">
        <v>15.4</v>
      </c>
      <c r="E4175" s="4">
        <v>5.35</v>
      </c>
    </row>
    <row r="4176" spans="1:5" x14ac:dyDescent="0.25">
      <c r="A4176" s="4" t="s">
        <v>53</v>
      </c>
      <c r="B4176" s="4" t="s">
        <v>44</v>
      </c>
      <c r="C4176" s="5">
        <v>45323</v>
      </c>
      <c r="D4176" s="4">
        <v>15.4</v>
      </c>
      <c r="E4176" s="4">
        <v>5.35</v>
      </c>
    </row>
    <row r="4177" spans="1:5" x14ac:dyDescent="0.25">
      <c r="A4177" s="4" t="s">
        <v>53</v>
      </c>
      <c r="B4177" s="4" t="s">
        <v>44</v>
      </c>
      <c r="C4177" s="5">
        <v>45323</v>
      </c>
      <c r="D4177" s="4">
        <v>1.2</v>
      </c>
      <c r="E4177" s="4">
        <v>0.41</v>
      </c>
    </row>
    <row r="4178" spans="1:5" x14ac:dyDescent="0.25">
      <c r="A4178" s="4" t="s">
        <v>53</v>
      </c>
      <c r="B4178" s="4" t="s">
        <v>44</v>
      </c>
      <c r="C4178" s="5">
        <v>45323</v>
      </c>
      <c r="D4178" s="4">
        <v>1.2</v>
      </c>
      <c r="E4178" s="4">
        <v>0.41</v>
      </c>
    </row>
    <row r="4179" spans="1:5" x14ac:dyDescent="0.25">
      <c r="A4179" s="4" t="s">
        <v>53</v>
      </c>
      <c r="B4179" s="4" t="s">
        <v>44</v>
      </c>
      <c r="C4179" s="5">
        <v>45324</v>
      </c>
      <c r="D4179" s="4">
        <v>15.4</v>
      </c>
      <c r="E4179" s="4">
        <v>5.35</v>
      </c>
    </row>
    <row r="4180" spans="1:5" x14ac:dyDescent="0.25">
      <c r="A4180" s="4" t="s">
        <v>53</v>
      </c>
      <c r="B4180" s="4" t="s">
        <v>44</v>
      </c>
      <c r="C4180" s="5">
        <v>45324</v>
      </c>
      <c r="D4180" s="4">
        <v>15.4</v>
      </c>
      <c r="E4180" s="4">
        <v>5.35</v>
      </c>
    </row>
    <row r="4181" spans="1:5" x14ac:dyDescent="0.25">
      <c r="A4181" s="4" t="s">
        <v>53</v>
      </c>
      <c r="B4181" s="4" t="s">
        <v>44</v>
      </c>
      <c r="C4181" s="5">
        <v>45324</v>
      </c>
      <c r="D4181" s="4">
        <v>1.2</v>
      </c>
      <c r="E4181" s="4">
        <v>0.41</v>
      </c>
    </row>
    <row r="4182" spans="1:5" x14ac:dyDescent="0.25">
      <c r="A4182" s="4" t="s">
        <v>53</v>
      </c>
      <c r="B4182" s="4" t="s">
        <v>44</v>
      </c>
      <c r="C4182" s="5">
        <v>45324</v>
      </c>
      <c r="D4182" s="4">
        <v>1.2</v>
      </c>
      <c r="E4182" s="4">
        <v>0.41</v>
      </c>
    </row>
    <row r="4183" spans="1:5" x14ac:dyDescent="0.25">
      <c r="A4183" s="4" t="s">
        <v>53</v>
      </c>
      <c r="B4183" s="4" t="s">
        <v>44</v>
      </c>
      <c r="C4183" s="5">
        <v>45324</v>
      </c>
      <c r="D4183" s="4">
        <v>15.4</v>
      </c>
      <c r="E4183" s="4">
        <v>5.35</v>
      </c>
    </row>
    <row r="4184" spans="1:5" x14ac:dyDescent="0.25">
      <c r="A4184" s="4" t="s">
        <v>53</v>
      </c>
      <c r="B4184" s="4" t="s">
        <v>44</v>
      </c>
      <c r="C4184" s="5">
        <v>45324</v>
      </c>
      <c r="D4184" s="4">
        <v>15.4</v>
      </c>
      <c r="E4184" s="4">
        <v>5.35</v>
      </c>
    </row>
    <row r="4185" spans="1:5" x14ac:dyDescent="0.25">
      <c r="A4185" s="4" t="s">
        <v>53</v>
      </c>
      <c r="B4185" s="4" t="s">
        <v>44</v>
      </c>
      <c r="C4185" s="5">
        <v>45324</v>
      </c>
      <c r="D4185" s="4">
        <v>1.2</v>
      </c>
      <c r="E4185" s="4">
        <v>0.41</v>
      </c>
    </row>
    <row r="4186" spans="1:5" x14ac:dyDescent="0.25">
      <c r="A4186" s="4" t="s">
        <v>53</v>
      </c>
      <c r="B4186" s="4" t="s">
        <v>44</v>
      </c>
      <c r="C4186" s="5">
        <v>45324</v>
      </c>
      <c r="D4186" s="4">
        <v>1.2</v>
      </c>
      <c r="E4186" s="4">
        <v>0.41</v>
      </c>
    </row>
    <row r="4187" spans="1:5" x14ac:dyDescent="0.25">
      <c r="A4187" s="4" t="s">
        <v>53</v>
      </c>
      <c r="B4187" s="4" t="s">
        <v>44</v>
      </c>
      <c r="C4187" s="5">
        <v>45324</v>
      </c>
      <c r="D4187" s="4">
        <v>15.4</v>
      </c>
      <c r="E4187" s="4">
        <v>5.35</v>
      </c>
    </row>
    <row r="4188" spans="1:5" x14ac:dyDescent="0.25">
      <c r="A4188" s="4" t="s">
        <v>53</v>
      </c>
      <c r="B4188" s="4" t="s">
        <v>44</v>
      </c>
      <c r="C4188" s="5">
        <v>45324</v>
      </c>
      <c r="D4188" s="4">
        <v>15.4</v>
      </c>
      <c r="E4188" s="4">
        <v>5.35</v>
      </c>
    </row>
    <row r="4189" spans="1:5" x14ac:dyDescent="0.25">
      <c r="A4189" s="4" t="s">
        <v>53</v>
      </c>
      <c r="B4189" s="4" t="s">
        <v>44</v>
      </c>
      <c r="C4189" s="5">
        <v>45324</v>
      </c>
      <c r="D4189" s="4">
        <v>1.2</v>
      </c>
      <c r="E4189" s="4">
        <v>0.41</v>
      </c>
    </row>
    <row r="4190" spans="1:5" x14ac:dyDescent="0.25">
      <c r="A4190" s="4" t="s">
        <v>53</v>
      </c>
      <c r="B4190" s="4" t="s">
        <v>44</v>
      </c>
      <c r="C4190" s="5">
        <v>45324</v>
      </c>
      <c r="D4190" s="4">
        <v>1.2</v>
      </c>
      <c r="E4190" s="4">
        <v>0.41</v>
      </c>
    </row>
    <row r="4191" spans="1:5" x14ac:dyDescent="0.25">
      <c r="A4191" s="4" t="s">
        <v>53</v>
      </c>
      <c r="B4191" s="4" t="s">
        <v>44</v>
      </c>
      <c r="C4191" s="5">
        <v>45324</v>
      </c>
      <c r="D4191" s="4">
        <v>15.4</v>
      </c>
      <c r="E4191" s="4">
        <v>5.35</v>
      </c>
    </row>
    <row r="4192" spans="1:5" x14ac:dyDescent="0.25">
      <c r="A4192" s="4" t="s">
        <v>53</v>
      </c>
      <c r="B4192" s="4" t="s">
        <v>44</v>
      </c>
      <c r="C4192" s="5">
        <v>45324</v>
      </c>
      <c r="D4192" s="4">
        <v>15.4</v>
      </c>
      <c r="E4192" s="4">
        <v>5.35</v>
      </c>
    </row>
    <row r="4193" spans="1:5" x14ac:dyDescent="0.25">
      <c r="A4193" s="4" t="s">
        <v>53</v>
      </c>
      <c r="B4193" s="4" t="s">
        <v>44</v>
      </c>
      <c r="C4193" s="5">
        <v>45324</v>
      </c>
      <c r="D4193" s="4">
        <v>1.2</v>
      </c>
      <c r="E4193" s="4">
        <v>0.41</v>
      </c>
    </row>
    <row r="4194" spans="1:5" x14ac:dyDescent="0.25">
      <c r="A4194" s="4" t="s">
        <v>53</v>
      </c>
      <c r="B4194" s="4" t="s">
        <v>44</v>
      </c>
      <c r="C4194" s="5">
        <v>45324</v>
      </c>
      <c r="D4194" s="4">
        <v>1.2</v>
      </c>
      <c r="E4194" s="4">
        <v>0.41</v>
      </c>
    </row>
    <row r="4195" spans="1:5" x14ac:dyDescent="0.25">
      <c r="A4195" s="4" t="s">
        <v>53</v>
      </c>
      <c r="B4195" s="4" t="s">
        <v>44</v>
      </c>
      <c r="C4195" s="5">
        <v>45327</v>
      </c>
      <c r="D4195" s="4">
        <v>41.3</v>
      </c>
      <c r="E4195" s="4">
        <v>14.36</v>
      </c>
    </row>
    <row r="4196" spans="1:5" x14ac:dyDescent="0.25">
      <c r="A4196" s="4" t="s">
        <v>53</v>
      </c>
      <c r="B4196" s="4" t="s">
        <v>44</v>
      </c>
      <c r="C4196" s="5">
        <v>45327</v>
      </c>
      <c r="D4196" s="4">
        <v>17.3</v>
      </c>
      <c r="E4196" s="4">
        <v>6.03</v>
      </c>
    </row>
    <row r="4197" spans="1:5" x14ac:dyDescent="0.25">
      <c r="A4197" s="4" t="s">
        <v>53</v>
      </c>
      <c r="B4197" s="4" t="s">
        <v>44</v>
      </c>
      <c r="C4197" s="5">
        <v>45327</v>
      </c>
      <c r="D4197" s="4">
        <v>17.3</v>
      </c>
      <c r="E4197" s="4">
        <v>6.03</v>
      </c>
    </row>
    <row r="4198" spans="1:5" x14ac:dyDescent="0.25">
      <c r="A4198" s="4" t="s">
        <v>53</v>
      </c>
      <c r="B4198" s="4" t="s">
        <v>44</v>
      </c>
      <c r="C4198" s="5">
        <v>45327</v>
      </c>
      <c r="D4198" s="4">
        <v>87.7</v>
      </c>
      <c r="E4198" s="4">
        <v>30.5</v>
      </c>
    </row>
    <row r="4199" spans="1:5" x14ac:dyDescent="0.25">
      <c r="A4199" s="4" t="s">
        <v>53</v>
      </c>
      <c r="B4199" s="4" t="s">
        <v>44</v>
      </c>
      <c r="C4199" s="5">
        <v>45327</v>
      </c>
      <c r="D4199" s="4">
        <v>85.7</v>
      </c>
      <c r="E4199" s="4">
        <v>29.82</v>
      </c>
    </row>
    <row r="4200" spans="1:5" x14ac:dyDescent="0.25">
      <c r="A4200" s="4" t="s">
        <v>53</v>
      </c>
      <c r="B4200" s="4" t="s">
        <v>44</v>
      </c>
      <c r="C4200" s="5">
        <v>45327</v>
      </c>
      <c r="D4200" s="4">
        <v>17.3</v>
      </c>
      <c r="E4200" s="4">
        <v>6.03</v>
      </c>
    </row>
    <row r="4201" spans="1:5" x14ac:dyDescent="0.25">
      <c r="A4201" s="4" t="s">
        <v>53</v>
      </c>
      <c r="B4201" s="4" t="s">
        <v>44</v>
      </c>
      <c r="C4201" s="5">
        <v>45327</v>
      </c>
      <c r="D4201" s="4">
        <v>17.3</v>
      </c>
      <c r="E4201" s="4">
        <v>6.03</v>
      </c>
    </row>
    <row r="4202" spans="1:5" x14ac:dyDescent="0.25">
      <c r="A4202" s="4" t="s">
        <v>53</v>
      </c>
      <c r="B4202" s="4" t="s">
        <v>44</v>
      </c>
      <c r="C4202" s="5">
        <v>45327</v>
      </c>
      <c r="D4202" s="4">
        <v>67.5</v>
      </c>
      <c r="E4202" s="4">
        <v>23.48</v>
      </c>
    </row>
    <row r="4203" spans="1:5" x14ac:dyDescent="0.25">
      <c r="A4203" s="4" t="s">
        <v>53</v>
      </c>
      <c r="B4203" s="4" t="s">
        <v>44</v>
      </c>
      <c r="C4203" s="5">
        <v>45327</v>
      </c>
      <c r="D4203" s="4">
        <v>29.9</v>
      </c>
      <c r="E4203" s="4">
        <v>10.36</v>
      </c>
    </row>
    <row r="4204" spans="1:5" x14ac:dyDescent="0.25">
      <c r="A4204" s="4" t="s">
        <v>53</v>
      </c>
      <c r="B4204" s="4" t="s">
        <v>44</v>
      </c>
      <c r="C4204" s="5">
        <v>45328</v>
      </c>
      <c r="D4204" s="4">
        <v>41.3</v>
      </c>
      <c r="E4204" s="4">
        <v>14.36</v>
      </c>
    </row>
    <row r="4205" spans="1:5" x14ac:dyDescent="0.25">
      <c r="A4205" s="4" t="s">
        <v>53</v>
      </c>
      <c r="B4205" s="4" t="s">
        <v>44</v>
      </c>
      <c r="C4205" s="5">
        <v>45328</v>
      </c>
      <c r="D4205" s="4">
        <v>17.3</v>
      </c>
      <c r="E4205" s="4">
        <v>6.03</v>
      </c>
    </row>
    <row r="4206" spans="1:5" x14ac:dyDescent="0.25">
      <c r="A4206" s="4" t="s">
        <v>53</v>
      </c>
      <c r="B4206" s="4" t="s">
        <v>44</v>
      </c>
      <c r="C4206" s="5">
        <v>45328</v>
      </c>
      <c r="D4206" s="4">
        <v>17.3</v>
      </c>
      <c r="E4206" s="4">
        <v>6.03</v>
      </c>
    </row>
    <row r="4207" spans="1:5" x14ac:dyDescent="0.25">
      <c r="A4207" s="4" t="s">
        <v>53</v>
      </c>
      <c r="B4207" s="4" t="s">
        <v>44</v>
      </c>
      <c r="C4207" s="5">
        <v>45328</v>
      </c>
      <c r="D4207" s="4">
        <v>67.5</v>
      </c>
      <c r="E4207" s="4">
        <v>23.48</v>
      </c>
    </row>
    <row r="4208" spans="1:5" x14ac:dyDescent="0.25">
      <c r="A4208" s="4" t="s">
        <v>53</v>
      </c>
      <c r="B4208" s="4" t="s">
        <v>44</v>
      </c>
      <c r="C4208" s="5">
        <v>45328</v>
      </c>
      <c r="D4208" s="4">
        <v>71.2</v>
      </c>
      <c r="E4208" s="4">
        <v>24.72</v>
      </c>
    </row>
    <row r="4209" spans="1:5" x14ac:dyDescent="0.25">
      <c r="A4209" s="4" t="s">
        <v>53</v>
      </c>
      <c r="B4209" s="4" t="s">
        <v>44</v>
      </c>
      <c r="C4209" s="5">
        <v>45328</v>
      </c>
      <c r="D4209" s="4">
        <v>17.3</v>
      </c>
      <c r="E4209" s="4">
        <v>6.03</v>
      </c>
    </row>
    <row r="4210" spans="1:5" x14ac:dyDescent="0.25">
      <c r="A4210" s="4" t="s">
        <v>53</v>
      </c>
      <c r="B4210" s="4" t="s">
        <v>44</v>
      </c>
      <c r="C4210" s="5">
        <v>45328</v>
      </c>
      <c r="D4210" s="4">
        <v>17.3</v>
      </c>
      <c r="E4210" s="4">
        <v>6.03</v>
      </c>
    </row>
    <row r="4211" spans="1:5" x14ac:dyDescent="0.25">
      <c r="A4211" s="4" t="s">
        <v>53</v>
      </c>
      <c r="B4211" s="4" t="s">
        <v>44</v>
      </c>
      <c r="C4211" s="5">
        <v>45328</v>
      </c>
      <c r="D4211" s="4">
        <v>67.5</v>
      </c>
      <c r="E4211" s="4">
        <v>23.48</v>
      </c>
    </row>
    <row r="4212" spans="1:5" x14ac:dyDescent="0.25">
      <c r="A4212" s="4" t="s">
        <v>53</v>
      </c>
      <c r="B4212" s="4" t="s">
        <v>44</v>
      </c>
      <c r="C4212" s="5">
        <v>45328</v>
      </c>
      <c r="D4212" s="4">
        <v>29.9</v>
      </c>
      <c r="E4212" s="4">
        <v>10.36</v>
      </c>
    </row>
    <row r="4213" spans="1:5" x14ac:dyDescent="0.25">
      <c r="A4213" s="4" t="s">
        <v>53</v>
      </c>
      <c r="B4213" s="4" t="s">
        <v>44</v>
      </c>
      <c r="C4213" s="5">
        <v>45329</v>
      </c>
      <c r="D4213" s="4">
        <v>41.3</v>
      </c>
      <c r="E4213" s="4">
        <v>14.36</v>
      </c>
    </row>
    <row r="4214" spans="1:5" x14ac:dyDescent="0.25">
      <c r="A4214" s="4" t="s">
        <v>53</v>
      </c>
      <c r="B4214" s="4" t="s">
        <v>44</v>
      </c>
      <c r="C4214" s="5">
        <v>45329</v>
      </c>
      <c r="D4214" s="4">
        <v>17.3</v>
      </c>
      <c r="E4214" s="4">
        <v>6.03</v>
      </c>
    </row>
    <row r="4215" spans="1:5" x14ac:dyDescent="0.25">
      <c r="A4215" s="4" t="s">
        <v>53</v>
      </c>
      <c r="B4215" s="4" t="s">
        <v>44</v>
      </c>
      <c r="C4215" s="5">
        <v>45329</v>
      </c>
      <c r="D4215" s="4">
        <v>17.3</v>
      </c>
      <c r="E4215" s="4">
        <v>6.03</v>
      </c>
    </row>
    <row r="4216" spans="1:5" x14ac:dyDescent="0.25">
      <c r="A4216" s="4" t="s">
        <v>53</v>
      </c>
      <c r="B4216" s="4" t="s">
        <v>44</v>
      </c>
      <c r="C4216" s="5">
        <v>45329</v>
      </c>
      <c r="D4216" s="4">
        <v>67.5</v>
      </c>
      <c r="E4216" s="4">
        <v>23.48</v>
      </c>
    </row>
    <row r="4217" spans="1:5" x14ac:dyDescent="0.25">
      <c r="A4217" s="4" t="s">
        <v>53</v>
      </c>
      <c r="B4217" s="4" t="s">
        <v>44</v>
      </c>
      <c r="C4217" s="5">
        <v>45329</v>
      </c>
      <c r="D4217" s="4">
        <v>71.2</v>
      </c>
      <c r="E4217" s="4">
        <v>24.72</v>
      </c>
    </row>
    <row r="4218" spans="1:5" x14ac:dyDescent="0.25">
      <c r="A4218" s="4" t="s">
        <v>53</v>
      </c>
      <c r="B4218" s="4" t="s">
        <v>44</v>
      </c>
      <c r="C4218" s="5">
        <v>45329</v>
      </c>
      <c r="D4218" s="4">
        <v>17.3</v>
      </c>
      <c r="E4218" s="4">
        <v>6.03</v>
      </c>
    </row>
    <row r="4219" spans="1:5" x14ac:dyDescent="0.25">
      <c r="A4219" s="4" t="s">
        <v>53</v>
      </c>
      <c r="B4219" s="4" t="s">
        <v>44</v>
      </c>
      <c r="C4219" s="5">
        <v>45329</v>
      </c>
      <c r="D4219" s="4">
        <v>17.3</v>
      </c>
      <c r="E4219" s="4">
        <v>6.03</v>
      </c>
    </row>
    <row r="4220" spans="1:5" x14ac:dyDescent="0.25">
      <c r="A4220" s="4" t="s">
        <v>53</v>
      </c>
      <c r="B4220" s="4" t="s">
        <v>44</v>
      </c>
      <c r="C4220" s="5">
        <v>45329</v>
      </c>
      <c r="D4220" s="4">
        <v>67.5</v>
      </c>
      <c r="E4220" s="4">
        <v>23.48</v>
      </c>
    </row>
    <row r="4221" spans="1:5" x14ac:dyDescent="0.25">
      <c r="A4221" s="4" t="s">
        <v>53</v>
      </c>
      <c r="B4221" s="4" t="s">
        <v>44</v>
      </c>
      <c r="C4221" s="5">
        <v>45329</v>
      </c>
      <c r="D4221" s="4">
        <v>29.9</v>
      </c>
      <c r="E4221" s="4">
        <v>10.36</v>
      </c>
    </row>
    <row r="4222" spans="1:5" x14ac:dyDescent="0.25">
      <c r="A4222" s="4" t="s">
        <v>53</v>
      </c>
      <c r="B4222" s="4" t="s">
        <v>44</v>
      </c>
      <c r="C4222" s="5">
        <v>45330</v>
      </c>
      <c r="D4222" s="4">
        <v>41.3</v>
      </c>
      <c r="E4222" s="4">
        <v>14.36</v>
      </c>
    </row>
    <row r="4223" spans="1:5" x14ac:dyDescent="0.25">
      <c r="A4223" s="4" t="s">
        <v>53</v>
      </c>
      <c r="B4223" s="4" t="s">
        <v>44</v>
      </c>
      <c r="C4223" s="5">
        <v>45330</v>
      </c>
      <c r="D4223" s="4">
        <v>17.3</v>
      </c>
      <c r="E4223" s="4">
        <v>6.03</v>
      </c>
    </row>
    <row r="4224" spans="1:5" x14ac:dyDescent="0.25">
      <c r="A4224" s="4" t="s">
        <v>53</v>
      </c>
      <c r="B4224" s="4" t="s">
        <v>44</v>
      </c>
      <c r="C4224" s="5">
        <v>45330</v>
      </c>
      <c r="D4224" s="4">
        <v>17.3</v>
      </c>
      <c r="E4224" s="4">
        <v>6.03</v>
      </c>
    </row>
    <row r="4225" spans="1:5" x14ac:dyDescent="0.25">
      <c r="A4225" s="4" t="s">
        <v>53</v>
      </c>
      <c r="B4225" s="4" t="s">
        <v>44</v>
      </c>
      <c r="C4225" s="5">
        <v>45330</v>
      </c>
      <c r="D4225" s="4">
        <v>67.5</v>
      </c>
      <c r="E4225" s="4">
        <v>23.48</v>
      </c>
    </row>
    <row r="4226" spans="1:5" x14ac:dyDescent="0.25">
      <c r="A4226" s="4" t="s">
        <v>53</v>
      </c>
      <c r="B4226" s="4" t="s">
        <v>44</v>
      </c>
      <c r="C4226" s="5">
        <v>45330</v>
      </c>
      <c r="D4226" s="4">
        <v>71.2</v>
      </c>
      <c r="E4226" s="4">
        <v>24.72</v>
      </c>
    </row>
    <row r="4227" spans="1:5" x14ac:dyDescent="0.25">
      <c r="A4227" s="4" t="s">
        <v>53</v>
      </c>
      <c r="B4227" s="4" t="s">
        <v>44</v>
      </c>
      <c r="C4227" s="5">
        <v>45330</v>
      </c>
      <c r="D4227" s="4">
        <v>17.3</v>
      </c>
      <c r="E4227" s="4">
        <v>6.03</v>
      </c>
    </row>
    <row r="4228" spans="1:5" x14ac:dyDescent="0.25">
      <c r="A4228" s="4" t="s">
        <v>53</v>
      </c>
      <c r="B4228" s="4" t="s">
        <v>44</v>
      </c>
      <c r="C4228" s="5">
        <v>45330</v>
      </c>
      <c r="D4228" s="4">
        <v>17.3</v>
      </c>
      <c r="E4228" s="4">
        <v>6.03</v>
      </c>
    </row>
    <row r="4229" spans="1:5" x14ac:dyDescent="0.25">
      <c r="A4229" s="4" t="s">
        <v>53</v>
      </c>
      <c r="B4229" s="4" t="s">
        <v>44</v>
      </c>
      <c r="C4229" s="5">
        <v>45330</v>
      </c>
      <c r="D4229" s="4">
        <v>67.5</v>
      </c>
      <c r="E4229" s="4">
        <v>23.48</v>
      </c>
    </row>
    <row r="4230" spans="1:5" x14ac:dyDescent="0.25">
      <c r="A4230" s="4" t="s">
        <v>53</v>
      </c>
      <c r="B4230" s="4" t="s">
        <v>44</v>
      </c>
      <c r="C4230" s="5">
        <v>45330</v>
      </c>
      <c r="D4230" s="4">
        <v>29.9</v>
      </c>
      <c r="E4230" s="4">
        <v>10.36</v>
      </c>
    </row>
    <row r="4231" spans="1:5" x14ac:dyDescent="0.25">
      <c r="A4231" s="4" t="s">
        <v>53</v>
      </c>
      <c r="B4231" s="4" t="s">
        <v>44</v>
      </c>
      <c r="C4231" s="5">
        <v>45331</v>
      </c>
      <c r="D4231" s="4">
        <v>41.3</v>
      </c>
      <c r="E4231" s="4">
        <v>14.36</v>
      </c>
    </row>
    <row r="4232" spans="1:5" x14ac:dyDescent="0.25">
      <c r="A4232" s="4" t="s">
        <v>53</v>
      </c>
      <c r="B4232" s="4" t="s">
        <v>44</v>
      </c>
      <c r="C4232" s="5">
        <v>45331</v>
      </c>
      <c r="D4232" s="4">
        <v>17.3</v>
      </c>
      <c r="E4232" s="4">
        <v>6.03</v>
      </c>
    </row>
    <row r="4233" spans="1:5" x14ac:dyDescent="0.25">
      <c r="A4233" s="4" t="s">
        <v>53</v>
      </c>
      <c r="B4233" s="4" t="s">
        <v>44</v>
      </c>
      <c r="C4233" s="5">
        <v>45331</v>
      </c>
      <c r="D4233" s="4">
        <v>17.3</v>
      </c>
      <c r="E4233" s="4">
        <v>6.03</v>
      </c>
    </row>
    <row r="4234" spans="1:5" x14ac:dyDescent="0.25">
      <c r="A4234" s="4" t="s">
        <v>53</v>
      </c>
      <c r="B4234" s="4" t="s">
        <v>44</v>
      </c>
      <c r="C4234" s="5">
        <v>45331</v>
      </c>
      <c r="D4234" s="4">
        <v>67.5</v>
      </c>
      <c r="E4234" s="4">
        <v>23.48</v>
      </c>
    </row>
    <row r="4235" spans="1:5" x14ac:dyDescent="0.25">
      <c r="A4235" s="4" t="s">
        <v>53</v>
      </c>
      <c r="B4235" s="4" t="s">
        <v>44</v>
      </c>
      <c r="C4235" s="5">
        <v>45331</v>
      </c>
      <c r="D4235" s="4">
        <v>85.7</v>
      </c>
      <c r="E4235" s="4">
        <v>29.82</v>
      </c>
    </row>
    <row r="4236" spans="1:5" x14ac:dyDescent="0.25">
      <c r="A4236" s="4" t="s">
        <v>53</v>
      </c>
      <c r="B4236" s="4" t="s">
        <v>44</v>
      </c>
      <c r="C4236" s="5">
        <v>45331</v>
      </c>
      <c r="D4236" s="4">
        <v>17.3</v>
      </c>
      <c r="E4236" s="4">
        <v>6.03</v>
      </c>
    </row>
    <row r="4237" spans="1:5" x14ac:dyDescent="0.25">
      <c r="A4237" s="4" t="s">
        <v>53</v>
      </c>
      <c r="B4237" s="4" t="s">
        <v>44</v>
      </c>
      <c r="C4237" s="5">
        <v>45331</v>
      </c>
      <c r="D4237" s="4">
        <v>17.3</v>
      </c>
      <c r="E4237" s="4">
        <v>6.03</v>
      </c>
    </row>
    <row r="4238" spans="1:5" x14ac:dyDescent="0.25">
      <c r="A4238" s="4" t="s">
        <v>53</v>
      </c>
      <c r="B4238" s="4" t="s">
        <v>44</v>
      </c>
      <c r="C4238" s="5">
        <v>45331</v>
      </c>
      <c r="D4238" s="4">
        <v>67.5</v>
      </c>
      <c r="E4238" s="4">
        <v>23.48</v>
      </c>
    </row>
    <row r="4239" spans="1:5" x14ac:dyDescent="0.25">
      <c r="A4239" s="4" t="s">
        <v>53</v>
      </c>
      <c r="B4239" s="4" t="s">
        <v>44</v>
      </c>
      <c r="C4239" s="5">
        <v>45331</v>
      </c>
      <c r="D4239" s="4">
        <v>29.9</v>
      </c>
      <c r="E4239" s="4">
        <v>10.36</v>
      </c>
    </row>
    <row r="4240" spans="1:5" x14ac:dyDescent="0.25">
      <c r="A4240" s="4" t="s">
        <v>53</v>
      </c>
      <c r="B4240" s="4" t="s">
        <v>44</v>
      </c>
      <c r="C4240" s="5">
        <v>45334</v>
      </c>
      <c r="D4240" s="4">
        <v>41.3</v>
      </c>
      <c r="E4240" s="4">
        <v>14.36</v>
      </c>
    </row>
    <row r="4241" spans="1:5" x14ac:dyDescent="0.25">
      <c r="A4241" s="4" t="s">
        <v>53</v>
      </c>
      <c r="B4241" s="4" t="s">
        <v>44</v>
      </c>
      <c r="C4241" s="5">
        <v>45334</v>
      </c>
      <c r="D4241" s="4">
        <v>17.3</v>
      </c>
      <c r="E4241" s="4">
        <v>6.03</v>
      </c>
    </row>
    <row r="4242" spans="1:5" x14ac:dyDescent="0.25">
      <c r="A4242" s="4" t="s">
        <v>53</v>
      </c>
      <c r="B4242" s="4" t="s">
        <v>44</v>
      </c>
      <c r="C4242" s="5">
        <v>45334</v>
      </c>
      <c r="D4242" s="4">
        <v>17.3</v>
      </c>
      <c r="E4242" s="4">
        <v>6.03</v>
      </c>
    </row>
    <row r="4243" spans="1:5" x14ac:dyDescent="0.25">
      <c r="A4243" s="4" t="s">
        <v>53</v>
      </c>
      <c r="B4243" s="4" t="s">
        <v>44</v>
      </c>
      <c r="C4243" s="5">
        <v>45334</v>
      </c>
      <c r="D4243" s="4">
        <v>67.5</v>
      </c>
      <c r="E4243" s="4">
        <v>23.48</v>
      </c>
    </row>
    <row r="4244" spans="1:5" x14ac:dyDescent="0.25">
      <c r="A4244" s="4" t="s">
        <v>53</v>
      </c>
      <c r="B4244" s="4" t="s">
        <v>44</v>
      </c>
      <c r="C4244" s="5">
        <v>45334</v>
      </c>
      <c r="D4244" s="4">
        <v>71.2</v>
      </c>
      <c r="E4244" s="4">
        <v>24.72</v>
      </c>
    </row>
    <row r="4245" spans="1:5" x14ac:dyDescent="0.25">
      <c r="A4245" s="4" t="s">
        <v>53</v>
      </c>
      <c r="B4245" s="4" t="s">
        <v>44</v>
      </c>
      <c r="C4245" s="5">
        <v>45334</v>
      </c>
      <c r="D4245" s="4">
        <v>17.3</v>
      </c>
      <c r="E4245" s="4">
        <v>6.03</v>
      </c>
    </row>
    <row r="4246" spans="1:5" x14ac:dyDescent="0.25">
      <c r="A4246" s="4" t="s">
        <v>53</v>
      </c>
      <c r="B4246" s="4" t="s">
        <v>44</v>
      </c>
      <c r="C4246" s="5">
        <v>45334</v>
      </c>
      <c r="D4246" s="4">
        <v>17.3</v>
      </c>
      <c r="E4246" s="4">
        <v>6.03</v>
      </c>
    </row>
    <row r="4247" spans="1:5" x14ac:dyDescent="0.25">
      <c r="A4247" s="4" t="s">
        <v>53</v>
      </c>
      <c r="B4247" s="4" t="s">
        <v>44</v>
      </c>
      <c r="C4247" s="5">
        <v>45334</v>
      </c>
      <c r="D4247" s="4">
        <v>67.5</v>
      </c>
      <c r="E4247" s="4">
        <v>23.48</v>
      </c>
    </row>
    <row r="4248" spans="1:5" x14ac:dyDescent="0.25">
      <c r="A4248" s="4" t="s">
        <v>53</v>
      </c>
      <c r="B4248" s="4" t="s">
        <v>44</v>
      </c>
      <c r="C4248" s="5">
        <v>45334</v>
      </c>
      <c r="D4248" s="4">
        <v>29.9</v>
      </c>
      <c r="E4248" s="4">
        <v>10.36</v>
      </c>
    </row>
    <row r="4249" spans="1:5" x14ac:dyDescent="0.25">
      <c r="A4249" s="4" t="s">
        <v>53</v>
      </c>
      <c r="B4249" s="4" t="s">
        <v>44</v>
      </c>
      <c r="C4249" s="5">
        <v>45335</v>
      </c>
      <c r="D4249" s="4">
        <v>1.2</v>
      </c>
      <c r="E4249" s="4">
        <v>0.41</v>
      </c>
    </row>
    <row r="4250" spans="1:5" x14ac:dyDescent="0.25">
      <c r="A4250" s="4" t="s">
        <v>53</v>
      </c>
      <c r="B4250" s="4" t="s">
        <v>44</v>
      </c>
      <c r="C4250" s="5">
        <v>45335</v>
      </c>
      <c r="D4250" s="4">
        <v>42.4</v>
      </c>
      <c r="E4250" s="4">
        <v>14.76</v>
      </c>
    </row>
    <row r="4251" spans="1:5" x14ac:dyDescent="0.25">
      <c r="A4251" s="4" t="s">
        <v>53</v>
      </c>
      <c r="B4251" s="4" t="s">
        <v>44</v>
      </c>
      <c r="C4251" s="5">
        <v>45335</v>
      </c>
      <c r="D4251" s="4">
        <v>43.8</v>
      </c>
      <c r="E4251" s="4">
        <v>15.23</v>
      </c>
    </row>
    <row r="4252" spans="1:5" x14ac:dyDescent="0.25">
      <c r="A4252" s="4" t="s">
        <v>53</v>
      </c>
      <c r="B4252" s="4" t="s">
        <v>44</v>
      </c>
      <c r="C4252" s="5">
        <v>45335</v>
      </c>
      <c r="D4252" s="4">
        <v>43.8</v>
      </c>
      <c r="E4252" s="4">
        <v>15.23</v>
      </c>
    </row>
    <row r="4253" spans="1:5" x14ac:dyDescent="0.25">
      <c r="A4253" s="4" t="s">
        <v>53</v>
      </c>
      <c r="B4253" s="4" t="s">
        <v>44</v>
      </c>
      <c r="C4253" s="5">
        <v>45335</v>
      </c>
      <c r="D4253" s="4">
        <v>43.8</v>
      </c>
      <c r="E4253" s="4">
        <v>15.23</v>
      </c>
    </row>
    <row r="4254" spans="1:5" x14ac:dyDescent="0.25">
      <c r="A4254" s="4" t="s">
        <v>53</v>
      </c>
      <c r="B4254" s="4" t="s">
        <v>44</v>
      </c>
      <c r="C4254" s="5">
        <v>45335</v>
      </c>
      <c r="D4254" s="4">
        <v>43.8</v>
      </c>
      <c r="E4254" s="4">
        <v>15.23</v>
      </c>
    </row>
    <row r="4255" spans="1:5" x14ac:dyDescent="0.25">
      <c r="A4255" s="4" t="s">
        <v>53</v>
      </c>
      <c r="B4255" s="4" t="s">
        <v>44</v>
      </c>
      <c r="C4255" s="5">
        <v>45335</v>
      </c>
      <c r="D4255" s="4">
        <v>43.8</v>
      </c>
      <c r="E4255" s="4">
        <v>15.23</v>
      </c>
    </row>
    <row r="4256" spans="1:5" x14ac:dyDescent="0.25">
      <c r="A4256" s="4" t="s">
        <v>53</v>
      </c>
      <c r="B4256" s="4" t="s">
        <v>44</v>
      </c>
      <c r="C4256" s="5">
        <v>45335</v>
      </c>
      <c r="D4256" s="4">
        <v>43.8</v>
      </c>
      <c r="E4256" s="4">
        <v>15.23</v>
      </c>
    </row>
    <row r="4257" spans="1:5" x14ac:dyDescent="0.25">
      <c r="A4257" s="4" t="s">
        <v>53</v>
      </c>
      <c r="B4257" s="4" t="s">
        <v>44</v>
      </c>
      <c r="C4257" s="5">
        <v>45335</v>
      </c>
      <c r="D4257" s="4">
        <v>39.5</v>
      </c>
      <c r="E4257" s="4">
        <v>13.76</v>
      </c>
    </row>
    <row r="4258" spans="1:5" x14ac:dyDescent="0.25">
      <c r="A4258" s="4" t="s">
        <v>53</v>
      </c>
      <c r="B4258" s="4" t="s">
        <v>44</v>
      </c>
      <c r="C4258" s="5">
        <v>45336</v>
      </c>
      <c r="D4258" s="4">
        <v>1.2</v>
      </c>
      <c r="E4258" s="4">
        <v>0.41</v>
      </c>
    </row>
    <row r="4259" spans="1:5" x14ac:dyDescent="0.25">
      <c r="A4259" s="4" t="s">
        <v>53</v>
      </c>
      <c r="B4259" s="4" t="s">
        <v>44</v>
      </c>
      <c r="C4259" s="5">
        <v>45336</v>
      </c>
      <c r="D4259" s="4">
        <v>43.8</v>
      </c>
      <c r="E4259" s="4">
        <v>15.23</v>
      </c>
    </row>
    <row r="4260" spans="1:5" x14ac:dyDescent="0.25">
      <c r="A4260" s="4" t="s">
        <v>53</v>
      </c>
      <c r="B4260" s="4" t="s">
        <v>44</v>
      </c>
      <c r="C4260" s="5">
        <v>45336</v>
      </c>
      <c r="D4260" s="4">
        <v>43.8</v>
      </c>
      <c r="E4260" s="4">
        <v>15.23</v>
      </c>
    </row>
    <row r="4261" spans="1:5" x14ac:dyDescent="0.25">
      <c r="A4261" s="4" t="s">
        <v>53</v>
      </c>
      <c r="B4261" s="4" t="s">
        <v>44</v>
      </c>
      <c r="C4261" s="5">
        <v>45336</v>
      </c>
      <c r="D4261" s="4">
        <v>42.4</v>
      </c>
      <c r="E4261" s="4">
        <v>14.76</v>
      </c>
    </row>
    <row r="4262" spans="1:5" x14ac:dyDescent="0.25">
      <c r="A4262" s="4" t="s">
        <v>53</v>
      </c>
      <c r="B4262" s="4" t="s">
        <v>44</v>
      </c>
      <c r="C4262" s="5">
        <v>45336</v>
      </c>
      <c r="D4262" s="4">
        <v>43.8</v>
      </c>
      <c r="E4262" s="4">
        <v>15.23</v>
      </c>
    </row>
    <row r="4263" spans="1:5" x14ac:dyDescent="0.25">
      <c r="A4263" s="4" t="s">
        <v>53</v>
      </c>
      <c r="B4263" s="4" t="s">
        <v>44</v>
      </c>
      <c r="C4263" s="5">
        <v>45336</v>
      </c>
      <c r="D4263" s="4">
        <v>42.4</v>
      </c>
      <c r="E4263" s="4">
        <v>14.76</v>
      </c>
    </row>
    <row r="4264" spans="1:5" x14ac:dyDescent="0.25">
      <c r="A4264" s="4" t="s">
        <v>53</v>
      </c>
      <c r="B4264" s="4" t="s">
        <v>44</v>
      </c>
      <c r="C4264" s="5">
        <v>45336</v>
      </c>
      <c r="D4264" s="4">
        <v>43.8</v>
      </c>
      <c r="E4264" s="4">
        <v>15.23</v>
      </c>
    </row>
    <row r="4265" spans="1:5" x14ac:dyDescent="0.25">
      <c r="A4265" s="4" t="s">
        <v>53</v>
      </c>
      <c r="B4265" s="4" t="s">
        <v>44</v>
      </c>
      <c r="C4265" s="5">
        <v>45336</v>
      </c>
      <c r="D4265" s="4">
        <v>43.8</v>
      </c>
      <c r="E4265" s="4">
        <v>15.23</v>
      </c>
    </row>
    <row r="4266" spans="1:5" x14ac:dyDescent="0.25">
      <c r="A4266" s="4" t="s">
        <v>53</v>
      </c>
      <c r="B4266" s="4" t="s">
        <v>44</v>
      </c>
      <c r="C4266" s="5">
        <v>45336</v>
      </c>
      <c r="D4266" s="4">
        <v>39.5</v>
      </c>
      <c r="E4266" s="4">
        <v>13.76</v>
      </c>
    </row>
    <row r="4267" spans="1:5" x14ac:dyDescent="0.25">
      <c r="A4267" s="4" t="s">
        <v>53</v>
      </c>
      <c r="B4267" s="4" t="s">
        <v>44</v>
      </c>
      <c r="C4267" s="5">
        <v>45337</v>
      </c>
      <c r="D4267" s="4">
        <v>1.2</v>
      </c>
      <c r="E4267" s="4">
        <v>0.41</v>
      </c>
    </row>
    <row r="4268" spans="1:5" x14ac:dyDescent="0.25">
      <c r="A4268" s="4" t="s">
        <v>53</v>
      </c>
      <c r="B4268" s="4" t="s">
        <v>44</v>
      </c>
      <c r="C4268" s="5">
        <v>45337</v>
      </c>
      <c r="D4268" s="4">
        <v>43.8</v>
      </c>
      <c r="E4268" s="4">
        <v>15.23</v>
      </c>
    </row>
    <row r="4269" spans="1:5" x14ac:dyDescent="0.25">
      <c r="A4269" s="4" t="s">
        <v>53</v>
      </c>
      <c r="B4269" s="4" t="s">
        <v>44</v>
      </c>
      <c r="C4269" s="5">
        <v>45337</v>
      </c>
      <c r="D4269" s="4">
        <v>39.5</v>
      </c>
      <c r="E4269" s="4">
        <v>13.76</v>
      </c>
    </row>
    <row r="4270" spans="1:5" x14ac:dyDescent="0.25">
      <c r="A4270" s="4" t="s">
        <v>53</v>
      </c>
      <c r="B4270" s="4" t="s">
        <v>44</v>
      </c>
      <c r="C4270" s="5">
        <v>45337</v>
      </c>
      <c r="D4270" s="4">
        <v>1.2</v>
      </c>
      <c r="E4270" s="4">
        <v>0.41</v>
      </c>
    </row>
    <row r="4271" spans="1:5" x14ac:dyDescent="0.25">
      <c r="A4271" s="4" t="s">
        <v>53</v>
      </c>
      <c r="B4271" s="4" t="s">
        <v>44</v>
      </c>
      <c r="C4271" s="5">
        <v>45337</v>
      </c>
      <c r="D4271" s="4">
        <v>42.4</v>
      </c>
      <c r="E4271" s="4">
        <v>14.76</v>
      </c>
    </row>
    <row r="4272" spans="1:5" x14ac:dyDescent="0.25">
      <c r="A4272" s="4" t="s">
        <v>53</v>
      </c>
      <c r="B4272" s="4" t="s">
        <v>44</v>
      </c>
      <c r="C4272" s="5">
        <v>45337</v>
      </c>
      <c r="D4272" s="4">
        <v>43.8</v>
      </c>
      <c r="E4272" s="4">
        <v>15.23</v>
      </c>
    </row>
    <row r="4273" spans="1:5" x14ac:dyDescent="0.25">
      <c r="A4273" s="4" t="s">
        <v>53</v>
      </c>
      <c r="B4273" s="4" t="s">
        <v>44</v>
      </c>
      <c r="C4273" s="5">
        <v>45337</v>
      </c>
      <c r="D4273" s="4">
        <v>13.8</v>
      </c>
      <c r="E4273" s="4">
        <v>4.78</v>
      </c>
    </row>
    <row r="4274" spans="1:5" x14ac:dyDescent="0.25">
      <c r="A4274" s="4" t="s">
        <v>53</v>
      </c>
      <c r="B4274" s="4" t="s">
        <v>44</v>
      </c>
      <c r="C4274" s="5">
        <v>45337</v>
      </c>
      <c r="D4274" s="4">
        <v>13</v>
      </c>
      <c r="E4274" s="4">
        <v>4.5</v>
      </c>
    </row>
    <row r="4275" spans="1:5" x14ac:dyDescent="0.25">
      <c r="A4275" s="4" t="s">
        <v>53</v>
      </c>
      <c r="B4275" s="4" t="s">
        <v>44</v>
      </c>
      <c r="C4275" s="5">
        <v>45337</v>
      </c>
      <c r="D4275" s="4">
        <v>13.8</v>
      </c>
      <c r="E4275" s="4">
        <v>4.78</v>
      </c>
    </row>
    <row r="4276" spans="1:5" x14ac:dyDescent="0.25">
      <c r="A4276" s="4" t="s">
        <v>53</v>
      </c>
      <c r="B4276" s="4" t="s">
        <v>44</v>
      </c>
      <c r="C4276" s="5">
        <v>45337</v>
      </c>
      <c r="D4276" s="4">
        <v>13</v>
      </c>
      <c r="E4276" s="4">
        <v>4.5</v>
      </c>
    </row>
    <row r="4277" spans="1:5" x14ac:dyDescent="0.25">
      <c r="A4277" s="4" t="s">
        <v>53</v>
      </c>
      <c r="B4277" s="4" t="s">
        <v>44</v>
      </c>
      <c r="C4277" s="5">
        <v>45337</v>
      </c>
      <c r="D4277" s="4">
        <v>12.4</v>
      </c>
      <c r="E4277" s="4">
        <v>4.3099999999999996</v>
      </c>
    </row>
    <row r="4278" spans="1:5" x14ac:dyDescent="0.25">
      <c r="A4278" s="4" t="s">
        <v>53</v>
      </c>
      <c r="B4278" s="4" t="s">
        <v>44</v>
      </c>
      <c r="C4278" s="5">
        <v>45337</v>
      </c>
      <c r="D4278" s="4">
        <v>8.6999999999999993</v>
      </c>
      <c r="E4278" s="4">
        <v>3.03</v>
      </c>
    </row>
    <row r="4279" spans="1:5" x14ac:dyDescent="0.25">
      <c r="A4279" s="4" t="s">
        <v>53</v>
      </c>
      <c r="B4279" s="4" t="s">
        <v>31</v>
      </c>
      <c r="C4279" s="5">
        <v>45307</v>
      </c>
      <c r="D4279" s="4">
        <v>15.4</v>
      </c>
      <c r="E4279" s="4">
        <v>5.35</v>
      </c>
    </row>
    <row r="4280" spans="1:5" x14ac:dyDescent="0.25">
      <c r="A4280" s="4" t="s">
        <v>53</v>
      </c>
      <c r="B4280" s="4" t="s">
        <v>31</v>
      </c>
      <c r="C4280" s="5">
        <v>45307</v>
      </c>
      <c r="D4280" s="4">
        <v>30.2</v>
      </c>
      <c r="E4280" s="4">
        <v>10.49</v>
      </c>
    </row>
    <row r="4281" spans="1:5" x14ac:dyDescent="0.25">
      <c r="A4281" s="4" t="s">
        <v>53</v>
      </c>
      <c r="B4281" s="4" t="s">
        <v>31</v>
      </c>
      <c r="C4281" s="5">
        <v>45307</v>
      </c>
      <c r="D4281" s="4">
        <v>30.2</v>
      </c>
      <c r="E4281" s="4">
        <v>10.49</v>
      </c>
    </row>
    <row r="4282" spans="1:5" x14ac:dyDescent="0.25">
      <c r="A4282" s="4" t="s">
        <v>53</v>
      </c>
      <c r="B4282" s="4" t="s">
        <v>31</v>
      </c>
      <c r="C4282" s="5">
        <v>45307</v>
      </c>
      <c r="D4282" s="4">
        <v>30.2</v>
      </c>
      <c r="E4282" s="4">
        <v>10.49</v>
      </c>
    </row>
    <row r="4283" spans="1:5" x14ac:dyDescent="0.25">
      <c r="A4283" s="4" t="s">
        <v>53</v>
      </c>
      <c r="B4283" s="4" t="s">
        <v>31</v>
      </c>
      <c r="C4283" s="5">
        <v>45307</v>
      </c>
      <c r="D4283" s="4">
        <v>30.2</v>
      </c>
      <c r="E4283" s="4">
        <v>10.49</v>
      </c>
    </row>
    <row r="4284" spans="1:5" x14ac:dyDescent="0.25">
      <c r="A4284" s="4" t="s">
        <v>53</v>
      </c>
      <c r="B4284" s="4" t="s">
        <v>31</v>
      </c>
      <c r="C4284" s="5">
        <v>45307</v>
      </c>
      <c r="D4284" s="4">
        <v>30.2</v>
      </c>
      <c r="E4284" s="4">
        <v>10.49</v>
      </c>
    </row>
    <row r="4285" spans="1:5" x14ac:dyDescent="0.25">
      <c r="A4285" s="4" t="s">
        <v>53</v>
      </c>
      <c r="B4285" s="4" t="s">
        <v>31</v>
      </c>
      <c r="C4285" s="5">
        <v>45307</v>
      </c>
      <c r="D4285" s="4">
        <v>31.3</v>
      </c>
      <c r="E4285" s="4">
        <v>10.86</v>
      </c>
    </row>
    <row r="4286" spans="1:5" x14ac:dyDescent="0.25">
      <c r="A4286" s="4" t="s">
        <v>53</v>
      </c>
      <c r="B4286" s="4" t="s">
        <v>31</v>
      </c>
      <c r="C4286" s="5">
        <v>45307</v>
      </c>
      <c r="D4286" s="4">
        <v>30.2</v>
      </c>
      <c r="E4286" s="4">
        <v>10.49</v>
      </c>
    </row>
    <row r="4287" spans="1:5" x14ac:dyDescent="0.25">
      <c r="A4287" s="4" t="s">
        <v>53</v>
      </c>
      <c r="B4287" s="4" t="s">
        <v>31</v>
      </c>
      <c r="C4287" s="5">
        <v>45307</v>
      </c>
      <c r="D4287" s="4">
        <v>30.2</v>
      </c>
      <c r="E4287" s="4">
        <v>10.49</v>
      </c>
    </row>
    <row r="4288" spans="1:5" x14ac:dyDescent="0.25">
      <c r="A4288" s="4" t="s">
        <v>53</v>
      </c>
      <c r="B4288" s="4" t="s">
        <v>31</v>
      </c>
      <c r="C4288" s="5">
        <v>45307</v>
      </c>
      <c r="D4288" s="4">
        <v>30.2</v>
      </c>
      <c r="E4288" s="4">
        <v>10.49</v>
      </c>
    </row>
    <row r="4289" spans="1:5" x14ac:dyDescent="0.25">
      <c r="A4289" s="4" t="s">
        <v>53</v>
      </c>
      <c r="B4289" s="4" t="s">
        <v>31</v>
      </c>
      <c r="C4289" s="5">
        <v>45307</v>
      </c>
      <c r="D4289" s="4">
        <v>1.2</v>
      </c>
      <c r="E4289" s="4">
        <v>0.41</v>
      </c>
    </row>
    <row r="4290" spans="1:5" x14ac:dyDescent="0.25">
      <c r="A4290" s="4" t="s">
        <v>53</v>
      </c>
      <c r="B4290" s="4" t="s">
        <v>31</v>
      </c>
      <c r="C4290" s="5">
        <v>45308</v>
      </c>
      <c r="D4290" s="4">
        <v>15.4</v>
      </c>
      <c r="E4290" s="4">
        <v>5.35</v>
      </c>
    </row>
    <row r="4291" spans="1:5" x14ac:dyDescent="0.25">
      <c r="A4291" s="4" t="s">
        <v>53</v>
      </c>
      <c r="B4291" s="4" t="s">
        <v>31</v>
      </c>
      <c r="C4291" s="5">
        <v>45308</v>
      </c>
      <c r="D4291" s="4">
        <v>30.2</v>
      </c>
      <c r="E4291" s="4">
        <v>10.49</v>
      </c>
    </row>
    <row r="4292" spans="1:5" x14ac:dyDescent="0.25">
      <c r="A4292" s="4" t="s">
        <v>53</v>
      </c>
      <c r="B4292" s="4" t="s">
        <v>31</v>
      </c>
      <c r="C4292" s="5">
        <v>45308</v>
      </c>
      <c r="D4292" s="4">
        <v>31.3</v>
      </c>
      <c r="E4292" s="4">
        <v>10.86</v>
      </c>
    </row>
    <row r="4293" spans="1:5" x14ac:dyDescent="0.25">
      <c r="A4293" s="4" t="s">
        <v>53</v>
      </c>
      <c r="B4293" s="4" t="s">
        <v>31</v>
      </c>
      <c r="C4293" s="5">
        <v>45308</v>
      </c>
      <c r="D4293" s="4">
        <v>30.2</v>
      </c>
      <c r="E4293" s="4">
        <v>10.49</v>
      </c>
    </row>
    <row r="4294" spans="1:5" x14ac:dyDescent="0.25">
      <c r="A4294" s="4" t="s">
        <v>53</v>
      </c>
      <c r="B4294" s="4" t="s">
        <v>31</v>
      </c>
      <c r="C4294" s="5">
        <v>45308</v>
      </c>
      <c r="D4294" s="4">
        <v>29.4</v>
      </c>
      <c r="E4294" s="4">
        <v>10.220000000000001</v>
      </c>
    </row>
    <row r="4295" spans="1:5" x14ac:dyDescent="0.25">
      <c r="A4295" s="4" t="s">
        <v>53</v>
      </c>
      <c r="B4295" s="4" t="s">
        <v>31</v>
      </c>
      <c r="C4295" s="5">
        <v>45308</v>
      </c>
      <c r="D4295" s="4">
        <v>46.2</v>
      </c>
      <c r="E4295" s="4">
        <v>16.059999999999999</v>
      </c>
    </row>
    <row r="4296" spans="1:5" x14ac:dyDescent="0.25">
      <c r="A4296" s="4" t="s">
        <v>53</v>
      </c>
      <c r="B4296" s="4" t="s">
        <v>31</v>
      </c>
      <c r="C4296" s="5">
        <v>45308</v>
      </c>
      <c r="D4296" s="4">
        <v>29.4</v>
      </c>
      <c r="E4296" s="4">
        <v>10.220000000000001</v>
      </c>
    </row>
    <row r="4297" spans="1:5" x14ac:dyDescent="0.25">
      <c r="A4297" s="4" t="s">
        <v>53</v>
      </c>
      <c r="B4297" s="4" t="s">
        <v>31</v>
      </c>
      <c r="C4297" s="5">
        <v>45308</v>
      </c>
      <c r="D4297" s="4">
        <v>46.2</v>
      </c>
      <c r="E4297" s="4">
        <v>16.059999999999999</v>
      </c>
    </row>
    <row r="4298" spans="1:5" x14ac:dyDescent="0.25">
      <c r="A4298" s="4" t="s">
        <v>53</v>
      </c>
      <c r="B4298" s="4" t="s">
        <v>31</v>
      </c>
      <c r="C4298" s="5">
        <v>45308</v>
      </c>
      <c r="D4298" s="4">
        <v>29.4</v>
      </c>
      <c r="E4298" s="4">
        <v>10.220000000000001</v>
      </c>
    </row>
    <row r="4299" spans="1:5" x14ac:dyDescent="0.25">
      <c r="A4299" s="4" t="s">
        <v>53</v>
      </c>
      <c r="B4299" s="4" t="s">
        <v>31</v>
      </c>
      <c r="C4299" s="5">
        <v>45308</v>
      </c>
      <c r="D4299" s="4">
        <v>43</v>
      </c>
      <c r="E4299" s="4">
        <v>14.96</v>
      </c>
    </row>
    <row r="4300" spans="1:5" x14ac:dyDescent="0.25">
      <c r="A4300" s="4" t="s">
        <v>53</v>
      </c>
      <c r="B4300" s="4" t="s">
        <v>31</v>
      </c>
      <c r="C4300" s="5">
        <v>45309</v>
      </c>
      <c r="D4300" s="4">
        <v>15.4</v>
      </c>
      <c r="E4300" s="4">
        <v>5.35</v>
      </c>
    </row>
    <row r="4301" spans="1:5" x14ac:dyDescent="0.25">
      <c r="A4301" s="4" t="s">
        <v>53</v>
      </c>
      <c r="B4301" s="4" t="s">
        <v>31</v>
      </c>
      <c r="C4301" s="5">
        <v>45309</v>
      </c>
      <c r="D4301" s="4">
        <v>30.2</v>
      </c>
      <c r="E4301" s="4">
        <v>10.49</v>
      </c>
    </row>
    <row r="4302" spans="1:5" x14ac:dyDescent="0.25">
      <c r="A4302" s="4" t="s">
        <v>53</v>
      </c>
      <c r="B4302" s="4" t="s">
        <v>31</v>
      </c>
      <c r="C4302" s="5">
        <v>45309</v>
      </c>
      <c r="D4302" s="4">
        <v>30.2</v>
      </c>
      <c r="E4302" s="4">
        <v>10.49</v>
      </c>
    </row>
    <row r="4303" spans="1:5" x14ac:dyDescent="0.25">
      <c r="A4303" s="4" t="s">
        <v>53</v>
      </c>
      <c r="B4303" s="4" t="s">
        <v>31</v>
      </c>
      <c r="C4303" s="5">
        <v>45309</v>
      </c>
      <c r="D4303" s="4">
        <v>30.2</v>
      </c>
      <c r="E4303" s="4">
        <v>10.49</v>
      </c>
    </row>
    <row r="4304" spans="1:5" x14ac:dyDescent="0.25">
      <c r="A4304" s="4" t="s">
        <v>53</v>
      </c>
      <c r="B4304" s="4" t="s">
        <v>31</v>
      </c>
      <c r="C4304" s="5">
        <v>45309</v>
      </c>
      <c r="D4304" s="4">
        <v>30.2</v>
      </c>
      <c r="E4304" s="4">
        <v>10.49</v>
      </c>
    </row>
    <row r="4305" spans="1:5" x14ac:dyDescent="0.25">
      <c r="A4305" s="4" t="s">
        <v>53</v>
      </c>
      <c r="B4305" s="4" t="s">
        <v>31</v>
      </c>
      <c r="C4305" s="5">
        <v>45309</v>
      </c>
      <c r="D4305" s="4">
        <v>30.1</v>
      </c>
      <c r="E4305" s="4">
        <v>10.46</v>
      </c>
    </row>
    <row r="4306" spans="1:5" x14ac:dyDescent="0.25">
      <c r="A4306" s="4" t="s">
        <v>53</v>
      </c>
      <c r="B4306" s="4" t="s">
        <v>31</v>
      </c>
      <c r="C4306" s="5">
        <v>45309</v>
      </c>
      <c r="D4306" s="4">
        <v>30.2</v>
      </c>
      <c r="E4306" s="4">
        <v>10.49</v>
      </c>
    </row>
    <row r="4307" spans="1:5" x14ac:dyDescent="0.25">
      <c r="A4307" s="4" t="s">
        <v>53</v>
      </c>
      <c r="B4307" s="4" t="s">
        <v>31</v>
      </c>
      <c r="C4307" s="5">
        <v>45309</v>
      </c>
      <c r="D4307" s="4">
        <v>30.2</v>
      </c>
      <c r="E4307" s="4">
        <v>10.49</v>
      </c>
    </row>
    <row r="4308" spans="1:5" x14ac:dyDescent="0.25">
      <c r="A4308" s="4" t="s">
        <v>53</v>
      </c>
      <c r="B4308" s="4" t="s">
        <v>31</v>
      </c>
      <c r="C4308" s="5">
        <v>45309</v>
      </c>
      <c r="D4308" s="4">
        <v>29.4</v>
      </c>
      <c r="E4308" s="4">
        <v>10.220000000000001</v>
      </c>
    </row>
    <row r="4309" spans="1:5" x14ac:dyDescent="0.25">
      <c r="A4309" s="4" t="s">
        <v>53</v>
      </c>
      <c r="B4309" s="4" t="s">
        <v>31</v>
      </c>
      <c r="C4309" s="5">
        <v>45309</v>
      </c>
      <c r="D4309" s="4">
        <v>43</v>
      </c>
      <c r="E4309" s="4">
        <v>14.96</v>
      </c>
    </row>
    <row r="4310" spans="1:5" x14ac:dyDescent="0.25">
      <c r="A4310" s="4" t="s">
        <v>53</v>
      </c>
      <c r="B4310" s="4" t="s">
        <v>31</v>
      </c>
      <c r="C4310" s="5">
        <v>45310</v>
      </c>
      <c r="D4310" s="4">
        <v>15.4</v>
      </c>
      <c r="E4310" s="4">
        <v>5.35</v>
      </c>
    </row>
    <row r="4311" spans="1:5" x14ac:dyDescent="0.25">
      <c r="A4311" s="4" t="s">
        <v>53</v>
      </c>
      <c r="B4311" s="4" t="s">
        <v>31</v>
      </c>
      <c r="C4311" s="5">
        <v>45310</v>
      </c>
      <c r="D4311" s="4">
        <v>30.2</v>
      </c>
      <c r="E4311" s="4">
        <v>10.49</v>
      </c>
    </row>
    <row r="4312" spans="1:5" x14ac:dyDescent="0.25">
      <c r="A4312" s="4" t="s">
        <v>53</v>
      </c>
      <c r="B4312" s="4" t="s">
        <v>31</v>
      </c>
      <c r="C4312" s="5">
        <v>45310</v>
      </c>
      <c r="D4312" s="4">
        <v>31.3</v>
      </c>
      <c r="E4312" s="4">
        <v>10.86</v>
      </c>
    </row>
    <row r="4313" spans="1:5" x14ac:dyDescent="0.25">
      <c r="A4313" s="4" t="s">
        <v>53</v>
      </c>
      <c r="B4313" s="4" t="s">
        <v>31</v>
      </c>
      <c r="C4313" s="5">
        <v>45310</v>
      </c>
      <c r="D4313" s="4">
        <v>30.2</v>
      </c>
      <c r="E4313" s="4">
        <v>10.49</v>
      </c>
    </row>
    <row r="4314" spans="1:5" x14ac:dyDescent="0.25">
      <c r="A4314" s="4" t="s">
        <v>53</v>
      </c>
      <c r="B4314" s="4" t="s">
        <v>31</v>
      </c>
      <c r="C4314" s="5">
        <v>45310</v>
      </c>
      <c r="D4314" s="4">
        <v>30.2</v>
      </c>
      <c r="E4314" s="4">
        <v>10.49</v>
      </c>
    </row>
    <row r="4315" spans="1:5" x14ac:dyDescent="0.25">
      <c r="A4315" s="4" t="s">
        <v>53</v>
      </c>
      <c r="B4315" s="4" t="s">
        <v>31</v>
      </c>
      <c r="C4315" s="5">
        <v>45310</v>
      </c>
      <c r="D4315" s="4">
        <v>30.2</v>
      </c>
      <c r="E4315" s="4">
        <v>10.49</v>
      </c>
    </row>
    <row r="4316" spans="1:5" x14ac:dyDescent="0.25">
      <c r="A4316" s="4" t="s">
        <v>53</v>
      </c>
      <c r="B4316" s="4" t="s">
        <v>31</v>
      </c>
      <c r="C4316" s="5">
        <v>45310</v>
      </c>
      <c r="D4316" s="4">
        <v>30.2</v>
      </c>
      <c r="E4316" s="4">
        <v>10.49</v>
      </c>
    </row>
    <row r="4317" spans="1:5" x14ac:dyDescent="0.25">
      <c r="A4317" s="4" t="s">
        <v>53</v>
      </c>
      <c r="B4317" s="4" t="s">
        <v>31</v>
      </c>
      <c r="C4317" s="5">
        <v>45310</v>
      </c>
      <c r="D4317" s="4">
        <v>30.2</v>
      </c>
      <c r="E4317" s="4">
        <v>10.49</v>
      </c>
    </row>
    <row r="4318" spans="1:5" x14ac:dyDescent="0.25">
      <c r="A4318" s="4" t="s">
        <v>53</v>
      </c>
      <c r="B4318" s="4" t="s">
        <v>31</v>
      </c>
      <c r="C4318" s="5">
        <v>45310</v>
      </c>
      <c r="D4318" s="4">
        <v>30.2</v>
      </c>
      <c r="E4318" s="4">
        <v>10.49</v>
      </c>
    </row>
    <row r="4319" spans="1:5" x14ac:dyDescent="0.25">
      <c r="A4319" s="4" t="s">
        <v>53</v>
      </c>
      <c r="B4319" s="4" t="s">
        <v>31</v>
      </c>
      <c r="C4319" s="5">
        <v>45310</v>
      </c>
      <c r="D4319" s="4">
        <v>30.2</v>
      </c>
      <c r="E4319" s="4">
        <v>10.49</v>
      </c>
    </row>
    <row r="4320" spans="1:5" x14ac:dyDescent="0.25">
      <c r="A4320" s="4" t="s">
        <v>53</v>
      </c>
      <c r="B4320" s="4" t="s">
        <v>31</v>
      </c>
      <c r="C4320" s="5">
        <v>45310</v>
      </c>
      <c r="D4320" s="4">
        <v>1.2</v>
      </c>
      <c r="E4320" s="4">
        <v>0.41</v>
      </c>
    </row>
    <row r="4321" spans="1:5" x14ac:dyDescent="0.25">
      <c r="A4321" s="4" t="s">
        <v>53</v>
      </c>
      <c r="B4321" s="4" t="s">
        <v>31</v>
      </c>
      <c r="C4321" s="5">
        <v>45313</v>
      </c>
      <c r="D4321" s="4">
        <v>15.4</v>
      </c>
      <c r="E4321" s="4">
        <v>5.35</v>
      </c>
    </row>
    <row r="4322" spans="1:5" x14ac:dyDescent="0.25">
      <c r="A4322" s="4" t="s">
        <v>53</v>
      </c>
      <c r="B4322" s="4" t="s">
        <v>31</v>
      </c>
      <c r="C4322" s="5">
        <v>45313</v>
      </c>
      <c r="D4322" s="4">
        <v>31.3</v>
      </c>
      <c r="E4322" s="4">
        <v>10.86</v>
      </c>
    </row>
    <row r="4323" spans="1:5" x14ac:dyDescent="0.25">
      <c r="A4323" s="4" t="s">
        <v>53</v>
      </c>
      <c r="B4323" s="4" t="s">
        <v>31</v>
      </c>
      <c r="C4323" s="5">
        <v>45313</v>
      </c>
      <c r="D4323" s="4">
        <v>30.2</v>
      </c>
      <c r="E4323" s="4">
        <v>10.49</v>
      </c>
    </row>
    <row r="4324" spans="1:5" x14ac:dyDescent="0.25">
      <c r="A4324" s="4" t="s">
        <v>53</v>
      </c>
      <c r="B4324" s="4" t="s">
        <v>31</v>
      </c>
      <c r="C4324" s="5">
        <v>45313</v>
      </c>
      <c r="D4324" s="4">
        <v>31.3</v>
      </c>
      <c r="E4324" s="4">
        <v>10.86</v>
      </c>
    </row>
    <row r="4325" spans="1:5" x14ac:dyDescent="0.25">
      <c r="A4325" s="4" t="s">
        <v>53</v>
      </c>
      <c r="B4325" s="4" t="s">
        <v>31</v>
      </c>
      <c r="C4325" s="5">
        <v>45313</v>
      </c>
      <c r="D4325" s="4">
        <v>30.2</v>
      </c>
      <c r="E4325" s="4">
        <v>10.49</v>
      </c>
    </row>
    <row r="4326" spans="1:5" x14ac:dyDescent="0.25">
      <c r="A4326" s="4" t="s">
        <v>53</v>
      </c>
      <c r="B4326" s="4" t="s">
        <v>31</v>
      </c>
      <c r="C4326" s="5">
        <v>45313</v>
      </c>
      <c r="D4326" s="4">
        <v>30.2</v>
      </c>
      <c r="E4326" s="4">
        <v>10.49</v>
      </c>
    </row>
    <row r="4327" spans="1:5" x14ac:dyDescent="0.25">
      <c r="A4327" s="4" t="s">
        <v>53</v>
      </c>
      <c r="B4327" s="4" t="s">
        <v>31</v>
      </c>
      <c r="C4327" s="5">
        <v>45313</v>
      </c>
      <c r="D4327" s="4">
        <v>31.3</v>
      </c>
      <c r="E4327" s="4">
        <v>10.86</v>
      </c>
    </row>
    <row r="4328" spans="1:5" x14ac:dyDescent="0.25">
      <c r="A4328" s="4" t="s">
        <v>53</v>
      </c>
      <c r="B4328" s="4" t="s">
        <v>31</v>
      </c>
      <c r="C4328" s="5">
        <v>45313</v>
      </c>
      <c r="D4328" s="4">
        <v>30.2</v>
      </c>
      <c r="E4328" s="4">
        <v>10.49</v>
      </c>
    </row>
    <row r="4329" spans="1:5" x14ac:dyDescent="0.25">
      <c r="A4329" s="4" t="s">
        <v>53</v>
      </c>
      <c r="B4329" s="4" t="s">
        <v>31</v>
      </c>
      <c r="C4329" s="5">
        <v>45313</v>
      </c>
      <c r="D4329" s="4">
        <v>31.3</v>
      </c>
      <c r="E4329" s="4">
        <v>10.86</v>
      </c>
    </row>
    <row r="4330" spans="1:5" x14ac:dyDescent="0.25">
      <c r="A4330" s="4" t="s">
        <v>53</v>
      </c>
      <c r="B4330" s="4" t="s">
        <v>31</v>
      </c>
      <c r="C4330" s="5">
        <v>45313</v>
      </c>
      <c r="D4330" s="4">
        <v>31.3</v>
      </c>
      <c r="E4330" s="4">
        <v>10.86</v>
      </c>
    </row>
    <row r="4331" spans="1:5" x14ac:dyDescent="0.25">
      <c r="A4331" s="4" t="s">
        <v>53</v>
      </c>
      <c r="B4331" s="4" t="s">
        <v>31</v>
      </c>
      <c r="C4331" s="5">
        <v>45313</v>
      </c>
      <c r="D4331" s="4">
        <v>1.2</v>
      </c>
      <c r="E4331" s="4">
        <v>0.41</v>
      </c>
    </row>
    <row r="4332" spans="1:5" x14ac:dyDescent="0.25">
      <c r="A4332" s="4" t="s">
        <v>53</v>
      </c>
      <c r="B4332" s="4" t="s">
        <v>31</v>
      </c>
      <c r="C4332" s="5">
        <v>45314</v>
      </c>
      <c r="D4332" s="4">
        <v>15.4</v>
      </c>
      <c r="E4332" s="4">
        <v>5.35</v>
      </c>
    </row>
    <row r="4333" spans="1:5" x14ac:dyDescent="0.25">
      <c r="A4333" s="4" t="s">
        <v>53</v>
      </c>
      <c r="B4333" s="4" t="s">
        <v>31</v>
      </c>
      <c r="C4333" s="5">
        <v>45314</v>
      </c>
      <c r="D4333" s="4">
        <v>31.3</v>
      </c>
      <c r="E4333" s="4">
        <v>10.86</v>
      </c>
    </row>
    <row r="4334" spans="1:5" x14ac:dyDescent="0.25">
      <c r="A4334" s="4" t="s">
        <v>53</v>
      </c>
      <c r="B4334" s="4" t="s">
        <v>31</v>
      </c>
      <c r="C4334" s="5">
        <v>45314</v>
      </c>
      <c r="D4334" s="4">
        <v>31.3</v>
      </c>
      <c r="E4334" s="4">
        <v>10.86</v>
      </c>
    </row>
    <row r="4335" spans="1:5" x14ac:dyDescent="0.25">
      <c r="A4335" s="4" t="s">
        <v>53</v>
      </c>
      <c r="B4335" s="4" t="s">
        <v>31</v>
      </c>
      <c r="C4335" s="5">
        <v>45314</v>
      </c>
      <c r="D4335" s="4">
        <v>31.3</v>
      </c>
      <c r="E4335" s="4">
        <v>10.86</v>
      </c>
    </row>
    <row r="4336" spans="1:5" x14ac:dyDescent="0.25">
      <c r="A4336" s="4" t="s">
        <v>53</v>
      </c>
      <c r="B4336" s="4" t="s">
        <v>31</v>
      </c>
      <c r="C4336" s="5">
        <v>45314</v>
      </c>
      <c r="D4336" s="4">
        <v>30.2</v>
      </c>
      <c r="E4336" s="4">
        <v>10.49</v>
      </c>
    </row>
    <row r="4337" spans="1:5" x14ac:dyDescent="0.25">
      <c r="A4337" s="4" t="s">
        <v>53</v>
      </c>
      <c r="B4337" s="4" t="s">
        <v>31</v>
      </c>
      <c r="C4337" s="5">
        <v>45314</v>
      </c>
      <c r="D4337" s="4">
        <v>31.3</v>
      </c>
      <c r="E4337" s="4">
        <v>10.86</v>
      </c>
    </row>
    <row r="4338" spans="1:5" x14ac:dyDescent="0.25">
      <c r="A4338" s="4" t="s">
        <v>53</v>
      </c>
      <c r="B4338" s="4" t="s">
        <v>31</v>
      </c>
      <c r="C4338" s="5">
        <v>45314</v>
      </c>
      <c r="D4338" s="4">
        <v>31.3</v>
      </c>
      <c r="E4338" s="4">
        <v>10.86</v>
      </c>
    </row>
    <row r="4339" spans="1:5" x14ac:dyDescent="0.25">
      <c r="A4339" s="4" t="s">
        <v>53</v>
      </c>
      <c r="B4339" s="4" t="s">
        <v>31</v>
      </c>
      <c r="C4339" s="5">
        <v>45314</v>
      </c>
      <c r="D4339" s="4">
        <v>31.3</v>
      </c>
      <c r="E4339" s="4">
        <v>10.86</v>
      </c>
    </row>
    <row r="4340" spans="1:5" x14ac:dyDescent="0.25">
      <c r="A4340" s="4" t="s">
        <v>53</v>
      </c>
      <c r="B4340" s="4" t="s">
        <v>31</v>
      </c>
      <c r="C4340" s="5">
        <v>45314</v>
      </c>
      <c r="D4340" s="4">
        <v>31.3</v>
      </c>
      <c r="E4340" s="4">
        <v>10.86</v>
      </c>
    </row>
    <row r="4341" spans="1:5" x14ac:dyDescent="0.25">
      <c r="A4341" s="4" t="s">
        <v>53</v>
      </c>
      <c r="B4341" s="4" t="s">
        <v>31</v>
      </c>
      <c r="C4341" s="5">
        <v>45314</v>
      </c>
      <c r="D4341" s="4">
        <v>31.3</v>
      </c>
      <c r="E4341" s="4">
        <v>10.86</v>
      </c>
    </row>
    <row r="4342" spans="1:5" x14ac:dyDescent="0.25">
      <c r="A4342" s="4" t="s">
        <v>53</v>
      </c>
      <c r="B4342" s="4" t="s">
        <v>31</v>
      </c>
      <c r="C4342" s="5">
        <v>45314</v>
      </c>
      <c r="D4342" s="4">
        <v>1.2</v>
      </c>
      <c r="E4342" s="4">
        <v>0.41</v>
      </c>
    </row>
    <row r="4343" spans="1:5" x14ac:dyDescent="0.25">
      <c r="A4343" s="4" t="s">
        <v>53</v>
      </c>
      <c r="B4343" s="4" t="s">
        <v>31</v>
      </c>
      <c r="C4343" s="5">
        <v>45316</v>
      </c>
      <c r="D4343" s="4">
        <v>28.4</v>
      </c>
      <c r="E4343" s="4">
        <v>9.9</v>
      </c>
    </row>
    <row r="4344" spans="1:5" x14ac:dyDescent="0.25">
      <c r="A4344" s="4" t="s">
        <v>53</v>
      </c>
      <c r="B4344" s="4" t="s">
        <v>31</v>
      </c>
      <c r="C4344" s="5">
        <v>45316</v>
      </c>
      <c r="D4344" s="4">
        <v>26.6</v>
      </c>
      <c r="E4344" s="4">
        <v>9.27</v>
      </c>
    </row>
    <row r="4345" spans="1:5" x14ac:dyDescent="0.25">
      <c r="A4345" s="4" t="s">
        <v>53</v>
      </c>
      <c r="B4345" s="4" t="s">
        <v>31</v>
      </c>
      <c r="C4345" s="5">
        <v>45316</v>
      </c>
      <c r="D4345" s="4">
        <v>26.6</v>
      </c>
      <c r="E4345" s="4">
        <v>9.27</v>
      </c>
    </row>
    <row r="4346" spans="1:5" x14ac:dyDescent="0.25">
      <c r="A4346" s="4" t="s">
        <v>53</v>
      </c>
      <c r="B4346" s="4" t="s">
        <v>31</v>
      </c>
      <c r="C4346" s="5">
        <v>45316</v>
      </c>
      <c r="D4346" s="4">
        <v>9</v>
      </c>
      <c r="E4346" s="4">
        <v>3.13</v>
      </c>
    </row>
    <row r="4347" spans="1:5" x14ac:dyDescent="0.25">
      <c r="A4347" s="4" t="s">
        <v>53</v>
      </c>
      <c r="B4347" s="4" t="s">
        <v>31</v>
      </c>
      <c r="C4347" s="5">
        <v>45316</v>
      </c>
      <c r="D4347" s="4">
        <v>9</v>
      </c>
      <c r="E4347" s="4">
        <v>3.13</v>
      </c>
    </row>
    <row r="4348" spans="1:5" x14ac:dyDescent="0.25">
      <c r="A4348" s="4" t="s">
        <v>53</v>
      </c>
      <c r="B4348" s="4" t="s">
        <v>31</v>
      </c>
      <c r="C4348" s="5">
        <v>45316</v>
      </c>
      <c r="D4348" s="4">
        <v>9</v>
      </c>
      <c r="E4348" s="4">
        <v>3.13</v>
      </c>
    </row>
    <row r="4349" spans="1:5" x14ac:dyDescent="0.25">
      <c r="A4349" s="4" t="s">
        <v>53</v>
      </c>
      <c r="B4349" s="4" t="s">
        <v>31</v>
      </c>
      <c r="C4349" s="5">
        <v>45316</v>
      </c>
      <c r="D4349" s="4">
        <v>9</v>
      </c>
      <c r="E4349" s="4">
        <v>3.13</v>
      </c>
    </row>
    <row r="4350" spans="1:5" x14ac:dyDescent="0.25">
      <c r="A4350" s="4" t="s">
        <v>53</v>
      </c>
      <c r="B4350" s="4" t="s">
        <v>31</v>
      </c>
      <c r="C4350" s="5">
        <v>45316</v>
      </c>
      <c r="D4350" s="4">
        <v>9</v>
      </c>
      <c r="E4350" s="4">
        <v>3.13</v>
      </c>
    </row>
    <row r="4351" spans="1:5" x14ac:dyDescent="0.25">
      <c r="A4351" s="4" t="s">
        <v>53</v>
      </c>
      <c r="B4351" s="4" t="s">
        <v>31</v>
      </c>
      <c r="C4351" s="5">
        <v>45316</v>
      </c>
      <c r="D4351" s="4">
        <v>9</v>
      </c>
      <c r="E4351" s="4">
        <v>3.13</v>
      </c>
    </row>
    <row r="4352" spans="1:5" x14ac:dyDescent="0.25">
      <c r="A4352" s="4" t="s">
        <v>53</v>
      </c>
      <c r="B4352" s="4" t="s">
        <v>31</v>
      </c>
      <c r="C4352" s="5">
        <v>45316</v>
      </c>
      <c r="D4352" s="4">
        <v>9</v>
      </c>
      <c r="E4352" s="4">
        <v>3.13</v>
      </c>
    </row>
    <row r="4353" spans="1:5" x14ac:dyDescent="0.25">
      <c r="A4353" s="4" t="s">
        <v>53</v>
      </c>
      <c r="B4353" s="4" t="s">
        <v>31</v>
      </c>
      <c r="C4353" s="5">
        <v>45316</v>
      </c>
      <c r="D4353" s="4">
        <v>9</v>
      </c>
      <c r="E4353" s="4">
        <v>3.13</v>
      </c>
    </row>
    <row r="4354" spans="1:5" x14ac:dyDescent="0.25">
      <c r="A4354" s="4" t="s">
        <v>53</v>
      </c>
      <c r="B4354" s="4" t="s">
        <v>31</v>
      </c>
      <c r="C4354" s="5">
        <v>45316</v>
      </c>
      <c r="D4354" s="4">
        <v>9</v>
      </c>
      <c r="E4354" s="4">
        <v>3.13</v>
      </c>
    </row>
    <row r="4355" spans="1:5" x14ac:dyDescent="0.25">
      <c r="A4355" s="4" t="s">
        <v>53</v>
      </c>
      <c r="B4355" s="4" t="s">
        <v>31</v>
      </c>
      <c r="C4355" s="5">
        <v>45316</v>
      </c>
      <c r="D4355" s="4">
        <v>9</v>
      </c>
      <c r="E4355" s="4">
        <v>3.13</v>
      </c>
    </row>
    <row r="4356" spans="1:5" x14ac:dyDescent="0.25">
      <c r="A4356" s="4" t="s">
        <v>53</v>
      </c>
      <c r="B4356" s="4" t="s">
        <v>31</v>
      </c>
      <c r="C4356" s="5">
        <v>45316</v>
      </c>
      <c r="D4356" s="4">
        <v>28.4</v>
      </c>
      <c r="E4356" s="4">
        <v>9.9</v>
      </c>
    </row>
    <row r="4357" spans="1:5" x14ac:dyDescent="0.25">
      <c r="A4357" s="4" t="s">
        <v>53</v>
      </c>
      <c r="B4357" s="4" t="s">
        <v>31</v>
      </c>
      <c r="C4357" s="5">
        <v>45322</v>
      </c>
      <c r="D4357" s="4">
        <v>6.7</v>
      </c>
      <c r="E4357" s="4">
        <v>2.33</v>
      </c>
    </row>
    <row r="4358" spans="1:5" x14ac:dyDescent="0.25">
      <c r="A4358" s="4" t="s">
        <v>53</v>
      </c>
      <c r="B4358" s="4" t="s">
        <v>31</v>
      </c>
      <c r="C4358" s="5">
        <v>45328</v>
      </c>
      <c r="D4358" s="4">
        <v>41.3</v>
      </c>
      <c r="E4358" s="4">
        <v>14.36</v>
      </c>
    </row>
    <row r="4359" spans="1:5" x14ac:dyDescent="0.25">
      <c r="A4359" s="4" t="s">
        <v>53</v>
      </c>
      <c r="B4359" s="4" t="s">
        <v>31</v>
      </c>
      <c r="C4359" s="5">
        <v>45328</v>
      </c>
      <c r="D4359" s="4">
        <v>17.3</v>
      </c>
      <c r="E4359" s="4">
        <v>6.03</v>
      </c>
    </row>
    <row r="4360" spans="1:5" x14ac:dyDescent="0.25">
      <c r="A4360" s="4" t="s">
        <v>53</v>
      </c>
      <c r="B4360" s="4" t="s">
        <v>31</v>
      </c>
      <c r="C4360" s="5">
        <v>45328</v>
      </c>
      <c r="D4360" s="4">
        <v>17.3</v>
      </c>
      <c r="E4360" s="4">
        <v>6.03</v>
      </c>
    </row>
    <row r="4361" spans="1:5" x14ac:dyDescent="0.25">
      <c r="A4361" s="4" t="s">
        <v>53</v>
      </c>
      <c r="B4361" s="4" t="s">
        <v>31</v>
      </c>
      <c r="C4361" s="5">
        <v>45328</v>
      </c>
      <c r="D4361" s="4">
        <v>67.5</v>
      </c>
      <c r="E4361" s="4">
        <v>23.48</v>
      </c>
    </row>
    <row r="4362" spans="1:5" x14ac:dyDescent="0.25">
      <c r="A4362" s="4" t="s">
        <v>53</v>
      </c>
      <c r="B4362" s="4" t="s">
        <v>31</v>
      </c>
      <c r="C4362" s="5">
        <v>45328</v>
      </c>
      <c r="D4362" s="4">
        <v>85.7</v>
      </c>
      <c r="E4362" s="4">
        <v>29.82</v>
      </c>
    </row>
    <row r="4363" spans="1:5" x14ac:dyDescent="0.25">
      <c r="A4363" s="4" t="s">
        <v>53</v>
      </c>
      <c r="B4363" s="4" t="s">
        <v>31</v>
      </c>
      <c r="C4363" s="5">
        <v>45328</v>
      </c>
      <c r="D4363" s="4">
        <v>17.3</v>
      </c>
      <c r="E4363" s="4">
        <v>6.03</v>
      </c>
    </row>
    <row r="4364" spans="1:5" x14ac:dyDescent="0.25">
      <c r="A4364" s="4" t="s">
        <v>53</v>
      </c>
      <c r="B4364" s="4" t="s">
        <v>31</v>
      </c>
      <c r="C4364" s="5">
        <v>45328</v>
      </c>
      <c r="D4364" s="4">
        <v>17.3</v>
      </c>
      <c r="E4364" s="4">
        <v>6.03</v>
      </c>
    </row>
    <row r="4365" spans="1:5" x14ac:dyDescent="0.25">
      <c r="A4365" s="4" t="s">
        <v>53</v>
      </c>
      <c r="B4365" s="4" t="s">
        <v>31</v>
      </c>
      <c r="C4365" s="5">
        <v>45328</v>
      </c>
      <c r="D4365" s="4">
        <v>67.5</v>
      </c>
      <c r="E4365" s="4">
        <v>23.48</v>
      </c>
    </row>
    <row r="4366" spans="1:5" x14ac:dyDescent="0.25">
      <c r="A4366" s="4" t="s">
        <v>53</v>
      </c>
      <c r="B4366" s="4" t="s">
        <v>31</v>
      </c>
      <c r="C4366" s="5">
        <v>45328</v>
      </c>
      <c r="D4366" s="4">
        <v>44.4</v>
      </c>
      <c r="E4366" s="4">
        <v>15.46</v>
      </c>
    </row>
    <row r="4367" spans="1:5" x14ac:dyDescent="0.25">
      <c r="A4367" s="4" t="s">
        <v>53</v>
      </c>
      <c r="B4367" s="4" t="s">
        <v>31</v>
      </c>
      <c r="C4367" s="5">
        <v>45329</v>
      </c>
      <c r="D4367" s="4">
        <v>41.3</v>
      </c>
      <c r="E4367" s="4">
        <v>14.36</v>
      </c>
    </row>
    <row r="4368" spans="1:5" x14ac:dyDescent="0.25">
      <c r="A4368" s="4" t="s">
        <v>53</v>
      </c>
      <c r="B4368" s="4" t="s">
        <v>31</v>
      </c>
      <c r="C4368" s="5">
        <v>45329</v>
      </c>
      <c r="D4368" s="4">
        <v>17.3</v>
      </c>
      <c r="E4368" s="4">
        <v>6.03</v>
      </c>
    </row>
    <row r="4369" spans="1:5" x14ac:dyDescent="0.25">
      <c r="A4369" s="4" t="s">
        <v>53</v>
      </c>
      <c r="B4369" s="4" t="s">
        <v>31</v>
      </c>
      <c r="C4369" s="5">
        <v>45329</v>
      </c>
      <c r="D4369" s="4">
        <v>11.3</v>
      </c>
      <c r="E4369" s="4">
        <v>3.94</v>
      </c>
    </row>
    <row r="4370" spans="1:5" x14ac:dyDescent="0.25">
      <c r="A4370" s="4" t="s">
        <v>53</v>
      </c>
      <c r="B4370" s="4" t="s">
        <v>31</v>
      </c>
      <c r="C4370" s="5">
        <v>45329</v>
      </c>
      <c r="D4370" s="4">
        <v>4.0999999999999996</v>
      </c>
      <c r="E4370" s="4">
        <v>1.43</v>
      </c>
    </row>
    <row r="4371" spans="1:5" x14ac:dyDescent="0.25">
      <c r="A4371" s="4" t="s">
        <v>53</v>
      </c>
      <c r="B4371" s="4" t="s">
        <v>31</v>
      </c>
      <c r="C4371" s="5">
        <v>45329</v>
      </c>
      <c r="D4371" s="4">
        <v>67.5</v>
      </c>
      <c r="E4371" s="4">
        <v>23.48</v>
      </c>
    </row>
    <row r="4372" spans="1:5" x14ac:dyDescent="0.25">
      <c r="A4372" s="4" t="s">
        <v>53</v>
      </c>
      <c r="B4372" s="4" t="s">
        <v>31</v>
      </c>
      <c r="C4372" s="5">
        <v>45329</v>
      </c>
      <c r="D4372" s="4">
        <v>84.3</v>
      </c>
      <c r="E4372" s="4">
        <v>29.32</v>
      </c>
    </row>
    <row r="4373" spans="1:5" x14ac:dyDescent="0.25">
      <c r="A4373" s="4" t="s">
        <v>53</v>
      </c>
      <c r="B4373" s="4" t="s">
        <v>31</v>
      </c>
      <c r="C4373" s="5">
        <v>45329</v>
      </c>
      <c r="D4373" s="4">
        <v>17.3</v>
      </c>
      <c r="E4373" s="4">
        <v>6.03</v>
      </c>
    </row>
    <row r="4374" spans="1:5" x14ac:dyDescent="0.25">
      <c r="A4374" s="4" t="s">
        <v>53</v>
      </c>
      <c r="B4374" s="4" t="s">
        <v>31</v>
      </c>
      <c r="C4374" s="5">
        <v>45329</v>
      </c>
      <c r="D4374" s="4">
        <v>17.3</v>
      </c>
      <c r="E4374" s="4">
        <v>6.03</v>
      </c>
    </row>
    <row r="4375" spans="1:5" x14ac:dyDescent="0.25">
      <c r="A4375" s="4" t="s">
        <v>53</v>
      </c>
      <c r="B4375" s="4" t="s">
        <v>31</v>
      </c>
      <c r="C4375" s="5">
        <v>45329</v>
      </c>
      <c r="D4375" s="4">
        <v>67.5</v>
      </c>
      <c r="E4375" s="4">
        <v>23.48</v>
      </c>
    </row>
    <row r="4376" spans="1:5" x14ac:dyDescent="0.25">
      <c r="A4376" s="4" t="s">
        <v>53</v>
      </c>
      <c r="B4376" s="4" t="s">
        <v>31</v>
      </c>
      <c r="C4376" s="5">
        <v>45329</v>
      </c>
      <c r="D4376" s="4">
        <v>29.9</v>
      </c>
      <c r="E4376" s="4">
        <v>10.36</v>
      </c>
    </row>
    <row r="4377" spans="1:5" x14ac:dyDescent="0.25">
      <c r="A4377" s="4" t="s">
        <v>53</v>
      </c>
      <c r="B4377" s="4" t="s">
        <v>31</v>
      </c>
      <c r="C4377" s="5">
        <v>45330</v>
      </c>
      <c r="D4377" s="4">
        <v>41.3</v>
      </c>
      <c r="E4377" s="4">
        <v>14.36</v>
      </c>
    </row>
    <row r="4378" spans="1:5" x14ac:dyDescent="0.25">
      <c r="A4378" s="4" t="s">
        <v>53</v>
      </c>
      <c r="B4378" s="4" t="s">
        <v>31</v>
      </c>
      <c r="C4378" s="5">
        <v>45330</v>
      </c>
      <c r="D4378" s="4">
        <v>17.3</v>
      </c>
      <c r="E4378" s="4">
        <v>6.03</v>
      </c>
    </row>
    <row r="4379" spans="1:5" x14ac:dyDescent="0.25">
      <c r="A4379" s="4" t="s">
        <v>53</v>
      </c>
      <c r="B4379" s="4" t="s">
        <v>31</v>
      </c>
      <c r="C4379" s="5">
        <v>45330</v>
      </c>
      <c r="D4379" s="4">
        <v>17.3</v>
      </c>
      <c r="E4379" s="4">
        <v>6.03</v>
      </c>
    </row>
    <row r="4380" spans="1:5" x14ac:dyDescent="0.25">
      <c r="A4380" s="4" t="s">
        <v>53</v>
      </c>
      <c r="B4380" s="4" t="s">
        <v>31</v>
      </c>
      <c r="C4380" s="5">
        <v>45330</v>
      </c>
      <c r="D4380" s="4">
        <v>67.5</v>
      </c>
      <c r="E4380" s="4">
        <v>23.48</v>
      </c>
    </row>
    <row r="4381" spans="1:5" x14ac:dyDescent="0.25">
      <c r="A4381" s="4" t="s">
        <v>53</v>
      </c>
      <c r="B4381" s="4" t="s">
        <v>31</v>
      </c>
      <c r="C4381" s="5">
        <v>45330</v>
      </c>
      <c r="D4381" s="4">
        <v>71.2</v>
      </c>
      <c r="E4381" s="4">
        <v>24.72</v>
      </c>
    </row>
    <row r="4382" spans="1:5" x14ac:dyDescent="0.25">
      <c r="A4382" s="4" t="s">
        <v>53</v>
      </c>
      <c r="B4382" s="4" t="s">
        <v>31</v>
      </c>
      <c r="C4382" s="5">
        <v>45330</v>
      </c>
      <c r="D4382" s="4">
        <v>17.3</v>
      </c>
      <c r="E4382" s="4">
        <v>6.03</v>
      </c>
    </row>
    <row r="4383" spans="1:5" x14ac:dyDescent="0.25">
      <c r="A4383" s="4" t="s">
        <v>53</v>
      </c>
      <c r="B4383" s="4" t="s">
        <v>31</v>
      </c>
      <c r="C4383" s="5">
        <v>45330</v>
      </c>
      <c r="D4383" s="4">
        <v>17.3</v>
      </c>
      <c r="E4383" s="4">
        <v>6.03</v>
      </c>
    </row>
    <row r="4384" spans="1:5" x14ac:dyDescent="0.25">
      <c r="A4384" s="4" t="s">
        <v>53</v>
      </c>
      <c r="B4384" s="4" t="s">
        <v>31</v>
      </c>
      <c r="C4384" s="5">
        <v>45330</v>
      </c>
      <c r="D4384" s="4">
        <v>67.5</v>
      </c>
      <c r="E4384" s="4">
        <v>23.48</v>
      </c>
    </row>
    <row r="4385" spans="1:5" x14ac:dyDescent="0.25">
      <c r="A4385" s="4" t="s">
        <v>53</v>
      </c>
      <c r="B4385" s="4" t="s">
        <v>31</v>
      </c>
      <c r="C4385" s="5">
        <v>45330</v>
      </c>
      <c r="D4385" s="4">
        <v>29.9</v>
      </c>
      <c r="E4385" s="4">
        <v>10.36</v>
      </c>
    </row>
    <row r="4386" spans="1:5" x14ac:dyDescent="0.25">
      <c r="A4386" s="4" t="s">
        <v>53</v>
      </c>
      <c r="B4386" s="4" t="s">
        <v>31</v>
      </c>
      <c r="C4386" s="5">
        <v>45331</v>
      </c>
      <c r="D4386" s="4">
        <v>41.3</v>
      </c>
      <c r="E4386" s="4">
        <v>14.36</v>
      </c>
    </row>
    <row r="4387" spans="1:5" x14ac:dyDescent="0.25">
      <c r="A4387" s="4" t="s">
        <v>53</v>
      </c>
      <c r="B4387" s="4" t="s">
        <v>31</v>
      </c>
      <c r="C4387" s="5">
        <v>45331</v>
      </c>
      <c r="D4387" s="4">
        <v>17.3</v>
      </c>
      <c r="E4387" s="4">
        <v>6.03</v>
      </c>
    </row>
    <row r="4388" spans="1:5" x14ac:dyDescent="0.25">
      <c r="A4388" s="4" t="s">
        <v>53</v>
      </c>
      <c r="B4388" s="4" t="s">
        <v>31</v>
      </c>
      <c r="C4388" s="5">
        <v>45331</v>
      </c>
      <c r="D4388" s="4">
        <v>17.3</v>
      </c>
      <c r="E4388" s="4">
        <v>6.03</v>
      </c>
    </row>
    <row r="4389" spans="1:5" x14ac:dyDescent="0.25">
      <c r="A4389" s="4" t="s">
        <v>53</v>
      </c>
      <c r="B4389" s="4" t="s">
        <v>31</v>
      </c>
      <c r="C4389" s="5">
        <v>45331</v>
      </c>
      <c r="D4389" s="4">
        <v>67.5</v>
      </c>
      <c r="E4389" s="4">
        <v>23.48</v>
      </c>
    </row>
    <row r="4390" spans="1:5" x14ac:dyDescent="0.25">
      <c r="A4390" s="4" t="s">
        <v>53</v>
      </c>
      <c r="B4390" s="4" t="s">
        <v>31</v>
      </c>
      <c r="C4390" s="5">
        <v>45331</v>
      </c>
      <c r="D4390" s="4">
        <v>84.3</v>
      </c>
      <c r="E4390" s="4">
        <v>29.32</v>
      </c>
    </row>
    <row r="4391" spans="1:5" x14ac:dyDescent="0.25">
      <c r="A4391" s="4" t="s">
        <v>53</v>
      </c>
      <c r="B4391" s="4" t="s">
        <v>31</v>
      </c>
      <c r="C4391" s="5">
        <v>45331</v>
      </c>
      <c r="D4391" s="4">
        <v>17.3</v>
      </c>
      <c r="E4391" s="4">
        <v>6.03</v>
      </c>
    </row>
    <row r="4392" spans="1:5" x14ac:dyDescent="0.25">
      <c r="A4392" s="4" t="s">
        <v>53</v>
      </c>
      <c r="B4392" s="4" t="s">
        <v>31</v>
      </c>
      <c r="C4392" s="5">
        <v>45331</v>
      </c>
      <c r="D4392" s="4">
        <v>17.3</v>
      </c>
      <c r="E4392" s="4">
        <v>6.03</v>
      </c>
    </row>
    <row r="4393" spans="1:5" x14ac:dyDescent="0.25">
      <c r="A4393" s="4" t="s">
        <v>53</v>
      </c>
      <c r="B4393" s="4" t="s">
        <v>31</v>
      </c>
      <c r="C4393" s="5">
        <v>45331</v>
      </c>
      <c r="D4393" s="4">
        <v>67.5</v>
      </c>
      <c r="E4393" s="4">
        <v>23.48</v>
      </c>
    </row>
    <row r="4394" spans="1:5" x14ac:dyDescent="0.25">
      <c r="A4394" s="4" t="s">
        <v>53</v>
      </c>
      <c r="B4394" s="4" t="s">
        <v>31</v>
      </c>
      <c r="C4394" s="5">
        <v>45331</v>
      </c>
      <c r="D4394" s="4">
        <v>29.9</v>
      </c>
      <c r="E4394" s="4">
        <v>10.36</v>
      </c>
    </row>
    <row r="4395" spans="1:5" x14ac:dyDescent="0.25">
      <c r="A4395" s="4" t="s">
        <v>53</v>
      </c>
      <c r="B4395" s="4" t="s">
        <v>31</v>
      </c>
      <c r="C4395" s="5">
        <v>45334</v>
      </c>
      <c r="D4395" s="4">
        <v>30.5</v>
      </c>
      <c r="E4395" s="4">
        <v>10.62</v>
      </c>
    </row>
    <row r="4396" spans="1:5" x14ac:dyDescent="0.25">
      <c r="A4396" s="4" t="s">
        <v>53</v>
      </c>
      <c r="B4396" s="4" t="s">
        <v>31</v>
      </c>
      <c r="C4396" s="5">
        <v>45334</v>
      </c>
      <c r="D4396" s="4">
        <v>30.6</v>
      </c>
      <c r="E4396" s="4">
        <v>10.67</v>
      </c>
    </row>
    <row r="4397" spans="1:5" x14ac:dyDescent="0.25">
      <c r="A4397" s="4" t="s">
        <v>53</v>
      </c>
      <c r="B4397" s="4" t="s">
        <v>31</v>
      </c>
      <c r="C4397" s="5">
        <v>45337</v>
      </c>
      <c r="D4397" s="4">
        <v>30.6</v>
      </c>
      <c r="E4397" s="4">
        <v>10.67</v>
      </c>
    </row>
    <row r="4398" spans="1:5" x14ac:dyDescent="0.25">
      <c r="A4398" s="4" t="s">
        <v>53</v>
      </c>
      <c r="B4398" s="4" t="s">
        <v>31</v>
      </c>
      <c r="C4398" s="5">
        <v>45337</v>
      </c>
      <c r="D4398" s="4">
        <v>17.5</v>
      </c>
      <c r="E4398" s="4">
        <v>6.05</v>
      </c>
    </row>
    <row r="4399" spans="1:5" x14ac:dyDescent="0.25">
      <c r="A4399" s="4" t="s">
        <v>53</v>
      </c>
      <c r="B4399" s="4" t="s">
        <v>31</v>
      </c>
      <c r="C4399" s="5">
        <v>45337</v>
      </c>
      <c r="D4399" s="4">
        <v>17.5</v>
      </c>
      <c r="E4399" s="4">
        <v>6.05</v>
      </c>
    </row>
    <row r="4400" spans="1:5" x14ac:dyDescent="0.25">
      <c r="A4400" s="4" t="s">
        <v>53</v>
      </c>
      <c r="B4400" s="4" t="s">
        <v>31</v>
      </c>
      <c r="C4400" s="5">
        <v>45337</v>
      </c>
      <c r="D4400" s="4">
        <v>17.5</v>
      </c>
      <c r="E4400" s="4">
        <v>6.05</v>
      </c>
    </row>
    <row r="4401" spans="1:5" x14ac:dyDescent="0.25">
      <c r="A4401" s="4" t="s">
        <v>53</v>
      </c>
      <c r="B4401" s="4" t="s">
        <v>31</v>
      </c>
      <c r="C4401" s="5">
        <v>45337</v>
      </c>
      <c r="D4401" s="4">
        <v>17.5</v>
      </c>
      <c r="E4401" s="4">
        <v>6.05</v>
      </c>
    </row>
    <row r="4402" spans="1:5" x14ac:dyDescent="0.25">
      <c r="A4402" s="4" t="s">
        <v>53</v>
      </c>
      <c r="B4402" s="4" t="s">
        <v>31</v>
      </c>
      <c r="C4402" s="5">
        <v>45337</v>
      </c>
      <c r="D4402" s="4">
        <v>17.5</v>
      </c>
      <c r="E4402" s="4">
        <v>6.05</v>
      </c>
    </row>
    <row r="4403" spans="1:5" x14ac:dyDescent="0.25">
      <c r="A4403" s="4" t="s">
        <v>53</v>
      </c>
      <c r="B4403" s="4" t="s">
        <v>31</v>
      </c>
      <c r="C4403" s="5">
        <v>45337</v>
      </c>
      <c r="D4403" s="4">
        <v>17.5</v>
      </c>
      <c r="E4403" s="4">
        <v>6.05</v>
      </c>
    </row>
    <row r="4404" spans="1:5" x14ac:dyDescent="0.25">
      <c r="A4404" s="4" t="s">
        <v>53</v>
      </c>
      <c r="B4404" s="4" t="s">
        <v>31</v>
      </c>
      <c r="C4404" s="5">
        <v>45337</v>
      </c>
      <c r="D4404" s="4">
        <v>17.5</v>
      </c>
      <c r="E4404" s="4">
        <v>6.05</v>
      </c>
    </row>
    <row r="4405" spans="1:5" x14ac:dyDescent="0.25">
      <c r="A4405" s="4" t="s">
        <v>53</v>
      </c>
      <c r="B4405" s="4" t="s">
        <v>31</v>
      </c>
      <c r="C4405" s="5">
        <v>45337</v>
      </c>
      <c r="D4405" s="4">
        <v>3.7</v>
      </c>
      <c r="E4405" s="4">
        <v>1.28</v>
      </c>
    </row>
    <row r="4406" spans="1:5" x14ac:dyDescent="0.25">
      <c r="A4406" s="4" t="s">
        <v>53</v>
      </c>
      <c r="B4406" s="4" t="s">
        <v>31</v>
      </c>
      <c r="C4406" s="5">
        <v>45337</v>
      </c>
      <c r="D4406" s="4">
        <v>42.5</v>
      </c>
      <c r="E4406" s="4">
        <v>14.81</v>
      </c>
    </row>
    <row r="4407" spans="1:5" x14ac:dyDescent="0.25">
      <c r="A4407" s="4" t="s">
        <v>53</v>
      </c>
      <c r="B4407" s="4" t="s">
        <v>37</v>
      </c>
      <c r="C4407" s="5">
        <v>45307</v>
      </c>
      <c r="D4407" s="4">
        <v>15.4</v>
      </c>
      <c r="E4407" s="4">
        <v>5.35</v>
      </c>
    </row>
    <row r="4408" spans="1:5" x14ac:dyDescent="0.25">
      <c r="A4408" s="4" t="s">
        <v>53</v>
      </c>
      <c r="B4408" s="4" t="s">
        <v>37</v>
      </c>
      <c r="C4408" s="5">
        <v>45307</v>
      </c>
      <c r="D4408" s="4">
        <v>15.4</v>
      </c>
      <c r="E4408" s="4">
        <v>5.35</v>
      </c>
    </row>
    <row r="4409" spans="1:5" x14ac:dyDescent="0.25">
      <c r="A4409" s="4" t="s">
        <v>53</v>
      </c>
      <c r="B4409" s="4" t="s">
        <v>37</v>
      </c>
      <c r="C4409" s="5">
        <v>45307</v>
      </c>
      <c r="D4409" s="4">
        <v>31.3</v>
      </c>
      <c r="E4409" s="4">
        <v>10.86</v>
      </c>
    </row>
    <row r="4410" spans="1:5" x14ac:dyDescent="0.25">
      <c r="A4410" s="4" t="s">
        <v>53</v>
      </c>
      <c r="B4410" s="4" t="s">
        <v>37</v>
      </c>
      <c r="C4410" s="5">
        <v>45307</v>
      </c>
      <c r="D4410" s="4">
        <v>31.3</v>
      </c>
      <c r="E4410" s="4">
        <v>10.86</v>
      </c>
    </row>
    <row r="4411" spans="1:5" x14ac:dyDescent="0.25">
      <c r="A4411" s="4" t="s">
        <v>53</v>
      </c>
      <c r="B4411" s="4" t="s">
        <v>37</v>
      </c>
      <c r="C4411" s="5">
        <v>45307</v>
      </c>
      <c r="D4411" s="4">
        <v>16.899999999999999</v>
      </c>
      <c r="E4411" s="4">
        <v>5.89</v>
      </c>
    </row>
    <row r="4412" spans="1:5" x14ac:dyDescent="0.25">
      <c r="A4412" s="4" t="s">
        <v>53</v>
      </c>
      <c r="B4412" s="4" t="s">
        <v>37</v>
      </c>
      <c r="C4412" s="5">
        <v>45307</v>
      </c>
      <c r="D4412" s="4">
        <v>16.899999999999999</v>
      </c>
      <c r="E4412" s="4">
        <v>5.89</v>
      </c>
    </row>
    <row r="4413" spans="1:5" x14ac:dyDescent="0.25">
      <c r="A4413" s="4" t="s">
        <v>53</v>
      </c>
      <c r="B4413" s="4" t="s">
        <v>37</v>
      </c>
      <c r="C4413" s="5">
        <v>45307</v>
      </c>
      <c r="D4413" s="4">
        <v>16.899999999999999</v>
      </c>
      <c r="E4413" s="4">
        <v>5.89</v>
      </c>
    </row>
    <row r="4414" spans="1:5" x14ac:dyDescent="0.25">
      <c r="A4414" s="4" t="s">
        <v>53</v>
      </c>
      <c r="B4414" s="4" t="s">
        <v>37</v>
      </c>
      <c r="C4414" s="5">
        <v>45307</v>
      </c>
      <c r="D4414" s="4">
        <v>16.899999999999999</v>
      </c>
      <c r="E4414" s="4">
        <v>5.89</v>
      </c>
    </row>
    <row r="4415" spans="1:5" x14ac:dyDescent="0.25">
      <c r="A4415" s="4" t="s">
        <v>53</v>
      </c>
      <c r="B4415" s="4" t="s">
        <v>37</v>
      </c>
      <c r="C4415" s="5">
        <v>45307</v>
      </c>
      <c r="D4415" s="4">
        <v>16.899999999999999</v>
      </c>
      <c r="E4415" s="4">
        <v>5.89</v>
      </c>
    </row>
    <row r="4416" spans="1:5" x14ac:dyDescent="0.25">
      <c r="A4416" s="4" t="s">
        <v>53</v>
      </c>
      <c r="B4416" s="4" t="s">
        <v>37</v>
      </c>
      <c r="C4416" s="5">
        <v>45307</v>
      </c>
      <c r="D4416" s="4">
        <v>16.899999999999999</v>
      </c>
      <c r="E4416" s="4">
        <v>5.89</v>
      </c>
    </row>
    <row r="4417" spans="1:5" x14ac:dyDescent="0.25">
      <c r="A4417" s="4" t="s">
        <v>53</v>
      </c>
      <c r="B4417" s="4" t="s">
        <v>37</v>
      </c>
      <c r="C4417" s="5">
        <v>45307</v>
      </c>
      <c r="D4417" s="4">
        <v>16.899999999999999</v>
      </c>
      <c r="E4417" s="4">
        <v>5.89</v>
      </c>
    </row>
    <row r="4418" spans="1:5" x14ac:dyDescent="0.25">
      <c r="A4418" s="4" t="s">
        <v>53</v>
      </c>
      <c r="B4418" s="4" t="s">
        <v>37</v>
      </c>
      <c r="C4418" s="5">
        <v>45307</v>
      </c>
      <c r="D4418" s="4">
        <v>18.7</v>
      </c>
      <c r="E4418" s="4">
        <v>6.52</v>
      </c>
    </row>
    <row r="4419" spans="1:5" x14ac:dyDescent="0.25">
      <c r="A4419" s="4" t="s">
        <v>53</v>
      </c>
      <c r="B4419" s="4" t="s">
        <v>37</v>
      </c>
      <c r="C4419" s="5">
        <v>45308</v>
      </c>
      <c r="D4419" s="4">
        <v>15.4</v>
      </c>
      <c r="E4419" s="4">
        <v>5.35</v>
      </c>
    </row>
    <row r="4420" spans="1:5" x14ac:dyDescent="0.25">
      <c r="A4420" s="4" t="s">
        <v>53</v>
      </c>
      <c r="B4420" s="4" t="s">
        <v>37</v>
      </c>
      <c r="C4420" s="5">
        <v>45308</v>
      </c>
      <c r="D4420" s="4">
        <v>15.4</v>
      </c>
      <c r="E4420" s="4">
        <v>5.35</v>
      </c>
    </row>
    <row r="4421" spans="1:5" x14ac:dyDescent="0.25">
      <c r="A4421" s="4" t="s">
        <v>53</v>
      </c>
      <c r="B4421" s="4" t="s">
        <v>37</v>
      </c>
      <c r="C4421" s="5">
        <v>45308</v>
      </c>
      <c r="D4421" s="4">
        <v>31.3</v>
      </c>
      <c r="E4421" s="4">
        <v>10.86</v>
      </c>
    </row>
    <row r="4422" spans="1:5" x14ac:dyDescent="0.25">
      <c r="A4422" s="4" t="s">
        <v>53</v>
      </c>
      <c r="B4422" s="4" t="s">
        <v>37</v>
      </c>
      <c r="C4422" s="5">
        <v>45308</v>
      </c>
      <c r="D4422" s="4">
        <v>15.4</v>
      </c>
      <c r="E4422" s="4">
        <v>5.35</v>
      </c>
    </row>
    <row r="4423" spans="1:5" x14ac:dyDescent="0.25">
      <c r="A4423" s="4" t="s">
        <v>53</v>
      </c>
      <c r="B4423" s="4" t="s">
        <v>37</v>
      </c>
      <c r="C4423" s="5">
        <v>45308</v>
      </c>
      <c r="D4423" s="4">
        <v>31.3</v>
      </c>
      <c r="E4423" s="4">
        <v>10.86</v>
      </c>
    </row>
    <row r="4424" spans="1:5" x14ac:dyDescent="0.25">
      <c r="A4424" s="4" t="s">
        <v>53</v>
      </c>
      <c r="B4424" s="4" t="s">
        <v>37</v>
      </c>
      <c r="C4424" s="5">
        <v>45308</v>
      </c>
      <c r="D4424" s="4">
        <v>30.2</v>
      </c>
      <c r="E4424" s="4">
        <v>10.49</v>
      </c>
    </row>
    <row r="4425" spans="1:5" x14ac:dyDescent="0.25">
      <c r="A4425" s="4" t="s">
        <v>53</v>
      </c>
      <c r="B4425" s="4" t="s">
        <v>37</v>
      </c>
      <c r="C4425" s="5">
        <v>45308</v>
      </c>
      <c r="D4425" s="4">
        <v>1.2</v>
      </c>
      <c r="E4425" s="4">
        <v>0.41</v>
      </c>
    </row>
    <row r="4426" spans="1:5" x14ac:dyDescent="0.25">
      <c r="A4426" s="4" t="s">
        <v>53</v>
      </c>
      <c r="B4426" s="4" t="s">
        <v>37</v>
      </c>
      <c r="C4426" s="5">
        <v>45313</v>
      </c>
      <c r="D4426" s="4">
        <v>15.4</v>
      </c>
      <c r="E4426" s="4">
        <v>5.35</v>
      </c>
    </row>
    <row r="4427" spans="1:5" x14ac:dyDescent="0.25">
      <c r="A4427" s="4" t="s">
        <v>53</v>
      </c>
      <c r="B4427" s="4" t="s">
        <v>37</v>
      </c>
      <c r="C4427" s="5">
        <v>45313</v>
      </c>
      <c r="D4427" s="4">
        <v>30.2</v>
      </c>
      <c r="E4427" s="4">
        <v>10.49</v>
      </c>
    </row>
    <row r="4428" spans="1:5" x14ac:dyDescent="0.25">
      <c r="A4428" s="4" t="s">
        <v>53</v>
      </c>
      <c r="B4428" s="4" t="s">
        <v>37</v>
      </c>
      <c r="C4428" s="5">
        <v>45313</v>
      </c>
      <c r="D4428" s="4">
        <v>31.3</v>
      </c>
      <c r="E4428" s="4">
        <v>10.86</v>
      </c>
    </row>
    <row r="4429" spans="1:5" x14ac:dyDescent="0.25">
      <c r="A4429" s="4" t="s">
        <v>53</v>
      </c>
      <c r="B4429" s="4" t="s">
        <v>37</v>
      </c>
      <c r="C4429" s="5">
        <v>45313</v>
      </c>
      <c r="D4429" s="4">
        <v>30.2</v>
      </c>
      <c r="E4429" s="4">
        <v>10.49</v>
      </c>
    </row>
    <row r="4430" spans="1:5" x14ac:dyDescent="0.25">
      <c r="A4430" s="4" t="s">
        <v>53</v>
      </c>
      <c r="B4430" s="4" t="s">
        <v>37</v>
      </c>
      <c r="C4430" s="5">
        <v>45313</v>
      </c>
      <c r="D4430" s="4">
        <v>1.2</v>
      </c>
      <c r="E4430" s="4">
        <v>0.41</v>
      </c>
    </row>
    <row r="4431" spans="1:5" x14ac:dyDescent="0.25">
      <c r="A4431" s="4" t="s">
        <v>53</v>
      </c>
      <c r="B4431" s="4" t="s">
        <v>37</v>
      </c>
      <c r="C4431" s="5">
        <v>45317</v>
      </c>
      <c r="D4431" s="4">
        <v>22.6</v>
      </c>
      <c r="E4431" s="4">
        <v>7.88</v>
      </c>
    </row>
    <row r="4432" spans="1:5" x14ac:dyDescent="0.25">
      <c r="A4432" s="4" t="s">
        <v>53</v>
      </c>
      <c r="B4432" s="4" t="s">
        <v>37</v>
      </c>
      <c r="C4432" s="5">
        <v>45317</v>
      </c>
      <c r="D4432" s="4">
        <v>22.6</v>
      </c>
      <c r="E4432" s="4">
        <v>7.88</v>
      </c>
    </row>
    <row r="4433" spans="1:5" x14ac:dyDescent="0.25">
      <c r="A4433" s="4" t="s">
        <v>53</v>
      </c>
      <c r="B4433" s="4" t="s">
        <v>37</v>
      </c>
      <c r="C4433" s="5">
        <v>45317</v>
      </c>
      <c r="D4433" s="4">
        <v>22.6</v>
      </c>
      <c r="E4433" s="4">
        <v>7.88</v>
      </c>
    </row>
    <row r="4434" spans="1:5" x14ac:dyDescent="0.25">
      <c r="A4434" s="4" t="s">
        <v>53</v>
      </c>
      <c r="B4434" s="4" t="s">
        <v>37</v>
      </c>
      <c r="C4434" s="5">
        <v>45317</v>
      </c>
      <c r="D4434" s="4">
        <v>22.6</v>
      </c>
      <c r="E4434" s="4">
        <v>7.88</v>
      </c>
    </row>
    <row r="4435" spans="1:5" x14ac:dyDescent="0.25">
      <c r="A4435" s="4" t="s">
        <v>53</v>
      </c>
      <c r="B4435" s="4" t="s">
        <v>37</v>
      </c>
      <c r="C4435" s="5">
        <v>45317</v>
      </c>
      <c r="D4435" s="4">
        <v>22.6</v>
      </c>
      <c r="E4435" s="4">
        <v>7.88</v>
      </c>
    </row>
    <row r="4436" spans="1:5" x14ac:dyDescent="0.25">
      <c r="A4436" s="4" t="s">
        <v>53</v>
      </c>
      <c r="B4436" s="4" t="s">
        <v>37</v>
      </c>
      <c r="C4436" s="5">
        <v>45317</v>
      </c>
      <c r="D4436" s="4">
        <v>22.6</v>
      </c>
      <c r="E4436" s="4">
        <v>7.88</v>
      </c>
    </row>
    <row r="4437" spans="1:5" x14ac:dyDescent="0.25">
      <c r="A4437" s="4" t="s">
        <v>53</v>
      </c>
      <c r="B4437" s="4" t="s">
        <v>37</v>
      </c>
      <c r="C4437" s="5">
        <v>45317</v>
      </c>
      <c r="D4437" s="4">
        <v>22.6</v>
      </c>
      <c r="E4437" s="4">
        <v>7.88</v>
      </c>
    </row>
    <row r="4438" spans="1:5" x14ac:dyDescent="0.25">
      <c r="A4438" s="4" t="s">
        <v>53</v>
      </c>
      <c r="B4438" s="4" t="s">
        <v>37</v>
      </c>
      <c r="C4438" s="5">
        <v>45317</v>
      </c>
      <c r="D4438" s="4">
        <v>22.6</v>
      </c>
      <c r="E4438" s="4">
        <v>7.88</v>
      </c>
    </row>
    <row r="4439" spans="1:5" x14ac:dyDescent="0.25">
      <c r="A4439" s="4" t="s">
        <v>53</v>
      </c>
      <c r="B4439" s="4" t="s">
        <v>37</v>
      </c>
      <c r="C4439" s="5">
        <v>45317</v>
      </c>
      <c r="D4439" s="4">
        <v>22.6</v>
      </c>
      <c r="E4439" s="4">
        <v>7.88</v>
      </c>
    </row>
    <row r="4440" spans="1:5" x14ac:dyDescent="0.25">
      <c r="A4440" s="4" t="s">
        <v>53</v>
      </c>
      <c r="B4440" s="4" t="s">
        <v>37</v>
      </c>
      <c r="C4440" s="5">
        <v>45317</v>
      </c>
      <c r="D4440" s="4">
        <v>22.6</v>
      </c>
      <c r="E4440" s="4">
        <v>7.88</v>
      </c>
    </row>
    <row r="4441" spans="1:5" x14ac:dyDescent="0.25">
      <c r="A4441" s="4" t="s">
        <v>53</v>
      </c>
      <c r="B4441" s="4" t="s">
        <v>37</v>
      </c>
      <c r="C4441" s="5">
        <v>45320</v>
      </c>
      <c r="D4441" s="4">
        <v>41.3</v>
      </c>
      <c r="E4441" s="4">
        <v>14.36</v>
      </c>
    </row>
    <row r="4442" spans="1:5" x14ac:dyDescent="0.25">
      <c r="A4442" s="4" t="s">
        <v>53</v>
      </c>
      <c r="B4442" s="4" t="s">
        <v>37</v>
      </c>
      <c r="C4442" s="5">
        <v>45320</v>
      </c>
      <c r="D4442" s="4">
        <v>17.3</v>
      </c>
      <c r="E4442" s="4">
        <v>6.03</v>
      </c>
    </row>
    <row r="4443" spans="1:5" x14ac:dyDescent="0.25">
      <c r="A4443" s="4" t="s">
        <v>53</v>
      </c>
      <c r="B4443" s="4" t="s">
        <v>37</v>
      </c>
      <c r="C4443" s="5">
        <v>45320</v>
      </c>
      <c r="D4443" s="4">
        <v>17.3</v>
      </c>
      <c r="E4443" s="4">
        <v>6.03</v>
      </c>
    </row>
    <row r="4444" spans="1:5" x14ac:dyDescent="0.25">
      <c r="A4444" s="4" t="s">
        <v>53</v>
      </c>
      <c r="B4444" s="4" t="s">
        <v>37</v>
      </c>
      <c r="C4444" s="5">
        <v>45320</v>
      </c>
      <c r="D4444" s="4">
        <v>67.5</v>
      </c>
      <c r="E4444" s="4">
        <v>23.48</v>
      </c>
    </row>
    <row r="4445" spans="1:5" x14ac:dyDescent="0.25">
      <c r="A4445" s="4" t="s">
        <v>53</v>
      </c>
      <c r="B4445" s="4" t="s">
        <v>37</v>
      </c>
      <c r="C4445" s="5">
        <v>45320</v>
      </c>
      <c r="D4445" s="4">
        <v>1.1000000000000001</v>
      </c>
      <c r="E4445" s="4">
        <v>0.38</v>
      </c>
    </row>
    <row r="4446" spans="1:5" x14ac:dyDescent="0.25">
      <c r="A4446" s="4" t="s">
        <v>53</v>
      </c>
      <c r="B4446" s="4" t="s">
        <v>37</v>
      </c>
      <c r="C4446" s="5">
        <v>45320</v>
      </c>
      <c r="D4446" s="4">
        <v>80.599999999999994</v>
      </c>
      <c r="E4446" s="4">
        <v>28.04</v>
      </c>
    </row>
    <row r="4447" spans="1:5" x14ac:dyDescent="0.25">
      <c r="A4447" s="4" t="s">
        <v>53</v>
      </c>
      <c r="B4447" s="4" t="s">
        <v>37</v>
      </c>
      <c r="C4447" s="5">
        <v>45320</v>
      </c>
      <c r="D4447" s="4">
        <v>17.3</v>
      </c>
      <c r="E4447" s="4">
        <v>6.03</v>
      </c>
    </row>
    <row r="4448" spans="1:5" x14ac:dyDescent="0.25">
      <c r="A4448" s="4" t="s">
        <v>53</v>
      </c>
      <c r="B4448" s="4" t="s">
        <v>37</v>
      </c>
      <c r="C4448" s="5">
        <v>45320</v>
      </c>
      <c r="D4448" s="4">
        <v>17.3</v>
      </c>
      <c r="E4448" s="4">
        <v>6.03</v>
      </c>
    </row>
    <row r="4449" spans="1:5" x14ac:dyDescent="0.25">
      <c r="A4449" s="4" t="s">
        <v>53</v>
      </c>
      <c r="B4449" s="4" t="s">
        <v>37</v>
      </c>
      <c r="C4449" s="5">
        <v>45320</v>
      </c>
      <c r="D4449" s="4">
        <v>67.5</v>
      </c>
      <c r="E4449" s="4">
        <v>23.48</v>
      </c>
    </row>
    <row r="4450" spans="1:5" x14ac:dyDescent="0.25">
      <c r="A4450" s="4" t="s">
        <v>53</v>
      </c>
      <c r="B4450" s="4" t="s">
        <v>37</v>
      </c>
      <c r="C4450" s="5">
        <v>45320</v>
      </c>
      <c r="D4450" s="4">
        <v>35.1</v>
      </c>
      <c r="E4450" s="4">
        <v>12.2</v>
      </c>
    </row>
    <row r="4451" spans="1:5" x14ac:dyDescent="0.25">
      <c r="A4451" s="4" t="s">
        <v>53</v>
      </c>
      <c r="B4451" s="4" t="s">
        <v>37</v>
      </c>
      <c r="C4451" s="5">
        <v>45320</v>
      </c>
      <c r="D4451" s="4">
        <v>34.299999999999997</v>
      </c>
      <c r="E4451" s="4">
        <v>11.96</v>
      </c>
    </row>
    <row r="4452" spans="1:5" x14ac:dyDescent="0.25">
      <c r="A4452" s="4" t="s">
        <v>53</v>
      </c>
      <c r="B4452" s="4" t="s">
        <v>37</v>
      </c>
      <c r="C4452" s="5">
        <v>45321</v>
      </c>
      <c r="D4452" s="4">
        <v>41.3</v>
      </c>
      <c r="E4452" s="4">
        <v>14.36</v>
      </c>
    </row>
    <row r="4453" spans="1:5" x14ac:dyDescent="0.25">
      <c r="A4453" s="4" t="s">
        <v>53</v>
      </c>
      <c r="B4453" s="4" t="s">
        <v>37</v>
      </c>
      <c r="C4453" s="5">
        <v>45321</v>
      </c>
      <c r="D4453" s="4">
        <v>17.3</v>
      </c>
      <c r="E4453" s="4">
        <v>6.03</v>
      </c>
    </row>
    <row r="4454" spans="1:5" x14ac:dyDescent="0.25">
      <c r="A4454" s="4" t="s">
        <v>53</v>
      </c>
      <c r="B4454" s="4" t="s">
        <v>37</v>
      </c>
      <c r="C4454" s="5">
        <v>45321</v>
      </c>
      <c r="D4454" s="4">
        <v>17.3</v>
      </c>
      <c r="E4454" s="4">
        <v>6.03</v>
      </c>
    </row>
    <row r="4455" spans="1:5" x14ac:dyDescent="0.25">
      <c r="A4455" s="4" t="s">
        <v>53</v>
      </c>
      <c r="B4455" s="4" t="s">
        <v>37</v>
      </c>
      <c r="C4455" s="5">
        <v>45321</v>
      </c>
      <c r="D4455" s="4">
        <v>67.5</v>
      </c>
      <c r="E4455" s="4">
        <v>23.48</v>
      </c>
    </row>
    <row r="4456" spans="1:5" x14ac:dyDescent="0.25">
      <c r="A4456" s="4" t="s">
        <v>53</v>
      </c>
      <c r="B4456" s="4" t="s">
        <v>37</v>
      </c>
      <c r="C4456" s="5">
        <v>45321</v>
      </c>
      <c r="D4456" s="4">
        <v>84.3</v>
      </c>
      <c r="E4456" s="4">
        <v>29.32</v>
      </c>
    </row>
    <row r="4457" spans="1:5" x14ac:dyDescent="0.25">
      <c r="A4457" s="4" t="s">
        <v>53</v>
      </c>
      <c r="B4457" s="4" t="s">
        <v>37</v>
      </c>
      <c r="C4457" s="5">
        <v>45321</v>
      </c>
      <c r="D4457" s="4">
        <v>17.3</v>
      </c>
      <c r="E4457" s="4">
        <v>6.03</v>
      </c>
    </row>
    <row r="4458" spans="1:5" x14ac:dyDescent="0.25">
      <c r="A4458" s="4" t="s">
        <v>53</v>
      </c>
      <c r="B4458" s="4" t="s">
        <v>37</v>
      </c>
      <c r="C4458" s="5">
        <v>45321</v>
      </c>
      <c r="D4458" s="4">
        <v>17.3</v>
      </c>
      <c r="E4458" s="4">
        <v>6.03</v>
      </c>
    </row>
    <row r="4459" spans="1:5" x14ac:dyDescent="0.25">
      <c r="A4459" s="4" t="s">
        <v>53</v>
      </c>
      <c r="B4459" s="4" t="s">
        <v>37</v>
      </c>
      <c r="C4459" s="5">
        <v>45321</v>
      </c>
      <c r="D4459" s="4">
        <v>67.5</v>
      </c>
      <c r="E4459" s="4">
        <v>23.48</v>
      </c>
    </row>
    <row r="4460" spans="1:5" x14ac:dyDescent="0.25">
      <c r="A4460" s="4" t="s">
        <v>53</v>
      </c>
      <c r="B4460" s="4" t="s">
        <v>37</v>
      </c>
      <c r="C4460" s="5">
        <v>45321</v>
      </c>
      <c r="D4460" s="4">
        <v>37.4</v>
      </c>
      <c r="E4460" s="4">
        <v>13.02</v>
      </c>
    </row>
    <row r="4461" spans="1:5" x14ac:dyDescent="0.25">
      <c r="A4461" s="4" t="s">
        <v>53</v>
      </c>
      <c r="B4461" s="4" t="s">
        <v>37</v>
      </c>
      <c r="C4461" s="5">
        <v>45322</v>
      </c>
      <c r="D4461" s="4">
        <v>41.3</v>
      </c>
      <c r="E4461" s="4">
        <v>14.36</v>
      </c>
    </row>
    <row r="4462" spans="1:5" x14ac:dyDescent="0.25">
      <c r="A4462" s="4" t="s">
        <v>53</v>
      </c>
      <c r="B4462" s="4" t="s">
        <v>37</v>
      </c>
      <c r="C4462" s="5">
        <v>45322</v>
      </c>
      <c r="D4462" s="4">
        <v>17.3</v>
      </c>
      <c r="E4462" s="4">
        <v>6.03</v>
      </c>
    </row>
    <row r="4463" spans="1:5" x14ac:dyDescent="0.25">
      <c r="A4463" s="4" t="s">
        <v>53</v>
      </c>
      <c r="B4463" s="4" t="s">
        <v>37</v>
      </c>
      <c r="C4463" s="5">
        <v>45322</v>
      </c>
      <c r="D4463" s="4">
        <v>17.3</v>
      </c>
      <c r="E4463" s="4">
        <v>6.03</v>
      </c>
    </row>
    <row r="4464" spans="1:5" x14ac:dyDescent="0.25">
      <c r="A4464" s="4" t="s">
        <v>53</v>
      </c>
      <c r="B4464" s="4" t="s">
        <v>37</v>
      </c>
      <c r="C4464" s="5">
        <v>45322</v>
      </c>
      <c r="D4464" s="4">
        <v>67.5</v>
      </c>
      <c r="E4464" s="4">
        <v>23.48</v>
      </c>
    </row>
    <row r="4465" spans="1:5" x14ac:dyDescent="0.25">
      <c r="A4465" s="4" t="s">
        <v>53</v>
      </c>
      <c r="B4465" s="4" t="s">
        <v>37</v>
      </c>
      <c r="C4465" s="5">
        <v>45322</v>
      </c>
      <c r="D4465" s="4">
        <v>71.2</v>
      </c>
      <c r="E4465" s="4">
        <v>24.72</v>
      </c>
    </row>
    <row r="4466" spans="1:5" x14ac:dyDescent="0.25">
      <c r="A4466" s="4" t="s">
        <v>53</v>
      </c>
      <c r="B4466" s="4" t="s">
        <v>37</v>
      </c>
      <c r="C4466" s="5">
        <v>45322</v>
      </c>
      <c r="D4466" s="4">
        <v>17.3</v>
      </c>
      <c r="E4466" s="4">
        <v>6.03</v>
      </c>
    </row>
    <row r="4467" spans="1:5" x14ac:dyDescent="0.25">
      <c r="A4467" s="4" t="s">
        <v>53</v>
      </c>
      <c r="B4467" s="4" t="s">
        <v>37</v>
      </c>
      <c r="C4467" s="5">
        <v>45322</v>
      </c>
      <c r="D4467" s="4">
        <v>17.3</v>
      </c>
      <c r="E4467" s="4">
        <v>6.03</v>
      </c>
    </row>
    <row r="4468" spans="1:5" x14ac:dyDescent="0.25">
      <c r="A4468" s="4" t="s">
        <v>53</v>
      </c>
      <c r="B4468" s="4" t="s">
        <v>37</v>
      </c>
      <c r="C4468" s="5">
        <v>45322</v>
      </c>
      <c r="D4468" s="4">
        <v>67.5</v>
      </c>
      <c r="E4468" s="4">
        <v>23.48</v>
      </c>
    </row>
    <row r="4469" spans="1:5" x14ac:dyDescent="0.25">
      <c r="A4469" s="4" t="s">
        <v>53</v>
      </c>
      <c r="B4469" s="4" t="s">
        <v>37</v>
      </c>
      <c r="C4469" s="5">
        <v>45322</v>
      </c>
      <c r="D4469" s="4">
        <v>45.3</v>
      </c>
      <c r="E4469" s="4">
        <v>15.71</v>
      </c>
    </row>
    <row r="4470" spans="1:5" x14ac:dyDescent="0.25">
      <c r="A4470" s="4" t="s">
        <v>53</v>
      </c>
      <c r="B4470" s="4" t="s">
        <v>37</v>
      </c>
      <c r="C4470" s="5">
        <v>45322</v>
      </c>
      <c r="D4470" s="4">
        <v>15.4</v>
      </c>
      <c r="E4470" s="4">
        <v>5.35</v>
      </c>
    </row>
    <row r="4471" spans="1:5" x14ac:dyDescent="0.25">
      <c r="A4471" s="4" t="s">
        <v>53</v>
      </c>
      <c r="B4471" s="4" t="s">
        <v>37</v>
      </c>
      <c r="C4471" s="5">
        <v>45323</v>
      </c>
      <c r="D4471" s="4">
        <v>41.3</v>
      </c>
      <c r="E4471" s="4">
        <v>14.36</v>
      </c>
    </row>
    <row r="4472" spans="1:5" x14ac:dyDescent="0.25">
      <c r="A4472" s="4" t="s">
        <v>53</v>
      </c>
      <c r="B4472" s="4" t="s">
        <v>37</v>
      </c>
      <c r="C4472" s="5">
        <v>45323</v>
      </c>
      <c r="D4472" s="4">
        <v>17.3</v>
      </c>
      <c r="E4472" s="4">
        <v>6.03</v>
      </c>
    </row>
    <row r="4473" spans="1:5" x14ac:dyDescent="0.25">
      <c r="A4473" s="4" t="s">
        <v>53</v>
      </c>
      <c r="B4473" s="4" t="s">
        <v>37</v>
      </c>
      <c r="C4473" s="5">
        <v>45323</v>
      </c>
      <c r="D4473" s="4">
        <v>17.3</v>
      </c>
      <c r="E4473" s="4">
        <v>6.03</v>
      </c>
    </row>
    <row r="4474" spans="1:5" x14ac:dyDescent="0.25">
      <c r="A4474" s="4" t="s">
        <v>53</v>
      </c>
      <c r="B4474" s="4" t="s">
        <v>37</v>
      </c>
      <c r="C4474" s="5">
        <v>45323</v>
      </c>
      <c r="D4474" s="4">
        <v>67.5</v>
      </c>
      <c r="E4474" s="4">
        <v>23.48</v>
      </c>
    </row>
    <row r="4475" spans="1:5" x14ac:dyDescent="0.25">
      <c r="A4475" s="4" t="s">
        <v>53</v>
      </c>
      <c r="B4475" s="4" t="s">
        <v>37</v>
      </c>
      <c r="C4475" s="5">
        <v>45323</v>
      </c>
      <c r="D4475" s="4">
        <v>71.2</v>
      </c>
      <c r="E4475" s="4">
        <v>24.72</v>
      </c>
    </row>
    <row r="4476" spans="1:5" x14ac:dyDescent="0.25">
      <c r="A4476" s="4" t="s">
        <v>53</v>
      </c>
      <c r="B4476" s="4" t="s">
        <v>37</v>
      </c>
      <c r="C4476" s="5">
        <v>45323</v>
      </c>
      <c r="D4476" s="4">
        <v>17.3</v>
      </c>
      <c r="E4476" s="4">
        <v>6.03</v>
      </c>
    </row>
    <row r="4477" spans="1:5" x14ac:dyDescent="0.25">
      <c r="A4477" s="4" t="s">
        <v>53</v>
      </c>
      <c r="B4477" s="4" t="s">
        <v>37</v>
      </c>
      <c r="C4477" s="5">
        <v>45323</v>
      </c>
      <c r="D4477" s="4">
        <v>17.3</v>
      </c>
      <c r="E4477" s="4">
        <v>6.03</v>
      </c>
    </row>
    <row r="4478" spans="1:5" x14ac:dyDescent="0.25">
      <c r="A4478" s="4" t="s">
        <v>53</v>
      </c>
      <c r="B4478" s="4" t="s">
        <v>37</v>
      </c>
      <c r="C4478" s="5">
        <v>45323</v>
      </c>
      <c r="D4478" s="4">
        <v>67.5</v>
      </c>
      <c r="E4478" s="4">
        <v>23.48</v>
      </c>
    </row>
    <row r="4479" spans="1:5" x14ac:dyDescent="0.25">
      <c r="A4479" s="4" t="s">
        <v>53</v>
      </c>
      <c r="B4479" s="4" t="s">
        <v>37</v>
      </c>
      <c r="C4479" s="5">
        <v>45323</v>
      </c>
      <c r="D4479" s="4">
        <v>29.9</v>
      </c>
      <c r="E4479" s="4">
        <v>10.36</v>
      </c>
    </row>
    <row r="4480" spans="1:5" x14ac:dyDescent="0.25">
      <c r="A4480" s="4" t="s">
        <v>53</v>
      </c>
      <c r="B4480" s="4" t="s">
        <v>37</v>
      </c>
      <c r="C4480" s="5">
        <v>45324</v>
      </c>
      <c r="D4480" s="4">
        <v>41.3</v>
      </c>
      <c r="E4480" s="4">
        <v>14.36</v>
      </c>
    </row>
    <row r="4481" spans="1:5" x14ac:dyDescent="0.25">
      <c r="A4481" s="4" t="s">
        <v>53</v>
      </c>
      <c r="B4481" s="4" t="s">
        <v>37</v>
      </c>
      <c r="C4481" s="5">
        <v>45324</v>
      </c>
      <c r="D4481" s="4">
        <v>17.3</v>
      </c>
      <c r="E4481" s="4">
        <v>6.03</v>
      </c>
    </row>
    <row r="4482" spans="1:5" x14ac:dyDescent="0.25">
      <c r="A4482" s="4" t="s">
        <v>53</v>
      </c>
      <c r="B4482" s="4" t="s">
        <v>37</v>
      </c>
      <c r="C4482" s="5">
        <v>45324</v>
      </c>
      <c r="D4482" s="4">
        <v>17.3</v>
      </c>
      <c r="E4482" s="4">
        <v>6.03</v>
      </c>
    </row>
    <row r="4483" spans="1:5" x14ac:dyDescent="0.25">
      <c r="A4483" s="4" t="s">
        <v>53</v>
      </c>
      <c r="B4483" s="4" t="s">
        <v>37</v>
      </c>
      <c r="C4483" s="5">
        <v>45324</v>
      </c>
      <c r="D4483" s="4">
        <v>67.5</v>
      </c>
      <c r="E4483" s="4">
        <v>23.48</v>
      </c>
    </row>
    <row r="4484" spans="1:5" x14ac:dyDescent="0.25">
      <c r="A4484" s="4" t="s">
        <v>53</v>
      </c>
      <c r="B4484" s="4" t="s">
        <v>37</v>
      </c>
      <c r="C4484" s="5">
        <v>45324</v>
      </c>
      <c r="D4484" s="4">
        <v>78.7</v>
      </c>
      <c r="E4484" s="4">
        <v>27.38</v>
      </c>
    </row>
    <row r="4485" spans="1:5" x14ac:dyDescent="0.25">
      <c r="A4485" s="4" t="s">
        <v>53</v>
      </c>
      <c r="B4485" s="4" t="s">
        <v>37</v>
      </c>
      <c r="C4485" s="5">
        <v>45324</v>
      </c>
      <c r="D4485" s="4">
        <v>17.3</v>
      </c>
      <c r="E4485" s="4">
        <v>6.03</v>
      </c>
    </row>
    <row r="4486" spans="1:5" x14ac:dyDescent="0.25">
      <c r="A4486" s="4" t="s">
        <v>53</v>
      </c>
      <c r="B4486" s="4" t="s">
        <v>37</v>
      </c>
      <c r="C4486" s="5">
        <v>45324</v>
      </c>
      <c r="D4486" s="4">
        <v>17.3</v>
      </c>
      <c r="E4486" s="4">
        <v>6.03</v>
      </c>
    </row>
    <row r="4487" spans="1:5" x14ac:dyDescent="0.25">
      <c r="A4487" s="4" t="s">
        <v>53</v>
      </c>
      <c r="B4487" s="4" t="s">
        <v>37</v>
      </c>
      <c r="C4487" s="5">
        <v>45324</v>
      </c>
      <c r="D4487" s="4">
        <v>67.5</v>
      </c>
      <c r="E4487" s="4">
        <v>23.48</v>
      </c>
    </row>
    <row r="4488" spans="1:5" x14ac:dyDescent="0.25">
      <c r="A4488" s="4" t="s">
        <v>53</v>
      </c>
      <c r="B4488" s="4" t="s">
        <v>37</v>
      </c>
      <c r="C4488" s="5">
        <v>45324</v>
      </c>
      <c r="D4488" s="4">
        <v>37.4</v>
      </c>
      <c r="E4488" s="4">
        <v>13.02</v>
      </c>
    </row>
    <row r="4489" spans="1:5" x14ac:dyDescent="0.25">
      <c r="A4489" s="4" t="s">
        <v>53</v>
      </c>
      <c r="B4489" s="4" t="s">
        <v>37</v>
      </c>
      <c r="C4489" s="5">
        <v>45327</v>
      </c>
      <c r="D4489" s="4">
        <v>41.3</v>
      </c>
      <c r="E4489" s="4">
        <v>14.36</v>
      </c>
    </row>
    <row r="4490" spans="1:5" x14ac:dyDescent="0.25">
      <c r="A4490" s="4" t="s">
        <v>53</v>
      </c>
      <c r="B4490" s="4" t="s">
        <v>37</v>
      </c>
      <c r="C4490" s="5">
        <v>45327</v>
      </c>
      <c r="D4490" s="4">
        <v>17.3</v>
      </c>
      <c r="E4490" s="4">
        <v>6.03</v>
      </c>
    </row>
    <row r="4491" spans="1:5" x14ac:dyDescent="0.25">
      <c r="A4491" s="4" t="s">
        <v>53</v>
      </c>
      <c r="B4491" s="4" t="s">
        <v>37</v>
      </c>
      <c r="C4491" s="5">
        <v>45327</v>
      </c>
      <c r="D4491" s="4">
        <v>17.3</v>
      </c>
      <c r="E4491" s="4">
        <v>6.03</v>
      </c>
    </row>
    <row r="4492" spans="1:5" x14ac:dyDescent="0.25">
      <c r="A4492" s="4" t="s">
        <v>53</v>
      </c>
      <c r="B4492" s="4" t="s">
        <v>37</v>
      </c>
      <c r="C4492" s="5">
        <v>45327</v>
      </c>
      <c r="D4492" s="4">
        <v>22.8</v>
      </c>
      <c r="E4492" s="4">
        <v>7.93</v>
      </c>
    </row>
    <row r="4493" spans="1:5" x14ac:dyDescent="0.25">
      <c r="A4493" s="4" t="s">
        <v>53</v>
      </c>
      <c r="B4493" s="4" t="s">
        <v>37</v>
      </c>
      <c r="C4493" s="5">
        <v>45327</v>
      </c>
      <c r="D4493" s="4">
        <v>26.2</v>
      </c>
      <c r="E4493" s="4">
        <v>9.1199999999999992</v>
      </c>
    </row>
    <row r="4494" spans="1:5" x14ac:dyDescent="0.25">
      <c r="A4494" s="4" t="s">
        <v>53</v>
      </c>
      <c r="B4494" s="4" t="s">
        <v>37</v>
      </c>
      <c r="C4494" s="5">
        <v>45327</v>
      </c>
      <c r="D4494" s="4">
        <v>78.7</v>
      </c>
      <c r="E4494" s="4">
        <v>27.38</v>
      </c>
    </row>
    <row r="4495" spans="1:5" x14ac:dyDescent="0.25">
      <c r="A4495" s="4" t="s">
        <v>53</v>
      </c>
      <c r="B4495" s="4" t="s">
        <v>37</v>
      </c>
      <c r="C4495" s="5">
        <v>45327</v>
      </c>
      <c r="D4495" s="4">
        <v>17.3</v>
      </c>
      <c r="E4495" s="4">
        <v>6.03</v>
      </c>
    </row>
    <row r="4496" spans="1:5" x14ac:dyDescent="0.25">
      <c r="A4496" s="4" t="s">
        <v>53</v>
      </c>
      <c r="B4496" s="4" t="s">
        <v>37</v>
      </c>
      <c r="C4496" s="5">
        <v>45327</v>
      </c>
      <c r="D4496" s="4">
        <v>17.3</v>
      </c>
      <c r="E4496" s="4">
        <v>6.03</v>
      </c>
    </row>
    <row r="4497" spans="1:5" x14ac:dyDescent="0.25">
      <c r="A4497" s="4" t="s">
        <v>53</v>
      </c>
      <c r="B4497" s="4" t="s">
        <v>37</v>
      </c>
      <c r="C4497" s="5">
        <v>45327</v>
      </c>
      <c r="D4497" s="4">
        <v>67.5</v>
      </c>
      <c r="E4497" s="4">
        <v>23.48</v>
      </c>
    </row>
    <row r="4498" spans="1:5" x14ac:dyDescent="0.25">
      <c r="A4498" s="4" t="s">
        <v>53</v>
      </c>
      <c r="B4498" s="4" t="s">
        <v>37</v>
      </c>
      <c r="C4498" s="5">
        <v>45327</v>
      </c>
      <c r="D4498" s="4">
        <v>29.9</v>
      </c>
      <c r="E4498" s="4">
        <v>10.36</v>
      </c>
    </row>
    <row r="4499" spans="1:5" x14ac:dyDescent="0.25">
      <c r="A4499" s="4" t="s">
        <v>53</v>
      </c>
      <c r="B4499" s="4" t="s">
        <v>37</v>
      </c>
      <c r="C4499" s="5">
        <v>45328</v>
      </c>
      <c r="D4499" s="4">
        <v>41.3</v>
      </c>
      <c r="E4499" s="4">
        <v>14.36</v>
      </c>
    </row>
    <row r="4500" spans="1:5" x14ac:dyDescent="0.25">
      <c r="A4500" s="4" t="s">
        <v>53</v>
      </c>
      <c r="B4500" s="4" t="s">
        <v>37</v>
      </c>
      <c r="C4500" s="5">
        <v>45328</v>
      </c>
      <c r="D4500" s="4">
        <v>17.3</v>
      </c>
      <c r="E4500" s="4">
        <v>6.03</v>
      </c>
    </row>
    <row r="4501" spans="1:5" x14ac:dyDescent="0.25">
      <c r="A4501" s="4" t="s">
        <v>53</v>
      </c>
      <c r="B4501" s="4" t="s">
        <v>37</v>
      </c>
      <c r="C4501" s="5">
        <v>45328</v>
      </c>
      <c r="D4501" s="4">
        <v>17.3</v>
      </c>
      <c r="E4501" s="4">
        <v>6.03</v>
      </c>
    </row>
    <row r="4502" spans="1:5" x14ac:dyDescent="0.25">
      <c r="A4502" s="4" t="s">
        <v>53</v>
      </c>
      <c r="B4502" s="4" t="s">
        <v>37</v>
      </c>
      <c r="C4502" s="5">
        <v>45328</v>
      </c>
      <c r="D4502" s="4">
        <v>67.5</v>
      </c>
      <c r="E4502" s="4">
        <v>23.48</v>
      </c>
    </row>
    <row r="4503" spans="1:5" x14ac:dyDescent="0.25">
      <c r="A4503" s="4" t="s">
        <v>53</v>
      </c>
      <c r="B4503" s="4" t="s">
        <v>37</v>
      </c>
      <c r="C4503" s="5">
        <v>45328</v>
      </c>
      <c r="D4503" s="4">
        <v>78.7</v>
      </c>
      <c r="E4503" s="4">
        <v>27.38</v>
      </c>
    </row>
    <row r="4504" spans="1:5" x14ac:dyDescent="0.25">
      <c r="A4504" s="4" t="s">
        <v>53</v>
      </c>
      <c r="B4504" s="4" t="s">
        <v>37</v>
      </c>
      <c r="C4504" s="5">
        <v>45328</v>
      </c>
      <c r="D4504" s="4">
        <v>17.3</v>
      </c>
      <c r="E4504" s="4">
        <v>6.03</v>
      </c>
    </row>
    <row r="4505" spans="1:5" x14ac:dyDescent="0.25">
      <c r="A4505" s="4" t="s">
        <v>53</v>
      </c>
      <c r="B4505" s="4" t="s">
        <v>37</v>
      </c>
      <c r="C4505" s="5">
        <v>45328</v>
      </c>
      <c r="D4505" s="4">
        <v>17.3</v>
      </c>
      <c r="E4505" s="4">
        <v>6.03</v>
      </c>
    </row>
    <row r="4506" spans="1:5" x14ac:dyDescent="0.25">
      <c r="A4506" s="4" t="s">
        <v>53</v>
      </c>
      <c r="B4506" s="4" t="s">
        <v>37</v>
      </c>
      <c r="C4506" s="5">
        <v>45328</v>
      </c>
      <c r="D4506" s="4">
        <v>67.5</v>
      </c>
      <c r="E4506" s="4">
        <v>23.48</v>
      </c>
    </row>
    <row r="4507" spans="1:5" x14ac:dyDescent="0.25">
      <c r="A4507" s="4" t="s">
        <v>53</v>
      </c>
      <c r="B4507" s="4" t="s">
        <v>37</v>
      </c>
      <c r="C4507" s="5">
        <v>45328</v>
      </c>
      <c r="D4507" s="4">
        <v>58.5</v>
      </c>
      <c r="E4507" s="4">
        <v>20.36</v>
      </c>
    </row>
    <row r="4508" spans="1:5" x14ac:dyDescent="0.25">
      <c r="A4508" s="4" t="s">
        <v>53</v>
      </c>
      <c r="B4508" s="4" t="s">
        <v>37</v>
      </c>
      <c r="C4508" s="5">
        <v>45328</v>
      </c>
      <c r="D4508" s="4">
        <v>19.399999999999999</v>
      </c>
      <c r="E4508" s="4">
        <v>6.76</v>
      </c>
    </row>
    <row r="4509" spans="1:5" x14ac:dyDescent="0.25">
      <c r="A4509" s="4" t="s">
        <v>53</v>
      </c>
      <c r="B4509" s="4" t="s">
        <v>37</v>
      </c>
      <c r="C4509" s="5">
        <v>45329</v>
      </c>
      <c r="D4509" s="4">
        <v>41.3</v>
      </c>
      <c r="E4509" s="4">
        <v>14.36</v>
      </c>
    </row>
    <row r="4510" spans="1:5" x14ac:dyDescent="0.25">
      <c r="A4510" s="4" t="s">
        <v>53</v>
      </c>
      <c r="B4510" s="4" t="s">
        <v>37</v>
      </c>
      <c r="C4510" s="5">
        <v>45329</v>
      </c>
      <c r="D4510" s="4">
        <v>17.3</v>
      </c>
      <c r="E4510" s="4">
        <v>6.03</v>
      </c>
    </row>
    <row r="4511" spans="1:5" x14ac:dyDescent="0.25">
      <c r="A4511" s="4" t="s">
        <v>53</v>
      </c>
      <c r="B4511" s="4" t="s">
        <v>37</v>
      </c>
      <c r="C4511" s="5">
        <v>45329</v>
      </c>
      <c r="D4511" s="4">
        <v>17.3</v>
      </c>
      <c r="E4511" s="4">
        <v>6.03</v>
      </c>
    </row>
    <row r="4512" spans="1:5" x14ac:dyDescent="0.25">
      <c r="A4512" s="4" t="s">
        <v>53</v>
      </c>
      <c r="B4512" s="4" t="s">
        <v>37</v>
      </c>
      <c r="C4512" s="5">
        <v>45329</v>
      </c>
      <c r="D4512" s="4">
        <v>67.5</v>
      </c>
      <c r="E4512" s="4">
        <v>23.48</v>
      </c>
    </row>
    <row r="4513" spans="1:5" x14ac:dyDescent="0.25">
      <c r="A4513" s="4" t="s">
        <v>53</v>
      </c>
      <c r="B4513" s="4" t="s">
        <v>37</v>
      </c>
      <c r="C4513" s="5">
        <v>45329</v>
      </c>
      <c r="D4513" s="4">
        <v>78.7</v>
      </c>
      <c r="E4513" s="4">
        <v>27.38</v>
      </c>
    </row>
    <row r="4514" spans="1:5" x14ac:dyDescent="0.25">
      <c r="A4514" s="4" t="s">
        <v>53</v>
      </c>
      <c r="B4514" s="4" t="s">
        <v>37</v>
      </c>
      <c r="C4514" s="5">
        <v>45329</v>
      </c>
      <c r="D4514" s="4">
        <v>17.3</v>
      </c>
      <c r="E4514" s="4">
        <v>6.03</v>
      </c>
    </row>
    <row r="4515" spans="1:5" x14ac:dyDescent="0.25">
      <c r="A4515" s="4" t="s">
        <v>53</v>
      </c>
      <c r="B4515" s="4" t="s">
        <v>37</v>
      </c>
      <c r="C4515" s="5">
        <v>45329</v>
      </c>
      <c r="D4515" s="4">
        <v>17.3</v>
      </c>
      <c r="E4515" s="4">
        <v>6.03</v>
      </c>
    </row>
    <row r="4516" spans="1:5" x14ac:dyDescent="0.25">
      <c r="A4516" s="4" t="s">
        <v>53</v>
      </c>
      <c r="B4516" s="4" t="s">
        <v>37</v>
      </c>
      <c r="C4516" s="5">
        <v>45329</v>
      </c>
      <c r="D4516" s="4">
        <v>67.5</v>
      </c>
      <c r="E4516" s="4">
        <v>23.48</v>
      </c>
    </row>
    <row r="4517" spans="1:5" x14ac:dyDescent="0.25">
      <c r="A4517" s="4" t="s">
        <v>53</v>
      </c>
      <c r="B4517" s="4" t="s">
        <v>37</v>
      </c>
      <c r="C4517" s="5">
        <v>45329</v>
      </c>
      <c r="D4517" s="4">
        <v>29.9</v>
      </c>
      <c r="E4517" s="4">
        <v>10.36</v>
      </c>
    </row>
    <row r="4518" spans="1:5" x14ac:dyDescent="0.25">
      <c r="A4518" s="4" t="s">
        <v>53</v>
      </c>
      <c r="B4518" s="4" t="s">
        <v>37</v>
      </c>
      <c r="C4518" s="5">
        <v>45330</v>
      </c>
      <c r="D4518" s="4">
        <v>41.3</v>
      </c>
      <c r="E4518" s="4">
        <v>14.36</v>
      </c>
    </row>
    <row r="4519" spans="1:5" x14ac:dyDescent="0.25">
      <c r="A4519" s="4" t="s">
        <v>53</v>
      </c>
      <c r="B4519" s="4" t="s">
        <v>37</v>
      </c>
      <c r="C4519" s="5">
        <v>45330</v>
      </c>
      <c r="D4519" s="4">
        <v>17.3</v>
      </c>
      <c r="E4519" s="4">
        <v>6.03</v>
      </c>
    </row>
    <row r="4520" spans="1:5" x14ac:dyDescent="0.25">
      <c r="A4520" s="4" t="s">
        <v>53</v>
      </c>
      <c r="B4520" s="4" t="s">
        <v>37</v>
      </c>
      <c r="C4520" s="5">
        <v>45330</v>
      </c>
      <c r="D4520" s="4">
        <v>17.3</v>
      </c>
      <c r="E4520" s="4">
        <v>6.03</v>
      </c>
    </row>
    <row r="4521" spans="1:5" x14ac:dyDescent="0.25">
      <c r="A4521" s="4" t="s">
        <v>53</v>
      </c>
      <c r="B4521" s="4" t="s">
        <v>37</v>
      </c>
      <c r="C4521" s="5">
        <v>45330</v>
      </c>
      <c r="D4521" s="4">
        <v>67.5</v>
      </c>
      <c r="E4521" s="4">
        <v>23.48</v>
      </c>
    </row>
    <row r="4522" spans="1:5" x14ac:dyDescent="0.25">
      <c r="A4522" s="4" t="s">
        <v>53</v>
      </c>
      <c r="B4522" s="4" t="s">
        <v>37</v>
      </c>
      <c r="C4522" s="5">
        <v>45330</v>
      </c>
      <c r="D4522" s="4">
        <v>78.7</v>
      </c>
      <c r="E4522" s="4">
        <v>27.38</v>
      </c>
    </row>
    <row r="4523" spans="1:5" x14ac:dyDescent="0.25">
      <c r="A4523" s="4" t="s">
        <v>53</v>
      </c>
      <c r="B4523" s="4" t="s">
        <v>37</v>
      </c>
      <c r="C4523" s="5">
        <v>45330</v>
      </c>
      <c r="D4523" s="4">
        <v>17.3</v>
      </c>
      <c r="E4523" s="4">
        <v>6.03</v>
      </c>
    </row>
    <row r="4524" spans="1:5" x14ac:dyDescent="0.25">
      <c r="A4524" s="4" t="s">
        <v>53</v>
      </c>
      <c r="B4524" s="4" t="s">
        <v>37</v>
      </c>
      <c r="C4524" s="5">
        <v>45330</v>
      </c>
      <c r="D4524" s="4">
        <v>17.3</v>
      </c>
      <c r="E4524" s="4">
        <v>6.03</v>
      </c>
    </row>
    <row r="4525" spans="1:5" x14ac:dyDescent="0.25">
      <c r="A4525" s="4" t="s">
        <v>53</v>
      </c>
      <c r="B4525" s="4" t="s">
        <v>37</v>
      </c>
      <c r="C4525" s="5">
        <v>45330</v>
      </c>
      <c r="D4525" s="4">
        <v>67.5</v>
      </c>
      <c r="E4525" s="4">
        <v>23.48</v>
      </c>
    </row>
    <row r="4526" spans="1:5" x14ac:dyDescent="0.25">
      <c r="A4526" s="4" t="s">
        <v>53</v>
      </c>
      <c r="B4526" s="4" t="s">
        <v>37</v>
      </c>
      <c r="C4526" s="5">
        <v>45330</v>
      </c>
      <c r="D4526" s="4">
        <v>29.9</v>
      </c>
      <c r="E4526" s="4">
        <v>10.36</v>
      </c>
    </row>
    <row r="4527" spans="1:5" x14ac:dyDescent="0.25">
      <c r="A4527" s="4" t="s">
        <v>53</v>
      </c>
      <c r="B4527" s="4" t="s">
        <v>37</v>
      </c>
      <c r="C4527" s="5">
        <v>45331</v>
      </c>
      <c r="D4527" s="4">
        <v>41.3</v>
      </c>
      <c r="E4527" s="4">
        <v>14.36</v>
      </c>
    </row>
    <row r="4528" spans="1:5" x14ac:dyDescent="0.25">
      <c r="A4528" s="4" t="s">
        <v>53</v>
      </c>
      <c r="B4528" s="4" t="s">
        <v>37</v>
      </c>
      <c r="C4528" s="5">
        <v>45331</v>
      </c>
      <c r="D4528" s="4">
        <v>17.3</v>
      </c>
      <c r="E4528" s="4">
        <v>6.03</v>
      </c>
    </row>
    <row r="4529" spans="1:5" x14ac:dyDescent="0.25">
      <c r="A4529" s="4" t="s">
        <v>53</v>
      </c>
      <c r="B4529" s="4" t="s">
        <v>37</v>
      </c>
      <c r="C4529" s="5">
        <v>45331</v>
      </c>
      <c r="D4529" s="4">
        <v>17.3</v>
      </c>
      <c r="E4529" s="4">
        <v>6.03</v>
      </c>
    </row>
    <row r="4530" spans="1:5" x14ac:dyDescent="0.25">
      <c r="A4530" s="4" t="s">
        <v>53</v>
      </c>
      <c r="B4530" s="4" t="s">
        <v>37</v>
      </c>
      <c r="C4530" s="5">
        <v>45331</v>
      </c>
      <c r="D4530" s="4">
        <v>67.5</v>
      </c>
      <c r="E4530" s="4">
        <v>23.48</v>
      </c>
    </row>
    <row r="4531" spans="1:5" x14ac:dyDescent="0.25">
      <c r="A4531" s="4" t="s">
        <v>53</v>
      </c>
      <c r="B4531" s="4" t="s">
        <v>37</v>
      </c>
      <c r="C4531" s="5">
        <v>45331</v>
      </c>
      <c r="D4531" s="4">
        <v>78.7</v>
      </c>
      <c r="E4531" s="4">
        <v>27.38</v>
      </c>
    </row>
    <row r="4532" spans="1:5" x14ac:dyDescent="0.25">
      <c r="A4532" s="4" t="s">
        <v>53</v>
      </c>
      <c r="B4532" s="4" t="s">
        <v>37</v>
      </c>
      <c r="C4532" s="5">
        <v>45331</v>
      </c>
      <c r="D4532" s="4">
        <v>17.3</v>
      </c>
      <c r="E4532" s="4">
        <v>6.03</v>
      </c>
    </row>
    <row r="4533" spans="1:5" x14ac:dyDescent="0.25">
      <c r="A4533" s="4" t="s">
        <v>53</v>
      </c>
      <c r="B4533" s="4" t="s">
        <v>37</v>
      </c>
      <c r="C4533" s="5">
        <v>45331</v>
      </c>
      <c r="D4533" s="4">
        <v>17.3</v>
      </c>
      <c r="E4533" s="4">
        <v>6.03</v>
      </c>
    </row>
    <row r="4534" spans="1:5" x14ac:dyDescent="0.25">
      <c r="A4534" s="4" t="s">
        <v>53</v>
      </c>
      <c r="B4534" s="4" t="s">
        <v>37</v>
      </c>
      <c r="C4534" s="5">
        <v>45331</v>
      </c>
      <c r="D4534" s="4">
        <v>67.5</v>
      </c>
      <c r="E4534" s="4">
        <v>23.48</v>
      </c>
    </row>
    <row r="4535" spans="1:5" x14ac:dyDescent="0.25">
      <c r="A4535" s="4" t="s">
        <v>53</v>
      </c>
      <c r="B4535" s="4" t="s">
        <v>37</v>
      </c>
      <c r="C4535" s="5">
        <v>45331</v>
      </c>
      <c r="D4535" s="4">
        <v>37.4</v>
      </c>
      <c r="E4535" s="4">
        <v>13.02</v>
      </c>
    </row>
    <row r="4536" spans="1:5" x14ac:dyDescent="0.25">
      <c r="A4536" s="4" t="s">
        <v>53</v>
      </c>
      <c r="B4536" s="4" t="s">
        <v>37</v>
      </c>
      <c r="C4536" s="5">
        <v>45334</v>
      </c>
      <c r="D4536" s="4">
        <v>30.6</v>
      </c>
      <c r="E4536" s="4">
        <v>10.67</v>
      </c>
    </row>
    <row r="4537" spans="1:5" x14ac:dyDescent="0.25">
      <c r="A4537" s="4" t="s">
        <v>53</v>
      </c>
      <c r="B4537" s="4" t="s">
        <v>37</v>
      </c>
      <c r="C4537" s="5">
        <v>45334</v>
      </c>
      <c r="D4537" s="4">
        <v>12.4</v>
      </c>
      <c r="E4537" s="4">
        <v>4.28</v>
      </c>
    </row>
    <row r="4538" spans="1:5" x14ac:dyDescent="0.25">
      <c r="A4538" s="4" t="s">
        <v>53</v>
      </c>
      <c r="B4538" s="4" t="s">
        <v>37</v>
      </c>
      <c r="C4538" s="5">
        <v>45334</v>
      </c>
      <c r="D4538" s="4">
        <v>17.5</v>
      </c>
      <c r="E4538" s="4">
        <v>6.05</v>
      </c>
    </row>
    <row r="4539" spans="1:5" x14ac:dyDescent="0.25">
      <c r="A4539" s="4" t="s">
        <v>53</v>
      </c>
      <c r="B4539" s="4" t="s">
        <v>37</v>
      </c>
      <c r="C4539" s="5">
        <v>45334</v>
      </c>
      <c r="D4539" s="4">
        <v>17.5</v>
      </c>
      <c r="E4539" s="4">
        <v>6.05</v>
      </c>
    </row>
    <row r="4540" spans="1:5" x14ac:dyDescent="0.25">
      <c r="A4540" s="4" t="s">
        <v>53</v>
      </c>
      <c r="B4540" s="4" t="s">
        <v>37</v>
      </c>
      <c r="C4540" s="5">
        <v>45334</v>
      </c>
      <c r="D4540" s="4">
        <v>17.5</v>
      </c>
      <c r="E4540" s="4">
        <v>6.05</v>
      </c>
    </row>
    <row r="4541" spans="1:5" x14ac:dyDescent="0.25">
      <c r="A4541" s="4" t="s">
        <v>53</v>
      </c>
      <c r="B4541" s="4" t="s">
        <v>37</v>
      </c>
      <c r="C4541" s="5">
        <v>45334</v>
      </c>
      <c r="D4541" s="4">
        <v>17.5</v>
      </c>
      <c r="E4541" s="4">
        <v>6.05</v>
      </c>
    </row>
    <row r="4542" spans="1:5" x14ac:dyDescent="0.25">
      <c r="A4542" s="4" t="s">
        <v>53</v>
      </c>
      <c r="B4542" s="4" t="s">
        <v>37</v>
      </c>
      <c r="C4542" s="5">
        <v>45334</v>
      </c>
      <c r="D4542" s="4">
        <v>11.3</v>
      </c>
      <c r="E4542" s="4">
        <v>3.9</v>
      </c>
    </row>
    <row r="4543" spans="1:5" x14ac:dyDescent="0.25">
      <c r="A4543" s="4" t="s">
        <v>53</v>
      </c>
      <c r="B4543" s="4" t="s">
        <v>37</v>
      </c>
      <c r="C4543" s="5">
        <v>45334</v>
      </c>
      <c r="D4543" s="4">
        <v>6.2</v>
      </c>
      <c r="E4543" s="4">
        <v>2.15</v>
      </c>
    </row>
    <row r="4544" spans="1:5" x14ac:dyDescent="0.25">
      <c r="A4544" s="4" t="s">
        <v>53</v>
      </c>
      <c r="B4544" s="4" t="s">
        <v>37</v>
      </c>
      <c r="C4544" s="5">
        <v>45334</v>
      </c>
      <c r="D4544" s="4">
        <v>17.5</v>
      </c>
      <c r="E4544" s="4">
        <v>6.05</v>
      </c>
    </row>
    <row r="4545" spans="1:5" x14ac:dyDescent="0.25">
      <c r="A4545" s="4" t="s">
        <v>53</v>
      </c>
      <c r="B4545" s="4" t="s">
        <v>37</v>
      </c>
      <c r="C4545" s="5">
        <v>45334</v>
      </c>
      <c r="D4545" s="4">
        <v>17.5</v>
      </c>
      <c r="E4545" s="4">
        <v>6.05</v>
      </c>
    </row>
    <row r="4546" spans="1:5" x14ac:dyDescent="0.25">
      <c r="A4546" s="4" t="s">
        <v>53</v>
      </c>
      <c r="B4546" s="4" t="s">
        <v>37</v>
      </c>
      <c r="C4546" s="5">
        <v>45334</v>
      </c>
      <c r="D4546" s="4">
        <v>17.5</v>
      </c>
      <c r="E4546" s="4">
        <v>6.05</v>
      </c>
    </row>
    <row r="4547" spans="1:5" x14ac:dyDescent="0.25">
      <c r="A4547" s="4" t="s">
        <v>53</v>
      </c>
      <c r="B4547" s="4" t="s">
        <v>37</v>
      </c>
      <c r="C4547" s="5">
        <v>45334</v>
      </c>
      <c r="D4547" s="4">
        <v>17.5</v>
      </c>
      <c r="E4547" s="4">
        <v>6.05</v>
      </c>
    </row>
    <row r="4548" spans="1:5" x14ac:dyDescent="0.25">
      <c r="A4548" s="4" t="s">
        <v>53</v>
      </c>
      <c r="B4548" s="4" t="s">
        <v>37</v>
      </c>
      <c r="C4548" s="5">
        <v>45335</v>
      </c>
      <c r="D4548" s="4">
        <v>17.5</v>
      </c>
      <c r="E4548" s="4">
        <v>6.05</v>
      </c>
    </row>
    <row r="4549" spans="1:5" x14ac:dyDescent="0.25">
      <c r="A4549" s="4" t="s">
        <v>53</v>
      </c>
      <c r="B4549" s="4" t="s">
        <v>37</v>
      </c>
      <c r="C4549" s="5">
        <v>45335</v>
      </c>
      <c r="D4549" s="4">
        <v>17.5</v>
      </c>
      <c r="E4549" s="4">
        <v>6.05</v>
      </c>
    </row>
    <row r="4550" spans="1:5" x14ac:dyDescent="0.25">
      <c r="A4550" s="4" t="s">
        <v>53</v>
      </c>
      <c r="B4550" s="4" t="s">
        <v>37</v>
      </c>
      <c r="C4550" s="5">
        <v>45335</v>
      </c>
      <c r="D4550" s="4">
        <v>17.5</v>
      </c>
      <c r="E4550" s="4">
        <v>6.05</v>
      </c>
    </row>
    <row r="4551" spans="1:5" x14ac:dyDescent="0.25">
      <c r="A4551" s="4" t="s">
        <v>53</v>
      </c>
      <c r="B4551" s="4" t="s">
        <v>37</v>
      </c>
      <c r="C4551" s="5">
        <v>45335</v>
      </c>
      <c r="D4551" s="4">
        <v>17.5</v>
      </c>
      <c r="E4551" s="4">
        <v>6.05</v>
      </c>
    </row>
    <row r="4552" spans="1:5" x14ac:dyDescent="0.25">
      <c r="A4552" s="4" t="s">
        <v>53</v>
      </c>
      <c r="B4552" s="4" t="s">
        <v>37</v>
      </c>
      <c r="C4552" s="5">
        <v>45335</v>
      </c>
      <c r="D4552" s="4">
        <v>17.5</v>
      </c>
      <c r="E4552" s="4">
        <v>6.05</v>
      </c>
    </row>
    <row r="4553" spans="1:5" x14ac:dyDescent="0.25">
      <c r="A4553" s="4" t="s">
        <v>53</v>
      </c>
      <c r="B4553" s="4" t="s">
        <v>37</v>
      </c>
      <c r="C4553" s="5">
        <v>45335</v>
      </c>
      <c r="D4553" s="4">
        <v>17.5</v>
      </c>
      <c r="E4553" s="4">
        <v>6.05</v>
      </c>
    </row>
    <row r="4554" spans="1:5" x14ac:dyDescent="0.25">
      <c r="A4554" s="4" t="s">
        <v>53</v>
      </c>
      <c r="B4554" s="4" t="s">
        <v>37</v>
      </c>
      <c r="C4554" s="5">
        <v>45335</v>
      </c>
      <c r="D4554" s="4">
        <v>17.5</v>
      </c>
      <c r="E4554" s="4">
        <v>6.05</v>
      </c>
    </row>
    <row r="4555" spans="1:5" x14ac:dyDescent="0.25">
      <c r="A4555" s="4" t="s">
        <v>53</v>
      </c>
      <c r="B4555" s="4" t="s">
        <v>37</v>
      </c>
      <c r="C4555" s="5">
        <v>45335</v>
      </c>
      <c r="D4555" s="4">
        <v>17.5</v>
      </c>
      <c r="E4555" s="4">
        <v>6.05</v>
      </c>
    </row>
    <row r="4556" spans="1:5" x14ac:dyDescent="0.25">
      <c r="A4556" s="4" t="s">
        <v>53</v>
      </c>
      <c r="B4556" s="4" t="s">
        <v>37</v>
      </c>
      <c r="C4556" s="5">
        <v>45335</v>
      </c>
      <c r="D4556" s="4">
        <v>17.5</v>
      </c>
      <c r="E4556" s="4">
        <v>6.05</v>
      </c>
    </row>
    <row r="4557" spans="1:5" x14ac:dyDescent="0.25">
      <c r="A4557" s="4" t="s">
        <v>53</v>
      </c>
      <c r="B4557" s="4" t="s">
        <v>37</v>
      </c>
      <c r="C4557" s="5">
        <v>45335</v>
      </c>
      <c r="D4557" s="4">
        <v>17.5</v>
      </c>
      <c r="E4557" s="4">
        <v>6.05</v>
      </c>
    </row>
    <row r="4558" spans="1:5" x14ac:dyDescent="0.25">
      <c r="A4558" s="4" t="s">
        <v>53</v>
      </c>
      <c r="B4558" s="4" t="s">
        <v>37</v>
      </c>
      <c r="C4558" s="5">
        <v>45336</v>
      </c>
      <c r="D4558" s="4">
        <v>17.5</v>
      </c>
      <c r="E4558" s="4">
        <v>6.05</v>
      </c>
    </row>
    <row r="4559" spans="1:5" x14ac:dyDescent="0.25">
      <c r="A4559" s="4" t="s">
        <v>53</v>
      </c>
      <c r="B4559" s="4" t="s">
        <v>37</v>
      </c>
      <c r="C4559" s="5">
        <v>45336</v>
      </c>
      <c r="D4559" s="4">
        <v>17.5</v>
      </c>
      <c r="E4559" s="4">
        <v>6.05</v>
      </c>
    </row>
    <row r="4560" spans="1:5" x14ac:dyDescent="0.25">
      <c r="A4560" s="4" t="s">
        <v>53</v>
      </c>
      <c r="B4560" s="4" t="s">
        <v>37</v>
      </c>
      <c r="C4560" s="5">
        <v>45336</v>
      </c>
      <c r="D4560" s="4">
        <v>17.5</v>
      </c>
      <c r="E4560" s="4">
        <v>6.05</v>
      </c>
    </row>
    <row r="4561" spans="1:5" x14ac:dyDescent="0.25">
      <c r="A4561" s="4" t="s">
        <v>53</v>
      </c>
      <c r="B4561" s="4" t="s">
        <v>37</v>
      </c>
      <c r="C4561" s="5">
        <v>45336</v>
      </c>
      <c r="D4561" s="4">
        <v>3.3</v>
      </c>
      <c r="E4561" s="4">
        <v>1.1499999999999999</v>
      </c>
    </row>
    <row r="4562" spans="1:5" x14ac:dyDescent="0.25">
      <c r="A4562" s="4" t="s">
        <v>53</v>
      </c>
      <c r="B4562" s="4" t="s">
        <v>37</v>
      </c>
      <c r="C4562" s="5">
        <v>45336</v>
      </c>
      <c r="D4562" s="4">
        <v>21.3</v>
      </c>
      <c r="E4562" s="4">
        <v>7.41</v>
      </c>
    </row>
    <row r="4563" spans="1:5" x14ac:dyDescent="0.25">
      <c r="A4563" s="4" t="s">
        <v>53</v>
      </c>
      <c r="B4563" s="4" t="s">
        <v>37</v>
      </c>
      <c r="C4563" s="5">
        <v>45336</v>
      </c>
      <c r="D4563" s="4">
        <v>17.5</v>
      </c>
      <c r="E4563" s="4">
        <v>6.05</v>
      </c>
    </row>
    <row r="4564" spans="1:5" x14ac:dyDescent="0.25">
      <c r="A4564" s="4" t="s">
        <v>53</v>
      </c>
      <c r="B4564" s="4" t="s">
        <v>37</v>
      </c>
      <c r="C4564" s="5">
        <v>45336</v>
      </c>
      <c r="D4564" s="4">
        <v>17.5</v>
      </c>
      <c r="E4564" s="4">
        <v>6.05</v>
      </c>
    </row>
    <row r="4565" spans="1:5" x14ac:dyDescent="0.25">
      <c r="A4565" s="4" t="s">
        <v>53</v>
      </c>
      <c r="B4565" s="4" t="s">
        <v>37</v>
      </c>
      <c r="C4565" s="5">
        <v>45336</v>
      </c>
      <c r="D4565" s="4">
        <v>12.4</v>
      </c>
      <c r="E4565" s="4">
        <v>4.28</v>
      </c>
    </row>
    <row r="4566" spans="1:5" x14ac:dyDescent="0.25">
      <c r="A4566" s="4" t="s">
        <v>53</v>
      </c>
      <c r="B4566" s="4" t="s">
        <v>37</v>
      </c>
      <c r="C4566" s="5">
        <v>45336</v>
      </c>
      <c r="D4566" s="4">
        <v>17.5</v>
      </c>
      <c r="E4566" s="4">
        <v>6.05</v>
      </c>
    </row>
    <row r="4567" spans="1:5" x14ac:dyDescent="0.25">
      <c r="A4567" s="4" t="s">
        <v>53</v>
      </c>
      <c r="B4567" s="4" t="s">
        <v>37</v>
      </c>
      <c r="C4567" s="5">
        <v>45337</v>
      </c>
      <c r="D4567" s="4">
        <v>17.5</v>
      </c>
      <c r="E4567" s="4">
        <v>6.05</v>
      </c>
    </row>
    <row r="4568" spans="1:5" x14ac:dyDescent="0.25">
      <c r="A4568" s="4" t="s">
        <v>53</v>
      </c>
      <c r="B4568" s="4" t="s">
        <v>37</v>
      </c>
      <c r="C4568" s="5">
        <v>45337</v>
      </c>
      <c r="D4568" s="4">
        <v>17.5</v>
      </c>
      <c r="E4568" s="4">
        <v>6.05</v>
      </c>
    </row>
    <row r="4569" spans="1:5" x14ac:dyDescent="0.25">
      <c r="A4569" s="4" t="s">
        <v>53</v>
      </c>
      <c r="B4569" s="4" t="s">
        <v>37</v>
      </c>
      <c r="C4569" s="5">
        <v>45337</v>
      </c>
      <c r="D4569" s="4">
        <v>17.5</v>
      </c>
      <c r="E4569" s="4">
        <v>6.05</v>
      </c>
    </row>
    <row r="4570" spans="1:5" x14ac:dyDescent="0.25">
      <c r="A4570" s="4" t="s">
        <v>53</v>
      </c>
      <c r="B4570" s="4" t="s">
        <v>37</v>
      </c>
      <c r="C4570" s="5">
        <v>45337</v>
      </c>
      <c r="D4570" s="4">
        <v>17.5</v>
      </c>
      <c r="E4570" s="4">
        <v>6.05</v>
      </c>
    </row>
    <row r="4571" spans="1:5" x14ac:dyDescent="0.25">
      <c r="A4571" s="4" t="s">
        <v>53</v>
      </c>
      <c r="B4571" s="4" t="s">
        <v>37</v>
      </c>
      <c r="C4571" s="5">
        <v>45337</v>
      </c>
      <c r="D4571" s="4">
        <v>17.5</v>
      </c>
      <c r="E4571" s="4">
        <v>6.05</v>
      </c>
    </row>
    <row r="4572" spans="1:5" x14ac:dyDescent="0.25">
      <c r="A4572" s="4" t="s">
        <v>53</v>
      </c>
      <c r="B4572" s="4" t="s">
        <v>37</v>
      </c>
      <c r="C4572" s="5">
        <v>45337</v>
      </c>
      <c r="D4572" s="4">
        <v>17.5</v>
      </c>
      <c r="E4572" s="4">
        <v>6.05</v>
      </c>
    </row>
    <row r="4573" spans="1:5" x14ac:dyDescent="0.25">
      <c r="A4573" s="4" t="s">
        <v>53</v>
      </c>
      <c r="B4573" s="4" t="s">
        <v>37</v>
      </c>
      <c r="C4573" s="5">
        <v>45337</v>
      </c>
      <c r="D4573" s="4">
        <v>17.5</v>
      </c>
      <c r="E4573" s="4">
        <v>6.05</v>
      </c>
    </row>
    <row r="4574" spans="1:5" x14ac:dyDescent="0.25">
      <c r="A4574" s="4" t="s">
        <v>53</v>
      </c>
      <c r="B4574" s="4" t="s">
        <v>37</v>
      </c>
      <c r="C4574" s="5">
        <v>45337</v>
      </c>
      <c r="D4574" s="4">
        <v>17.5</v>
      </c>
      <c r="E4574" s="4">
        <v>6.05</v>
      </c>
    </row>
    <row r="4575" spans="1:5" x14ac:dyDescent="0.25">
      <c r="A4575" s="4" t="s">
        <v>53</v>
      </c>
      <c r="B4575" s="4" t="s">
        <v>37</v>
      </c>
      <c r="C4575" s="5">
        <v>45337</v>
      </c>
      <c r="D4575" s="4">
        <v>17.5</v>
      </c>
      <c r="E4575" s="4">
        <v>6.05</v>
      </c>
    </row>
    <row r="4576" spans="1:5" x14ac:dyDescent="0.25">
      <c r="A4576" s="4" t="s">
        <v>53</v>
      </c>
      <c r="B4576" s="4" t="s">
        <v>37</v>
      </c>
      <c r="C4576" s="5">
        <v>45337</v>
      </c>
      <c r="D4576" s="4">
        <v>17.5</v>
      </c>
      <c r="E4576" s="4">
        <v>6.05</v>
      </c>
    </row>
    <row r="4577" spans="1:5" x14ac:dyDescent="0.25">
      <c r="A4577" s="4" t="s">
        <v>53</v>
      </c>
      <c r="B4577" s="4" t="s">
        <v>58</v>
      </c>
      <c r="C4577" s="5">
        <v>45320</v>
      </c>
      <c r="D4577" s="4">
        <v>31.4</v>
      </c>
      <c r="E4577" s="4">
        <v>10.88</v>
      </c>
    </row>
    <row r="4578" spans="1:5" x14ac:dyDescent="0.25">
      <c r="A4578" s="4" t="s">
        <v>53</v>
      </c>
      <c r="B4578" s="4" t="s">
        <v>58</v>
      </c>
      <c r="C4578" s="5">
        <v>45320</v>
      </c>
      <c r="D4578" s="4">
        <v>24.4</v>
      </c>
      <c r="E4578" s="4">
        <v>8.4</v>
      </c>
    </row>
    <row r="4579" spans="1:5" x14ac:dyDescent="0.25">
      <c r="A4579" s="4" t="s">
        <v>53</v>
      </c>
      <c r="B4579" s="4" t="s">
        <v>58</v>
      </c>
      <c r="C4579" s="5">
        <v>45320</v>
      </c>
      <c r="D4579" s="4">
        <v>1.3</v>
      </c>
      <c r="E4579" s="4">
        <v>0.43</v>
      </c>
    </row>
    <row r="4580" spans="1:5" x14ac:dyDescent="0.25">
      <c r="A4580" s="4" t="s">
        <v>53</v>
      </c>
      <c r="B4580" s="4" t="s">
        <v>58</v>
      </c>
      <c r="C4580" s="5">
        <v>45320</v>
      </c>
      <c r="D4580" s="4">
        <v>45.7</v>
      </c>
      <c r="E4580" s="4">
        <v>15.9</v>
      </c>
    </row>
    <row r="4581" spans="1:5" x14ac:dyDescent="0.25">
      <c r="A4581" s="4" t="s">
        <v>53</v>
      </c>
      <c r="B4581" s="4" t="s">
        <v>58</v>
      </c>
      <c r="C4581" s="5">
        <v>45320</v>
      </c>
      <c r="D4581" s="4">
        <v>20.3</v>
      </c>
      <c r="E4581" s="4">
        <v>7.06</v>
      </c>
    </row>
    <row r="4582" spans="1:5" x14ac:dyDescent="0.25">
      <c r="A4582" s="4" t="s">
        <v>53</v>
      </c>
      <c r="B4582" s="4" t="s">
        <v>58</v>
      </c>
      <c r="C4582" s="5">
        <v>45320</v>
      </c>
      <c r="D4582" s="4">
        <v>20.3</v>
      </c>
      <c r="E4582" s="4">
        <v>7.06</v>
      </c>
    </row>
    <row r="4583" spans="1:5" x14ac:dyDescent="0.25">
      <c r="A4583" s="4" t="s">
        <v>53</v>
      </c>
      <c r="B4583" s="4" t="s">
        <v>58</v>
      </c>
      <c r="C4583" s="5">
        <v>45320</v>
      </c>
      <c r="D4583" s="4">
        <v>76.3</v>
      </c>
      <c r="E4583" s="4">
        <v>26.55</v>
      </c>
    </row>
    <row r="4584" spans="1:5" x14ac:dyDescent="0.25">
      <c r="A4584" s="4" t="s">
        <v>53</v>
      </c>
      <c r="B4584" s="4" t="s">
        <v>58</v>
      </c>
      <c r="C4584" s="5">
        <v>45320</v>
      </c>
      <c r="D4584" s="4">
        <v>44.4</v>
      </c>
      <c r="E4584" s="4">
        <v>15.46</v>
      </c>
    </row>
    <row r="4585" spans="1:5" x14ac:dyDescent="0.25">
      <c r="A4585" s="4" t="s">
        <v>53</v>
      </c>
      <c r="B4585" s="4" t="s">
        <v>58</v>
      </c>
      <c r="C4585" s="5">
        <v>45321</v>
      </c>
      <c r="D4585" s="4">
        <v>16.7</v>
      </c>
      <c r="E4585" s="4">
        <v>5.75</v>
      </c>
    </row>
    <row r="4586" spans="1:5" x14ac:dyDescent="0.25">
      <c r="A4586" s="4" t="s">
        <v>53</v>
      </c>
      <c r="B4586" s="4" t="s">
        <v>58</v>
      </c>
      <c r="C4586" s="5">
        <v>45321</v>
      </c>
      <c r="D4586" s="4">
        <v>16.899999999999999</v>
      </c>
      <c r="E4586" s="4">
        <v>5.84</v>
      </c>
    </row>
    <row r="4587" spans="1:5" x14ac:dyDescent="0.25">
      <c r="A4587" s="4" t="s">
        <v>53</v>
      </c>
      <c r="B4587" s="4" t="s">
        <v>58</v>
      </c>
      <c r="C4587" s="5">
        <v>45321</v>
      </c>
      <c r="D4587" s="4">
        <v>16.899999999999999</v>
      </c>
      <c r="E4587" s="4">
        <v>5.84</v>
      </c>
    </row>
    <row r="4588" spans="1:5" x14ac:dyDescent="0.25">
      <c r="A4588" s="4" t="s">
        <v>53</v>
      </c>
      <c r="B4588" s="4" t="s">
        <v>58</v>
      </c>
      <c r="C4588" s="5">
        <v>45321</v>
      </c>
      <c r="D4588" s="4">
        <v>16.899999999999999</v>
      </c>
      <c r="E4588" s="4">
        <v>5.84</v>
      </c>
    </row>
    <row r="4589" spans="1:5" x14ac:dyDescent="0.25">
      <c r="A4589" s="4" t="s">
        <v>53</v>
      </c>
      <c r="B4589" s="4" t="s">
        <v>58</v>
      </c>
      <c r="C4589" s="5">
        <v>45321</v>
      </c>
      <c r="D4589" s="4">
        <v>32.700000000000003</v>
      </c>
      <c r="E4589" s="4">
        <v>11.39</v>
      </c>
    </row>
    <row r="4590" spans="1:5" x14ac:dyDescent="0.25">
      <c r="A4590" s="4" t="s">
        <v>53</v>
      </c>
      <c r="B4590" s="4" t="s">
        <v>58</v>
      </c>
      <c r="C4590" s="5">
        <v>45321</v>
      </c>
      <c r="D4590" s="4">
        <v>5.0999999999999996</v>
      </c>
      <c r="E4590" s="4">
        <v>1.78</v>
      </c>
    </row>
    <row r="4591" spans="1:5" x14ac:dyDescent="0.25">
      <c r="A4591" s="4" t="s">
        <v>53</v>
      </c>
      <c r="B4591" s="4" t="s">
        <v>58</v>
      </c>
      <c r="C4591" s="5">
        <v>45321</v>
      </c>
      <c r="D4591" s="4">
        <v>5.0999999999999996</v>
      </c>
      <c r="E4591" s="4">
        <v>1.78</v>
      </c>
    </row>
    <row r="4592" spans="1:5" x14ac:dyDescent="0.25">
      <c r="A4592" s="4" t="s">
        <v>53</v>
      </c>
      <c r="B4592" s="4" t="s">
        <v>58</v>
      </c>
      <c r="C4592" s="5">
        <v>45321</v>
      </c>
      <c r="D4592" s="4">
        <v>5.0999999999999996</v>
      </c>
      <c r="E4592" s="4">
        <v>1.78</v>
      </c>
    </row>
    <row r="4593" spans="1:5" x14ac:dyDescent="0.25">
      <c r="A4593" s="4" t="s">
        <v>53</v>
      </c>
      <c r="B4593" s="4" t="s">
        <v>58</v>
      </c>
      <c r="C4593" s="5">
        <v>45321</v>
      </c>
      <c r="D4593" s="4">
        <v>5.0999999999999996</v>
      </c>
      <c r="E4593" s="4">
        <v>1.78</v>
      </c>
    </row>
    <row r="4594" spans="1:5" x14ac:dyDescent="0.25">
      <c r="A4594" s="4" t="s">
        <v>53</v>
      </c>
      <c r="B4594" s="4" t="s">
        <v>58</v>
      </c>
      <c r="C4594" s="5">
        <v>45321</v>
      </c>
      <c r="D4594" s="4">
        <v>5.0999999999999996</v>
      </c>
      <c r="E4594" s="4">
        <v>1.78</v>
      </c>
    </row>
    <row r="4595" spans="1:5" x14ac:dyDescent="0.25">
      <c r="A4595" s="4" t="s">
        <v>53</v>
      </c>
      <c r="B4595" s="4" t="s">
        <v>58</v>
      </c>
      <c r="C4595" s="5">
        <v>45321</v>
      </c>
      <c r="D4595" s="4">
        <v>5.0999999999999996</v>
      </c>
      <c r="E4595" s="4">
        <v>1.78</v>
      </c>
    </row>
    <row r="4596" spans="1:5" x14ac:dyDescent="0.25">
      <c r="A4596" s="4" t="s">
        <v>53</v>
      </c>
      <c r="B4596" s="4" t="s">
        <v>58</v>
      </c>
      <c r="C4596" s="5">
        <v>45321</v>
      </c>
      <c r="D4596" s="4">
        <v>5.0999999999999996</v>
      </c>
      <c r="E4596" s="4">
        <v>1.78</v>
      </c>
    </row>
    <row r="4597" spans="1:5" x14ac:dyDescent="0.25">
      <c r="A4597" s="4" t="s">
        <v>53</v>
      </c>
      <c r="B4597" s="4" t="s">
        <v>58</v>
      </c>
      <c r="C4597" s="5">
        <v>45321</v>
      </c>
      <c r="D4597" s="4">
        <v>5.0999999999999996</v>
      </c>
      <c r="E4597" s="4">
        <v>1.78</v>
      </c>
    </row>
    <row r="4598" spans="1:5" x14ac:dyDescent="0.25">
      <c r="A4598" s="4" t="s">
        <v>53</v>
      </c>
      <c r="B4598" s="4" t="s">
        <v>58</v>
      </c>
      <c r="C4598" s="5">
        <v>45321</v>
      </c>
      <c r="D4598" s="4">
        <v>5.0999999999999996</v>
      </c>
      <c r="E4598" s="4">
        <v>1.78</v>
      </c>
    </row>
    <row r="4599" spans="1:5" x14ac:dyDescent="0.25">
      <c r="A4599" s="4" t="s">
        <v>53</v>
      </c>
      <c r="B4599" s="4" t="s">
        <v>58</v>
      </c>
      <c r="C4599" s="5">
        <v>45321</v>
      </c>
      <c r="D4599" s="4">
        <v>22.6</v>
      </c>
      <c r="E4599" s="4">
        <v>7.88</v>
      </c>
    </row>
    <row r="4600" spans="1:5" x14ac:dyDescent="0.25">
      <c r="A4600" s="4" t="s">
        <v>53</v>
      </c>
      <c r="B4600" s="4" t="s">
        <v>58</v>
      </c>
      <c r="C4600" s="5">
        <v>45322</v>
      </c>
      <c r="D4600" s="4">
        <v>2.4</v>
      </c>
      <c r="E4600" s="4">
        <v>0.81</v>
      </c>
    </row>
    <row r="4601" spans="1:5" x14ac:dyDescent="0.25">
      <c r="A4601" s="4" t="s">
        <v>53</v>
      </c>
      <c r="B4601" s="4" t="s">
        <v>58</v>
      </c>
      <c r="C4601" s="5">
        <v>45322</v>
      </c>
      <c r="D4601" s="4">
        <v>0.5</v>
      </c>
      <c r="E4601" s="4">
        <v>0.17</v>
      </c>
    </row>
    <row r="4602" spans="1:5" x14ac:dyDescent="0.25">
      <c r="A4602" s="4" t="s">
        <v>53</v>
      </c>
      <c r="B4602" s="4" t="s">
        <v>58</v>
      </c>
      <c r="C4602" s="5">
        <v>45322</v>
      </c>
      <c r="D4602" s="4">
        <v>1.2</v>
      </c>
      <c r="E4602" s="4">
        <v>0.41</v>
      </c>
    </row>
    <row r="4603" spans="1:5" x14ac:dyDescent="0.25">
      <c r="A4603" s="4" t="s">
        <v>53</v>
      </c>
      <c r="B4603" s="4" t="s">
        <v>58</v>
      </c>
      <c r="C4603" s="5">
        <v>45322</v>
      </c>
      <c r="D4603" s="4">
        <v>1.2</v>
      </c>
      <c r="E4603" s="4">
        <v>0.41</v>
      </c>
    </row>
    <row r="4604" spans="1:5" x14ac:dyDescent="0.25">
      <c r="A4604" s="4" t="s">
        <v>53</v>
      </c>
      <c r="B4604" s="4" t="s">
        <v>58</v>
      </c>
      <c r="C4604" s="5">
        <v>45322</v>
      </c>
      <c r="D4604" s="4">
        <v>1.2</v>
      </c>
      <c r="E4604" s="4">
        <v>0.41</v>
      </c>
    </row>
    <row r="4605" spans="1:5" x14ac:dyDescent="0.25">
      <c r="A4605" s="4" t="s">
        <v>53</v>
      </c>
      <c r="B4605" s="4" t="s">
        <v>58</v>
      </c>
      <c r="C4605" s="5">
        <v>45322</v>
      </c>
      <c r="D4605" s="4">
        <v>1.2</v>
      </c>
      <c r="E4605" s="4">
        <v>0.41</v>
      </c>
    </row>
    <row r="4606" spans="1:5" x14ac:dyDescent="0.25">
      <c r="A4606" s="4" t="s">
        <v>53</v>
      </c>
      <c r="B4606" s="4" t="s">
        <v>58</v>
      </c>
      <c r="C4606" s="5">
        <v>45322</v>
      </c>
      <c r="D4606" s="4">
        <v>1.2</v>
      </c>
      <c r="E4606" s="4">
        <v>0.41</v>
      </c>
    </row>
    <row r="4607" spans="1:5" x14ac:dyDescent="0.25">
      <c r="A4607" s="4" t="s">
        <v>53</v>
      </c>
      <c r="B4607" s="4" t="s">
        <v>58</v>
      </c>
      <c r="C4607" s="5">
        <v>45322</v>
      </c>
      <c r="D4607" s="4">
        <v>1.2</v>
      </c>
      <c r="E4607" s="4">
        <v>0.41</v>
      </c>
    </row>
    <row r="4608" spans="1:5" x14ac:dyDescent="0.25">
      <c r="A4608" s="4" t="s">
        <v>53</v>
      </c>
      <c r="B4608" s="4" t="s">
        <v>58</v>
      </c>
      <c r="C4608" s="5">
        <v>45322</v>
      </c>
      <c r="D4608" s="4">
        <v>1.2</v>
      </c>
      <c r="E4608" s="4">
        <v>0.41</v>
      </c>
    </row>
    <row r="4609" spans="1:5" x14ac:dyDescent="0.25">
      <c r="A4609" s="4" t="s">
        <v>53</v>
      </c>
      <c r="B4609" s="4" t="s">
        <v>58</v>
      </c>
      <c r="C4609" s="5">
        <v>45322</v>
      </c>
      <c r="D4609" s="4">
        <v>30.6</v>
      </c>
      <c r="E4609" s="4">
        <v>10.67</v>
      </c>
    </row>
    <row r="4610" spans="1:5" x14ac:dyDescent="0.25">
      <c r="A4610" s="4" t="s">
        <v>53</v>
      </c>
      <c r="B4610" s="4" t="s">
        <v>58</v>
      </c>
      <c r="C4610" s="5">
        <v>45323</v>
      </c>
      <c r="D4610" s="4">
        <v>17.3</v>
      </c>
      <c r="E4610" s="4">
        <v>6.02</v>
      </c>
    </row>
    <row r="4611" spans="1:5" x14ac:dyDescent="0.25">
      <c r="A4611" s="4" t="s">
        <v>53</v>
      </c>
      <c r="B4611" s="4" t="s">
        <v>58</v>
      </c>
      <c r="C4611" s="5">
        <v>45323</v>
      </c>
      <c r="D4611" s="4">
        <v>13</v>
      </c>
      <c r="E4611" s="4">
        <v>4.5</v>
      </c>
    </row>
    <row r="4612" spans="1:5" x14ac:dyDescent="0.25">
      <c r="A4612" s="4" t="s">
        <v>53</v>
      </c>
      <c r="B4612" s="4" t="s">
        <v>58</v>
      </c>
      <c r="C4612" s="5">
        <v>45323</v>
      </c>
      <c r="D4612" s="4">
        <v>13</v>
      </c>
      <c r="E4612" s="4">
        <v>4.5</v>
      </c>
    </row>
    <row r="4613" spans="1:5" x14ac:dyDescent="0.25">
      <c r="A4613" s="4" t="s">
        <v>53</v>
      </c>
      <c r="B4613" s="4" t="s">
        <v>58</v>
      </c>
      <c r="C4613" s="5">
        <v>45323</v>
      </c>
      <c r="D4613" s="4">
        <v>13</v>
      </c>
      <c r="E4613" s="4">
        <v>4.5</v>
      </c>
    </row>
    <row r="4614" spans="1:5" x14ac:dyDescent="0.25">
      <c r="A4614" s="4" t="s">
        <v>53</v>
      </c>
      <c r="B4614" s="4" t="s">
        <v>58</v>
      </c>
      <c r="C4614" s="5">
        <v>45323</v>
      </c>
      <c r="D4614" s="4">
        <v>13</v>
      </c>
      <c r="E4614" s="4">
        <v>4.5</v>
      </c>
    </row>
    <row r="4615" spans="1:5" x14ac:dyDescent="0.25">
      <c r="A4615" s="4" t="s">
        <v>53</v>
      </c>
      <c r="B4615" s="4" t="s">
        <v>58</v>
      </c>
      <c r="C4615" s="5">
        <v>45323</v>
      </c>
      <c r="D4615" s="4">
        <v>13</v>
      </c>
      <c r="E4615" s="4">
        <v>4.5</v>
      </c>
    </row>
    <row r="4616" spans="1:5" x14ac:dyDescent="0.25">
      <c r="A4616" s="4" t="s">
        <v>53</v>
      </c>
      <c r="B4616" s="4" t="s">
        <v>58</v>
      </c>
      <c r="C4616" s="5">
        <v>45323</v>
      </c>
      <c r="D4616" s="4">
        <v>13</v>
      </c>
      <c r="E4616" s="4">
        <v>4.5</v>
      </c>
    </row>
    <row r="4617" spans="1:5" x14ac:dyDescent="0.25">
      <c r="A4617" s="4" t="s">
        <v>53</v>
      </c>
      <c r="B4617" s="4" t="s">
        <v>58</v>
      </c>
      <c r="C4617" s="5">
        <v>45323</v>
      </c>
      <c r="D4617" s="4">
        <v>13</v>
      </c>
      <c r="E4617" s="4">
        <v>4.5</v>
      </c>
    </row>
    <row r="4618" spans="1:5" x14ac:dyDescent="0.25">
      <c r="A4618" s="4" t="s">
        <v>53</v>
      </c>
      <c r="B4618" s="4" t="s">
        <v>58</v>
      </c>
      <c r="C4618" s="5">
        <v>45323</v>
      </c>
      <c r="D4618" s="4">
        <v>29.9</v>
      </c>
      <c r="E4618" s="4">
        <v>10.36</v>
      </c>
    </row>
    <row r="4619" spans="1:5" x14ac:dyDescent="0.25">
      <c r="A4619" s="4" t="s">
        <v>53</v>
      </c>
      <c r="B4619" s="4" t="s">
        <v>58</v>
      </c>
      <c r="C4619" s="5">
        <v>45324</v>
      </c>
      <c r="D4619" s="4">
        <v>9.6999999999999993</v>
      </c>
      <c r="E4619" s="4">
        <v>3.32</v>
      </c>
    </row>
    <row r="4620" spans="1:5" x14ac:dyDescent="0.25">
      <c r="A4620" s="4" t="s">
        <v>53</v>
      </c>
      <c r="B4620" s="4" t="s">
        <v>58</v>
      </c>
      <c r="C4620" s="5">
        <v>45324</v>
      </c>
      <c r="D4620" s="4">
        <v>48.8</v>
      </c>
      <c r="E4620" s="4">
        <v>17</v>
      </c>
    </row>
    <row r="4621" spans="1:5" x14ac:dyDescent="0.25">
      <c r="A4621" s="4" t="s">
        <v>53</v>
      </c>
      <c r="B4621" s="4" t="s">
        <v>58</v>
      </c>
      <c r="C4621" s="5">
        <v>45324</v>
      </c>
      <c r="D4621" s="4">
        <v>33</v>
      </c>
      <c r="E4621" s="4">
        <v>11.48</v>
      </c>
    </row>
    <row r="4622" spans="1:5" x14ac:dyDescent="0.25">
      <c r="A4622" s="4" t="s">
        <v>53</v>
      </c>
      <c r="B4622" s="4" t="s">
        <v>58</v>
      </c>
      <c r="C4622" s="5">
        <v>45324</v>
      </c>
      <c r="D4622" s="4">
        <v>2.9</v>
      </c>
      <c r="E4622" s="4">
        <v>1.01</v>
      </c>
    </row>
    <row r="4623" spans="1:5" x14ac:dyDescent="0.25">
      <c r="A4623" s="4" t="s">
        <v>53</v>
      </c>
      <c r="B4623" s="4" t="s">
        <v>58</v>
      </c>
      <c r="C4623" s="5">
        <v>45324</v>
      </c>
      <c r="D4623" s="4">
        <v>9.4</v>
      </c>
      <c r="E4623" s="4">
        <v>3.27</v>
      </c>
    </row>
    <row r="4624" spans="1:5" x14ac:dyDescent="0.25">
      <c r="A4624" s="4" t="s">
        <v>53</v>
      </c>
      <c r="B4624" s="4" t="s">
        <v>58</v>
      </c>
      <c r="C4624" s="5">
        <v>45324</v>
      </c>
      <c r="D4624" s="4">
        <v>48.8</v>
      </c>
      <c r="E4624" s="4">
        <v>17</v>
      </c>
    </row>
    <row r="4625" spans="1:5" x14ac:dyDescent="0.25">
      <c r="A4625" s="4" t="s">
        <v>53</v>
      </c>
      <c r="B4625" s="4" t="s">
        <v>58</v>
      </c>
      <c r="C4625" s="5">
        <v>45324</v>
      </c>
      <c r="D4625" s="4">
        <v>29.9</v>
      </c>
      <c r="E4625" s="4">
        <v>10.36</v>
      </c>
    </row>
    <row r="4626" spans="1:5" x14ac:dyDescent="0.25">
      <c r="A4626" s="4" t="s">
        <v>53</v>
      </c>
      <c r="B4626" s="4" t="s">
        <v>58</v>
      </c>
      <c r="C4626" s="5">
        <v>45327</v>
      </c>
      <c r="D4626" s="4">
        <v>0.9</v>
      </c>
      <c r="E4626" s="4">
        <v>0.31</v>
      </c>
    </row>
    <row r="4627" spans="1:5" x14ac:dyDescent="0.25">
      <c r="A4627" s="4" t="s">
        <v>53</v>
      </c>
      <c r="B4627" s="4" t="s">
        <v>58</v>
      </c>
      <c r="C4627" s="5">
        <v>45327</v>
      </c>
      <c r="D4627" s="4">
        <v>0.3</v>
      </c>
      <c r="E4627" s="4">
        <v>0.1</v>
      </c>
    </row>
    <row r="4628" spans="1:5" x14ac:dyDescent="0.25">
      <c r="A4628" s="4" t="s">
        <v>53</v>
      </c>
      <c r="B4628" s="4" t="s">
        <v>58</v>
      </c>
      <c r="C4628" s="5">
        <v>45327</v>
      </c>
      <c r="D4628" s="4">
        <v>0.3</v>
      </c>
      <c r="E4628" s="4">
        <v>0.1</v>
      </c>
    </row>
    <row r="4629" spans="1:5" x14ac:dyDescent="0.25">
      <c r="A4629" s="4" t="s">
        <v>53</v>
      </c>
      <c r="B4629" s="4" t="s">
        <v>58</v>
      </c>
      <c r="C4629" s="5">
        <v>45327</v>
      </c>
      <c r="D4629" s="4">
        <v>0.3</v>
      </c>
      <c r="E4629" s="4">
        <v>0.1</v>
      </c>
    </row>
    <row r="4630" spans="1:5" x14ac:dyDescent="0.25">
      <c r="A4630" s="4" t="s">
        <v>53</v>
      </c>
      <c r="B4630" s="4" t="s">
        <v>58</v>
      </c>
      <c r="C4630" s="5">
        <v>45327</v>
      </c>
      <c r="D4630" s="4">
        <v>0.3</v>
      </c>
      <c r="E4630" s="4">
        <v>0.1</v>
      </c>
    </row>
    <row r="4631" spans="1:5" x14ac:dyDescent="0.25">
      <c r="A4631" s="4" t="s">
        <v>53</v>
      </c>
      <c r="B4631" s="4" t="s">
        <v>58</v>
      </c>
      <c r="C4631" s="5">
        <v>45327</v>
      </c>
      <c r="D4631" s="4">
        <v>16.399999999999999</v>
      </c>
      <c r="E4631" s="4">
        <v>5.71</v>
      </c>
    </row>
    <row r="4632" spans="1:5" x14ac:dyDescent="0.25">
      <c r="A4632" s="4" t="s">
        <v>53</v>
      </c>
      <c r="B4632" s="4" t="s">
        <v>58</v>
      </c>
      <c r="C4632" s="5">
        <v>45328</v>
      </c>
      <c r="D4632" s="4">
        <v>0.9</v>
      </c>
      <c r="E4632" s="4">
        <v>0.31</v>
      </c>
    </row>
    <row r="4633" spans="1:5" x14ac:dyDescent="0.25">
      <c r="A4633" s="4" t="s">
        <v>53</v>
      </c>
      <c r="B4633" s="4" t="s">
        <v>58</v>
      </c>
      <c r="C4633" s="5">
        <v>45328</v>
      </c>
      <c r="D4633" s="4">
        <v>1.3</v>
      </c>
      <c r="E4633" s="4">
        <v>0.42</v>
      </c>
    </row>
    <row r="4634" spans="1:5" x14ac:dyDescent="0.25">
      <c r="A4634" s="4" t="s">
        <v>53</v>
      </c>
      <c r="B4634" s="4" t="s">
        <v>58</v>
      </c>
      <c r="C4634" s="5">
        <v>45328</v>
      </c>
      <c r="D4634" s="4">
        <v>0.3</v>
      </c>
      <c r="E4634" s="4">
        <v>0.1</v>
      </c>
    </row>
    <row r="4635" spans="1:5" x14ac:dyDescent="0.25">
      <c r="A4635" s="4" t="s">
        <v>53</v>
      </c>
      <c r="B4635" s="4" t="s">
        <v>58</v>
      </c>
      <c r="C4635" s="5">
        <v>45328</v>
      </c>
      <c r="D4635" s="4">
        <v>0.3</v>
      </c>
      <c r="E4635" s="4">
        <v>0.1</v>
      </c>
    </row>
    <row r="4636" spans="1:5" x14ac:dyDescent="0.25">
      <c r="A4636" s="4" t="s">
        <v>53</v>
      </c>
      <c r="B4636" s="4" t="s">
        <v>58</v>
      </c>
      <c r="C4636" s="5">
        <v>45328</v>
      </c>
      <c r="D4636" s="4">
        <v>0.3</v>
      </c>
      <c r="E4636" s="4">
        <v>0.1</v>
      </c>
    </row>
    <row r="4637" spans="1:5" x14ac:dyDescent="0.25">
      <c r="A4637" s="4" t="s">
        <v>53</v>
      </c>
      <c r="B4637" s="4" t="s">
        <v>58</v>
      </c>
      <c r="C4637" s="5">
        <v>45328</v>
      </c>
      <c r="D4637" s="4">
        <v>0.3</v>
      </c>
      <c r="E4637" s="4">
        <v>0.1</v>
      </c>
    </row>
    <row r="4638" spans="1:5" x14ac:dyDescent="0.25">
      <c r="A4638" s="4" t="s">
        <v>53</v>
      </c>
      <c r="B4638" s="4" t="s">
        <v>58</v>
      </c>
      <c r="C4638" s="5">
        <v>45328</v>
      </c>
      <c r="D4638" s="4">
        <v>16.399999999999999</v>
      </c>
      <c r="E4638" s="4">
        <v>5.71</v>
      </c>
    </row>
    <row r="4639" spans="1:5" x14ac:dyDescent="0.25">
      <c r="A4639" s="4" t="s">
        <v>53</v>
      </c>
      <c r="B4639" s="4" t="s">
        <v>58</v>
      </c>
      <c r="C4639" s="5">
        <v>45330</v>
      </c>
      <c r="D4639" s="4">
        <v>15.4</v>
      </c>
      <c r="E4639" s="4">
        <v>5.35</v>
      </c>
    </row>
    <row r="4640" spans="1:5" x14ac:dyDescent="0.25">
      <c r="A4640" s="4" t="s">
        <v>53</v>
      </c>
      <c r="B4640" s="4" t="s">
        <v>58</v>
      </c>
      <c r="C4640" s="5">
        <v>45330</v>
      </c>
      <c r="D4640" s="4">
        <v>20.8</v>
      </c>
      <c r="E4640" s="4">
        <v>7.25</v>
      </c>
    </row>
    <row r="4641" spans="1:5" x14ac:dyDescent="0.25">
      <c r="A4641" s="4" t="s">
        <v>53</v>
      </c>
      <c r="B4641" s="4" t="s">
        <v>58</v>
      </c>
      <c r="C4641" s="5">
        <v>45330</v>
      </c>
      <c r="D4641" s="4">
        <v>20.8</v>
      </c>
      <c r="E4641" s="4">
        <v>7.25</v>
      </c>
    </row>
    <row r="4642" spans="1:5" x14ac:dyDescent="0.25">
      <c r="A4642" s="4" t="s">
        <v>53</v>
      </c>
      <c r="B4642" s="4" t="s">
        <v>58</v>
      </c>
      <c r="C4642" s="5">
        <v>45330</v>
      </c>
      <c r="D4642" s="4">
        <v>20.8</v>
      </c>
      <c r="E4642" s="4">
        <v>7.25</v>
      </c>
    </row>
    <row r="4643" spans="1:5" x14ac:dyDescent="0.25">
      <c r="A4643" s="4" t="s">
        <v>53</v>
      </c>
      <c r="B4643" s="4" t="s">
        <v>58</v>
      </c>
      <c r="C4643" s="5">
        <v>45330</v>
      </c>
      <c r="D4643" s="4">
        <v>20.8</v>
      </c>
      <c r="E4643" s="4">
        <v>7.25</v>
      </c>
    </row>
    <row r="4644" spans="1:5" x14ac:dyDescent="0.25">
      <c r="A4644" s="4" t="s">
        <v>53</v>
      </c>
      <c r="B4644" s="4" t="s">
        <v>58</v>
      </c>
      <c r="C4644" s="5">
        <v>45330</v>
      </c>
      <c r="D4644" s="4">
        <v>20.8</v>
      </c>
      <c r="E4644" s="4">
        <v>7.25</v>
      </c>
    </row>
    <row r="4645" spans="1:5" x14ac:dyDescent="0.25">
      <c r="A4645" s="4" t="s">
        <v>53</v>
      </c>
      <c r="B4645" s="4" t="s">
        <v>58</v>
      </c>
      <c r="C4645" s="5">
        <v>45330</v>
      </c>
      <c r="D4645" s="4">
        <v>20.8</v>
      </c>
      <c r="E4645" s="4">
        <v>7.25</v>
      </c>
    </row>
    <row r="4646" spans="1:5" x14ac:dyDescent="0.25">
      <c r="A4646" s="4" t="s">
        <v>53</v>
      </c>
      <c r="B4646" s="4" t="s">
        <v>58</v>
      </c>
      <c r="C4646" s="5">
        <v>45330</v>
      </c>
      <c r="D4646" s="4">
        <v>20.8</v>
      </c>
      <c r="E4646" s="4">
        <v>7.25</v>
      </c>
    </row>
    <row r="4647" spans="1:5" x14ac:dyDescent="0.25">
      <c r="A4647" s="4" t="s">
        <v>53</v>
      </c>
      <c r="B4647" s="4" t="s">
        <v>58</v>
      </c>
      <c r="C4647" s="5">
        <v>45330</v>
      </c>
      <c r="D4647" s="4">
        <v>20.8</v>
      </c>
      <c r="E4647" s="4">
        <v>7.25</v>
      </c>
    </row>
    <row r="4648" spans="1:5" x14ac:dyDescent="0.25">
      <c r="A4648" s="4" t="s">
        <v>53</v>
      </c>
      <c r="B4648" s="4" t="s">
        <v>58</v>
      </c>
      <c r="C4648" s="5">
        <v>45330</v>
      </c>
      <c r="D4648" s="4">
        <v>20.8</v>
      </c>
      <c r="E4648" s="4">
        <v>7.25</v>
      </c>
    </row>
    <row r="4649" spans="1:5" x14ac:dyDescent="0.25">
      <c r="A4649" s="4" t="s">
        <v>53</v>
      </c>
      <c r="B4649" s="4" t="s">
        <v>58</v>
      </c>
      <c r="C4649" s="5">
        <v>45330</v>
      </c>
      <c r="D4649" s="4">
        <v>20.8</v>
      </c>
      <c r="E4649" s="4">
        <v>7.25</v>
      </c>
    </row>
    <row r="4650" spans="1:5" x14ac:dyDescent="0.25">
      <c r="A4650" s="4" t="s">
        <v>53</v>
      </c>
      <c r="B4650" s="4" t="s">
        <v>58</v>
      </c>
      <c r="C4650" s="5">
        <v>45330</v>
      </c>
      <c r="D4650" s="4">
        <v>20.8</v>
      </c>
      <c r="E4650" s="4">
        <v>7.25</v>
      </c>
    </row>
    <row r="4651" spans="1:5" x14ac:dyDescent="0.25">
      <c r="A4651" s="4" t="s">
        <v>53</v>
      </c>
      <c r="B4651" s="4" t="s">
        <v>58</v>
      </c>
      <c r="C4651" s="5">
        <v>45330</v>
      </c>
      <c r="D4651" s="4">
        <v>22.6</v>
      </c>
      <c r="E4651" s="4">
        <v>7.88</v>
      </c>
    </row>
    <row r="4652" spans="1:5" x14ac:dyDescent="0.25">
      <c r="A4652" s="4" t="s">
        <v>53</v>
      </c>
      <c r="B4652" s="4" t="s">
        <v>58</v>
      </c>
      <c r="C4652" s="5">
        <v>45331</v>
      </c>
      <c r="D4652" s="4">
        <v>25.6</v>
      </c>
      <c r="E4652" s="4">
        <v>8.93</v>
      </c>
    </row>
    <row r="4653" spans="1:5" x14ac:dyDescent="0.25">
      <c r="A4653" s="4" t="s">
        <v>53</v>
      </c>
      <c r="B4653" s="4" t="s">
        <v>58</v>
      </c>
      <c r="C4653" s="5">
        <v>45331</v>
      </c>
      <c r="D4653" s="4">
        <v>1.3</v>
      </c>
      <c r="E4653" s="4">
        <v>0.45</v>
      </c>
    </row>
    <row r="4654" spans="1:5" x14ac:dyDescent="0.25">
      <c r="A4654" s="4" t="s">
        <v>53</v>
      </c>
      <c r="B4654" s="4" t="s">
        <v>58</v>
      </c>
      <c r="C4654" s="5">
        <v>45331</v>
      </c>
      <c r="D4654" s="4">
        <v>1.3</v>
      </c>
      <c r="E4654" s="4">
        <v>0.45</v>
      </c>
    </row>
    <row r="4655" spans="1:5" x14ac:dyDescent="0.25">
      <c r="A4655" s="4" t="s">
        <v>53</v>
      </c>
      <c r="B4655" s="4" t="s">
        <v>58</v>
      </c>
      <c r="C4655" s="5">
        <v>45331</v>
      </c>
      <c r="D4655" s="4">
        <v>1.3</v>
      </c>
      <c r="E4655" s="4">
        <v>0.45</v>
      </c>
    </row>
    <row r="4656" spans="1:5" x14ac:dyDescent="0.25">
      <c r="A4656" s="4" t="s">
        <v>53</v>
      </c>
      <c r="B4656" s="4" t="s">
        <v>58</v>
      </c>
      <c r="C4656" s="5">
        <v>45331</v>
      </c>
      <c r="D4656" s="4">
        <v>1.3</v>
      </c>
      <c r="E4656" s="4">
        <v>0.45</v>
      </c>
    </row>
    <row r="4657" spans="1:5" x14ac:dyDescent="0.25">
      <c r="A4657" s="4" t="s">
        <v>53</v>
      </c>
      <c r="B4657" s="4" t="s">
        <v>58</v>
      </c>
      <c r="C4657" s="5">
        <v>45331</v>
      </c>
      <c r="D4657" s="4">
        <v>1.3</v>
      </c>
      <c r="E4657" s="4">
        <v>0.45</v>
      </c>
    </row>
    <row r="4658" spans="1:5" x14ac:dyDescent="0.25">
      <c r="A4658" s="4" t="s">
        <v>53</v>
      </c>
      <c r="B4658" s="4" t="s">
        <v>58</v>
      </c>
      <c r="C4658" s="5">
        <v>45331</v>
      </c>
      <c r="D4658" s="4">
        <v>1.3</v>
      </c>
      <c r="E4658" s="4">
        <v>0.45</v>
      </c>
    </row>
    <row r="4659" spans="1:5" x14ac:dyDescent="0.25">
      <c r="A4659" s="4" t="s">
        <v>53</v>
      </c>
      <c r="B4659" s="4" t="s">
        <v>58</v>
      </c>
      <c r="C4659" s="5">
        <v>45331</v>
      </c>
      <c r="D4659" s="4">
        <v>1.3</v>
      </c>
      <c r="E4659" s="4">
        <v>0.45</v>
      </c>
    </row>
    <row r="4660" spans="1:5" x14ac:dyDescent="0.25">
      <c r="A4660" s="4" t="s">
        <v>53</v>
      </c>
      <c r="B4660" s="4" t="s">
        <v>58</v>
      </c>
      <c r="C4660" s="5">
        <v>45331</v>
      </c>
      <c r="D4660" s="4">
        <v>0.9</v>
      </c>
      <c r="E4660" s="4">
        <v>0.31</v>
      </c>
    </row>
    <row r="4661" spans="1:5" x14ac:dyDescent="0.25">
      <c r="A4661" s="4" t="s">
        <v>53</v>
      </c>
      <c r="B4661" s="4" t="s">
        <v>58</v>
      </c>
      <c r="C4661" s="5">
        <v>45331</v>
      </c>
      <c r="D4661" s="4">
        <v>1.3</v>
      </c>
      <c r="E4661" s="4">
        <v>0.45</v>
      </c>
    </row>
    <row r="4662" spans="1:5" x14ac:dyDescent="0.25">
      <c r="A4662" s="4" t="s">
        <v>53</v>
      </c>
      <c r="B4662" s="4" t="s">
        <v>58</v>
      </c>
      <c r="C4662" s="5">
        <v>45331</v>
      </c>
      <c r="D4662" s="4">
        <v>1.3</v>
      </c>
      <c r="E4662" s="4">
        <v>0.45</v>
      </c>
    </row>
    <row r="4663" spans="1:5" x14ac:dyDescent="0.25">
      <c r="A4663" s="4" t="s">
        <v>53</v>
      </c>
      <c r="B4663" s="4" t="s">
        <v>58</v>
      </c>
      <c r="C4663" s="5">
        <v>45331</v>
      </c>
      <c r="D4663" s="4">
        <v>1.3</v>
      </c>
      <c r="E4663" s="4">
        <v>0.45</v>
      </c>
    </row>
    <row r="4664" spans="1:5" x14ac:dyDescent="0.25">
      <c r="A4664" s="4" t="s">
        <v>53</v>
      </c>
      <c r="B4664" s="4" t="s">
        <v>58</v>
      </c>
      <c r="C4664" s="5">
        <v>45331</v>
      </c>
      <c r="D4664" s="4">
        <v>22.6</v>
      </c>
      <c r="E4664" s="4">
        <v>7.88</v>
      </c>
    </row>
    <row r="4665" spans="1:5" x14ac:dyDescent="0.25">
      <c r="A4665" s="4" t="s">
        <v>53</v>
      </c>
      <c r="B4665" s="4" t="s">
        <v>58</v>
      </c>
      <c r="C4665" s="5">
        <v>45334</v>
      </c>
      <c r="D4665" s="4">
        <v>41.3</v>
      </c>
      <c r="E4665" s="4">
        <v>14.36</v>
      </c>
    </row>
    <row r="4666" spans="1:5" x14ac:dyDescent="0.25">
      <c r="A4666" s="4" t="s">
        <v>53</v>
      </c>
      <c r="B4666" s="4" t="s">
        <v>58</v>
      </c>
      <c r="C4666" s="5">
        <v>45334</v>
      </c>
      <c r="D4666" s="4">
        <v>17.3</v>
      </c>
      <c r="E4666" s="4">
        <v>6.03</v>
      </c>
    </row>
    <row r="4667" spans="1:5" x14ac:dyDescent="0.25">
      <c r="A4667" s="4" t="s">
        <v>53</v>
      </c>
      <c r="B4667" s="4" t="s">
        <v>58</v>
      </c>
      <c r="C4667" s="5">
        <v>45334</v>
      </c>
      <c r="D4667" s="4">
        <v>17.3</v>
      </c>
      <c r="E4667" s="4">
        <v>6.03</v>
      </c>
    </row>
    <row r="4668" spans="1:5" x14ac:dyDescent="0.25">
      <c r="A4668" s="4" t="s">
        <v>53</v>
      </c>
      <c r="B4668" s="4" t="s">
        <v>58</v>
      </c>
      <c r="C4668" s="5">
        <v>45334</v>
      </c>
      <c r="D4668" s="4">
        <v>67.5</v>
      </c>
      <c r="E4668" s="4">
        <v>23.48</v>
      </c>
    </row>
    <row r="4669" spans="1:5" x14ac:dyDescent="0.25">
      <c r="A4669" s="4" t="s">
        <v>53</v>
      </c>
      <c r="B4669" s="4" t="s">
        <v>58</v>
      </c>
      <c r="C4669" s="5">
        <v>45334</v>
      </c>
      <c r="D4669" s="4">
        <v>60.5</v>
      </c>
      <c r="E4669" s="4">
        <v>21.05</v>
      </c>
    </row>
    <row r="4670" spans="1:5" x14ac:dyDescent="0.25">
      <c r="A4670" s="4" t="s">
        <v>53</v>
      </c>
      <c r="B4670" s="4" t="s">
        <v>58</v>
      </c>
      <c r="C4670" s="5">
        <v>45334</v>
      </c>
      <c r="D4670" s="4">
        <v>19</v>
      </c>
      <c r="E4670" s="4">
        <v>6.61</v>
      </c>
    </row>
    <row r="4671" spans="1:5" x14ac:dyDescent="0.25">
      <c r="A4671" s="4" t="s">
        <v>53</v>
      </c>
      <c r="B4671" s="4" t="s">
        <v>58</v>
      </c>
      <c r="C4671" s="5">
        <v>45334</v>
      </c>
      <c r="D4671" s="4">
        <v>17.3</v>
      </c>
      <c r="E4671" s="4">
        <v>6.03</v>
      </c>
    </row>
    <row r="4672" spans="1:5" x14ac:dyDescent="0.25">
      <c r="A4672" s="4" t="s">
        <v>53</v>
      </c>
      <c r="B4672" s="4" t="s">
        <v>58</v>
      </c>
      <c r="C4672" s="5">
        <v>45334</v>
      </c>
      <c r="D4672" s="4">
        <v>17.3</v>
      </c>
      <c r="E4672" s="4">
        <v>6.03</v>
      </c>
    </row>
    <row r="4673" spans="1:5" x14ac:dyDescent="0.25">
      <c r="A4673" s="4" t="s">
        <v>53</v>
      </c>
      <c r="B4673" s="4" t="s">
        <v>58</v>
      </c>
      <c r="C4673" s="5">
        <v>45334</v>
      </c>
      <c r="D4673" s="4">
        <v>67.5</v>
      </c>
      <c r="E4673" s="4">
        <v>23.48</v>
      </c>
    </row>
    <row r="4674" spans="1:5" x14ac:dyDescent="0.25">
      <c r="A4674" s="4" t="s">
        <v>53</v>
      </c>
      <c r="B4674" s="4" t="s">
        <v>58</v>
      </c>
      <c r="C4674" s="5">
        <v>45334</v>
      </c>
      <c r="D4674" s="4">
        <v>44.4</v>
      </c>
      <c r="E4674" s="4">
        <v>15.46</v>
      </c>
    </row>
    <row r="4675" spans="1:5" x14ac:dyDescent="0.25">
      <c r="A4675" s="4" t="s">
        <v>53</v>
      </c>
      <c r="B4675" s="4" t="s">
        <v>58</v>
      </c>
      <c r="C4675" s="5">
        <v>45335</v>
      </c>
      <c r="D4675" s="4">
        <v>41.3</v>
      </c>
      <c r="E4675" s="4">
        <v>14.36</v>
      </c>
    </row>
    <row r="4676" spans="1:5" x14ac:dyDescent="0.25">
      <c r="A4676" s="4" t="s">
        <v>53</v>
      </c>
      <c r="B4676" s="4" t="s">
        <v>58</v>
      </c>
      <c r="C4676" s="5">
        <v>45335</v>
      </c>
      <c r="D4676" s="4">
        <v>17.3</v>
      </c>
      <c r="E4676" s="4">
        <v>6.03</v>
      </c>
    </row>
    <row r="4677" spans="1:5" x14ac:dyDescent="0.25">
      <c r="A4677" s="4" t="s">
        <v>53</v>
      </c>
      <c r="B4677" s="4" t="s">
        <v>58</v>
      </c>
      <c r="C4677" s="5">
        <v>45335</v>
      </c>
      <c r="D4677" s="4">
        <v>17.3</v>
      </c>
      <c r="E4677" s="4">
        <v>6.03</v>
      </c>
    </row>
    <row r="4678" spans="1:5" x14ac:dyDescent="0.25">
      <c r="A4678" s="4" t="s">
        <v>53</v>
      </c>
      <c r="B4678" s="4" t="s">
        <v>58</v>
      </c>
      <c r="C4678" s="5">
        <v>45335</v>
      </c>
      <c r="D4678" s="4">
        <v>67.5</v>
      </c>
      <c r="E4678" s="4">
        <v>23.48</v>
      </c>
    </row>
    <row r="4679" spans="1:5" x14ac:dyDescent="0.25">
      <c r="A4679" s="4" t="s">
        <v>53</v>
      </c>
      <c r="B4679" s="4" t="s">
        <v>58</v>
      </c>
      <c r="C4679" s="5">
        <v>45335</v>
      </c>
      <c r="D4679" s="4">
        <v>85.7</v>
      </c>
      <c r="E4679" s="4">
        <v>29.82</v>
      </c>
    </row>
    <row r="4680" spans="1:5" x14ac:dyDescent="0.25">
      <c r="A4680" s="4" t="s">
        <v>53</v>
      </c>
      <c r="B4680" s="4" t="s">
        <v>58</v>
      </c>
      <c r="C4680" s="5">
        <v>45335</v>
      </c>
      <c r="D4680" s="4">
        <v>17.3</v>
      </c>
      <c r="E4680" s="4">
        <v>6.03</v>
      </c>
    </row>
    <row r="4681" spans="1:5" x14ac:dyDescent="0.25">
      <c r="A4681" s="4" t="s">
        <v>53</v>
      </c>
      <c r="B4681" s="4" t="s">
        <v>58</v>
      </c>
      <c r="C4681" s="5">
        <v>45335</v>
      </c>
      <c r="D4681" s="4">
        <v>17.3</v>
      </c>
      <c r="E4681" s="4">
        <v>6.03</v>
      </c>
    </row>
    <row r="4682" spans="1:5" x14ac:dyDescent="0.25">
      <c r="A4682" s="4" t="s">
        <v>53</v>
      </c>
      <c r="B4682" s="4" t="s">
        <v>58</v>
      </c>
      <c r="C4682" s="5">
        <v>45335</v>
      </c>
      <c r="D4682" s="4">
        <v>67.5</v>
      </c>
      <c r="E4682" s="4">
        <v>23.48</v>
      </c>
    </row>
    <row r="4683" spans="1:5" x14ac:dyDescent="0.25">
      <c r="A4683" s="4" t="s">
        <v>53</v>
      </c>
      <c r="B4683" s="4" t="s">
        <v>58</v>
      </c>
      <c r="C4683" s="5">
        <v>45335</v>
      </c>
      <c r="D4683" s="4">
        <v>44.4</v>
      </c>
      <c r="E4683" s="4">
        <v>15.46</v>
      </c>
    </row>
    <row r="4684" spans="1:5" x14ac:dyDescent="0.25">
      <c r="A4684" s="4" t="s">
        <v>53</v>
      </c>
      <c r="B4684" s="4" t="s">
        <v>58</v>
      </c>
      <c r="C4684" s="5">
        <v>45336</v>
      </c>
      <c r="D4684" s="4">
        <v>41.3</v>
      </c>
      <c r="E4684" s="4">
        <v>14.36</v>
      </c>
    </row>
    <row r="4685" spans="1:5" x14ac:dyDescent="0.25">
      <c r="A4685" s="4" t="s">
        <v>53</v>
      </c>
      <c r="B4685" s="4" t="s">
        <v>58</v>
      </c>
      <c r="C4685" s="5">
        <v>45336</v>
      </c>
      <c r="D4685" s="4">
        <v>17.3</v>
      </c>
      <c r="E4685" s="4">
        <v>6.03</v>
      </c>
    </row>
    <row r="4686" spans="1:5" x14ac:dyDescent="0.25">
      <c r="A4686" s="4" t="s">
        <v>53</v>
      </c>
      <c r="B4686" s="4" t="s">
        <v>58</v>
      </c>
      <c r="C4686" s="5">
        <v>45336</v>
      </c>
      <c r="D4686" s="4">
        <v>17.3</v>
      </c>
      <c r="E4686" s="4">
        <v>6.03</v>
      </c>
    </row>
    <row r="4687" spans="1:5" x14ac:dyDescent="0.25">
      <c r="A4687" s="4" t="s">
        <v>53</v>
      </c>
      <c r="B4687" s="4" t="s">
        <v>58</v>
      </c>
      <c r="C4687" s="5">
        <v>45336</v>
      </c>
      <c r="D4687" s="4">
        <v>67.5</v>
      </c>
      <c r="E4687" s="4">
        <v>23.48</v>
      </c>
    </row>
    <row r="4688" spans="1:5" x14ac:dyDescent="0.25">
      <c r="A4688" s="4" t="s">
        <v>53</v>
      </c>
      <c r="B4688" s="4" t="s">
        <v>58</v>
      </c>
      <c r="C4688" s="5">
        <v>45336</v>
      </c>
      <c r="D4688" s="4">
        <v>67.5</v>
      </c>
      <c r="E4688" s="4">
        <v>23.49</v>
      </c>
    </row>
    <row r="4689" spans="1:5" x14ac:dyDescent="0.25">
      <c r="A4689" s="4" t="s">
        <v>53</v>
      </c>
      <c r="B4689" s="4" t="s">
        <v>58</v>
      </c>
      <c r="C4689" s="5">
        <v>45336</v>
      </c>
      <c r="D4689" s="4">
        <v>9.6</v>
      </c>
      <c r="E4689" s="4">
        <v>3.34</v>
      </c>
    </row>
    <row r="4690" spans="1:5" x14ac:dyDescent="0.25">
      <c r="A4690" s="4" t="s">
        <v>53</v>
      </c>
      <c r="B4690" s="4" t="s">
        <v>58</v>
      </c>
      <c r="C4690" s="5">
        <v>45336</v>
      </c>
      <c r="D4690" s="4">
        <v>20.3</v>
      </c>
      <c r="E4690" s="4">
        <v>7.06</v>
      </c>
    </row>
    <row r="4691" spans="1:5" x14ac:dyDescent="0.25">
      <c r="A4691" s="4" t="s">
        <v>53</v>
      </c>
      <c r="B4691" s="4" t="s">
        <v>58</v>
      </c>
      <c r="C4691" s="5">
        <v>45336</v>
      </c>
      <c r="D4691" s="4">
        <v>17.3</v>
      </c>
      <c r="E4691" s="4">
        <v>6.03</v>
      </c>
    </row>
    <row r="4692" spans="1:5" x14ac:dyDescent="0.25">
      <c r="A4692" s="4" t="s">
        <v>53</v>
      </c>
      <c r="B4692" s="4" t="s">
        <v>58</v>
      </c>
      <c r="C4692" s="5">
        <v>45336</v>
      </c>
      <c r="D4692" s="4">
        <v>67.5</v>
      </c>
      <c r="E4692" s="4">
        <v>23.48</v>
      </c>
    </row>
    <row r="4693" spans="1:5" x14ac:dyDescent="0.25">
      <c r="A4693" s="4" t="s">
        <v>53</v>
      </c>
      <c r="B4693" s="4" t="s">
        <v>58</v>
      </c>
      <c r="C4693" s="5">
        <v>45336</v>
      </c>
      <c r="D4693" s="4">
        <v>1.1000000000000001</v>
      </c>
      <c r="E4693" s="4">
        <v>0.38</v>
      </c>
    </row>
    <row r="4694" spans="1:5" x14ac:dyDescent="0.25">
      <c r="A4694" s="4" t="s">
        <v>53</v>
      </c>
      <c r="B4694" s="4" t="s">
        <v>58</v>
      </c>
      <c r="C4694" s="5">
        <v>45336</v>
      </c>
      <c r="D4694" s="4">
        <v>16</v>
      </c>
      <c r="E4694" s="4">
        <v>5.57</v>
      </c>
    </row>
    <row r="4695" spans="1:5" x14ac:dyDescent="0.25">
      <c r="A4695" s="4" t="s">
        <v>53</v>
      </c>
      <c r="B4695" s="4" t="s">
        <v>58</v>
      </c>
      <c r="C4695" s="5">
        <v>45337</v>
      </c>
      <c r="D4695" s="4">
        <v>15.4</v>
      </c>
      <c r="E4695" s="4">
        <v>5.35</v>
      </c>
    </row>
    <row r="4696" spans="1:5" x14ac:dyDescent="0.25">
      <c r="A4696" s="4" t="s">
        <v>53</v>
      </c>
      <c r="B4696" s="4" t="s">
        <v>58</v>
      </c>
      <c r="C4696" s="5">
        <v>45337</v>
      </c>
      <c r="D4696" s="4">
        <v>41.6</v>
      </c>
      <c r="E4696" s="4">
        <v>14.47</v>
      </c>
    </row>
    <row r="4697" spans="1:5" x14ac:dyDescent="0.25">
      <c r="A4697" s="4" t="s">
        <v>53</v>
      </c>
      <c r="B4697" s="4" t="s">
        <v>58</v>
      </c>
      <c r="C4697" s="5">
        <v>45337</v>
      </c>
      <c r="D4697" s="4">
        <v>45.3</v>
      </c>
      <c r="E4697" s="4">
        <v>15.71</v>
      </c>
    </row>
    <row r="4698" spans="1:5" x14ac:dyDescent="0.25">
      <c r="A4698" s="4" t="s">
        <v>53</v>
      </c>
      <c r="B4698" s="4" t="s">
        <v>58</v>
      </c>
      <c r="C4698" s="5">
        <v>45337</v>
      </c>
      <c r="D4698" s="4">
        <v>41.6</v>
      </c>
      <c r="E4698" s="4">
        <v>14.47</v>
      </c>
    </row>
    <row r="4699" spans="1:5" x14ac:dyDescent="0.25">
      <c r="A4699" s="4" t="s">
        <v>53</v>
      </c>
      <c r="B4699" s="4" t="s">
        <v>58</v>
      </c>
      <c r="C4699" s="5">
        <v>45337</v>
      </c>
      <c r="D4699" s="4">
        <v>45.3</v>
      </c>
      <c r="E4699" s="4">
        <v>15.71</v>
      </c>
    </row>
    <row r="4700" spans="1:5" x14ac:dyDescent="0.25">
      <c r="A4700" s="4" t="s">
        <v>53</v>
      </c>
      <c r="B4700" s="4" t="s">
        <v>58</v>
      </c>
      <c r="C4700" s="5">
        <v>45337</v>
      </c>
      <c r="D4700" s="4">
        <v>41.6</v>
      </c>
      <c r="E4700" s="4">
        <v>14.47</v>
      </c>
    </row>
    <row r="4701" spans="1:5" x14ac:dyDescent="0.25">
      <c r="A4701" s="4" t="s">
        <v>53</v>
      </c>
      <c r="B4701" s="4" t="s">
        <v>58</v>
      </c>
      <c r="C4701" s="5">
        <v>45337</v>
      </c>
      <c r="D4701" s="4">
        <v>59.8</v>
      </c>
      <c r="E4701" s="4">
        <v>20.81</v>
      </c>
    </row>
    <row r="4702" spans="1:5" x14ac:dyDescent="0.25">
      <c r="A4702" s="4" t="s">
        <v>53</v>
      </c>
      <c r="B4702" s="4" t="s">
        <v>58</v>
      </c>
      <c r="C4702" s="5">
        <v>45337</v>
      </c>
      <c r="D4702" s="4">
        <v>41.6</v>
      </c>
      <c r="E4702" s="4">
        <v>14.47</v>
      </c>
    </row>
    <row r="4703" spans="1:5" x14ac:dyDescent="0.25">
      <c r="A4703" s="4" t="s">
        <v>53</v>
      </c>
      <c r="B4703" s="4" t="s">
        <v>58</v>
      </c>
      <c r="C4703" s="5">
        <v>45337</v>
      </c>
      <c r="D4703" s="4">
        <v>29.9</v>
      </c>
      <c r="E4703" s="4">
        <v>10.36</v>
      </c>
    </row>
    <row r="4704" spans="1:5" x14ac:dyDescent="0.25">
      <c r="A4704" s="4" t="s">
        <v>53</v>
      </c>
      <c r="B4704" s="4" t="s">
        <v>59</v>
      </c>
      <c r="C4704" s="5">
        <v>45320</v>
      </c>
      <c r="D4704" s="4">
        <v>41.3</v>
      </c>
      <c r="E4704" s="4">
        <v>14.36</v>
      </c>
    </row>
    <row r="4705" spans="1:5" x14ac:dyDescent="0.25">
      <c r="A4705" s="4" t="s">
        <v>53</v>
      </c>
      <c r="B4705" s="4" t="s">
        <v>59</v>
      </c>
      <c r="C4705" s="5">
        <v>45320</v>
      </c>
      <c r="D4705" s="4">
        <v>17.3</v>
      </c>
      <c r="E4705" s="4">
        <v>6.03</v>
      </c>
    </row>
    <row r="4706" spans="1:5" x14ac:dyDescent="0.25">
      <c r="A4706" s="4" t="s">
        <v>53</v>
      </c>
      <c r="B4706" s="4" t="s">
        <v>59</v>
      </c>
      <c r="C4706" s="5">
        <v>45320</v>
      </c>
      <c r="D4706" s="4">
        <v>17.3</v>
      </c>
      <c r="E4706" s="4">
        <v>6.03</v>
      </c>
    </row>
    <row r="4707" spans="1:5" x14ac:dyDescent="0.25">
      <c r="A4707" s="4" t="s">
        <v>53</v>
      </c>
      <c r="B4707" s="4" t="s">
        <v>59</v>
      </c>
      <c r="C4707" s="5">
        <v>45320</v>
      </c>
      <c r="D4707" s="4">
        <v>67.5</v>
      </c>
      <c r="E4707" s="4">
        <v>23.48</v>
      </c>
    </row>
    <row r="4708" spans="1:5" x14ac:dyDescent="0.25">
      <c r="A4708" s="4" t="s">
        <v>53</v>
      </c>
      <c r="B4708" s="4" t="s">
        <v>59</v>
      </c>
      <c r="C4708" s="5">
        <v>45320</v>
      </c>
      <c r="D4708" s="4">
        <v>85.7</v>
      </c>
      <c r="E4708" s="4">
        <v>29.82</v>
      </c>
    </row>
    <row r="4709" spans="1:5" x14ac:dyDescent="0.25">
      <c r="A4709" s="4" t="s">
        <v>53</v>
      </c>
      <c r="B4709" s="4" t="s">
        <v>59</v>
      </c>
      <c r="C4709" s="5">
        <v>45320</v>
      </c>
      <c r="D4709" s="4">
        <v>17.3</v>
      </c>
      <c r="E4709" s="4">
        <v>6.03</v>
      </c>
    </row>
    <row r="4710" spans="1:5" x14ac:dyDescent="0.25">
      <c r="A4710" s="4" t="s">
        <v>53</v>
      </c>
      <c r="B4710" s="4" t="s">
        <v>59</v>
      </c>
      <c r="C4710" s="5">
        <v>45320</v>
      </c>
      <c r="D4710" s="4">
        <v>17.3</v>
      </c>
      <c r="E4710" s="4">
        <v>6.03</v>
      </c>
    </row>
    <row r="4711" spans="1:5" x14ac:dyDescent="0.25">
      <c r="A4711" s="4" t="s">
        <v>53</v>
      </c>
      <c r="B4711" s="4" t="s">
        <v>59</v>
      </c>
      <c r="C4711" s="5">
        <v>45320</v>
      </c>
      <c r="D4711" s="4">
        <v>67.5</v>
      </c>
      <c r="E4711" s="4">
        <v>23.48</v>
      </c>
    </row>
    <row r="4712" spans="1:5" x14ac:dyDescent="0.25">
      <c r="A4712" s="4" t="s">
        <v>53</v>
      </c>
      <c r="B4712" s="4" t="s">
        <v>59</v>
      </c>
      <c r="C4712" s="5">
        <v>45320</v>
      </c>
      <c r="D4712" s="4">
        <v>44.4</v>
      </c>
      <c r="E4712" s="4">
        <v>15.46</v>
      </c>
    </row>
    <row r="4713" spans="1:5" x14ac:dyDescent="0.25">
      <c r="A4713" s="4" t="s">
        <v>53</v>
      </c>
      <c r="B4713" s="4" t="s">
        <v>59</v>
      </c>
      <c r="C4713" s="5">
        <v>45321</v>
      </c>
      <c r="D4713" s="4">
        <v>41.3</v>
      </c>
      <c r="E4713" s="4">
        <v>14.36</v>
      </c>
    </row>
    <row r="4714" spans="1:5" x14ac:dyDescent="0.25">
      <c r="A4714" s="4" t="s">
        <v>53</v>
      </c>
      <c r="B4714" s="4" t="s">
        <v>59</v>
      </c>
      <c r="C4714" s="5">
        <v>45321</v>
      </c>
      <c r="D4714" s="4">
        <v>17.3</v>
      </c>
      <c r="E4714" s="4">
        <v>6.03</v>
      </c>
    </row>
    <row r="4715" spans="1:5" x14ac:dyDescent="0.25">
      <c r="A4715" s="4" t="s">
        <v>53</v>
      </c>
      <c r="B4715" s="4" t="s">
        <v>59</v>
      </c>
      <c r="C4715" s="5">
        <v>45321</v>
      </c>
      <c r="D4715" s="4">
        <v>17.3</v>
      </c>
      <c r="E4715" s="4">
        <v>6.03</v>
      </c>
    </row>
    <row r="4716" spans="1:5" x14ac:dyDescent="0.25">
      <c r="A4716" s="4" t="s">
        <v>53</v>
      </c>
      <c r="B4716" s="4" t="s">
        <v>59</v>
      </c>
      <c r="C4716" s="5">
        <v>45321</v>
      </c>
      <c r="D4716" s="4">
        <v>67.5</v>
      </c>
      <c r="E4716" s="4">
        <v>23.48</v>
      </c>
    </row>
    <row r="4717" spans="1:5" x14ac:dyDescent="0.25">
      <c r="A4717" s="4" t="s">
        <v>53</v>
      </c>
      <c r="B4717" s="4" t="s">
        <v>59</v>
      </c>
      <c r="C4717" s="5">
        <v>45321</v>
      </c>
      <c r="D4717" s="4">
        <v>85.7</v>
      </c>
      <c r="E4717" s="4">
        <v>29.82</v>
      </c>
    </row>
    <row r="4718" spans="1:5" x14ac:dyDescent="0.25">
      <c r="A4718" s="4" t="s">
        <v>53</v>
      </c>
      <c r="B4718" s="4" t="s">
        <v>59</v>
      </c>
      <c r="C4718" s="5">
        <v>45321</v>
      </c>
      <c r="D4718" s="4">
        <v>17.3</v>
      </c>
      <c r="E4718" s="4">
        <v>6.03</v>
      </c>
    </row>
    <row r="4719" spans="1:5" x14ac:dyDescent="0.25">
      <c r="A4719" s="4" t="s">
        <v>53</v>
      </c>
      <c r="B4719" s="4" t="s">
        <v>59</v>
      </c>
      <c r="C4719" s="5">
        <v>45321</v>
      </c>
      <c r="D4719" s="4">
        <v>17.3</v>
      </c>
      <c r="E4719" s="4">
        <v>6.03</v>
      </c>
    </row>
    <row r="4720" spans="1:5" x14ac:dyDescent="0.25">
      <c r="A4720" s="4" t="s">
        <v>53</v>
      </c>
      <c r="B4720" s="4" t="s">
        <v>59</v>
      </c>
      <c r="C4720" s="5">
        <v>45321</v>
      </c>
      <c r="D4720" s="4">
        <v>67.5</v>
      </c>
      <c r="E4720" s="4">
        <v>23.48</v>
      </c>
    </row>
    <row r="4721" spans="1:5" x14ac:dyDescent="0.25">
      <c r="A4721" s="4" t="s">
        <v>53</v>
      </c>
      <c r="B4721" s="4" t="s">
        <v>59</v>
      </c>
      <c r="C4721" s="5">
        <v>45321</v>
      </c>
      <c r="D4721" s="4">
        <v>59.8</v>
      </c>
      <c r="E4721" s="4">
        <v>20.81</v>
      </c>
    </row>
    <row r="4722" spans="1:5" x14ac:dyDescent="0.25">
      <c r="A4722" s="4" t="s">
        <v>53</v>
      </c>
      <c r="B4722" s="4" t="s">
        <v>59</v>
      </c>
      <c r="C4722" s="5">
        <v>45321</v>
      </c>
      <c r="D4722" s="4">
        <v>16.899999999999999</v>
      </c>
      <c r="E4722" s="4">
        <v>5.89</v>
      </c>
    </row>
    <row r="4723" spans="1:5" x14ac:dyDescent="0.25">
      <c r="A4723" s="4" t="s">
        <v>53</v>
      </c>
      <c r="B4723" s="4" t="s">
        <v>59</v>
      </c>
      <c r="C4723" s="5">
        <v>45321</v>
      </c>
      <c r="D4723" s="4">
        <v>18.7</v>
      </c>
      <c r="E4723" s="4">
        <v>6.52</v>
      </c>
    </row>
    <row r="4724" spans="1:5" x14ac:dyDescent="0.25">
      <c r="A4724" s="4" t="s">
        <v>53</v>
      </c>
      <c r="B4724" s="4" t="s">
        <v>59</v>
      </c>
      <c r="C4724" s="5">
        <v>45322</v>
      </c>
      <c r="D4724" s="4">
        <v>17.3</v>
      </c>
      <c r="E4724" s="4">
        <v>6.02</v>
      </c>
    </row>
    <row r="4725" spans="1:5" x14ac:dyDescent="0.25">
      <c r="A4725" s="4" t="s">
        <v>53</v>
      </c>
      <c r="B4725" s="4" t="s">
        <v>59</v>
      </c>
      <c r="C4725" s="5">
        <v>45322</v>
      </c>
      <c r="D4725" s="4">
        <v>13.7</v>
      </c>
      <c r="E4725" s="4">
        <v>4.76</v>
      </c>
    </row>
    <row r="4726" spans="1:5" x14ac:dyDescent="0.25">
      <c r="A4726" s="4" t="s">
        <v>53</v>
      </c>
      <c r="B4726" s="4" t="s">
        <v>59</v>
      </c>
      <c r="C4726" s="5">
        <v>45322</v>
      </c>
      <c r="D4726" s="4">
        <v>14.2</v>
      </c>
      <c r="E4726" s="4">
        <v>4.91</v>
      </c>
    </row>
    <row r="4727" spans="1:5" x14ac:dyDescent="0.25">
      <c r="A4727" s="4" t="s">
        <v>53</v>
      </c>
      <c r="B4727" s="4" t="s">
        <v>59</v>
      </c>
      <c r="C4727" s="5">
        <v>45322</v>
      </c>
      <c r="D4727" s="4">
        <v>14.2</v>
      </c>
      <c r="E4727" s="4">
        <v>4.91</v>
      </c>
    </row>
    <row r="4728" spans="1:5" x14ac:dyDescent="0.25">
      <c r="A4728" s="4" t="s">
        <v>53</v>
      </c>
      <c r="B4728" s="4" t="s">
        <v>59</v>
      </c>
      <c r="C4728" s="5">
        <v>45322</v>
      </c>
      <c r="D4728" s="4">
        <v>14.2</v>
      </c>
      <c r="E4728" s="4">
        <v>4.91</v>
      </c>
    </row>
    <row r="4729" spans="1:5" x14ac:dyDescent="0.25">
      <c r="A4729" s="4" t="s">
        <v>53</v>
      </c>
      <c r="B4729" s="4" t="s">
        <v>59</v>
      </c>
      <c r="C4729" s="5">
        <v>45322</v>
      </c>
      <c r="D4729" s="4">
        <v>14.2</v>
      </c>
      <c r="E4729" s="4">
        <v>4.91</v>
      </c>
    </row>
    <row r="4730" spans="1:5" x14ac:dyDescent="0.25">
      <c r="A4730" s="4" t="s">
        <v>53</v>
      </c>
      <c r="B4730" s="4" t="s">
        <v>59</v>
      </c>
      <c r="C4730" s="5">
        <v>45322</v>
      </c>
      <c r="D4730" s="4">
        <v>43</v>
      </c>
      <c r="E4730" s="4">
        <v>14.96</v>
      </c>
    </row>
    <row r="4731" spans="1:5" x14ac:dyDescent="0.25">
      <c r="A4731" s="4" t="s">
        <v>53</v>
      </c>
      <c r="B4731" s="4" t="s">
        <v>59</v>
      </c>
      <c r="C4731" s="5">
        <v>45323</v>
      </c>
      <c r="D4731" s="4">
        <v>41.3</v>
      </c>
      <c r="E4731" s="4">
        <v>14.36</v>
      </c>
    </row>
    <row r="4732" spans="1:5" x14ac:dyDescent="0.25">
      <c r="A4732" s="4" t="s">
        <v>53</v>
      </c>
      <c r="B4732" s="4" t="s">
        <v>59</v>
      </c>
      <c r="C4732" s="5">
        <v>45323</v>
      </c>
      <c r="D4732" s="4">
        <v>29.5</v>
      </c>
      <c r="E4732" s="4">
        <v>10.26</v>
      </c>
    </row>
    <row r="4733" spans="1:5" x14ac:dyDescent="0.25">
      <c r="A4733" s="4" t="s">
        <v>53</v>
      </c>
      <c r="B4733" s="4" t="s">
        <v>59</v>
      </c>
      <c r="C4733" s="5">
        <v>45323</v>
      </c>
      <c r="D4733" s="4">
        <v>3.6</v>
      </c>
      <c r="E4733" s="4">
        <v>1.25</v>
      </c>
    </row>
    <row r="4734" spans="1:5" x14ac:dyDescent="0.25">
      <c r="A4734" s="4" t="s">
        <v>53</v>
      </c>
      <c r="B4734" s="4" t="s">
        <v>59</v>
      </c>
      <c r="C4734" s="5">
        <v>45323</v>
      </c>
      <c r="D4734" s="4">
        <v>15.4</v>
      </c>
      <c r="E4734" s="4">
        <v>5.35</v>
      </c>
    </row>
    <row r="4735" spans="1:5" x14ac:dyDescent="0.25">
      <c r="A4735" s="4" t="s">
        <v>53</v>
      </c>
      <c r="B4735" s="4" t="s">
        <v>59</v>
      </c>
      <c r="C4735" s="5">
        <v>45323</v>
      </c>
      <c r="D4735" s="4">
        <v>9.5</v>
      </c>
      <c r="E4735" s="4">
        <v>3.31</v>
      </c>
    </row>
    <row r="4736" spans="1:5" x14ac:dyDescent="0.25">
      <c r="A4736" s="4" t="s">
        <v>53</v>
      </c>
      <c r="B4736" s="4" t="s">
        <v>59</v>
      </c>
      <c r="C4736" s="5">
        <v>45323</v>
      </c>
      <c r="D4736" s="4">
        <v>8.6999999999999993</v>
      </c>
      <c r="E4736" s="4">
        <v>3.03</v>
      </c>
    </row>
    <row r="4737" spans="1:5" x14ac:dyDescent="0.25">
      <c r="A4737" s="4" t="s">
        <v>53</v>
      </c>
      <c r="B4737" s="4" t="s">
        <v>59</v>
      </c>
      <c r="C4737" s="5">
        <v>45324</v>
      </c>
      <c r="D4737" s="4">
        <v>1.2</v>
      </c>
      <c r="E4737" s="4">
        <v>0.41</v>
      </c>
    </row>
    <row r="4738" spans="1:5" x14ac:dyDescent="0.25">
      <c r="A4738" s="4" t="s">
        <v>53</v>
      </c>
      <c r="B4738" s="4" t="s">
        <v>59</v>
      </c>
      <c r="C4738" s="5">
        <v>45324</v>
      </c>
      <c r="D4738" s="4">
        <v>16.399999999999999</v>
      </c>
      <c r="E4738" s="4">
        <v>5.71</v>
      </c>
    </row>
    <row r="4739" spans="1:5" x14ac:dyDescent="0.25">
      <c r="A4739" s="4" t="s">
        <v>53</v>
      </c>
      <c r="B4739" s="4" t="s">
        <v>59</v>
      </c>
      <c r="C4739" s="5">
        <v>45327</v>
      </c>
      <c r="D4739" s="4">
        <v>15.4</v>
      </c>
      <c r="E4739" s="4">
        <v>5.35</v>
      </c>
    </row>
    <row r="4740" spans="1:5" x14ac:dyDescent="0.25">
      <c r="A4740" s="4" t="s">
        <v>53</v>
      </c>
      <c r="B4740" s="4" t="s">
        <v>59</v>
      </c>
      <c r="C4740" s="5">
        <v>45327</v>
      </c>
      <c r="D4740" s="4">
        <v>8.8000000000000007</v>
      </c>
      <c r="E4740" s="4">
        <v>3.06</v>
      </c>
    </row>
    <row r="4741" spans="1:5" x14ac:dyDescent="0.25">
      <c r="A4741" s="4" t="s">
        <v>53</v>
      </c>
      <c r="B4741" s="4" t="s">
        <v>59</v>
      </c>
      <c r="C4741" s="5">
        <v>45327</v>
      </c>
      <c r="D4741" s="4">
        <v>24.2</v>
      </c>
      <c r="E4741" s="4">
        <v>8.41</v>
      </c>
    </row>
    <row r="4742" spans="1:5" x14ac:dyDescent="0.25">
      <c r="A4742" s="4" t="s">
        <v>53</v>
      </c>
      <c r="B4742" s="4" t="s">
        <v>59</v>
      </c>
      <c r="C4742" s="5">
        <v>45327</v>
      </c>
      <c r="D4742" s="4">
        <v>24.2</v>
      </c>
      <c r="E4742" s="4">
        <v>8.41</v>
      </c>
    </row>
    <row r="4743" spans="1:5" x14ac:dyDescent="0.25">
      <c r="A4743" s="4" t="s">
        <v>53</v>
      </c>
      <c r="B4743" s="4" t="s">
        <v>59</v>
      </c>
      <c r="C4743" s="5">
        <v>45327</v>
      </c>
      <c r="D4743" s="4">
        <v>24.2</v>
      </c>
      <c r="E4743" s="4">
        <v>8.41</v>
      </c>
    </row>
    <row r="4744" spans="1:5" x14ac:dyDescent="0.25">
      <c r="A4744" s="4" t="s">
        <v>53</v>
      </c>
      <c r="B4744" s="4" t="s">
        <v>59</v>
      </c>
      <c r="C4744" s="5">
        <v>45327</v>
      </c>
      <c r="D4744" s="4">
        <v>24.2</v>
      </c>
      <c r="E4744" s="4">
        <v>8.41</v>
      </c>
    </row>
    <row r="4745" spans="1:5" x14ac:dyDescent="0.25">
      <c r="A4745" s="4" t="s">
        <v>53</v>
      </c>
      <c r="B4745" s="4" t="s">
        <v>59</v>
      </c>
      <c r="C4745" s="5">
        <v>45327</v>
      </c>
      <c r="D4745" s="4">
        <v>24.2</v>
      </c>
      <c r="E4745" s="4">
        <v>8.41</v>
      </c>
    </row>
    <row r="4746" spans="1:5" x14ac:dyDescent="0.25">
      <c r="A4746" s="4" t="s">
        <v>53</v>
      </c>
      <c r="B4746" s="4" t="s">
        <v>59</v>
      </c>
      <c r="C4746" s="5">
        <v>45327</v>
      </c>
      <c r="D4746" s="4">
        <v>24.2</v>
      </c>
      <c r="E4746" s="4">
        <v>8.41</v>
      </c>
    </row>
    <row r="4747" spans="1:5" x14ac:dyDescent="0.25">
      <c r="A4747" s="4" t="s">
        <v>53</v>
      </c>
      <c r="B4747" s="4" t="s">
        <v>59</v>
      </c>
      <c r="C4747" s="5">
        <v>45327</v>
      </c>
      <c r="D4747" s="4">
        <v>24.2</v>
      </c>
      <c r="E4747" s="4">
        <v>8.41</v>
      </c>
    </row>
    <row r="4748" spans="1:5" x14ac:dyDescent="0.25">
      <c r="A4748" s="4" t="s">
        <v>53</v>
      </c>
      <c r="B4748" s="4" t="s">
        <v>59</v>
      </c>
      <c r="C4748" s="5">
        <v>45327</v>
      </c>
      <c r="D4748" s="4">
        <v>20.100000000000001</v>
      </c>
      <c r="E4748" s="4">
        <v>6.99</v>
      </c>
    </row>
    <row r="4749" spans="1:5" x14ac:dyDescent="0.25">
      <c r="A4749" s="4" t="s">
        <v>53</v>
      </c>
      <c r="B4749" s="4" t="s">
        <v>59</v>
      </c>
      <c r="C4749" s="5">
        <v>45327</v>
      </c>
      <c r="D4749" s="4">
        <v>21.9</v>
      </c>
      <c r="E4749" s="4">
        <v>7.62</v>
      </c>
    </row>
    <row r="4750" spans="1:5" x14ac:dyDescent="0.25">
      <c r="A4750" s="4" t="s">
        <v>53</v>
      </c>
      <c r="B4750" s="4" t="s">
        <v>59</v>
      </c>
      <c r="C4750" s="5">
        <v>45329</v>
      </c>
      <c r="D4750" s="4">
        <v>28.9</v>
      </c>
      <c r="E4750" s="4">
        <v>10.02</v>
      </c>
    </row>
    <row r="4751" spans="1:5" x14ac:dyDescent="0.25">
      <c r="A4751" s="4" t="s">
        <v>53</v>
      </c>
      <c r="B4751" s="4" t="s">
        <v>59</v>
      </c>
      <c r="C4751" s="5">
        <v>45329</v>
      </c>
      <c r="D4751" s="4">
        <v>31.6</v>
      </c>
      <c r="E4751" s="4">
        <v>10.98</v>
      </c>
    </row>
    <row r="4752" spans="1:5" x14ac:dyDescent="0.25">
      <c r="A4752" s="4" t="s">
        <v>53</v>
      </c>
      <c r="B4752" s="4" t="s">
        <v>59</v>
      </c>
      <c r="C4752" s="5">
        <v>45329</v>
      </c>
      <c r="D4752" s="4">
        <v>31.6</v>
      </c>
      <c r="E4752" s="4">
        <v>10.98</v>
      </c>
    </row>
    <row r="4753" spans="1:5" x14ac:dyDescent="0.25">
      <c r="A4753" s="4" t="s">
        <v>53</v>
      </c>
      <c r="B4753" s="4" t="s">
        <v>59</v>
      </c>
      <c r="C4753" s="5">
        <v>45329</v>
      </c>
      <c r="D4753" s="4">
        <v>31.6</v>
      </c>
      <c r="E4753" s="4">
        <v>10.98</v>
      </c>
    </row>
    <row r="4754" spans="1:5" x14ac:dyDescent="0.25">
      <c r="A4754" s="4" t="s">
        <v>53</v>
      </c>
      <c r="B4754" s="4" t="s">
        <v>59</v>
      </c>
      <c r="C4754" s="5">
        <v>45329</v>
      </c>
      <c r="D4754" s="4">
        <v>31.6</v>
      </c>
      <c r="E4754" s="4">
        <v>10.98</v>
      </c>
    </row>
    <row r="4755" spans="1:5" x14ac:dyDescent="0.25">
      <c r="A4755" s="4" t="s">
        <v>53</v>
      </c>
      <c r="B4755" s="4" t="s">
        <v>59</v>
      </c>
      <c r="C4755" s="5">
        <v>45329</v>
      </c>
      <c r="D4755" s="4">
        <v>31.6</v>
      </c>
      <c r="E4755" s="4">
        <v>10.98</v>
      </c>
    </row>
    <row r="4756" spans="1:5" x14ac:dyDescent="0.25">
      <c r="A4756" s="4" t="s">
        <v>53</v>
      </c>
      <c r="B4756" s="4" t="s">
        <v>59</v>
      </c>
      <c r="C4756" s="5">
        <v>45329</v>
      </c>
      <c r="D4756" s="4">
        <v>31.6</v>
      </c>
      <c r="E4756" s="4">
        <v>10.98</v>
      </c>
    </row>
    <row r="4757" spans="1:5" x14ac:dyDescent="0.25">
      <c r="A4757" s="4" t="s">
        <v>53</v>
      </c>
      <c r="B4757" s="4" t="s">
        <v>59</v>
      </c>
      <c r="C4757" s="5">
        <v>45329</v>
      </c>
      <c r="D4757" s="4">
        <v>28.9</v>
      </c>
      <c r="E4757" s="4">
        <v>10.02</v>
      </c>
    </row>
    <row r="4758" spans="1:5" x14ac:dyDescent="0.25">
      <c r="A4758" s="4" t="s">
        <v>53</v>
      </c>
      <c r="B4758" s="4" t="s">
        <v>59</v>
      </c>
      <c r="C4758" s="5">
        <v>45330</v>
      </c>
      <c r="D4758" s="4">
        <v>41.3</v>
      </c>
      <c r="E4758" s="4">
        <v>14.36</v>
      </c>
    </row>
    <row r="4759" spans="1:5" x14ac:dyDescent="0.25">
      <c r="A4759" s="4" t="s">
        <v>53</v>
      </c>
      <c r="B4759" s="4" t="s">
        <v>59</v>
      </c>
      <c r="C4759" s="5">
        <v>45330</v>
      </c>
      <c r="D4759" s="4">
        <v>17.3</v>
      </c>
      <c r="E4759" s="4">
        <v>6.03</v>
      </c>
    </row>
    <row r="4760" spans="1:5" x14ac:dyDescent="0.25">
      <c r="A4760" s="4" t="s">
        <v>53</v>
      </c>
      <c r="B4760" s="4" t="s">
        <v>59</v>
      </c>
      <c r="C4760" s="5">
        <v>45330</v>
      </c>
      <c r="D4760" s="4">
        <v>17.3</v>
      </c>
      <c r="E4760" s="4">
        <v>6.03</v>
      </c>
    </row>
    <row r="4761" spans="1:5" x14ac:dyDescent="0.25">
      <c r="A4761" s="4" t="s">
        <v>53</v>
      </c>
      <c r="B4761" s="4" t="s">
        <v>59</v>
      </c>
      <c r="C4761" s="5">
        <v>45330</v>
      </c>
      <c r="D4761" s="4">
        <v>67.5</v>
      </c>
      <c r="E4761" s="4">
        <v>23.48</v>
      </c>
    </row>
    <row r="4762" spans="1:5" x14ac:dyDescent="0.25">
      <c r="A4762" s="4" t="s">
        <v>53</v>
      </c>
      <c r="B4762" s="4" t="s">
        <v>59</v>
      </c>
      <c r="C4762" s="5">
        <v>45330</v>
      </c>
      <c r="D4762" s="4">
        <v>88.4</v>
      </c>
      <c r="E4762" s="4">
        <v>30.74</v>
      </c>
    </row>
    <row r="4763" spans="1:5" x14ac:dyDescent="0.25">
      <c r="A4763" s="4" t="s">
        <v>53</v>
      </c>
      <c r="B4763" s="4" t="s">
        <v>59</v>
      </c>
      <c r="C4763" s="5">
        <v>45331</v>
      </c>
      <c r="D4763" s="4">
        <v>41.3</v>
      </c>
      <c r="E4763" s="4">
        <v>14.36</v>
      </c>
    </row>
    <row r="4764" spans="1:5" x14ac:dyDescent="0.25">
      <c r="A4764" s="4" t="s">
        <v>53</v>
      </c>
      <c r="B4764" s="4" t="s">
        <v>59</v>
      </c>
      <c r="C4764" s="5">
        <v>45331</v>
      </c>
      <c r="D4764" s="4">
        <v>17.3</v>
      </c>
      <c r="E4764" s="4">
        <v>6.03</v>
      </c>
    </row>
    <row r="4765" spans="1:5" x14ac:dyDescent="0.25">
      <c r="A4765" s="4" t="s">
        <v>53</v>
      </c>
      <c r="B4765" s="4" t="s">
        <v>59</v>
      </c>
      <c r="C4765" s="5">
        <v>45331</v>
      </c>
      <c r="D4765" s="4">
        <v>17.3</v>
      </c>
      <c r="E4765" s="4">
        <v>6.03</v>
      </c>
    </row>
    <row r="4766" spans="1:5" x14ac:dyDescent="0.25">
      <c r="A4766" s="4" t="s">
        <v>53</v>
      </c>
      <c r="B4766" s="4" t="s">
        <v>59</v>
      </c>
      <c r="C4766" s="5">
        <v>45331</v>
      </c>
      <c r="D4766" s="4">
        <v>67.5</v>
      </c>
      <c r="E4766" s="4">
        <v>23.48</v>
      </c>
    </row>
    <row r="4767" spans="1:5" x14ac:dyDescent="0.25">
      <c r="A4767" s="4" t="s">
        <v>53</v>
      </c>
      <c r="B4767" s="4" t="s">
        <v>59</v>
      </c>
      <c r="C4767" s="5">
        <v>45331</v>
      </c>
      <c r="D4767" s="4">
        <v>84.3</v>
      </c>
      <c r="E4767" s="4">
        <v>29.32</v>
      </c>
    </row>
    <row r="4768" spans="1:5" x14ac:dyDescent="0.25">
      <c r="A4768" s="4" t="s">
        <v>53</v>
      </c>
      <c r="B4768" s="4" t="s">
        <v>59</v>
      </c>
      <c r="C4768" s="5">
        <v>45331</v>
      </c>
      <c r="D4768" s="4">
        <v>17.3</v>
      </c>
      <c r="E4768" s="4">
        <v>6.03</v>
      </c>
    </row>
    <row r="4769" spans="1:5" x14ac:dyDescent="0.25">
      <c r="A4769" s="4" t="s">
        <v>53</v>
      </c>
      <c r="B4769" s="4" t="s">
        <v>59</v>
      </c>
      <c r="C4769" s="5">
        <v>45331</v>
      </c>
      <c r="D4769" s="4">
        <v>17.3</v>
      </c>
      <c r="E4769" s="4">
        <v>6.03</v>
      </c>
    </row>
    <row r="4770" spans="1:5" x14ac:dyDescent="0.25">
      <c r="A4770" s="4" t="s">
        <v>53</v>
      </c>
      <c r="B4770" s="4" t="s">
        <v>59</v>
      </c>
      <c r="C4770" s="5">
        <v>45331</v>
      </c>
      <c r="D4770" s="4">
        <v>67.5</v>
      </c>
      <c r="E4770" s="4">
        <v>23.48</v>
      </c>
    </row>
    <row r="4771" spans="1:5" x14ac:dyDescent="0.25">
      <c r="A4771" s="4" t="s">
        <v>53</v>
      </c>
      <c r="B4771" s="4" t="s">
        <v>59</v>
      </c>
      <c r="C4771" s="5">
        <v>45331</v>
      </c>
      <c r="D4771" s="4">
        <v>43</v>
      </c>
      <c r="E4771" s="4">
        <v>14.96</v>
      </c>
    </row>
    <row r="4772" spans="1:5" x14ac:dyDescent="0.25">
      <c r="A4772" s="4" t="s">
        <v>53</v>
      </c>
      <c r="B4772" s="4" t="s">
        <v>59</v>
      </c>
      <c r="C4772" s="5">
        <v>45336</v>
      </c>
      <c r="D4772" s="4">
        <v>27.9</v>
      </c>
      <c r="E4772" s="4">
        <v>9.6999999999999993</v>
      </c>
    </row>
    <row r="4773" spans="1:5" x14ac:dyDescent="0.25">
      <c r="A4773" s="4" t="s">
        <v>53</v>
      </c>
      <c r="B4773" s="4" t="s">
        <v>59</v>
      </c>
      <c r="C4773" s="5">
        <v>45336</v>
      </c>
      <c r="D4773" s="4">
        <v>14.4</v>
      </c>
      <c r="E4773" s="4">
        <v>5</v>
      </c>
    </row>
    <row r="4774" spans="1:5" x14ac:dyDescent="0.25">
      <c r="A4774" s="4" t="s">
        <v>53</v>
      </c>
      <c r="B4774" s="4" t="s">
        <v>59</v>
      </c>
      <c r="C4774" s="5">
        <v>45336</v>
      </c>
      <c r="D4774" s="4">
        <v>14.4</v>
      </c>
      <c r="E4774" s="4">
        <v>5</v>
      </c>
    </row>
    <row r="4775" spans="1:5" x14ac:dyDescent="0.25">
      <c r="A4775" s="4" t="s">
        <v>53</v>
      </c>
      <c r="B4775" s="4" t="s">
        <v>59</v>
      </c>
      <c r="C4775" s="5">
        <v>45336</v>
      </c>
      <c r="D4775" s="4">
        <v>14.4</v>
      </c>
      <c r="E4775" s="4">
        <v>5</v>
      </c>
    </row>
    <row r="4776" spans="1:5" x14ac:dyDescent="0.25">
      <c r="A4776" s="4" t="s">
        <v>53</v>
      </c>
      <c r="B4776" s="4" t="s">
        <v>59</v>
      </c>
      <c r="C4776" s="5">
        <v>45336</v>
      </c>
      <c r="D4776" s="4">
        <v>14.4</v>
      </c>
      <c r="E4776" s="4">
        <v>5</v>
      </c>
    </row>
    <row r="4777" spans="1:5" x14ac:dyDescent="0.25">
      <c r="A4777" s="4" t="s">
        <v>53</v>
      </c>
      <c r="B4777" s="4" t="s">
        <v>59</v>
      </c>
      <c r="C4777" s="5">
        <v>45336</v>
      </c>
      <c r="D4777" s="4">
        <v>14.4</v>
      </c>
      <c r="E4777" s="4">
        <v>5</v>
      </c>
    </row>
    <row r="4778" spans="1:5" x14ac:dyDescent="0.25">
      <c r="A4778" s="4" t="s">
        <v>53</v>
      </c>
      <c r="B4778" s="4" t="s">
        <v>59</v>
      </c>
      <c r="C4778" s="5">
        <v>45336</v>
      </c>
      <c r="D4778" s="4">
        <v>14.4</v>
      </c>
      <c r="E4778" s="4">
        <v>5</v>
      </c>
    </row>
    <row r="4779" spans="1:5" x14ac:dyDescent="0.25">
      <c r="A4779" s="4" t="s">
        <v>53</v>
      </c>
      <c r="B4779" s="4" t="s">
        <v>59</v>
      </c>
      <c r="C4779" s="5">
        <v>45336</v>
      </c>
      <c r="D4779" s="4">
        <v>14.4</v>
      </c>
      <c r="E4779" s="4">
        <v>5</v>
      </c>
    </row>
    <row r="4780" spans="1:5" x14ac:dyDescent="0.25">
      <c r="A4780" s="4" t="s">
        <v>53</v>
      </c>
      <c r="B4780" s="4" t="s">
        <v>59</v>
      </c>
      <c r="C4780" s="5">
        <v>45336</v>
      </c>
      <c r="D4780" s="4">
        <v>5.3</v>
      </c>
      <c r="E4780" s="4">
        <v>1.82</v>
      </c>
    </row>
    <row r="4781" spans="1:5" x14ac:dyDescent="0.25">
      <c r="A4781" s="4" t="s">
        <v>53</v>
      </c>
      <c r="B4781" s="4" t="s">
        <v>59</v>
      </c>
      <c r="C4781" s="5">
        <v>45336</v>
      </c>
      <c r="D4781" s="4">
        <v>32.700000000000003</v>
      </c>
      <c r="E4781" s="4">
        <v>11.37</v>
      </c>
    </row>
    <row r="4782" spans="1:5" x14ac:dyDescent="0.25">
      <c r="A4782" s="4" t="s">
        <v>53</v>
      </c>
      <c r="B4782" s="4" t="s">
        <v>59</v>
      </c>
      <c r="C4782" s="5">
        <v>45336</v>
      </c>
      <c r="D4782" s="4">
        <v>24.5</v>
      </c>
      <c r="E4782" s="4">
        <v>8.5399999999999991</v>
      </c>
    </row>
    <row r="4783" spans="1:5" x14ac:dyDescent="0.25">
      <c r="A4783" s="4" t="s">
        <v>53</v>
      </c>
      <c r="B4783" s="4" t="s">
        <v>59</v>
      </c>
      <c r="C4783" s="5">
        <v>45336</v>
      </c>
      <c r="D4783" s="4">
        <v>28.4</v>
      </c>
      <c r="E4783" s="4">
        <v>9.9</v>
      </c>
    </row>
    <row r="4784" spans="1:5" x14ac:dyDescent="0.25">
      <c r="A4784" s="4" t="s">
        <v>53</v>
      </c>
      <c r="B4784" s="4" t="s">
        <v>59</v>
      </c>
      <c r="C4784" s="5">
        <v>45337</v>
      </c>
      <c r="D4784" s="4">
        <v>31.9</v>
      </c>
      <c r="E4784" s="4">
        <v>11.09</v>
      </c>
    </row>
    <row r="4785" spans="1:5" x14ac:dyDescent="0.25">
      <c r="A4785" s="4" t="s">
        <v>53</v>
      </c>
      <c r="B4785" s="4" t="s">
        <v>59</v>
      </c>
      <c r="C4785" s="5">
        <v>45337</v>
      </c>
      <c r="D4785" s="4">
        <v>20.3</v>
      </c>
      <c r="E4785" s="4">
        <v>7.06</v>
      </c>
    </row>
    <row r="4786" spans="1:5" x14ac:dyDescent="0.25">
      <c r="A4786" s="4" t="s">
        <v>53</v>
      </c>
      <c r="B4786" s="4" t="s">
        <v>59</v>
      </c>
      <c r="C4786" s="5">
        <v>45337</v>
      </c>
      <c r="D4786" s="4">
        <v>17.3</v>
      </c>
      <c r="E4786" s="4">
        <v>6.03</v>
      </c>
    </row>
    <row r="4787" spans="1:5" x14ac:dyDescent="0.25">
      <c r="A4787" s="4" t="s">
        <v>53</v>
      </c>
      <c r="B4787" s="4" t="s">
        <v>59</v>
      </c>
      <c r="C4787" s="5">
        <v>45337</v>
      </c>
      <c r="D4787" s="4">
        <v>67.5</v>
      </c>
      <c r="E4787" s="4">
        <v>23.48</v>
      </c>
    </row>
    <row r="4788" spans="1:5" x14ac:dyDescent="0.25">
      <c r="A4788" s="4" t="s">
        <v>53</v>
      </c>
      <c r="B4788" s="4" t="s">
        <v>59</v>
      </c>
      <c r="C4788" s="5">
        <v>45337</v>
      </c>
      <c r="D4788" s="4">
        <v>115.7</v>
      </c>
      <c r="E4788" s="4">
        <v>40.17</v>
      </c>
    </row>
    <row r="4789" spans="1:5" x14ac:dyDescent="0.25">
      <c r="A4789" s="4" t="s">
        <v>53</v>
      </c>
      <c r="B4789" s="4" t="s">
        <v>59</v>
      </c>
      <c r="C4789" s="5">
        <v>45337</v>
      </c>
      <c r="D4789" s="4">
        <v>17.3</v>
      </c>
      <c r="E4789" s="4">
        <v>6.03</v>
      </c>
    </row>
    <row r="4790" spans="1:5" x14ac:dyDescent="0.25">
      <c r="A4790" s="4" t="s">
        <v>53</v>
      </c>
      <c r="B4790" s="4" t="s">
        <v>59</v>
      </c>
      <c r="C4790" s="5">
        <v>45337</v>
      </c>
      <c r="D4790" s="4">
        <v>67.5</v>
      </c>
      <c r="E4790" s="4">
        <v>23.48</v>
      </c>
    </row>
    <row r="4791" spans="1:5" x14ac:dyDescent="0.25">
      <c r="A4791" s="4" t="s">
        <v>53</v>
      </c>
      <c r="B4791" s="4" t="s">
        <v>59</v>
      </c>
      <c r="C4791" s="5">
        <v>45337</v>
      </c>
      <c r="D4791" s="4">
        <v>44.4</v>
      </c>
      <c r="E4791" s="4">
        <v>15.46</v>
      </c>
    </row>
    <row r="4792" spans="1:5" x14ac:dyDescent="0.25">
      <c r="A4792" s="4" t="s">
        <v>53</v>
      </c>
      <c r="B4792" s="4" t="s">
        <v>49</v>
      </c>
      <c r="C4792" s="5">
        <v>45320</v>
      </c>
      <c r="D4792" s="4">
        <v>31.9</v>
      </c>
      <c r="E4792" s="4">
        <v>11.09</v>
      </c>
    </row>
    <row r="4793" spans="1:5" x14ac:dyDescent="0.25">
      <c r="A4793" s="4" t="s">
        <v>53</v>
      </c>
      <c r="B4793" s="4" t="s">
        <v>49</v>
      </c>
      <c r="C4793" s="5">
        <v>45320</v>
      </c>
      <c r="D4793" s="4">
        <v>20.3</v>
      </c>
      <c r="E4793" s="4">
        <v>7.06</v>
      </c>
    </row>
    <row r="4794" spans="1:5" x14ac:dyDescent="0.25">
      <c r="A4794" s="4" t="s">
        <v>53</v>
      </c>
      <c r="B4794" s="4" t="s">
        <v>49</v>
      </c>
      <c r="C4794" s="5">
        <v>45320</v>
      </c>
      <c r="D4794" s="4">
        <v>17.3</v>
      </c>
      <c r="E4794" s="4">
        <v>6.03</v>
      </c>
    </row>
    <row r="4795" spans="1:5" x14ac:dyDescent="0.25">
      <c r="A4795" s="4" t="s">
        <v>53</v>
      </c>
      <c r="B4795" s="4" t="s">
        <v>49</v>
      </c>
      <c r="C4795" s="5">
        <v>45320</v>
      </c>
      <c r="D4795" s="4">
        <v>67.5</v>
      </c>
      <c r="E4795" s="4">
        <v>23.48</v>
      </c>
    </row>
    <row r="4796" spans="1:5" x14ac:dyDescent="0.25">
      <c r="A4796" s="4" t="s">
        <v>53</v>
      </c>
      <c r="B4796" s="4" t="s">
        <v>49</v>
      </c>
      <c r="C4796" s="5">
        <v>45320</v>
      </c>
      <c r="D4796" s="4">
        <v>1.1000000000000001</v>
      </c>
      <c r="E4796" s="4">
        <v>0.38</v>
      </c>
    </row>
    <row r="4797" spans="1:5" x14ac:dyDescent="0.25">
      <c r="A4797" s="4" t="s">
        <v>53</v>
      </c>
      <c r="B4797" s="4" t="s">
        <v>49</v>
      </c>
      <c r="C4797" s="5">
        <v>45320</v>
      </c>
      <c r="D4797" s="4">
        <v>60.7</v>
      </c>
      <c r="E4797" s="4">
        <v>21.07</v>
      </c>
    </row>
    <row r="4798" spans="1:5" x14ac:dyDescent="0.25">
      <c r="A4798" s="4" t="s">
        <v>53</v>
      </c>
      <c r="B4798" s="4" t="s">
        <v>49</v>
      </c>
      <c r="C4798" s="5">
        <v>45320</v>
      </c>
      <c r="D4798" s="4">
        <v>20.3</v>
      </c>
      <c r="E4798" s="4">
        <v>7.06</v>
      </c>
    </row>
    <row r="4799" spans="1:5" x14ac:dyDescent="0.25">
      <c r="A4799" s="4" t="s">
        <v>53</v>
      </c>
      <c r="B4799" s="4" t="s">
        <v>49</v>
      </c>
      <c r="C4799" s="5">
        <v>45320</v>
      </c>
      <c r="D4799" s="4">
        <v>17.3</v>
      </c>
      <c r="E4799" s="4">
        <v>6.03</v>
      </c>
    </row>
    <row r="4800" spans="1:5" x14ac:dyDescent="0.25">
      <c r="A4800" s="4" t="s">
        <v>53</v>
      </c>
      <c r="B4800" s="4" t="s">
        <v>49</v>
      </c>
      <c r="C4800" s="5">
        <v>45320</v>
      </c>
      <c r="D4800" s="4">
        <v>67.5</v>
      </c>
      <c r="E4800" s="4">
        <v>23.48</v>
      </c>
    </row>
    <row r="4801" spans="1:5" x14ac:dyDescent="0.25">
      <c r="A4801" s="4" t="s">
        <v>53</v>
      </c>
      <c r="B4801" s="4" t="s">
        <v>49</v>
      </c>
      <c r="C4801" s="5">
        <v>45320</v>
      </c>
      <c r="D4801" s="4">
        <v>29.9</v>
      </c>
      <c r="E4801" s="4">
        <v>10.36</v>
      </c>
    </row>
    <row r="4802" spans="1:5" x14ac:dyDescent="0.25">
      <c r="A4802" s="4" t="s">
        <v>53</v>
      </c>
      <c r="B4802" s="4" t="s">
        <v>49</v>
      </c>
      <c r="C4802" s="5">
        <v>45321</v>
      </c>
      <c r="D4802" s="4">
        <v>31.9</v>
      </c>
      <c r="E4802" s="4">
        <v>11.09</v>
      </c>
    </row>
    <row r="4803" spans="1:5" x14ac:dyDescent="0.25">
      <c r="A4803" s="4" t="s">
        <v>53</v>
      </c>
      <c r="B4803" s="4" t="s">
        <v>49</v>
      </c>
      <c r="C4803" s="5">
        <v>45321</v>
      </c>
      <c r="D4803" s="4">
        <v>20.3</v>
      </c>
      <c r="E4803" s="4">
        <v>7.06</v>
      </c>
    </row>
    <row r="4804" spans="1:5" x14ac:dyDescent="0.25">
      <c r="A4804" s="4" t="s">
        <v>53</v>
      </c>
      <c r="B4804" s="4" t="s">
        <v>49</v>
      </c>
      <c r="C4804" s="5">
        <v>45321</v>
      </c>
      <c r="D4804" s="4">
        <v>17.3</v>
      </c>
      <c r="E4804" s="4">
        <v>6.03</v>
      </c>
    </row>
    <row r="4805" spans="1:5" x14ac:dyDescent="0.25">
      <c r="A4805" s="4" t="s">
        <v>53</v>
      </c>
      <c r="B4805" s="4" t="s">
        <v>49</v>
      </c>
      <c r="C4805" s="5">
        <v>45321</v>
      </c>
      <c r="D4805" s="4">
        <v>67.5</v>
      </c>
      <c r="E4805" s="4">
        <v>23.48</v>
      </c>
    </row>
    <row r="4806" spans="1:5" x14ac:dyDescent="0.25">
      <c r="A4806" s="4" t="s">
        <v>53</v>
      </c>
      <c r="B4806" s="4" t="s">
        <v>49</v>
      </c>
      <c r="C4806" s="5">
        <v>45321</v>
      </c>
      <c r="D4806" s="4">
        <v>40.9</v>
      </c>
      <c r="E4806" s="4">
        <v>14.19</v>
      </c>
    </row>
    <row r="4807" spans="1:5" x14ac:dyDescent="0.25">
      <c r="A4807" s="4" t="s">
        <v>53</v>
      </c>
      <c r="B4807" s="4" t="s">
        <v>49</v>
      </c>
      <c r="C4807" s="5">
        <v>45321</v>
      </c>
      <c r="D4807" s="4">
        <v>11</v>
      </c>
      <c r="E4807" s="4">
        <v>3.83</v>
      </c>
    </row>
    <row r="4808" spans="1:5" x14ac:dyDescent="0.25">
      <c r="A4808" s="4" t="s">
        <v>53</v>
      </c>
      <c r="B4808" s="4" t="s">
        <v>49</v>
      </c>
      <c r="C4808" s="5">
        <v>45321</v>
      </c>
      <c r="D4808" s="4">
        <v>17.3</v>
      </c>
      <c r="E4808" s="4">
        <v>6.02</v>
      </c>
    </row>
    <row r="4809" spans="1:5" x14ac:dyDescent="0.25">
      <c r="A4809" s="4" t="s">
        <v>53</v>
      </c>
      <c r="B4809" s="4" t="s">
        <v>49</v>
      </c>
      <c r="C4809" s="5">
        <v>45321</v>
      </c>
      <c r="D4809" s="4">
        <v>12.6</v>
      </c>
      <c r="E4809" s="4">
        <v>4.34</v>
      </c>
    </row>
    <row r="4810" spans="1:5" x14ac:dyDescent="0.25">
      <c r="A4810" s="4" t="s">
        <v>53</v>
      </c>
      <c r="B4810" s="4" t="s">
        <v>49</v>
      </c>
      <c r="C4810" s="5">
        <v>45321</v>
      </c>
      <c r="D4810" s="4">
        <v>29.9</v>
      </c>
      <c r="E4810" s="4">
        <v>10.36</v>
      </c>
    </row>
    <row r="4811" spans="1:5" x14ac:dyDescent="0.25">
      <c r="A4811" s="4" t="s">
        <v>53</v>
      </c>
      <c r="B4811" s="4" t="s">
        <v>49</v>
      </c>
      <c r="C4811" s="5">
        <v>45322</v>
      </c>
      <c r="D4811" s="4">
        <v>31.9</v>
      </c>
      <c r="E4811" s="4">
        <v>11.09</v>
      </c>
    </row>
    <row r="4812" spans="1:5" x14ac:dyDescent="0.25">
      <c r="A4812" s="4" t="s">
        <v>53</v>
      </c>
      <c r="B4812" s="4" t="s">
        <v>49</v>
      </c>
      <c r="C4812" s="5">
        <v>45322</v>
      </c>
      <c r="D4812" s="4">
        <v>20.3</v>
      </c>
      <c r="E4812" s="4">
        <v>7.06</v>
      </c>
    </row>
    <row r="4813" spans="1:5" x14ac:dyDescent="0.25">
      <c r="A4813" s="4" t="s">
        <v>53</v>
      </c>
      <c r="B4813" s="4" t="s">
        <v>49</v>
      </c>
      <c r="C4813" s="5">
        <v>45322</v>
      </c>
      <c r="D4813" s="4">
        <v>17.3</v>
      </c>
      <c r="E4813" s="4">
        <v>6.03</v>
      </c>
    </row>
    <row r="4814" spans="1:5" x14ac:dyDescent="0.25">
      <c r="A4814" s="4" t="s">
        <v>53</v>
      </c>
      <c r="B4814" s="4" t="s">
        <v>49</v>
      </c>
      <c r="C4814" s="5">
        <v>45322</v>
      </c>
      <c r="D4814" s="4">
        <v>67.5</v>
      </c>
      <c r="E4814" s="4">
        <v>23.48</v>
      </c>
    </row>
    <row r="4815" spans="1:5" x14ac:dyDescent="0.25">
      <c r="A4815" s="4" t="s">
        <v>53</v>
      </c>
      <c r="B4815" s="4" t="s">
        <v>49</v>
      </c>
      <c r="C4815" s="5">
        <v>45322</v>
      </c>
      <c r="D4815" s="4">
        <v>61.8</v>
      </c>
      <c r="E4815" s="4">
        <v>21.45</v>
      </c>
    </row>
    <row r="4816" spans="1:5" x14ac:dyDescent="0.25">
      <c r="A4816" s="4" t="s">
        <v>53</v>
      </c>
      <c r="B4816" s="4" t="s">
        <v>49</v>
      </c>
      <c r="C4816" s="5">
        <v>45322</v>
      </c>
      <c r="D4816" s="4">
        <v>20.3</v>
      </c>
      <c r="E4816" s="4">
        <v>7.06</v>
      </c>
    </row>
    <row r="4817" spans="1:5" x14ac:dyDescent="0.25">
      <c r="A4817" s="4" t="s">
        <v>53</v>
      </c>
      <c r="B4817" s="4" t="s">
        <v>49</v>
      </c>
      <c r="C4817" s="5">
        <v>45322</v>
      </c>
      <c r="D4817" s="4">
        <v>20.3</v>
      </c>
      <c r="E4817" s="4">
        <v>7.06</v>
      </c>
    </row>
    <row r="4818" spans="1:5" x14ac:dyDescent="0.25">
      <c r="A4818" s="4" t="s">
        <v>53</v>
      </c>
      <c r="B4818" s="4" t="s">
        <v>49</v>
      </c>
      <c r="C4818" s="5">
        <v>45322</v>
      </c>
      <c r="D4818" s="4">
        <v>58.1</v>
      </c>
      <c r="E4818" s="4">
        <v>20.21</v>
      </c>
    </row>
    <row r="4819" spans="1:5" x14ac:dyDescent="0.25">
      <c r="A4819" s="4" t="s">
        <v>53</v>
      </c>
      <c r="B4819" s="4" t="s">
        <v>49</v>
      </c>
      <c r="C4819" s="5">
        <v>45322</v>
      </c>
      <c r="D4819" s="4">
        <v>45.3</v>
      </c>
      <c r="E4819" s="4">
        <v>15.71</v>
      </c>
    </row>
    <row r="4820" spans="1:5" x14ac:dyDescent="0.25">
      <c r="A4820" s="4" t="s">
        <v>53</v>
      </c>
      <c r="B4820" s="4" t="s">
        <v>49</v>
      </c>
      <c r="C4820" s="5">
        <v>45322</v>
      </c>
      <c r="D4820" s="4">
        <v>15.4</v>
      </c>
      <c r="E4820" s="4">
        <v>5.35</v>
      </c>
    </row>
    <row r="4821" spans="1:5" x14ac:dyDescent="0.25">
      <c r="A4821" s="4" t="s">
        <v>53</v>
      </c>
      <c r="B4821" s="4" t="s">
        <v>49</v>
      </c>
      <c r="C4821" s="5">
        <v>45323</v>
      </c>
      <c r="D4821" s="4">
        <v>15.4</v>
      </c>
      <c r="E4821" s="4">
        <v>5.35</v>
      </c>
    </row>
    <row r="4822" spans="1:5" x14ac:dyDescent="0.25">
      <c r="A4822" s="4" t="s">
        <v>53</v>
      </c>
      <c r="B4822" s="4" t="s">
        <v>49</v>
      </c>
      <c r="C4822" s="5">
        <v>45323</v>
      </c>
      <c r="D4822" s="4">
        <v>15.4</v>
      </c>
      <c r="E4822" s="4">
        <v>5.35</v>
      </c>
    </row>
    <row r="4823" spans="1:5" x14ac:dyDescent="0.25">
      <c r="A4823" s="4" t="s">
        <v>53</v>
      </c>
      <c r="B4823" s="4" t="s">
        <v>49</v>
      </c>
      <c r="C4823" s="5">
        <v>45323</v>
      </c>
      <c r="D4823" s="4">
        <v>0.9</v>
      </c>
      <c r="E4823" s="4">
        <v>0.31</v>
      </c>
    </row>
    <row r="4824" spans="1:5" x14ac:dyDescent="0.25">
      <c r="A4824" s="4" t="s">
        <v>53</v>
      </c>
      <c r="B4824" s="4" t="s">
        <v>49</v>
      </c>
      <c r="C4824" s="5">
        <v>45323</v>
      </c>
      <c r="D4824" s="4">
        <v>0.9</v>
      </c>
      <c r="E4824" s="4">
        <v>0.31</v>
      </c>
    </row>
    <row r="4825" spans="1:5" x14ac:dyDescent="0.25">
      <c r="A4825" s="4" t="s">
        <v>53</v>
      </c>
      <c r="B4825" s="4" t="s">
        <v>49</v>
      </c>
      <c r="C4825" s="5">
        <v>45323</v>
      </c>
      <c r="D4825" s="4">
        <v>15.4</v>
      </c>
      <c r="E4825" s="4">
        <v>5.35</v>
      </c>
    </row>
    <row r="4826" spans="1:5" x14ac:dyDescent="0.25">
      <c r="A4826" s="4" t="s">
        <v>53</v>
      </c>
      <c r="B4826" s="4" t="s">
        <v>49</v>
      </c>
      <c r="C4826" s="5">
        <v>45323</v>
      </c>
      <c r="D4826" s="4">
        <v>15.4</v>
      </c>
      <c r="E4826" s="4">
        <v>5.35</v>
      </c>
    </row>
    <row r="4827" spans="1:5" x14ac:dyDescent="0.25">
      <c r="A4827" s="4" t="s">
        <v>53</v>
      </c>
      <c r="B4827" s="4" t="s">
        <v>49</v>
      </c>
      <c r="C4827" s="5">
        <v>45323</v>
      </c>
      <c r="D4827" s="4">
        <v>0.9</v>
      </c>
      <c r="E4827" s="4">
        <v>0.31</v>
      </c>
    </row>
    <row r="4828" spans="1:5" x14ac:dyDescent="0.25">
      <c r="A4828" s="4" t="s">
        <v>53</v>
      </c>
      <c r="B4828" s="4" t="s">
        <v>49</v>
      </c>
      <c r="C4828" s="5">
        <v>45323</v>
      </c>
      <c r="D4828" s="4">
        <v>0.9</v>
      </c>
      <c r="E4828" s="4">
        <v>0.31</v>
      </c>
    </row>
    <row r="4829" spans="1:5" x14ac:dyDescent="0.25">
      <c r="A4829" s="4" t="s">
        <v>53</v>
      </c>
      <c r="B4829" s="4" t="s">
        <v>49</v>
      </c>
      <c r="C4829" s="5">
        <v>45323</v>
      </c>
      <c r="D4829" s="4">
        <v>15.4</v>
      </c>
      <c r="E4829" s="4">
        <v>5.35</v>
      </c>
    </row>
    <row r="4830" spans="1:5" x14ac:dyDescent="0.25">
      <c r="A4830" s="4" t="s">
        <v>53</v>
      </c>
      <c r="B4830" s="4" t="s">
        <v>49</v>
      </c>
      <c r="C4830" s="5">
        <v>45323</v>
      </c>
      <c r="D4830" s="4">
        <v>15.4</v>
      </c>
      <c r="E4830" s="4">
        <v>5.35</v>
      </c>
    </row>
    <row r="4831" spans="1:5" x14ac:dyDescent="0.25">
      <c r="A4831" s="4" t="s">
        <v>53</v>
      </c>
      <c r="B4831" s="4" t="s">
        <v>49</v>
      </c>
      <c r="C4831" s="5">
        <v>45323</v>
      </c>
      <c r="D4831" s="4">
        <v>0.9</v>
      </c>
      <c r="E4831" s="4">
        <v>0.31</v>
      </c>
    </row>
    <row r="4832" spans="1:5" x14ac:dyDescent="0.25">
      <c r="A4832" s="4" t="s">
        <v>53</v>
      </c>
      <c r="B4832" s="4" t="s">
        <v>49</v>
      </c>
      <c r="C4832" s="5">
        <v>45323</v>
      </c>
      <c r="D4832" s="4">
        <v>0.9</v>
      </c>
      <c r="E4832" s="4">
        <v>0.31</v>
      </c>
    </row>
    <row r="4833" spans="1:5" x14ac:dyDescent="0.25">
      <c r="A4833" s="4" t="s">
        <v>53</v>
      </c>
      <c r="B4833" s="4" t="s">
        <v>49</v>
      </c>
      <c r="C4833" s="5">
        <v>45323</v>
      </c>
      <c r="D4833" s="4">
        <v>15.4</v>
      </c>
      <c r="E4833" s="4">
        <v>5.35</v>
      </c>
    </row>
    <row r="4834" spans="1:5" x14ac:dyDescent="0.25">
      <c r="A4834" s="4" t="s">
        <v>53</v>
      </c>
      <c r="B4834" s="4" t="s">
        <v>49</v>
      </c>
      <c r="C4834" s="5">
        <v>45323</v>
      </c>
      <c r="D4834" s="4">
        <v>15.4</v>
      </c>
      <c r="E4834" s="4">
        <v>5.35</v>
      </c>
    </row>
    <row r="4835" spans="1:5" x14ac:dyDescent="0.25">
      <c r="A4835" s="4" t="s">
        <v>53</v>
      </c>
      <c r="B4835" s="4" t="s">
        <v>49</v>
      </c>
      <c r="C4835" s="5">
        <v>45323</v>
      </c>
      <c r="D4835" s="4">
        <v>0.9</v>
      </c>
      <c r="E4835" s="4">
        <v>0.31</v>
      </c>
    </row>
    <row r="4836" spans="1:5" x14ac:dyDescent="0.25">
      <c r="A4836" s="4" t="s">
        <v>53</v>
      </c>
      <c r="B4836" s="4" t="s">
        <v>49</v>
      </c>
      <c r="C4836" s="5">
        <v>45323</v>
      </c>
      <c r="D4836" s="4">
        <v>0.9</v>
      </c>
      <c r="E4836" s="4">
        <v>0.31</v>
      </c>
    </row>
    <row r="4837" spans="1:5" x14ac:dyDescent="0.25">
      <c r="A4837" s="4" t="s">
        <v>53</v>
      </c>
      <c r="B4837" s="4" t="s">
        <v>49</v>
      </c>
      <c r="C4837" s="5">
        <v>45323</v>
      </c>
      <c r="D4837" s="4">
        <v>15.4</v>
      </c>
      <c r="E4837" s="4">
        <v>5.35</v>
      </c>
    </row>
    <row r="4838" spans="1:5" x14ac:dyDescent="0.25">
      <c r="A4838" s="4" t="s">
        <v>53</v>
      </c>
      <c r="B4838" s="4" t="s">
        <v>49</v>
      </c>
      <c r="C4838" s="5">
        <v>45323</v>
      </c>
      <c r="D4838" s="4">
        <v>15.4</v>
      </c>
      <c r="E4838" s="4">
        <v>5.35</v>
      </c>
    </row>
    <row r="4839" spans="1:5" x14ac:dyDescent="0.25">
      <c r="A4839" s="4" t="s">
        <v>53</v>
      </c>
      <c r="B4839" s="4" t="s">
        <v>49</v>
      </c>
      <c r="C4839" s="5">
        <v>45323</v>
      </c>
      <c r="D4839" s="4">
        <v>0.9</v>
      </c>
      <c r="E4839" s="4">
        <v>0.31</v>
      </c>
    </row>
    <row r="4840" spans="1:5" x14ac:dyDescent="0.25">
      <c r="A4840" s="4" t="s">
        <v>53</v>
      </c>
      <c r="B4840" s="4" t="s">
        <v>49</v>
      </c>
      <c r="C4840" s="5">
        <v>45323</v>
      </c>
      <c r="D4840" s="4">
        <v>0.9</v>
      </c>
      <c r="E4840" s="4">
        <v>0.31</v>
      </c>
    </row>
    <row r="4841" spans="1:5" x14ac:dyDescent="0.25">
      <c r="A4841" s="4" t="s">
        <v>53</v>
      </c>
      <c r="B4841" s="4" t="s">
        <v>49</v>
      </c>
      <c r="C4841" s="5">
        <v>45324</v>
      </c>
      <c r="D4841" s="4">
        <v>22.4</v>
      </c>
      <c r="E4841" s="4">
        <v>7.79</v>
      </c>
    </row>
    <row r="4842" spans="1:5" x14ac:dyDescent="0.25">
      <c r="A4842" s="4" t="s">
        <v>53</v>
      </c>
      <c r="B4842" s="4" t="s">
        <v>49</v>
      </c>
      <c r="C4842" s="5">
        <v>45324</v>
      </c>
      <c r="D4842" s="4">
        <v>0.7</v>
      </c>
      <c r="E4842" s="4">
        <v>0.24</v>
      </c>
    </row>
    <row r="4843" spans="1:5" x14ac:dyDescent="0.25">
      <c r="A4843" s="4" t="s">
        <v>53</v>
      </c>
      <c r="B4843" s="4" t="s">
        <v>49</v>
      </c>
      <c r="C4843" s="5">
        <v>45324</v>
      </c>
      <c r="D4843" s="4">
        <v>1.4</v>
      </c>
      <c r="E4843" s="4">
        <v>0.48</v>
      </c>
    </row>
    <row r="4844" spans="1:5" x14ac:dyDescent="0.25">
      <c r="A4844" s="4" t="s">
        <v>53</v>
      </c>
      <c r="B4844" s="4" t="s">
        <v>49</v>
      </c>
      <c r="C4844" s="5">
        <v>45324</v>
      </c>
      <c r="D4844" s="4">
        <v>28.2</v>
      </c>
      <c r="E4844" s="4">
        <v>9.83</v>
      </c>
    </row>
    <row r="4845" spans="1:5" x14ac:dyDescent="0.25">
      <c r="A4845" s="4" t="s">
        <v>53</v>
      </c>
      <c r="B4845" s="4" t="s">
        <v>49</v>
      </c>
      <c r="C4845" s="5">
        <v>45324</v>
      </c>
      <c r="D4845" s="4">
        <v>1.3</v>
      </c>
      <c r="E4845" s="4">
        <v>0.45</v>
      </c>
    </row>
    <row r="4846" spans="1:5" x14ac:dyDescent="0.25">
      <c r="A4846" s="4" t="s">
        <v>53</v>
      </c>
      <c r="B4846" s="4" t="s">
        <v>49</v>
      </c>
      <c r="C4846" s="5">
        <v>45324</v>
      </c>
      <c r="D4846" s="4">
        <v>48.7</v>
      </c>
      <c r="E4846" s="4">
        <v>16.940000000000001</v>
      </c>
    </row>
    <row r="4847" spans="1:5" x14ac:dyDescent="0.25">
      <c r="A4847" s="4" t="s">
        <v>53</v>
      </c>
      <c r="B4847" s="4" t="s">
        <v>49</v>
      </c>
      <c r="C4847" s="5">
        <v>45324</v>
      </c>
      <c r="D4847" s="4">
        <v>17.3</v>
      </c>
      <c r="E4847" s="4">
        <v>6.03</v>
      </c>
    </row>
    <row r="4848" spans="1:5" x14ac:dyDescent="0.25">
      <c r="A4848" s="4" t="s">
        <v>53</v>
      </c>
      <c r="B4848" s="4" t="s">
        <v>49</v>
      </c>
      <c r="C4848" s="5">
        <v>45324</v>
      </c>
      <c r="D4848" s="4">
        <v>17.3</v>
      </c>
      <c r="E4848" s="4">
        <v>6.03</v>
      </c>
    </row>
    <row r="4849" spans="1:5" x14ac:dyDescent="0.25">
      <c r="A4849" s="4" t="s">
        <v>53</v>
      </c>
      <c r="B4849" s="4" t="s">
        <v>49</v>
      </c>
      <c r="C4849" s="5">
        <v>45324</v>
      </c>
      <c r="D4849" s="4">
        <v>67.5</v>
      </c>
      <c r="E4849" s="4">
        <v>23.48</v>
      </c>
    </row>
    <row r="4850" spans="1:5" x14ac:dyDescent="0.25">
      <c r="A4850" s="4" t="s">
        <v>53</v>
      </c>
      <c r="B4850" s="4" t="s">
        <v>49</v>
      </c>
      <c r="C4850" s="5">
        <v>45324</v>
      </c>
      <c r="D4850" s="4">
        <v>29.9</v>
      </c>
      <c r="E4850" s="4">
        <v>10.36</v>
      </c>
    </row>
    <row r="4851" spans="1:5" x14ac:dyDescent="0.25">
      <c r="A4851" s="4" t="s">
        <v>53</v>
      </c>
      <c r="B4851" s="4" t="s">
        <v>49</v>
      </c>
      <c r="C4851" s="5">
        <v>45327</v>
      </c>
      <c r="D4851" s="4">
        <v>18.7</v>
      </c>
      <c r="E4851" s="4">
        <v>6.52</v>
      </c>
    </row>
    <row r="4852" spans="1:5" x14ac:dyDescent="0.25">
      <c r="A4852" s="4" t="s">
        <v>53</v>
      </c>
      <c r="B4852" s="4" t="s">
        <v>49</v>
      </c>
      <c r="C4852" s="5">
        <v>45327</v>
      </c>
      <c r="D4852" s="4">
        <v>28.2</v>
      </c>
      <c r="E4852" s="4">
        <v>9.83</v>
      </c>
    </row>
    <row r="4853" spans="1:5" x14ac:dyDescent="0.25">
      <c r="A4853" s="4" t="s">
        <v>53</v>
      </c>
      <c r="B4853" s="4" t="s">
        <v>49</v>
      </c>
      <c r="C4853" s="5">
        <v>45327</v>
      </c>
      <c r="D4853" s="4">
        <v>1.3</v>
      </c>
      <c r="E4853" s="4">
        <v>0.45</v>
      </c>
    </row>
    <row r="4854" spans="1:5" x14ac:dyDescent="0.25">
      <c r="A4854" s="4" t="s">
        <v>53</v>
      </c>
      <c r="B4854" s="4" t="s">
        <v>49</v>
      </c>
      <c r="C4854" s="5">
        <v>45327</v>
      </c>
      <c r="D4854" s="4">
        <v>26.1</v>
      </c>
      <c r="E4854" s="4">
        <v>9.1</v>
      </c>
    </row>
    <row r="4855" spans="1:5" x14ac:dyDescent="0.25">
      <c r="A4855" s="4" t="s">
        <v>53</v>
      </c>
      <c r="B4855" s="4" t="s">
        <v>49</v>
      </c>
      <c r="C4855" s="5">
        <v>45327</v>
      </c>
      <c r="D4855" s="4">
        <v>28.2</v>
      </c>
      <c r="E4855" s="4">
        <v>9.83</v>
      </c>
    </row>
    <row r="4856" spans="1:5" x14ac:dyDescent="0.25">
      <c r="A4856" s="4" t="s">
        <v>53</v>
      </c>
      <c r="B4856" s="4" t="s">
        <v>49</v>
      </c>
      <c r="C4856" s="5">
        <v>45327</v>
      </c>
      <c r="D4856" s="4">
        <v>1.3</v>
      </c>
      <c r="E4856" s="4">
        <v>0.45</v>
      </c>
    </row>
    <row r="4857" spans="1:5" x14ac:dyDescent="0.25">
      <c r="A4857" s="4" t="s">
        <v>53</v>
      </c>
      <c r="B4857" s="4" t="s">
        <v>49</v>
      </c>
      <c r="C4857" s="5">
        <v>45327</v>
      </c>
      <c r="D4857" s="4">
        <v>7.4</v>
      </c>
      <c r="E4857" s="4">
        <v>2.58</v>
      </c>
    </row>
    <row r="4858" spans="1:5" x14ac:dyDescent="0.25">
      <c r="A4858" s="4" t="s">
        <v>53</v>
      </c>
      <c r="B4858" s="4" t="s">
        <v>49</v>
      </c>
      <c r="C4858" s="5">
        <v>45327</v>
      </c>
      <c r="D4858" s="4">
        <v>18.7</v>
      </c>
      <c r="E4858" s="4">
        <v>6.52</v>
      </c>
    </row>
    <row r="4859" spans="1:5" x14ac:dyDescent="0.25">
      <c r="A4859" s="4" t="s">
        <v>53</v>
      </c>
      <c r="B4859" s="4" t="s">
        <v>49</v>
      </c>
      <c r="C4859" s="5">
        <v>45327</v>
      </c>
      <c r="D4859" s="4">
        <v>18.7</v>
      </c>
      <c r="E4859" s="4">
        <v>6.52</v>
      </c>
    </row>
    <row r="4860" spans="1:5" x14ac:dyDescent="0.25">
      <c r="A4860" s="4" t="s">
        <v>53</v>
      </c>
      <c r="B4860" s="4" t="s">
        <v>49</v>
      </c>
      <c r="C4860" s="5">
        <v>45328</v>
      </c>
      <c r="D4860" s="4">
        <v>35.200000000000003</v>
      </c>
      <c r="E4860" s="4">
        <v>12.24</v>
      </c>
    </row>
    <row r="4861" spans="1:5" x14ac:dyDescent="0.25">
      <c r="A4861" s="4" t="s">
        <v>53</v>
      </c>
      <c r="B4861" s="4" t="s">
        <v>49</v>
      </c>
      <c r="C4861" s="5">
        <v>45328</v>
      </c>
      <c r="D4861" s="4">
        <v>24.2</v>
      </c>
      <c r="E4861" s="4">
        <v>8.41</v>
      </c>
    </row>
    <row r="4862" spans="1:5" x14ac:dyDescent="0.25">
      <c r="A4862" s="4" t="s">
        <v>53</v>
      </c>
      <c r="B4862" s="4" t="s">
        <v>49</v>
      </c>
      <c r="C4862" s="5">
        <v>45328</v>
      </c>
      <c r="D4862" s="4">
        <v>14.1</v>
      </c>
      <c r="E4862" s="4">
        <v>4.92</v>
      </c>
    </row>
    <row r="4863" spans="1:5" x14ac:dyDescent="0.25">
      <c r="A4863" s="4" t="s">
        <v>53</v>
      </c>
      <c r="B4863" s="4" t="s">
        <v>49</v>
      </c>
      <c r="C4863" s="5">
        <v>45328</v>
      </c>
      <c r="D4863" s="4">
        <v>20.8</v>
      </c>
      <c r="E4863" s="4">
        <v>7.25</v>
      </c>
    </row>
    <row r="4864" spans="1:5" x14ac:dyDescent="0.25">
      <c r="A4864" s="4" t="s">
        <v>53</v>
      </c>
      <c r="B4864" s="4" t="s">
        <v>49</v>
      </c>
      <c r="C4864" s="5">
        <v>45328</v>
      </c>
      <c r="D4864" s="4">
        <v>20.8</v>
      </c>
      <c r="E4864" s="4">
        <v>7.25</v>
      </c>
    </row>
    <row r="4865" spans="1:5" x14ac:dyDescent="0.25">
      <c r="A4865" s="4" t="s">
        <v>53</v>
      </c>
      <c r="B4865" s="4" t="s">
        <v>49</v>
      </c>
      <c r="C4865" s="5">
        <v>45328</v>
      </c>
      <c r="D4865" s="4">
        <v>20.8</v>
      </c>
      <c r="E4865" s="4">
        <v>7.25</v>
      </c>
    </row>
    <row r="4866" spans="1:5" x14ac:dyDescent="0.25">
      <c r="A4866" s="4" t="s">
        <v>53</v>
      </c>
      <c r="B4866" s="4" t="s">
        <v>49</v>
      </c>
      <c r="C4866" s="5">
        <v>45328</v>
      </c>
      <c r="D4866" s="4">
        <v>20.8</v>
      </c>
      <c r="E4866" s="4">
        <v>7.25</v>
      </c>
    </row>
    <row r="4867" spans="1:5" x14ac:dyDescent="0.25">
      <c r="A4867" s="4" t="s">
        <v>53</v>
      </c>
      <c r="B4867" s="4" t="s">
        <v>49</v>
      </c>
      <c r="C4867" s="5">
        <v>45328</v>
      </c>
      <c r="D4867" s="4">
        <v>20.8</v>
      </c>
      <c r="E4867" s="4">
        <v>7.25</v>
      </c>
    </row>
    <row r="4868" spans="1:5" x14ac:dyDescent="0.25">
      <c r="A4868" s="4" t="s">
        <v>53</v>
      </c>
      <c r="B4868" s="4" t="s">
        <v>49</v>
      </c>
      <c r="C4868" s="5">
        <v>45328</v>
      </c>
      <c r="D4868" s="4">
        <v>20.8</v>
      </c>
      <c r="E4868" s="4">
        <v>7.25</v>
      </c>
    </row>
    <row r="4869" spans="1:5" x14ac:dyDescent="0.25">
      <c r="A4869" s="4" t="s">
        <v>53</v>
      </c>
      <c r="B4869" s="4" t="s">
        <v>49</v>
      </c>
      <c r="C4869" s="5">
        <v>45328</v>
      </c>
      <c r="D4869" s="4">
        <v>22.6</v>
      </c>
      <c r="E4869" s="4">
        <v>7.88</v>
      </c>
    </row>
    <row r="4870" spans="1:5" x14ac:dyDescent="0.25">
      <c r="A4870" s="4" t="s">
        <v>53</v>
      </c>
      <c r="B4870" s="4" t="s">
        <v>49</v>
      </c>
      <c r="C4870" s="5">
        <v>45329</v>
      </c>
      <c r="D4870" s="4">
        <v>15.4</v>
      </c>
      <c r="E4870" s="4">
        <v>5.35</v>
      </c>
    </row>
    <row r="4871" spans="1:5" x14ac:dyDescent="0.25">
      <c r="A4871" s="4" t="s">
        <v>53</v>
      </c>
      <c r="B4871" s="4" t="s">
        <v>49</v>
      </c>
      <c r="C4871" s="5">
        <v>45329</v>
      </c>
      <c r="D4871" s="4">
        <v>20.8</v>
      </c>
      <c r="E4871" s="4">
        <v>7.25</v>
      </c>
    </row>
    <row r="4872" spans="1:5" x14ac:dyDescent="0.25">
      <c r="A4872" s="4" t="s">
        <v>53</v>
      </c>
      <c r="B4872" s="4" t="s">
        <v>49</v>
      </c>
      <c r="C4872" s="5">
        <v>45329</v>
      </c>
      <c r="D4872" s="4">
        <v>20.8</v>
      </c>
      <c r="E4872" s="4">
        <v>7.25</v>
      </c>
    </row>
    <row r="4873" spans="1:5" x14ac:dyDescent="0.25">
      <c r="A4873" s="4" t="s">
        <v>53</v>
      </c>
      <c r="B4873" s="4" t="s">
        <v>49</v>
      </c>
      <c r="C4873" s="5">
        <v>45329</v>
      </c>
      <c r="D4873" s="4">
        <v>20.8</v>
      </c>
      <c r="E4873" s="4">
        <v>7.25</v>
      </c>
    </row>
    <row r="4874" spans="1:5" x14ac:dyDescent="0.25">
      <c r="A4874" s="4" t="s">
        <v>53</v>
      </c>
      <c r="B4874" s="4" t="s">
        <v>49</v>
      </c>
      <c r="C4874" s="5">
        <v>45329</v>
      </c>
      <c r="D4874" s="4">
        <v>20.8</v>
      </c>
      <c r="E4874" s="4">
        <v>7.25</v>
      </c>
    </row>
    <row r="4875" spans="1:5" x14ac:dyDescent="0.25">
      <c r="A4875" s="4" t="s">
        <v>53</v>
      </c>
      <c r="B4875" s="4" t="s">
        <v>49</v>
      </c>
      <c r="C4875" s="5">
        <v>45329</v>
      </c>
      <c r="D4875" s="4">
        <v>20.8</v>
      </c>
      <c r="E4875" s="4">
        <v>7.25</v>
      </c>
    </row>
    <row r="4876" spans="1:5" x14ac:dyDescent="0.25">
      <c r="A4876" s="4" t="s">
        <v>53</v>
      </c>
      <c r="B4876" s="4" t="s">
        <v>49</v>
      </c>
      <c r="C4876" s="5">
        <v>45329</v>
      </c>
      <c r="D4876" s="4">
        <v>20.8</v>
      </c>
      <c r="E4876" s="4">
        <v>7.25</v>
      </c>
    </row>
    <row r="4877" spans="1:5" x14ac:dyDescent="0.25">
      <c r="A4877" s="4" t="s">
        <v>53</v>
      </c>
      <c r="B4877" s="4" t="s">
        <v>49</v>
      </c>
      <c r="C4877" s="5">
        <v>45329</v>
      </c>
      <c r="D4877" s="4">
        <v>20.8</v>
      </c>
      <c r="E4877" s="4">
        <v>7.25</v>
      </c>
    </row>
    <row r="4878" spans="1:5" x14ac:dyDescent="0.25">
      <c r="A4878" s="4" t="s">
        <v>53</v>
      </c>
      <c r="B4878" s="4" t="s">
        <v>49</v>
      </c>
      <c r="C4878" s="5">
        <v>45329</v>
      </c>
      <c r="D4878" s="4">
        <v>20.8</v>
      </c>
      <c r="E4878" s="4">
        <v>7.25</v>
      </c>
    </row>
    <row r="4879" spans="1:5" x14ac:dyDescent="0.25">
      <c r="A4879" s="4" t="s">
        <v>53</v>
      </c>
      <c r="B4879" s="4" t="s">
        <v>49</v>
      </c>
      <c r="C4879" s="5">
        <v>45329</v>
      </c>
      <c r="D4879" s="4">
        <v>20.8</v>
      </c>
      <c r="E4879" s="4">
        <v>7.25</v>
      </c>
    </row>
    <row r="4880" spans="1:5" x14ac:dyDescent="0.25">
      <c r="A4880" s="4" t="s">
        <v>53</v>
      </c>
      <c r="B4880" s="4" t="s">
        <v>49</v>
      </c>
      <c r="C4880" s="5">
        <v>45329</v>
      </c>
      <c r="D4880" s="4">
        <v>20.8</v>
      </c>
      <c r="E4880" s="4">
        <v>7.25</v>
      </c>
    </row>
    <row r="4881" spans="1:5" x14ac:dyDescent="0.25">
      <c r="A4881" s="4" t="s">
        <v>53</v>
      </c>
      <c r="B4881" s="4" t="s">
        <v>49</v>
      </c>
      <c r="C4881" s="5">
        <v>45329</v>
      </c>
      <c r="D4881" s="4">
        <v>20.8</v>
      </c>
      <c r="E4881" s="4">
        <v>7.25</v>
      </c>
    </row>
    <row r="4882" spans="1:5" x14ac:dyDescent="0.25">
      <c r="A4882" s="4" t="s">
        <v>53</v>
      </c>
      <c r="B4882" s="4" t="s">
        <v>49</v>
      </c>
      <c r="C4882" s="5">
        <v>45329</v>
      </c>
      <c r="D4882" s="4">
        <v>22.6</v>
      </c>
      <c r="E4882" s="4">
        <v>7.88</v>
      </c>
    </row>
    <row r="4883" spans="1:5" x14ac:dyDescent="0.25">
      <c r="A4883" s="4" t="s">
        <v>53</v>
      </c>
      <c r="B4883" s="4" t="s">
        <v>49</v>
      </c>
      <c r="C4883" s="5">
        <v>45331</v>
      </c>
      <c r="D4883" s="4">
        <v>15.4</v>
      </c>
      <c r="E4883" s="4">
        <v>5.35</v>
      </c>
    </row>
    <row r="4884" spans="1:5" x14ac:dyDescent="0.25">
      <c r="A4884" s="4" t="s">
        <v>53</v>
      </c>
      <c r="B4884" s="4" t="s">
        <v>49</v>
      </c>
      <c r="C4884" s="5">
        <v>45331</v>
      </c>
      <c r="D4884" s="4">
        <v>20.8</v>
      </c>
      <c r="E4884" s="4">
        <v>7.25</v>
      </c>
    </row>
    <row r="4885" spans="1:5" x14ac:dyDescent="0.25">
      <c r="A4885" s="4" t="s">
        <v>53</v>
      </c>
      <c r="B4885" s="4" t="s">
        <v>49</v>
      </c>
      <c r="C4885" s="5">
        <v>45331</v>
      </c>
      <c r="D4885" s="4">
        <v>20.8</v>
      </c>
      <c r="E4885" s="4">
        <v>7.25</v>
      </c>
    </row>
    <row r="4886" spans="1:5" x14ac:dyDescent="0.25">
      <c r="A4886" s="4" t="s">
        <v>53</v>
      </c>
      <c r="B4886" s="4" t="s">
        <v>49</v>
      </c>
      <c r="C4886" s="5">
        <v>45331</v>
      </c>
      <c r="D4886" s="4">
        <v>20.8</v>
      </c>
      <c r="E4886" s="4">
        <v>7.25</v>
      </c>
    </row>
    <row r="4887" spans="1:5" x14ac:dyDescent="0.25">
      <c r="A4887" s="4" t="s">
        <v>53</v>
      </c>
      <c r="B4887" s="4" t="s">
        <v>49</v>
      </c>
      <c r="C4887" s="5">
        <v>45331</v>
      </c>
      <c r="D4887" s="4">
        <v>20.8</v>
      </c>
      <c r="E4887" s="4">
        <v>7.25</v>
      </c>
    </row>
    <row r="4888" spans="1:5" x14ac:dyDescent="0.25">
      <c r="A4888" s="4" t="s">
        <v>53</v>
      </c>
      <c r="B4888" s="4" t="s">
        <v>49</v>
      </c>
      <c r="C4888" s="5">
        <v>45331</v>
      </c>
      <c r="D4888" s="4">
        <v>20.8</v>
      </c>
      <c r="E4888" s="4">
        <v>7.25</v>
      </c>
    </row>
    <row r="4889" spans="1:5" x14ac:dyDescent="0.25">
      <c r="A4889" s="4" t="s">
        <v>53</v>
      </c>
      <c r="B4889" s="4" t="s">
        <v>49</v>
      </c>
      <c r="C4889" s="5">
        <v>45331</v>
      </c>
      <c r="D4889" s="4">
        <v>20.8</v>
      </c>
      <c r="E4889" s="4">
        <v>7.25</v>
      </c>
    </row>
    <row r="4890" spans="1:5" x14ac:dyDescent="0.25">
      <c r="A4890" s="4" t="s">
        <v>53</v>
      </c>
      <c r="B4890" s="4" t="s">
        <v>49</v>
      </c>
      <c r="C4890" s="5">
        <v>45331</v>
      </c>
      <c r="D4890" s="4">
        <v>20.8</v>
      </c>
      <c r="E4890" s="4">
        <v>7.25</v>
      </c>
    </row>
    <row r="4891" spans="1:5" x14ac:dyDescent="0.25">
      <c r="A4891" s="4" t="s">
        <v>53</v>
      </c>
      <c r="B4891" s="4" t="s">
        <v>49</v>
      </c>
      <c r="C4891" s="5">
        <v>45331</v>
      </c>
      <c r="D4891" s="4">
        <v>22.6</v>
      </c>
      <c r="E4891" s="4">
        <v>7.88</v>
      </c>
    </row>
    <row r="4892" spans="1:5" x14ac:dyDescent="0.25">
      <c r="A4892" s="4" t="s">
        <v>53</v>
      </c>
      <c r="B4892" s="4" t="s">
        <v>49</v>
      </c>
      <c r="C4892" s="5">
        <v>45334</v>
      </c>
      <c r="D4892" s="4">
        <v>30.6</v>
      </c>
      <c r="E4892" s="4">
        <v>10.67</v>
      </c>
    </row>
    <row r="4893" spans="1:5" x14ac:dyDescent="0.25">
      <c r="A4893" s="4" t="s">
        <v>53</v>
      </c>
      <c r="B4893" s="4" t="s">
        <v>49</v>
      </c>
      <c r="C4893" s="5">
        <v>45334</v>
      </c>
      <c r="D4893" s="4">
        <v>30.6</v>
      </c>
      <c r="E4893" s="4">
        <v>10.67</v>
      </c>
    </row>
    <row r="4894" spans="1:5" x14ac:dyDescent="0.25">
      <c r="A4894" s="4" t="s">
        <v>53</v>
      </c>
      <c r="B4894" s="4" t="s">
        <v>49</v>
      </c>
      <c r="C4894" s="5">
        <v>45335</v>
      </c>
      <c r="D4894" s="4">
        <v>30.6</v>
      </c>
      <c r="E4894" s="4">
        <v>10.67</v>
      </c>
    </row>
    <row r="4895" spans="1:5" x14ac:dyDescent="0.25">
      <c r="A4895" s="4" t="s">
        <v>53</v>
      </c>
      <c r="B4895" s="4" t="s">
        <v>49</v>
      </c>
      <c r="C4895" s="5">
        <v>45335</v>
      </c>
      <c r="D4895" s="4">
        <v>30.6</v>
      </c>
      <c r="E4895" s="4">
        <v>10.67</v>
      </c>
    </row>
    <row r="4896" spans="1:5" x14ac:dyDescent="0.25">
      <c r="A4896" s="4" t="s">
        <v>53</v>
      </c>
      <c r="B4896" s="4" t="s">
        <v>49</v>
      </c>
      <c r="C4896" s="5">
        <v>45336</v>
      </c>
      <c r="D4896" s="4">
        <v>20.399999999999999</v>
      </c>
      <c r="E4896" s="4">
        <v>7.11</v>
      </c>
    </row>
    <row r="4897" spans="1:5" x14ac:dyDescent="0.25">
      <c r="A4897" s="4" t="s">
        <v>53</v>
      </c>
      <c r="B4897" s="4" t="s">
        <v>49</v>
      </c>
      <c r="C4897" s="5">
        <v>45336</v>
      </c>
      <c r="D4897" s="4">
        <v>11</v>
      </c>
      <c r="E4897" s="4">
        <v>3.83</v>
      </c>
    </row>
    <row r="4898" spans="1:5" x14ac:dyDescent="0.25">
      <c r="A4898" s="4" t="s">
        <v>53</v>
      </c>
      <c r="B4898" s="4" t="s">
        <v>49</v>
      </c>
      <c r="C4898" s="5">
        <v>45336</v>
      </c>
      <c r="D4898" s="4">
        <v>15.4</v>
      </c>
      <c r="E4898" s="4">
        <v>5.35</v>
      </c>
    </row>
    <row r="4899" spans="1:5" x14ac:dyDescent="0.25">
      <c r="A4899" s="4" t="s">
        <v>53</v>
      </c>
      <c r="B4899" s="4" t="s">
        <v>49</v>
      </c>
      <c r="C4899" s="5">
        <v>45336</v>
      </c>
      <c r="D4899" s="4">
        <v>58.5</v>
      </c>
      <c r="E4899" s="4">
        <v>20.36</v>
      </c>
    </row>
    <row r="4900" spans="1:5" x14ac:dyDescent="0.25">
      <c r="A4900" s="4" t="s">
        <v>53</v>
      </c>
      <c r="B4900" s="4" t="s">
        <v>49</v>
      </c>
      <c r="C4900" s="5">
        <v>45336</v>
      </c>
      <c r="D4900" s="4">
        <v>54.3</v>
      </c>
      <c r="E4900" s="4">
        <v>18.899999999999999</v>
      </c>
    </row>
    <row r="4901" spans="1:5" x14ac:dyDescent="0.25">
      <c r="A4901" s="4" t="s">
        <v>53</v>
      </c>
      <c r="B4901" s="4" t="s">
        <v>49</v>
      </c>
      <c r="C4901" s="5">
        <v>45336</v>
      </c>
      <c r="D4901" s="4">
        <v>23.7</v>
      </c>
      <c r="E4901" s="4">
        <v>8.24</v>
      </c>
    </row>
    <row r="4902" spans="1:5" x14ac:dyDescent="0.25">
      <c r="A4902" s="4" t="s">
        <v>53</v>
      </c>
      <c r="B4902" s="4" t="s">
        <v>49</v>
      </c>
      <c r="C4902" s="5">
        <v>45336</v>
      </c>
      <c r="D4902" s="4">
        <v>1.3</v>
      </c>
      <c r="E4902" s="4">
        <v>0.45</v>
      </c>
    </row>
    <row r="4903" spans="1:5" x14ac:dyDescent="0.25">
      <c r="A4903" s="4" t="s">
        <v>53</v>
      </c>
      <c r="B4903" s="4" t="s">
        <v>49</v>
      </c>
      <c r="C4903" s="5">
        <v>45336</v>
      </c>
      <c r="D4903" s="4">
        <v>3.6</v>
      </c>
      <c r="E4903" s="4">
        <v>1.25</v>
      </c>
    </row>
    <row r="4904" spans="1:5" x14ac:dyDescent="0.25">
      <c r="A4904" s="4" t="s">
        <v>53</v>
      </c>
      <c r="B4904" s="4" t="s">
        <v>49</v>
      </c>
      <c r="C4904" s="5">
        <v>45336</v>
      </c>
      <c r="D4904" s="4">
        <v>24.1</v>
      </c>
      <c r="E4904" s="4">
        <v>8.3800000000000008</v>
      </c>
    </row>
    <row r="4905" spans="1:5" x14ac:dyDescent="0.25">
      <c r="A4905" s="4" t="s">
        <v>53</v>
      </c>
      <c r="B4905" s="4" t="s">
        <v>49</v>
      </c>
      <c r="C4905" s="5">
        <v>45336</v>
      </c>
      <c r="D4905" s="4">
        <v>44.3</v>
      </c>
      <c r="E4905" s="4">
        <v>15.37</v>
      </c>
    </row>
    <row r="4906" spans="1:5" x14ac:dyDescent="0.25">
      <c r="A4906" s="4" t="s">
        <v>53</v>
      </c>
      <c r="B4906" s="4" t="s">
        <v>49</v>
      </c>
      <c r="C4906" s="5">
        <v>45336</v>
      </c>
      <c r="D4906" s="4">
        <v>28.9</v>
      </c>
      <c r="E4906" s="4">
        <v>10.02</v>
      </c>
    </row>
    <row r="4907" spans="1:5" x14ac:dyDescent="0.25">
      <c r="A4907" s="4" t="s">
        <v>53</v>
      </c>
      <c r="B4907" s="4" t="s">
        <v>49</v>
      </c>
      <c r="C4907" s="5">
        <v>45337</v>
      </c>
      <c r="D4907" s="4">
        <v>15.4</v>
      </c>
      <c r="E4907" s="4">
        <v>5.35</v>
      </c>
    </row>
    <row r="4908" spans="1:5" x14ac:dyDescent="0.25">
      <c r="A4908" s="4" t="s">
        <v>53</v>
      </c>
      <c r="B4908" s="4" t="s">
        <v>49</v>
      </c>
      <c r="C4908" s="5">
        <v>45337</v>
      </c>
      <c r="D4908" s="4">
        <v>41.6</v>
      </c>
      <c r="E4908" s="4">
        <v>14.47</v>
      </c>
    </row>
    <row r="4909" spans="1:5" x14ac:dyDescent="0.25">
      <c r="A4909" s="4" t="s">
        <v>53</v>
      </c>
      <c r="B4909" s="4" t="s">
        <v>49</v>
      </c>
      <c r="C4909" s="5">
        <v>45337</v>
      </c>
      <c r="D4909" s="4">
        <v>45.3</v>
      </c>
      <c r="E4909" s="4">
        <v>15.71</v>
      </c>
    </row>
    <row r="4910" spans="1:5" x14ac:dyDescent="0.25">
      <c r="A4910" s="4" t="s">
        <v>53</v>
      </c>
      <c r="B4910" s="4" t="s">
        <v>49</v>
      </c>
      <c r="C4910" s="5">
        <v>45337</v>
      </c>
      <c r="D4910" s="4">
        <v>41.6</v>
      </c>
      <c r="E4910" s="4">
        <v>14.47</v>
      </c>
    </row>
    <row r="4911" spans="1:5" x14ac:dyDescent="0.25">
      <c r="A4911" s="4" t="s">
        <v>53</v>
      </c>
      <c r="B4911" s="4" t="s">
        <v>49</v>
      </c>
      <c r="C4911" s="5">
        <v>45337</v>
      </c>
      <c r="D4911" s="4">
        <v>45.3</v>
      </c>
      <c r="E4911" s="4">
        <v>15.71</v>
      </c>
    </row>
    <row r="4912" spans="1:5" x14ac:dyDescent="0.25">
      <c r="A4912" s="4" t="s">
        <v>53</v>
      </c>
      <c r="B4912" s="4" t="s">
        <v>49</v>
      </c>
      <c r="C4912" s="5">
        <v>45337</v>
      </c>
      <c r="D4912" s="4">
        <v>41.6</v>
      </c>
      <c r="E4912" s="4">
        <v>14.47</v>
      </c>
    </row>
    <row r="4913" spans="1:5" x14ac:dyDescent="0.25">
      <c r="A4913" s="4" t="s">
        <v>53</v>
      </c>
      <c r="B4913" s="4" t="s">
        <v>49</v>
      </c>
      <c r="C4913" s="5">
        <v>45337</v>
      </c>
      <c r="D4913" s="4">
        <v>59.8</v>
      </c>
      <c r="E4913" s="4">
        <v>20.81</v>
      </c>
    </row>
    <row r="4914" spans="1:5" x14ac:dyDescent="0.25">
      <c r="A4914" s="4" t="s">
        <v>53</v>
      </c>
      <c r="B4914" s="4" t="s">
        <v>49</v>
      </c>
      <c r="C4914" s="5">
        <v>45337</v>
      </c>
      <c r="D4914" s="4">
        <v>41.6</v>
      </c>
      <c r="E4914" s="4">
        <v>14.47</v>
      </c>
    </row>
    <row r="4915" spans="1:5" x14ac:dyDescent="0.25">
      <c r="A4915" s="4" t="s">
        <v>53</v>
      </c>
      <c r="B4915" s="4" t="s">
        <v>49</v>
      </c>
      <c r="C4915" s="5">
        <v>45337</v>
      </c>
      <c r="D4915" s="4">
        <v>29.9</v>
      </c>
      <c r="E4915" s="4">
        <v>10.36</v>
      </c>
    </row>
    <row r="4916" spans="1:5" x14ac:dyDescent="0.25">
      <c r="A4916" s="4" t="s">
        <v>53</v>
      </c>
      <c r="B4916" s="4" t="s">
        <v>45</v>
      </c>
      <c r="C4916" s="5">
        <v>45307</v>
      </c>
      <c r="D4916" s="4">
        <v>21</v>
      </c>
      <c r="E4916" s="4">
        <v>6.79</v>
      </c>
    </row>
    <row r="4917" spans="1:5" x14ac:dyDescent="0.25">
      <c r="A4917" s="4" t="s">
        <v>53</v>
      </c>
      <c r="B4917" s="4" t="s">
        <v>45</v>
      </c>
      <c r="C4917" s="5">
        <v>45307</v>
      </c>
      <c r="D4917" s="4">
        <v>2.9</v>
      </c>
      <c r="E4917" s="4">
        <v>0.93</v>
      </c>
    </row>
    <row r="4918" spans="1:5" x14ac:dyDescent="0.25">
      <c r="A4918" s="4" t="s">
        <v>53</v>
      </c>
      <c r="B4918" s="4" t="s">
        <v>45</v>
      </c>
      <c r="C4918" s="5">
        <v>45307</v>
      </c>
      <c r="D4918" s="4">
        <v>37.1</v>
      </c>
      <c r="E4918" s="4">
        <v>12.01</v>
      </c>
    </row>
    <row r="4919" spans="1:5" x14ac:dyDescent="0.25">
      <c r="A4919" s="4" t="s">
        <v>53</v>
      </c>
      <c r="B4919" s="4" t="s">
        <v>45</v>
      </c>
      <c r="C4919" s="5">
        <v>45307</v>
      </c>
      <c r="D4919" s="4">
        <v>13.2</v>
      </c>
      <c r="E4919" s="4">
        <v>4.28</v>
      </c>
    </row>
    <row r="4920" spans="1:5" x14ac:dyDescent="0.25">
      <c r="A4920" s="4" t="s">
        <v>53</v>
      </c>
      <c r="B4920" s="4" t="s">
        <v>45</v>
      </c>
      <c r="C4920" s="5">
        <v>45307</v>
      </c>
      <c r="D4920" s="4">
        <v>13.2</v>
      </c>
      <c r="E4920" s="4">
        <v>4.28</v>
      </c>
    </row>
    <row r="4921" spans="1:5" x14ac:dyDescent="0.25">
      <c r="A4921" s="4" t="s">
        <v>53</v>
      </c>
      <c r="B4921" s="4" t="s">
        <v>45</v>
      </c>
      <c r="C4921" s="5">
        <v>45307</v>
      </c>
      <c r="D4921" s="4">
        <v>13.2</v>
      </c>
      <c r="E4921" s="4">
        <v>4.28</v>
      </c>
    </row>
    <row r="4922" spans="1:5" x14ac:dyDescent="0.25">
      <c r="A4922" s="4" t="s">
        <v>53</v>
      </c>
      <c r="B4922" s="4" t="s">
        <v>45</v>
      </c>
      <c r="C4922" s="5">
        <v>45307</v>
      </c>
      <c r="D4922" s="4">
        <v>41</v>
      </c>
      <c r="E4922" s="4">
        <v>13.29</v>
      </c>
    </row>
    <row r="4923" spans="1:5" x14ac:dyDescent="0.25">
      <c r="A4923" s="4" t="s">
        <v>53</v>
      </c>
      <c r="B4923" s="4" t="s">
        <v>45</v>
      </c>
      <c r="C4923" s="5">
        <v>45307</v>
      </c>
      <c r="D4923" s="4">
        <v>19.2</v>
      </c>
      <c r="E4923" s="4">
        <v>6.21</v>
      </c>
    </row>
    <row r="4924" spans="1:5" x14ac:dyDescent="0.25">
      <c r="A4924" s="4" t="s">
        <v>53</v>
      </c>
      <c r="B4924" s="4" t="s">
        <v>45</v>
      </c>
      <c r="C4924" s="5">
        <v>45307</v>
      </c>
      <c r="D4924" s="4">
        <v>19.2</v>
      </c>
      <c r="E4924" s="4">
        <v>6.21</v>
      </c>
    </row>
    <row r="4925" spans="1:5" x14ac:dyDescent="0.25">
      <c r="A4925" s="4" t="s">
        <v>53</v>
      </c>
      <c r="B4925" s="4" t="s">
        <v>45</v>
      </c>
      <c r="C4925" s="5">
        <v>45308</v>
      </c>
      <c r="D4925" s="4">
        <v>11</v>
      </c>
      <c r="E4925" s="4">
        <v>3.57</v>
      </c>
    </row>
    <row r="4926" spans="1:5" x14ac:dyDescent="0.25">
      <c r="A4926" s="4" t="s">
        <v>53</v>
      </c>
      <c r="B4926" s="4" t="s">
        <v>45</v>
      </c>
      <c r="C4926" s="5">
        <v>45308</v>
      </c>
      <c r="D4926" s="4">
        <v>0.7</v>
      </c>
      <c r="E4926" s="4">
        <v>0.22</v>
      </c>
    </row>
    <row r="4927" spans="1:5" x14ac:dyDescent="0.25">
      <c r="A4927" s="4" t="s">
        <v>53</v>
      </c>
      <c r="B4927" s="4" t="s">
        <v>45</v>
      </c>
      <c r="C4927" s="5">
        <v>45308</v>
      </c>
      <c r="D4927" s="4">
        <v>9.1</v>
      </c>
      <c r="E4927" s="4">
        <v>2.9</v>
      </c>
    </row>
    <row r="4928" spans="1:5" x14ac:dyDescent="0.25">
      <c r="A4928" s="4" t="s">
        <v>53</v>
      </c>
      <c r="B4928" s="4" t="s">
        <v>45</v>
      </c>
      <c r="C4928" s="5">
        <v>45308</v>
      </c>
      <c r="D4928" s="4">
        <v>19.2</v>
      </c>
      <c r="E4928" s="4">
        <v>6.2</v>
      </c>
    </row>
    <row r="4929" spans="1:5" x14ac:dyDescent="0.25">
      <c r="A4929" s="4" t="s">
        <v>53</v>
      </c>
      <c r="B4929" s="4" t="s">
        <v>45</v>
      </c>
      <c r="C4929" s="5">
        <v>45308</v>
      </c>
      <c r="D4929" s="4">
        <v>18.600000000000001</v>
      </c>
      <c r="E4929" s="4">
        <v>6.02</v>
      </c>
    </row>
    <row r="4930" spans="1:5" x14ac:dyDescent="0.25">
      <c r="A4930" s="4" t="s">
        <v>53</v>
      </c>
      <c r="B4930" s="4" t="s">
        <v>45</v>
      </c>
      <c r="C4930" s="5">
        <v>45308</v>
      </c>
      <c r="D4930" s="4">
        <v>18.600000000000001</v>
      </c>
      <c r="E4930" s="4">
        <v>6.02</v>
      </c>
    </row>
    <row r="4931" spans="1:5" x14ac:dyDescent="0.25">
      <c r="A4931" s="4" t="s">
        <v>53</v>
      </c>
      <c r="B4931" s="4" t="s">
        <v>45</v>
      </c>
      <c r="C4931" s="5">
        <v>45308</v>
      </c>
      <c r="D4931" s="4">
        <v>3.6</v>
      </c>
      <c r="E4931" s="4">
        <v>1.1599999999999999</v>
      </c>
    </row>
    <row r="4932" spans="1:5" x14ac:dyDescent="0.25">
      <c r="A4932" s="4" t="s">
        <v>53</v>
      </c>
      <c r="B4932" s="4" t="s">
        <v>45</v>
      </c>
      <c r="C4932" s="5">
        <v>45308</v>
      </c>
      <c r="D4932" s="4">
        <v>37.9</v>
      </c>
      <c r="E4932" s="4">
        <v>12.27</v>
      </c>
    </row>
    <row r="4933" spans="1:5" x14ac:dyDescent="0.25">
      <c r="A4933" s="4" t="s">
        <v>53</v>
      </c>
      <c r="B4933" s="4" t="s">
        <v>45</v>
      </c>
      <c r="C4933" s="5">
        <v>45308</v>
      </c>
      <c r="D4933" s="4">
        <v>3</v>
      </c>
      <c r="E4933" s="4">
        <v>0.95</v>
      </c>
    </row>
    <row r="4934" spans="1:5" x14ac:dyDescent="0.25">
      <c r="A4934" s="4" t="s">
        <v>53</v>
      </c>
      <c r="B4934" s="4" t="s">
        <v>45</v>
      </c>
      <c r="C4934" s="5">
        <v>45308</v>
      </c>
      <c r="D4934" s="4">
        <v>2.5</v>
      </c>
      <c r="E4934" s="4">
        <v>0.81</v>
      </c>
    </row>
    <row r="4935" spans="1:5" x14ac:dyDescent="0.25">
      <c r="A4935" s="4" t="s">
        <v>53</v>
      </c>
      <c r="B4935" s="4" t="s">
        <v>45</v>
      </c>
      <c r="C4935" s="5">
        <v>45308</v>
      </c>
      <c r="D4935" s="4">
        <v>3</v>
      </c>
      <c r="E4935" s="4">
        <v>0.95</v>
      </c>
    </row>
    <row r="4936" spans="1:5" x14ac:dyDescent="0.25">
      <c r="A4936" s="4" t="s">
        <v>53</v>
      </c>
      <c r="B4936" s="4" t="s">
        <v>45</v>
      </c>
      <c r="C4936" s="5">
        <v>45308</v>
      </c>
      <c r="D4936" s="4">
        <v>2.5</v>
      </c>
      <c r="E4936" s="4">
        <v>0.81</v>
      </c>
    </row>
    <row r="4937" spans="1:5" x14ac:dyDescent="0.25">
      <c r="A4937" s="4" t="s">
        <v>53</v>
      </c>
      <c r="B4937" s="4" t="s">
        <v>45</v>
      </c>
      <c r="C4937" s="5">
        <v>45310</v>
      </c>
      <c r="D4937" s="4">
        <v>21</v>
      </c>
      <c r="E4937" s="4">
        <v>6.79</v>
      </c>
    </row>
    <row r="4938" spans="1:5" x14ac:dyDescent="0.25">
      <c r="A4938" s="4" t="s">
        <v>53</v>
      </c>
      <c r="B4938" s="4" t="s">
        <v>45</v>
      </c>
      <c r="C4938" s="5">
        <v>45310</v>
      </c>
      <c r="D4938" s="4">
        <v>21</v>
      </c>
      <c r="E4938" s="4">
        <v>6.79</v>
      </c>
    </row>
    <row r="4939" spans="1:5" x14ac:dyDescent="0.25">
      <c r="A4939" s="4" t="s">
        <v>53</v>
      </c>
      <c r="B4939" s="4" t="s">
        <v>45</v>
      </c>
      <c r="C4939" s="5">
        <v>45310</v>
      </c>
      <c r="D4939" s="4">
        <v>3</v>
      </c>
      <c r="E4939" s="4">
        <v>0.95</v>
      </c>
    </row>
    <row r="4940" spans="1:5" x14ac:dyDescent="0.25">
      <c r="A4940" s="4" t="s">
        <v>53</v>
      </c>
      <c r="B4940" s="4" t="s">
        <v>45</v>
      </c>
      <c r="C4940" s="5">
        <v>45310</v>
      </c>
      <c r="D4940" s="4">
        <v>2.5</v>
      </c>
      <c r="E4940" s="4">
        <v>0.81</v>
      </c>
    </row>
    <row r="4941" spans="1:5" x14ac:dyDescent="0.25">
      <c r="A4941" s="4" t="s">
        <v>53</v>
      </c>
      <c r="B4941" s="4" t="s">
        <v>45</v>
      </c>
      <c r="C4941" s="5">
        <v>45310</v>
      </c>
      <c r="D4941" s="4">
        <v>21</v>
      </c>
      <c r="E4941" s="4">
        <v>6.79</v>
      </c>
    </row>
    <row r="4942" spans="1:5" x14ac:dyDescent="0.25">
      <c r="A4942" s="4" t="s">
        <v>53</v>
      </c>
      <c r="B4942" s="4" t="s">
        <v>45</v>
      </c>
      <c r="C4942" s="5">
        <v>45310</v>
      </c>
      <c r="D4942" s="4">
        <v>21</v>
      </c>
      <c r="E4942" s="4">
        <v>6.79</v>
      </c>
    </row>
    <row r="4943" spans="1:5" x14ac:dyDescent="0.25">
      <c r="A4943" s="4" t="s">
        <v>53</v>
      </c>
      <c r="B4943" s="4" t="s">
        <v>45</v>
      </c>
      <c r="C4943" s="5">
        <v>45310</v>
      </c>
      <c r="D4943" s="4">
        <v>3</v>
      </c>
      <c r="E4943" s="4">
        <v>0.95</v>
      </c>
    </row>
    <row r="4944" spans="1:5" x14ac:dyDescent="0.25">
      <c r="A4944" s="4" t="s">
        <v>53</v>
      </c>
      <c r="B4944" s="4" t="s">
        <v>45</v>
      </c>
      <c r="C4944" s="5">
        <v>45310</v>
      </c>
      <c r="D4944" s="4">
        <v>1.3</v>
      </c>
      <c r="E4944" s="4">
        <v>0.43</v>
      </c>
    </row>
    <row r="4945" spans="1:5" x14ac:dyDescent="0.25">
      <c r="A4945" s="4" t="s">
        <v>53</v>
      </c>
      <c r="B4945" s="4" t="s">
        <v>45</v>
      </c>
      <c r="C4945" s="5">
        <v>45310</v>
      </c>
      <c r="D4945" s="4">
        <v>0.9</v>
      </c>
      <c r="E4945" s="4">
        <v>0.28000000000000003</v>
      </c>
    </row>
    <row r="4946" spans="1:5" x14ac:dyDescent="0.25">
      <c r="A4946" s="4" t="s">
        <v>53</v>
      </c>
      <c r="B4946" s="4" t="s">
        <v>45</v>
      </c>
      <c r="C4946" s="5">
        <v>45313</v>
      </c>
      <c r="D4946" s="4">
        <v>30.6</v>
      </c>
      <c r="E4946" s="4">
        <v>9.92</v>
      </c>
    </row>
    <row r="4947" spans="1:5" x14ac:dyDescent="0.25">
      <c r="A4947" s="4" t="s">
        <v>53</v>
      </c>
      <c r="B4947" s="4" t="s">
        <v>45</v>
      </c>
      <c r="C4947" s="5">
        <v>45313</v>
      </c>
      <c r="D4947" s="4">
        <v>2.4</v>
      </c>
      <c r="E4947" s="4">
        <v>0.78</v>
      </c>
    </row>
    <row r="4948" spans="1:5" x14ac:dyDescent="0.25">
      <c r="A4948" s="4" t="s">
        <v>53</v>
      </c>
      <c r="B4948" s="4" t="s">
        <v>45</v>
      </c>
      <c r="C4948" s="5">
        <v>45313</v>
      </c>
      <c r="D4948" s="4">
        <v>15</v>
      </c>
      <c r="E4948" s="4">
        <v>4.8099999999999996</v>
      </c>
    </row>
    <row r="4949" spans="1:5" x14ac:dyDescent="0.25">
      <c r="A4949" s="4" t="s">
        <v>53</v>
      </c>
      <c r="B4949" s="4" t="s">
        <v>45</v>
      </c>
      <c r="C4949" s="5">
        <v>45313</v>
      </c>
      <c r="D4949" s="4">
        <v>15</v>
      </c>
      <c r="E4949" s="4">
        <v>4.8099999999999996</v>
      </c>
    </row>
    <row r="4950" spans="1:5" x14ac:dyDescent="0.25">
      <c r="A4950" s="4" t="s">
        <v>53</v>
      </c>
      <c r="B4950" s="4" t="s">
        <v>45</v>
      </c>
      <c r="C4950" s="5">
        <v>45313</v>
      </c>
      <c r="D4950" s="4">
        <v>2.4</v>
      </c>
      <c r="E4950" s="4">
        <v>0.78</v>
      </c>
    </row>
    <row r="4951" spans="1:5" x14ac:dyDescent="0.25">
      <c r="A4951" s="4" t="s">
        <v>53</v>
      </c>
      <c r="B4951" s="4" t="s">
        <v>45</v>
      </c>
      <c r="C4951" s="5">
        <v>45313</v>
      </c>
      <c r="D4951" s="4">
        <v>2.4</v>
      </c>
      <c r="E4951" s="4">
        <v>0.78</v>
      </c>
    </row>
    <row r="4952" spans="1:5" x14ac:dyDescent="0.25">
      <c r="A4952" s="4" t="s">
        <v>53</v>
      </c>
      <c r="B4952" s="4" t="s">
        <v>45</v>
      </c>
      <c r="C4952" s="5">
        <v>45313</v>
      </c>
      <c r="D4952" s="4">
        <v>15</v>
      </c>
      <c r="E4952" s="4">
        <v>4.8099999999999996</v>
      </c>
    </row>
    <row r="4953" spans="1:5" x14ac:dyDescent="0.25">
      <c r="A4953" s="4" t="s">
        <v>53</v>
      </c>
      <c r="B4953" s="4" t="s">
        <v>45</v>
      </c>
      <c r="C4953" s="5">
        <v>45313</v>
      </c>
      <c r="D4953" s="4">
        <v>15</v>
      </c>
      <c r="E4953" s="4">
        <v>4.8099999999999996</v>
      </c>
    </row>
    <row r="4954" spans="1:5" x14ac:dyDescent="0.25">
      <c r="A4954" s="4" t="s">
        <v>53</v>
      </c>
      <c r="B4954" s="4" t="s">
        <v>45</v>
      </c>
      <c r="C4954" s="5">
        <v>45313</v>
      </c>
      <c r="D4954" s="4">
        <v>2.4</v>
      </c>
      <c r="E4954" s="4">
        <v>0.78</v>
      </c>
    </row>
    <row r="4955" spans="1:5" x14ac:dyDescent="0.25">
      <c r="A4955" s="4" t="s">
        <v>53</v>
      </c>
      <c r="B4955" s="4" t="s">
        <v>45</v>
      </c>
      <c r="C4955" s="5">
        <v>45313</v>
      </c>
      <c r="D4955" s="4">
        <v>30.6</v>
      </c>
      <c r="E4955" s="4">
        <v>9.92</v>
      </c>
    </row>
    <row r="4956" spans="1:5" x14ac:dyDescent="0.25">
      <c r="A4956" s="4" t="s">
        <v>53</v>
      </c>
      <c r="B4956" s="4" t="s">
        <v>45</v>
      </c>
      <c r="C4956" s="5">
        <v>45314</v>
      </c>
      <c r="D4956" s="4">
        <v>11</v>
      </c>
      <c r="E4956" s="4">
        <v>3.57</v>
      </c>
    </row>
    <row r="4957" spans="1:5" x14ac:dyDescent="0.25">
      <c r="A4957" s="4" t="s">
        <v>53</v>
      </c>
      <c r="B4957" s="4" t="s">
        <v>45</v>
      </c>
      <c r="C4957" s="5">
        <v>45314</v>
      </c>
      <c r="D4957" s="4">
        <v>19.600000000000001</v>
      </c>
      <c r="E4957" s="4">
        <v>6.35</v>
      </c>
    </row>
    <row r="4958" spans="1:5" x14ac:dyDescent="0.25">
      <c r="A4958" s="4" t="s">
        <v>53</v>
      </c>
      <c r="B4958" s="4" t="s">
        <v>45</v>
      </c>
      <c r="C4958" s="5">
        <v>45314</v>
      </c>
      <c r="D4958" s="4">
        <v>3.6</v>
      </c>
      <c r="E4958" s="4">
        <v>1.17</v>
      </c>
    </row>
    <row r="4959" spans="1:5" x14ac:dyDescent="0.25">
      <c r="A4959" s="4" t="s">
        <v>53</v>
      </c>
      <c r="B4959" s="4" t="s">
        <v>45</v>
      </c>
      <c r="C4959" s="5">
        <v>45314</v>
      </c>
      <c r="D4959" s="4">
        <v>15</v>
      </c>
      <c r="E4959" s="4">
        <v>4.8099999999999996</v>
      </c>
    </row>
    <row r="4960" spans="1:5" x14ac:dyDescent="0.25">
      <c r="A4960" s="4" t="s">
        <v>53</v>
      </c>
      <c r="B4960" s="4" t="s">
        <v>45</v>
      </c>
      <c r="C4960" s="5">
        <v>45314</v>
      </c>
      <c r="D4960" s="4">
        <v>15</v>
      </c>
      <c r="E4960" s="4">
        <v>4.8099999999999996</v>
      </c>
    </row>
    <row r="4961" spans="1:5" x14ac:dyDescent="0.25">
      <c r="A4961" s="4" t="s">
        <v>53</v>
      </c>
      <c r="B4961" s="4" t="s">
        <v>45</v>
      </c>
      <c r="C4961" s="5">
        <v>45314</v>
      </c>
      <c r="D4961" s="4">
        <v>2.4</v>
      </c>
      <c r="E4961" s="4">
        <v>0.78</v>
      </c>
    </row>
    <row r="4962" spans="1:5" x14ac:dyDescent="0.25">
      <c r="A4962" s="4" t="s">
        <v>53</v>
      </c>
      <c r="B4962" s="4" t="s">
        <v>45</v>
      </c>
      <c r="C4962" s="5">
        <v>45314</v>
      </c>
      <c r="D4962" s="4">
        <v>2.4</v>
      </c>
      <c r="E4962" s="4">
        <v>0.78</v>
      </c>
    </row>
    <row r="4963" spans="1:5" x14ac:dyDescent="0.25">
      <c r="A4963" s="4" t="s">
        <v>53</v>
      </c>
      <c r="B4963" s="4" t="s">
        <v>45</v>
      </c>
      <c r="C4963" s="5">
        <v>45314</v>
      </c>
      <c r="D4963" s="4">
        <v>15</v>
      </c>
      <c r="E4963" s="4">
        <v>4.8099999999999996</v>
      </c>
    </row>
    <row r="4964" spans="1:5" x14ac:dyDescent="0.25">
      <c r="A4964" s="4" t="s">
        <v>53</v>
      </c>
      <c r="B4964" s="4" t="s">
        <v>45</v>
      </c>
      <c r="C4964" s="5">
        <v>45314</v>
      </c>
      <c r="D4964" s="4">
        <v>15</v>
      </c>
      <c r="E4964" s="4">
        <v>4.8099999999999996</v>
      </c>
    </row>
    <row r="4965" spans="1:5" x14ac:dyDescent="0.25">
      <c r="A4965" s="4" t="s">
        <v>53</v>
      </c>
      <c r="B4965" s="4" t="s">
        <v>45</v>
      </c>
      <c r="C4965" s="5">
        <v>45314</v>
      </c>
      <c r="D4965" s="4">
        <v>2.4</v>
      </c>
      <c r="E4965" s="4">
        <v>0.78</v>
      </c>
    </row>
    <row r="4966" spans="1:5" x14ac:dyDescent="0.25">
      <c r="A4966" s="4" t="s">
        <v>53</v>
      </c>
      <c r="B4966" s="4" t="s">
        <v>45</v>
      </c>
      <c r="C4966" s="5">
        <v>45314</v>
      </c>
      <c r="D4966" s="4">
        <v>20.100000000000001</v>
      </c>
      <c r="E4966" s="4">
        <v>6.52</v>
      </c>
    </row>
    <row r="4967" spans="1:5" x14ac:dyDescent="0.25">
      <c r="A4967" s="4" t="s">
        <v>53</v>
      </c>
      <c r="B4967" s="4" t="s">
        <v>45</v>
      </c>
      <c r="C4967" s="5">
        <v>45314</v>
      </c>
      <c r="D4967" s="4">
        <v>20.100000000000001</v>
      </c>
      <c r="E4967" s="4">
        <v>6.51</v>
      </c>
    </row>
    <row r="4968" spans="1:5" x14ac:dyDescent="0.25">
      <c r="A4968" s="4" t="s">
        <v>53</v>
      </c>
      <c r="B4968" s="4" t="s">
        <v>45</v>
      </c>
      <c r="C4968" s="5">
        <v>45314</v>
      </c>
      <c r="D4968" s="4">
        <v>30.6</v>
      </c>
      <c r="E4968" s="4">
        <v>9.92</v>
      </c>
    </row>
    <row r="4969" spans="1:5" x14ac:dyDescent="0.25">
      <c r="A4969" s="4" t="s">
        <v>53</v>
      </c>
      <c r="B4969" s="4" t="s">
        <v>45</v>
      </c>
      <c r="C4969" s="5">
        <v>45315</v>
      </c>
      <c r="D4969" s="4">
        <v>2.4</v>
      </c>
      <c r="E4969" s="4">
        <v>0.75</v>
      </c>
    </row>
    <row r="4970" spans="1:5" x14ac:dyDescent="0.25">
      <c r="A4970" s="4" t="s">
        <v>53</v>
      </c>
      <c r="B4970" s="4" t="s">
        <v>45</v>
      </c>
      <c r="C4970" s="5">
        <v>45315</v>
      </c>
      <c r="D4970" s="4">
        <v>0.4</v>
      </c>
      <c r="E4970" s="4">
        <v>0.12</v>
      </c>
    </row>
    <row r="4971" spans="1:5" x14ac:dyDescent="0.25">
      <c r="A4971" s="4" t="s">
        <v>53</v>
      </c>
      <c r="B4971" s="4" t="s">
        <v>45</v>
      </c>
      <c r="C4971" s="5">
        <v>45315</v>
      </c>
      <c r="D4971" s="4">
        <v>11.7</v>
      </c>
      <c r="E4971" s="4">
        <v>3.79</v>
      </c>
    </row>
    <row r="4972" spans="1:5" x14ac:dyDescent="0.25">
      <c r="A4972" s="4" t="s">
        <v>53</v>
      </c>
      <c r="B4972" s="4" t="s">
        <v>45</v>
      </c>
      <c r="C4972" s="5">
        <v>45315</v>
      </c>
      <c r="D4972" s="4">
        <v>10.9</v>
      </c>
      <c r="E4972" s="4">
        <v>3.53</v>
      </c>
    </row>
    <row r="4973" spans="1:5" x14ac:dyDescent="0.25">
      <c r="A4973" s="4" t="s">
        <v>53</v>
      </c>
      <c r="B4973" s="4" t="s">
        <v>45</v>
      </c>
      <c r="C4973" s="5">
        <v>45315</v>
      </c>
      <c r="D4973" s="4">
        <v>0.7</v>
      </c>
      <c r="E4973" s="4">
        <v>0.23</v>
      </c>
    </row>
    <row r="4974" spans="1:5" x14ac:dyDescent="0.25">
      <c r="A4974" s="4" t="s">
        <v>53</v>
      </c>
      <c r="B4974" s="4" t="s">
        <v>45</v>
      </c>
      <c r="C4974" s="5">
        <v>45315</v>
      </c>
      <c r="D4974" s="4">
        <v>1.3</v>
      </c>
      <c r="E4974" s="4">
        <v>0.41</v>
      </c>
    </row>
    <row r="4975" spans="1:5" x14ac:dyDescent="0.25">
      <c r="A4975" s="4" t="s">
        <v>53</v>
      </c>
      <c r="B4975" s="4" t="s">
        <v>45</v>
      </c>
      <c r="C4975" s="5">
        <v>45315</v>
      </c>
      <c r="D4975" s="4">
        <v>1.6</v>
      </c>
      <c r="E4975" s="4">
        <v>0.5</v>
      </c>
    </row>
    <row r="4976" spans="1:5" x14ac:dyDescent="0.25">
      <c r="A4976" s="4" t="s">
        <v>53</v>
      </c>
      <c r="B4976" s="4" t="s">
        <v>45</v>
      </c>
      <c r="C4976" s="5">
        <v>45315</v>
      </c>
      <c r="D4976" s="4">
        <v>1.3</v>
      </c>
      <c r="E4976" s="4">
        <v>0.41</v>
      </c>
    </row>
    <row r="4977" spans="1:5" x14ac:dyDescent="0.25">
      <c r="A4977" s="4" t="s">
        <v>53</v>
      </c>
      <c r="B4977" s="4" t="s">
        <v>45</v>
      </c>
      <c r="C4977" s="5">
        <v>45315</v>
      </c>
      <c r="D4977" s="4">
        <v>1.6</v>
      </c>
      <c r="E4977" s="4">
        <v>0.5</v>
      </c>
    </row>
    <row r="4978" spans="1:5" x14ac:dyDescent="0.25">
      <c r="A4978" s="4" t="s">
        <v>53</v>
      </c>
      <c r="B4978" s="4" t="s">
        <v>45</v>
      </c>
      <c r="C4978" s="5">
        <v>45315</v>
      </c>
      <c r="D4978" s="4">
        <v>1.3</v>
      </c>
      <c r="E4978" s="4">
        <v>0.41</v>
      </c>
    </row>
    <row r="4979" spans="1:5" x14ac:dyDescent="0.25">
      <c r="A4979" s="4" t="s">
        <v>53</v>
      </c>
      <c r="B4979" s="4" t="s">
        <v>45</v>
      </c>
      <c r="C4979" s="5">
        <v>45315</v>
      </c>
      <c r="D4979" s="4">
        <v>1.6</v>
      </c>
      <c r="E4979" s="4">
        <v>0.5</v>
      </c>
    </row>
    <row r="4980" spans="1:5" x14ac:dyDescent="0.25">
      <c r="A4980" s="4" t="s">
        <v>53</v>
      </c>
      <c r="B4980" s="4" t="s">
        <v>45</v>
      </c>
      <c r="C4980" s="5">
        <v>45315</v>
      </c>
      <c r="D4980" s="4">
        <v>1.3</v>
      </c>
      <c r="E4980" s="4">
        <v>0.41</v>
      </c>
    </row>
    <row r="4981" spans="1:5" x14ac:dyDescent="0.25">
      <c r="A4981" s="4" t="s">
        <v>53</v>
      </c>
      <c r="B4981" s="4" t="s">
        <v>45</v>
      </c>
      <c r="C4981" s="5">
        <v>45315</v>
      </c>
      <c r="D4981" s="4">
        <v>1.6</v>
      </c>
      <c r="E4981" s="4">
        <v>0.5</v>
      </c>
    </row>
    <row r="4982" spans="1:5" x14ac:dyDescent="0.25">
      <c r="A4982" s="4" t="s">
        <v>53</v>
      </c>
      <c r="B4982" s="4" t="s">
        <v>45</v>
      </c>
      <c r="C4982" s="5">
        <v>45315</v>
      </c>
      <c r="D4982" s="4">
        <v>1.5</v>
      </c>
      <c r="E4982" s="4">
        <v>0.47</v>
      </c>
    </row>
    <row r="4983" spans="1:5" x14ac:dyDescent="0.25">
      <c r="A4983" s="4" t="s">
        <v>53</v>
      </c>
      <c r="B4983" s="4" t="s">
        <v>45</v>
      </c>
      <c r="C4983" s="5">
        <v>45315</v>
      </c>
      <c r="D4983" s="4">
        <v>1.6</v>
      </c>
      <c r="E4983" s="4">
        <v>0.5</v>
      </c>
    </row>
    <row r="4984" spans="1:5" x14ac:dyDescent="0.25">
      <c r="A4984" s="4" t="s">
        <v>53</v>
      </c>
      <c r="B4984" s="4" t="s">
        <v>45</v>
      </c>
      <c r="C4984" s="5">
        <v>45315</v>
      </c>
      <c r="D4984" s="4">
        <v>1.3</v>
      </c>
      <c r="E4984" s="4">
        <v>0.41</v>
      </c>
    </row>
    <row r="4985" spans="1:5" x14ac:dyDescent="0.25">
      <c r="A4985" s="4" t="s">
        <v>53</v>
      </c>
      <c r="B4985" s="4" t="s">
        <v>45</v>
      </c>
      <c r="C4985" s="5">
        <v>45315</v>
      </c>
      <c r="D4985" s="4">
        <v>1.6</v>
      </c>
      <c r="E4985" s="4">
        <v>0.5</v>
      </c>
    </row>
    <row r="4986" spans="1:5" x14ac:dyDescent="0.25">
      <c r="A4986" s="4" t="s">
        <v>53</v>
      </c>
      <c r="B4986" s="4" t="s">
        <v>45</v>
      </c>
      <c r="C4986" s="5">
        <v>45315</v>
      </c>
      <c r="D4986" s="4">
        <v>1.3</v>
      </c>
      <c r="E4986" s="4">
        <v>0.41</v>
      </c>
    </row>
    <row r="4987" spans="1:5" x14ac:dyDescent="0.25">
      <c r="A4987" s="4" t="s">
        <v>53</v>
      </c>
      <c r="B4987" s="4" t="s">
        <v>45</v>
      </c>
      <c r="C4987" s="5">
        <v>45315</v>
      </c>
      <c r="D4987" s="4">
        <v>1.6</v>
      </c>
      <c r="E4987" s="4">
        <v>0.5</v>
      </c>
    </row>
    <row r="4988" spans="1:5" x14ac:dyDescent="0.25">
      <c r="A4988" s="4" t="s">
        <v>53</v>
      </c>
      <c r="B4988" s="4" t="s">
        <v>45</v>
      </c>
      <c r="C4988" s="5">
        <v>45315</v>
      </c>
      <c r="D4988" s="4">
        <v>0.3</v>
      </c>
      <c r="E4988" s="4">
        <v>0.1</v>
      </c>
    </row>
    <row r="4989" spans="1:5" x14ac:dyDescent="0.25">
      <c r="A4989" s="4" t="s">
        <v>53</v>
      </c>
      <c r="B4989" s="4" t="s">
        <v>45</v>
      </c>
      <c r="C4989" s="5">
        <v>45315</v>
      </c>
      <c r="D4989" s="4">
        <v>1.3</v>
      </c>
      <c r="E4989" s="4">
        <v>0.41</v>
      </c>
    </row>
    <row r="4990" spans="1:5" x14ac:dyDescent="0.25">
      <c r="A4990" s="4" t="s">
        <v>53</v>
      </c>
      <c r="B4990" s="4" t="s">
        <v>45</v>
      </c>
      <c r="C4990" s="5">
        <v>45315</v>
      </c>
      <c r="D4990" s="4">
        <v>3.9</v>
      </c>
      <c r="E4990" s="4">
        <v>1.25</v>
      </c>
    </row>
    <row r="4991" spans="1:5" x14ac:dyDescent="0.25">
      <c r="A4991" s="4" t="s">
        <v>53</v>
      </c>
      <c r="B4991" s="4" t="s">
        <v>45</v>
      </c>
      <c r="C4991" s="5">
        <v>45317</v>
      </c>
      <c r="D4991" s="4">
        <v>2.4</v>
      </c>
      <c r="E4991" s="4">
        <v>0.75</v>
      </c>
    </row>
    <row r="4992" spans="1:5" x14ac:dyDescent="0.25">
      <c r="A4992" s="4" t="s">
        <v>53</v>
      </c>
      <c r="B4992" s="4" t="s">
        <v>45</v>
      </c>
      <c r="C4992" s="5">
        <v>45317</v>
      </c>
      <c r="D4992" s="4">
        <v>1.3</v>
      </c>
      <c r="E4992" s="4">
        <v>0.41</v>
      </c>
    </row>
    <row r="4993" spans="1:5" x14ac:dyDescent="0.25">
      <c r="A4993" s="4" t="s">
        <v>53</v>
      </c>
      <c r="B4993" s="4" t="s">
        <v>45</v>
      </c>
      <c r="C4993" s="5">
        <v>45317</v>
      </c>
      <c r="D4993" s="4">
        <v>1.6</v>
      </c>
      <c r="E4993" s="4">
        <v>0.5</v>
      </c>
    </row>
    <row r="4994" spans="1:5" x14ac:dyDescent="0.25">
      <c r="A4994" s="4" t="s">
        <v>53</v>
      </c>
      <c r="B4994" s="4" t="s">
        <v>45</v>
      </c>
      <c r="C4994" s="5">
        <v>45317</v>
      </c>
      <c r="D4994" s="4">
        <v>1.3</v>
      </c>
      <c r="E4994" s="4">
        <v>0.41</v>
      </c>
    </row>
    <row r="4995" spans="1:5" x14ac:dyDescent="0.25">
      <c r="A4995" s="4" t="s">
        <v>53</v>
      </c>
      <c r="B4995" s="4" t="s">
        <v>45</v>
      </c>
      <c r="C4995" s="5">
        <v>45317</v>
      </c>
      <c r="D4995" s="4">
        <v>1.6</v>
      </c>
      <c r="E4995" s="4">
        <v>0.5</v>
      </c>
    </row>
    <row r="4996" spans="1:5" x14ac:dyDescent="0.25">
      <c r="A4996" s="4" t="s">
        <v>53</v>
      </c>
      <c r="B4996" s="4" t="s">
        <v>45</v>
      </c>
      <c r="C4996" s="5">
        <v>45317</v>
      </c>
      <c r="D4996" s="4">
        <v>1.3</v>
      </c>
      <c r="E4996" s="4">
        <v>0.41</v>
      </c>
    </row>
    <row r="4997" spans="1:5" x14ac:dyDescent="0.25">
      <c r="A4997" s="4" t="s">
        <v>53</v>
      </c>
      <c r="B4997" s="4" t="s">
        <v>45</v>
      </c>
      <c r="C4997" s="5">
        <v>45317</v>
      </c>
      <c r="D4997" s="4">
        <v>1.6</v>
      </c>
      <c r="E4997" s="4">
        <v>0.5</v>
      </c>
    </row>
    <row r="4998" spans="1:5" x14ac:dyDescent="0.25">
      <c r="A4998" s="4" t="s">
        <v>53</v>
      </c>
      <c r="B4998" s="4" t="s">
        <v>45</v>
      </c>
      <c r="C4998" s="5">
        <v>45317</v>
      </c>
      <c r="D4998" s="4">
        <v>1.3</v>
      </c>
      <c r="E4998" s="4">
        <v>0.41</v>
      </c>
    </row>
    <row r="4999" spans="1:5" x14ac:dyDescent="0.25">
      <c r="A4999" s="4" t="s">
        <v>53</v>
      </c>
      <c r="B4999" s="4" t="s">
        <v>45</v>
      </c>
      <c r="C4999" s="5">
        <v>45317</v>
      </c>
      <c r="D4999" s="4">
        <v>1.6</v>
      </c>
      <c r="E4999" s="4">
        <v>0.5</v>
      </c>
    </row>
    <row r="5000" spans="1:5" x14ac:dyDescent="0.25">
      <c r="A5000" s="4" t="s">
        <v>53</v>
      </c>
      <c r="B5000" s="4" t="s">
        <v>45</v>
      </c>
      <c r="C5000" s="5">
        <v>45317</v>
      </c>
      <c r="D5000" s="4">
        <v>1.3</v>
      </c>
      <c r="E5000" s="4">
        <v>0.41</v>
      </c>
    </row>
    <row r="5001" spans="1:5" x14ac:dyDescent="0.25">
      <c r="A5001" s="4" t="s">
        <v>53</v>
      </c>
      <c r="B5001" s="4" t="s">
        <v>45</v>
      </c>
      <c r="C5001" s="5">
        <v>45317</v>
      </c>
      <c r="D5001" s="4">
        <v>1.6</v>
      </c>
      <c r="E5001" s="4">
        <v>0.5</v>
      </c>
    </row>
    <row r="5002" spans="1:5" x14ac:dyDescent="0.25">
      <c r="A5002" s="4" t="s">
        <v>53</v>
      </c>
      <c r="B5002" s="4" t="s">
        <v>45</v>
      </c>
      <c r="C5002" s="5">
        <v>45317</v>
      </c>
      <c r="D5002" s="4">
        <v>1.3</v>
      </c>
      <c r="E5002" s="4">
        <v>0.41</v>
      </c>
    </row>
    <row r="5003" spans="1:5" x14ac:dyDescent="0.25">
      <c r="A5003" s="4" t="s">
        <v>53</v>
      </c>
      <c r="B5003" s="4" t="s">
        <v>45</v>
      </c>
      <c r="C5003" s="5">
        <v>45317</v>
      </c>
      <c r="D5003" s="4">
        <v>1.6</v>
      </c>
      <c r="E5003" s="4">
        <v>0.5</v>
      </c>
    </row>
    <row r="5004" spans="1:5" x14ac:dyDescent="0.25">
      <c r="A5004" s="4" t="s">
        <v>53</v>
      </c>
      <c r="B5004" s="4" t="s">
        <v>45</v>
      </c>
      <c r="C5004" s="5">
        <v>45317</v>
      </c>
      <c r="D5004" s="4">
        <v>1.3</v>
      </c>
      <c r="E5004" s="4">
        <v>0.41</v>
      </c>
    </row>
    <row r="5005" spans="1:5" x14ac:dyDescent="0.25">
      <c r="A5005" s="4" t="s">
        <v>53</v>
      </c>
      <c r="B5005" s="4" t="s">
        <v>45</v>
      </c>
      <c r="C5005" s="5">
        <v>45317</v>
      </c>
      <c r="D5005" s="4">
        <v>3.9</v>
      </c>
      <c r="E5005" s="4">
        <v>1.25</v>
      </c>
    </row>
    <row r="5006" spans="1:5" x14ac:dyDescent="0.25">
      <c r="A5006" s="4" t="s">
        <v>53</v>
      </c>
      <c r="B5006" s="4" t="s">
        <v>45</v>
      </c>
      <c r="C5006" s="5">
        <v>45320</v>
      </c>
      <c r="D5006" s="4">
        <v>41.3</v>
      </c>
      <c r="E5006" s="4">
        <v>13.4</v>
      </c>
    </row>
    <row r="5007" spans="1:5" x14ac:dyDescent="0.25">
      <c r="A5007" s="4" t="s">
        <v>53</v>
      </c>
      <c r="B5007" s="4" t="s">
        <v>45</v>
      </c>
      <c r="C5007" s="5">
        <v>45320</v>
      </c>
      <c r="D5007" s="4">
        <v>50.8</v>
      </c>
      <c r="E5007" s="4">
        <v>16.48</v>
      </c>
    </row>
    <row r="5008" spans="1:5" x14ac:dyDescent="0.25">
      <c r="A5008" s="4" t="s">
        <v>53</v>
      </c>
      <c r="B5008" s="4" t="s">
        <v>45</v>
      </c>
      <c r="C5008" s="5">
        <v>45320</v>
      </c>
      <c r="D5008" s="4">
        <v>24.1</v>
      </c>
      <c r="E5008" s="4">
        <v>7.82</v>
      </c>
    </row>
    <row r="5009" spans="1:5" x14ac:dyDescent="0.25">
      <c r="A5009" s="4" t="s">
        <v>53</v>
      </c>
      <c r="B5009" s="4" t="s">
        <v>45</v>
      </c>
      <c r="C5009" s="5">
        <v>45320</v>
      </c>
      <c r="D5009" s="4">
        <v>15.4</v>
      </c>
      <c r="E5009" s="4">
        <v>5</v>
      </c>
    </row>
    <row r="5010" spans="1:5" x14ac:dyDescent="0.25">
      <c r="A5010" s="4" t="s">
        <v>53</v>
      </c>
      <c r="B5010" s="4" t="s">
        <v>45</v>
      </c>
      <c r="C5010" s="5">
        <v>45320</v>
      </c>
      <c r="D5010" s="4">
        <v>1.2</v>
      </c>
      <c r="E5010" s="4">
        <v>0.37</v>
      </c>
    </row>
    <row r="5011" spans="1:5" x14ac:dyDescent="0.25">
      <c r="A5011" s="4" t="s">
        <v>53</v>
      </c>
      <c r="B5011" s="4" t="s">
        <v>45</v>
      </c>
      <c r="C5011" s="5">
        <v>45320</v>
      </c>
      <c r="D5011" s="4">
        <v>0.3</v>
      </c>
      <c r="E5011" s="4">
        <v>0.1</v>
      </c>
    </row>
    <row r="5012" spans="1:5" x14ac:dyDescent="0.25">
      <c r="A5012" s="4" t="s">
        <v>53</v>
      </c>
      <c r="B5012" s="4" t="s">
        <v>45</v>
      </c>
      <c r="C5012" s="5">
        <v>45320</v>
      </c>
      <c r="D5012" s="4">
        <v>0.9</v>
      </c>
      <c r="E5012" s="4">
        <v>0.28000000000000003</v>
      </c>
    </row>
    <row r="5013" spans="1:5" x14ac:dyDescent="0.25">
      <c r="A5013" s="4" t="s">
        <v>53</v>
      </c>
      <c r="B5013" s="4" t="s">
        <v>45</v>
      </c>
      <c r="C5013" s="5">
        <v>45320</v>
      </c>
      <c r="D5013" s="4">
        <v>15.4</v>
      </c>
      <c r="E5013" s="4">
        <v>5</v>
      </c>
    </row>
    <row r="5014" spans="1:5" x14ac:dyDescent="0.25">
      <c r="A5014" s="4" t="s">
        <v>53</v>
      </c>
      <c r="B5014" s="4" t="s">
        <v>45</v>
      </c>
      <c r="C5014" s="5">
        <v>45321</v>
      </c>
      <c r="D5014" s="4">
        <v>2.4</v>
      </c>
      <c r="E5014" s="4">
        <v>0.75</v>
      </c>
    </row>
    <row r="5015" spans="1:5" x14ac:dyDescent="0.25">
      <c r="A5015" s="4" t="s">
        <v>53</v>
      </c>
      <c r="B5015" s="4" t="s">
        <v>45</v>
      </c>
      <c r="C5015" s="5">
        <v>45321</v>
      </c>
      <c r="D5015" s="4">
        <v>1.3</v>
      </c>
      <c r="E5015" s="4">
        <v>0.41</v>
      </c>
    </row>
    <row r="5016" spans="1:5" x14ac:dyDescent="0.25">
      <c r="A5016" s="4" t="s">
        <v>53</v>
      </c>
      <c r="B5016" s="4" t="s">
        <v>45</v>
      </c>
      <c r="C5016" s="5">
        <v>45321</v>
      </c>
      <c r="D5016" s="4">
        <v>1.6</v>
      </c>
      <c r="E5016" s="4">
        <v>0.5</v>
      </c>
    </row>
    <row r="5017" spans="1:5" x14ac:dyDescent="0.25">
      <c r="A5017" s="4" t="s">
        <v>53</v>
      </c>
      <c r="B5017" s="4" t="s">
        <v>45</v>
      </c>
      <c r="C5017" s="5">
        <v>45321</v>
      </c>
      <c r="D5017" s="4">
        <v>1.3</v>
      </c>
      <c r="E5017" s="4">
        <v>0.41</v>
      </c>
    </row>
    <row r="5018" spans="1:5" x14ac:dyDescent="0.25">
      <c r="A5018" s="4" t="s">
        <v>53</v>
      </c>
      <c r="B5018" s="4" t="s">
        <v>45</v>
      </c>
      <c r="C5018" s="5">
        <v>45321</v>
      </c>
      <c r="D5018" s="4">
        <v>1.6</v>
      </c>
      <c r="E5018" s="4">
        <v>0.5</v>
      </c>
    </row>
    <row r="5019" spans="1:5" x14ac:dyDescent="0.25">
      <c r="A5019" s="4" t="s">
        <v>53</v>
      </c>
      <c r="B5019" s="4" t="s">
        <v>45</v>
      </c>
      <c r="C5019" s="5">
        <v>45321</v>
      </c>
      <c r="D5019" s="4">
        <v>1.3</v>
      </c>
      <c r="E5019" s="4">
        <v>0.41</v>
      </c>
    </row>
    <row r="5020" spans="1:5" x14ac:dyDescent="0.25">
      <c r="A5020" s="4" t="s">
        <v>53</v>
      </c>
      <c r="B5020" s="4" t="s">
        <v>45</v>
      </c>
      <c r="C5020" s="5">
        <v>45321</v>
      </c>
      <c r="D5020" s="4">
        <v>1.6</v>
      </c>
      <c r="E5020" s="4">
        <v>0.5</v>
      </c>
    </row>
    <row r="5021" spans="1:5" x14ac:dyDescent="0.25">
      <c r="A5021" s="4" t="s">
        <v>53</v>
      </c>
      <c r="B5021" s="4" t="s">
        <v>45</v>
      </c>
      <c r="C5021" s="5">
        <v>45321</v>
      </c>
      <c r="D5021" s="4">
        <v>1.3</v>
      </c>
      <c r="E5021" s="4">
        <v>0.41</v>
      </c>
    </row>
    <row r="5022" spans="1:5" x14ac:dyDescent="0.25">
      <c r="A5022" s="4" t="s">
        <v>53</v>
      </c>
      <c r="B5022" s="4" t="s">
        <v>45</v>
      </c>
      <c r="C5022" s="5">
        <v>45321</v>
      </c>
      <c r="D5022" s="4">
        <v>1.6</v>
      </c>
      <c r="E5022" s="4">
        <v>0.5</v>
      </c>
    </row>
    <row r="5023" spans="1:5" x14ac:dyDescent="0.25">
      <c r="A5023" s="4" t="s">
        <v>53</v>
      </c>
      <c r="B5023" s="4" t="s">
        <v>45</v>
      </c>
      <c r="C5023" s="5">
        <v>45321</v>
      </c>
      <c r="D5023" s="4">
        <v>1.3</v>
      </c>
      <c r="E5023" s="4">
        <v>0.41</v>
      </c>
    </row>
    <row r="5024" spans="1:5" x14ac:dyDescent="0.25">
      <c r="A5024" s="4" t="s">
        <v>53</v>
      </c>
      <c r="B5024" s="4" t="s">
        <v>45</v>
      </c>
      <c r="C5024" s="5">
        <v>45321</v>
      </c>
      <c r="D5024" s="4">
        <v>1.6</v>
      </c>
      <c r="E5024" s="4">
        <v>0.5</v>
      </c>
    </row>
    <row r="5025" spans="1:5" x14ac:dyDescent="0.25">
      <c r="A5025" s="4" t="s">
        <v>53</v>
      </c>
      <c r="B5025" s="4" t="s">
        <v>45</v>
      </c>
      <c r="C5025" s="5">
        <v>45321</v>
      </c>
      <c r="D5025" s="4">
        <v>1.3</v>
      </c>
      <c r="E5025" s="4">
        <v>0.41</v>
      </c>
    </row>
    <row r="5026" spans="1:5" x14ac:dyDescent="0.25">
      <c r="A5026" s="4" t="s">
        <v>53</v>
      </c>
      <c r="B5026" s="4" t="s">
        <v>45</v>
      </c>
      <c r="C5026" s="5">
        <v>45321</v>
      </c>
      <c r="D5026" s="4">
        <v>1.6</v>
      </c>
      <c r="E5026" s="4">
        <v>0.5</v>
      </c>
    </row>
    <row r="5027" spans="1:5" x14ac:dyDescent="0.25">
      <c r="A5027" s="4" t="s">
        <v>53</v>
      </c>
      <c r="B5027" s="4" t="s">
        <v>45</v>
      </c>
      <c r="C5027" s="5">
        <v>45321</v>
      </c>
      <c r="D5027" s="4">
        <v>1.3</v>
      </c>
      <c r="E5027" s="4">
        <v>0.41</v>
      </c>
    </row>
    <row r="5028" spans="1:5" x14ac:dyDescent="0.25">
      <c r="A5028" s="4" t="s">
        <v>53</v>
      </c>
      <c r="B5028" s="4" t="s">
        <v>45</v>
      </c>
      <c r="C5028" s="5">
        <v>45321</v>
      </c>
      <c r="D5028" s="4">
        <v>1.6</v>
      </c>
      <c r="E5028" s="4">
        <v>0.5</v>
      </c>
    </row>
    <row r="5029" spans="1:5" x14ac:dyDescent="0.25">
      <c r="A5029" s="4" t="s">
        <v>53</v>
      </c>
      <c r="B5029" s="4" t="s">
        <v>45</v>
      </c>
      <c r="C5029" s="5">
        <v>45321</v>
      </c>
      <c r="D5029" s="4">
        <v>1.3</v>
      </c>
      <c r="E5029" s="4">
        <v>0.41</v>
      </c>
    </row>
    <row r="5030" spans="1:5" x14ac:dyDescent="0.25">
      <c r="A5030" s="4" t="s">
        <v>53</v>
      </c>
      <c r="B5030" s="4" t="s">
        <v>45</v>
      </c>
      <c r="C5030" s="5">
        <v>45321</v>
      </c>
      <c r="D5030" s="4">
        <v>1.6</v>
      </c>
      <c r="E5030" s="4">
        <v>0.5</v>
      </c>
    </row>
    <row r="5031" spans="1:5" x14ac:dyDescent="0.25">
      <c r="A5031" s="4" t="s">
        <v>53</v>
      </c>
      <c r="B5031" s="4" t="s">
        <v>45</v>
      </c>
      <c r="C5031" s="5">
        <v>45321</v>
      </c>
      <c r="D5031" s="4">
        <v>1.3</v>
      </c>
      <c r="E5031" s="4">
        <v>0.41</v>
      </c>
    </row>
    <row r="5032" spans="1:5" x14ac:dyDescent="0.25">
      <c r="A5032" s="4" t="s">
        <v>53</v>
      </c>
      <c r="B5032" s="4" t="s">
        <v>45</v>
      </c>
      <c r="C5032" s="5">
        <v>45321</v>
      </c>
      <c r="D5032" s="4">
        <v>1.6</v>
      </c>
      <c r="E5032" s="4">
        <v>0.5</v>
      </c>
    </row>
    <row r="5033" spans="1:5" x14ac:dyDescent="0.25">
      <c r="A5033" s="4" t="s">
        <v>53</v>
      </c>
      <c r="B5033" s="4" t="s">
        <v>45</v>
      </c>
      <c r="C5033" s="5">
        <v>45321</v>
      </c>
      <c r="D5033" s="4">
        <v>1.3</v>
      </c>
      <c r="E5033" s="4">
        <v>0.41</v>
      </c>
    </row>
    <row r="5034" spans="1:5" x14ac:dyDescent="0.25">
      <c r="A5034" s="4" t="s">
        <v>53</v>
      </c>
      <c r="B5034" s="4" t="s">
        <v>45</v>
      </c>
      <c r="C5034" s="5">
        <v>45321</v>
      </c>
      <c r="D5034" s="4">
        <v>1.6</v>
      </c>
      <c r="E5034" s="4">
        <v>0.5</v>
      </c>
    </row>
    <row r="5035" spans="1:5" x14ac:dyDescent="0.25">
      <c r="A5035" s="4" t="s">
        <v>53</v>
      </c>
      <c r="B5035" s="4" t="s">
        <v>45</v>
      </c>
      <c r="C5035" s="5">
        <v>45321</v>
      </c>
      <c r="D5035" s="4">
        <v>1.3</v>
      </c>
      <c r="E5035" s="4">
        <v>0.41</v>
      </c>
    </row>
    <row r="5036" spans="1:5" x14ac:dyDescent="0.25">
      <c r="A5036" s="4" t="s">
        <v>53</v>
      </c>
      <c r="B5036" s="4" t="s">
        <v>45</v>
      </c>
      <c r="C5036" s="5">
        <v>45321</v>
      </c>
      <c r="D5036" s="4">
        <v>1.6</v>
      </c>
      <c r="E5036" s="4">
        <v>0.5</v>
      </c>
    </row>
    <row r="5037" spans="1:5" x14ac:dyDescent="0.25">
      <c r="A5037" s="4" t="s">
        <v>53</v>
      </c>
      <c r="B5037" s="4" t="s">
        <v>45</v>
      </c>
      <c r="C5037" s="5">
        <v>45321</v>
      </c>
      <c r="D5037" s="4">
        <v>1.5</v>
      </c>
      <c r="E5037" s="4">
        <v>0.47</v>
      </c>
    </row>
    <row r="5038" spans="1:5" x14ac:dyDescent="0.25">
      <c r="A5038" s="4" t="s">
        <v>53</v>
      </c>
      <c r="B5038" s="4" t="s">
        <v>45</v>
      </c>
      <c r="C5038" s="5">
        <v>45321</v>
      </c>
      <c r="D5038" s="4">
        <v>1.6</v>
      </c>
      <c r="E5038" s="4">
        <v>0.5</v>
      </c>
    </row>
    <row r="5039" spans="1:5" x14ac:dyDescent="0.25">
      <c r="A5039" s="4" t="s">
        <v>53</v>
      </c>
      <c r="B5039" s="4" t="s">
        <v>45</v>
      </c>
      <c r="C5039" s="5">
        <v>45321</v>
      </c>
      <c r="D5039" s="4">
        <v>1.3</v>
      </c>
      <c r="E5039" s="4">
        <v>0.41</v>
      </c>
    </row>
    <row r="5040" spans="1:5" x14ac:dyDescent="0.25">
      <c r="A5040" s="4" t="s">
        <v>53</v>
      </c>
      <c r="B5040" s="4" t="s">
        <v>45</v>
      </c>
      <c r="C5040" s="5">
        <v>45321</v>
      </c>
      <c r="D5040" s="4">
        <v>3.9</v>
      </c>
      <c r="E5040" s="4">
        <v>1.25</v>
      </c>
    </row>
    <row r="5041" spans="1:5" x14ac:dyDescent="0.25">
      <c r="A5041" s="4" t="s">
        <v>53</v>
      </c>
      <c r="B5041" s="4" t="s">
        <v>45</v>
      </c>
      <c r="C5041" s="5">
        <v>45322</v>
      </c>
      <c r="D5041" s="4">
        <v>41.3</v>
      </c>
      <c r="E5041" s="4">
        <v>13.4</v>
      </c>
    </row>
    <row r="5042" spans="1:5" x14ac:dyDescent="0.25">
      <c r="A5042" s="4" t="s">
        <v>53</v>
      </c>
      <c r="B5042" s="4" t="s">
        <v>45</v>
      </c>
      <c r="C5042" s="5">
        <v>45322</v>
      </c>
      <c r="D5042" s="4">
        <v>50.8</v>
      </c>
      <c r="E5042" s="4">
        <v>16.48</v>
      </c>
    </row>
    <row r="5043" spans="1:5" x14ac:dyDescent="0.25">
      <c r="A5043" s="4" t="s">
        <v>53</v>
      </c>
      <c r="B5043" s="4" t="s">
        <v>45</v>
      </c>
      <c r="C5043" s="5">
        <v>45322</v>
      </c>
      <c r="D5043" s="4">
        <v>10.9</v>
      </c>
      <c r="E5043" s="4">
        <v>3.53</v>
      </c>
    </row>
    <row r="5044" spans="1:5" x14ac:dyDescent="0.25">
      <c r="A5044" s="4" t="s">
        <v>53</v>
      </c>
      <c r="B5044" s="4" t="s">
        <v>45</v>
      </c>
      <c r="C5044" s="5">
        <v>45322</v>
      </c>
      <c r="D5044" s="4">
        <v>0.7</v>
      </c>
      <c r="E5044" s="4">
        <v>0.23</v>
      </c>
    </row>
    <row r="5045" spans="1:5" x14ac:dyDescent="0.25">
      <c r="A5045" s="4" t="s">
        <v>53</v>
      </c>
      <c r="B5045" s="4" t="s">
        <v>45</v>
      </c>
      <c r="C5045" s="5">
        <v>45322</v>
      </c>
      <c r="D5045" s="4">
        <v>1.3</v>
      </c>
      <c r="E5045" s="4">
        <v>0.41</v>
      </c>
    </row>
    <row r="5046" spans="1:5" x14ac:dyDescent="0.25">
      <c r="A5046" s="4" t="s">
        <v>53</v>
      </c>
      <c r="B5046" s="4" t="s">
        <v>45</v>
      </c>
      <c r="C5046" s="5">
        <v>45322</v>
      </c>
      <c r="D5046" s="4">
        <v>1.6</v>
      </c>
      <c r="E5046" s="4">
        <v>0.5</v>
      </c>
    </row>
    <row r="5047" spans="1:5" x14ac:dyDescent="0.25">
      <c r="A5047" s="4" t="s">
        <v>53</v>
      </c>
      <c r="B5047" s="4" t="s">
        <v>45</v>
      </c>
      <c r="C5047" s="5">
        <v>45322</v>
      </c>
      <c r="D5047" s="4">
        <v>1.3</v>
      </c>
      <c r="E5047" s="4">
        <v>0.41</v>
      </c>
    </row>
    <row r="5048" spans="1:5" x14ac:dyDescent="0.25">
      <c r="A5048" s="4" t="s">
        <v>53</v>
      </c>
      <c r="B5048" s="4" t="s">
        <v>45</v>
      </c>
      <c r="C5048" s="5">
        <v>45322</v>
      </c>
      <c r="D5048" s="4">
        <v>1.6</v>
      </c>
      <c r="E5048" s="4">
        <v>0.5</v>
      </c>
    </row>
    <row r="5049" spans="1:5" x14ac:dyDescent="0.25">
      <c r="A5049" s="4" t="s">
        <v>53</v>
      </c>
      <c r="B5049" s="4" t="s">
        <v>45</v>
      </c>
      <c r="C5049" s="5">
        <v>45322</v>
      </c>
      <c r="D5049" s="4">
        <v>1.3</v>
      </c>
      <c r="E5049" s="4">
        <v>0.41</v>
      </c>
    </row>
    <row r="5050" spans="1:5" x14ac:dyDescent="0.25">
      <c r="A5050" s="4" t="s">
        <v>53</v>
      </c>
      <c r="B5050" s="4" t="s">
        <v>45</v>
      </c>
      <c r="C5050" s="5">
        <v>45322</v>
      </c>
      <c r="D5050" s="4">
        <v>1.6</v>
      </c>
      <c r="E5050" s="4">
        <v>0.5</v>
      </c>
    </row>
    <row r="5051" spans="1:5" x14ac:dyDescent="0.25">
      <c r="A5051" s="4" t="s">
        <v>53</v>
      </c>
      <c r="B5051" s="4" t="s">
        <v>45</v>
      </c>
      <c r="C5051" s="5">
        <v>45322</v>
      </c>
      <c r="D5051" s="4">
        <v>1.3</v>
      </c>
      <c r="E5051" s="4">
        <v>0.41</v>
      </c>
    </row>
    <row r="5052" spans="1:5" x14ac:dyDescent="0.25">
      <c r="A5052" s="4" t="s">
        <v>53</v>
      </c>
      <c r="B5052" s="4" t="s">
        <v>45</v>
      </c>
      <c r="C5052" s="5">
        <v>45322</v>
      </c>
      <c r="D5052" s="4">
        <v>1.6</v>
      </c>
      <c r="E5052" s="4">
        <v>0.5</v>
      </c>
    </row>
    <row r="5053" spans="1:5" x14ac:dyDescent="0.25">
      <c r="A5053" s="4" t="s">
        <v>53</v>
      </c>
      <c r="B5053" s="4" t="s">
        <v>45</v>
      </c>
      <c r="C5053" s="5">
        <v>45322</v>
      </c>
      <c r="D5053" s="4">
        <v>1.3</v>
      </c>
      <c r="E5053" s="4">
        <v>0.41</v>
      </c>
    </row>
    <row r="5054" spans="1:5" x14ac:dyDescent="0.25">
      <c r="A5054" s="4" t="s">
        <v>53</v>
      </c>
      <c r="B5054" s="4" t="s">
        <v>45</v>
      </c>
      <c r="C5054" s="5">
        <v>45322</v>
      </c>
      <c r="D5054" s="4">
        <v>1.6</v>
      </c>
      <c r="E5054" s="4">
        <v>0.5</v>
      </c>
    </row>
    <row r="5055" spans="1:5" x14ac:dyDescent="0.25">
      <c r="A5055" s="4" t="s">
        <v>53</v>
      </c>
      <c r="B5055" s="4" t="s">
        <v>45</v>
      </c>
      <c r="C5055" s="5">
        <v>45322</v>
      </c>
      <c r="D5055" s="4">
        <v>1.3</v>
      </c>
      <c r="E5055" s="4">
        <v>0.41</v>
      </c>
    </row>
    <row r="5056" spans="1:5" x14ac:dyDescent="0.25">
      <c r="A5056" s="4" t="s">
        <v>53</v>
      </c>
      <c r="B5056" s="4" t="s">
        <v>45</v>
      </c>
      <c r="C5056" s="5">
        <v>45322</v>
      </c>
      <c r="D5056" s="4">
        <v>1.6</v>
      </c>
      <c r="E5056" s="4">
        <v>0.5</v>
      </c>
    </row>
    <row r="5057" spans="1:5" x14ac:dyDescent="0.25">
      <c r="A5057" s="4" t="s">
        <v>53</v>
      </c>
      <c r="B5057" s="4" t="s">
        <v>45</v>
      </c>
      <c r="C5057" s="5">
        <v>45322</v>
      </c>
      <c r="D5057" s="4">
        <v>1.3</v>
      </c>
      <c r="E5057" s="4">
        <v>0.41</v>
      </c>
    </row>
    <row r="5058" spans="1:5" x14ac:dyDescent="0.25">
      <c r="A5058" s="4" t="s">
        <v>53</v>
      </c>
      <c r="B5058" s="4" t="s">
        <v>45</v>
      </c>
      <c r="C5058" s="5">
        <v>45322</v>
      </c>
      <c r="D5058" s="4">
        <v>1.6</v>
      </c>
      <c r="E5058" s="4">
        <v>0.5</v>
      </c>
    </row>
    <row r="5059" spans="1:5" x14ac:dyDescent="0.25">
      <c r="A5059" s="4" t="s">
        <v>53</v>
      </c>
      <c r="B5059" s="4" t="s">
        <v>45</v>
      </c>
      <c r="C5059" s="5">
        <v>45322</v>
      </c>
      <c r="D5059" s="4">
        <v>1.3</v>
      </c>
      <c r="E5059" s="4">
        <v>0.41</v>
      </c>
    </row>
    <row r="5060" spans="1:5" x14ac:dyDescent="0.25">
      <c r="A5060" s="4" t="s">
        <v>53</v>
      </c>
      <c r="B5060" s="4" t="s">
        <v>45</v>
      </c>
      <c r="C5060" s="5">
        <v>45322</v>
      </c>
      <c r="D5060" s="4">
        <v>1.6</v>
      </c>
      <c r="E5060" s="4">
        <v>0.5</v>
      </c>
    </row>
    <row r="5061" spans="1:5" x14ac:dyDescent="0.25">
      <c r="A5061" s="4" t="s">
        <v>53</v>
      </c>
      <c r="B5061" s="4" t="s">
        <v>45</v>
      </c>
      <c r="C5061" s="5">
        <v>45322</v>
      </c>
      <c r="D5061" s="4">
        <v>1.3</v>
      </c>
      <c r="E5061" s="4">
        <v>0.41</v>
      </c>
    </row>
    <row r="5062" spans="1:5" x14ac:dyDescent="0.25">
      <c r="A5062" s="4" t="s">
        <v>53</v>
      </c>
      <c r="B5062" s="4" t="s">
        <v>45</v>
      </c>
      <c r="C5062" s="5">
        <v>45322</v>
      </c>
      <c r="D5062" s="4">
        <v>1.6</v>
      </c>
      <c r="E5062" s="4">
        <v>0.5</v>
      </c>
    </row>
    <row r="5063" spans="1:5" x14ac:dyDescent="0.25">
      <c r="A5063" s="4" t="s">
        <v>53</v>
      </c>
      <c r="B5063" s="4" t="s">
        <v>45</v>
      </c>
      <c r="C5063" s="5">
        <v>45322</v>
      </c>
      <c r="D5063" s="4">
        <v>1.3</v>
      </c>
      <c r="E5063" s="4">
        <v>0.41</v>
      </c>
    </row>
    <row r="5064" spans="1:5" x14ac:dyDescent="0.25">
      <c r="A5064" s="4" t="s">
        <v>53</v>
      </c>
      <c r="B5064" s="4" t="s">
        <v>45</v>
      </c>
      <c r="C5064" s="5">
        <v>45322</v>
      </c>
      <c r="D5064" s="4">
        <v>3.9</v>
      </c>
      <c r="E5064" s="4">
        <v>1.25</v>
      </c>
    </row>
    <row r="5065" spans="1:5" x14ac:dyDescent="0.25">
      <c r="A5065" s="4" t="s">
        <v>53</v>
      </c>
      <c r="B5065" s="4" t="s">
        <v>45</v>
      </c>
      <c r="C5065" s="5">
        <v>45323</v>
      </c>
      <c r="D5065" s="4">
        <v>2.4</v>
      </c>
      <c r="E5065" s="4">
        <v>0.75</v>
      </c>
    </row>
    <row r="5066" spans="1:5" x14ac:dyDescent="0.25">
      <c r="A5066" s="4" t="s">
        <v>53</v>
      </c>
      <c r="B5066" s="4" t="s">
        <v>45</v>
      </c>
      <c r="C5066" s="5">
        <v>45323</v>
      </c>
      <c r="D5066" s="4">
        <v>5.7</v>
      </c>
      <c r="E5066" s="4">
        <v>1.81</v>
      </c>
    </row>
    <row r="5067" spans="1:5" x14ac:dyDescent="0.25">
      <c r="A5067" s="4" t="s">
        <v>53</v>
      </c>
      <c r="B5067" s="4" t="s">
        <v>45</v>
      </c>
      <c r="C5067" s="5">
        <v>45323</v>
      </c>
      <c r="D5067" s="4">
        <v>7.4</v>
      </c>
      <c r="E5067" s="4">
        <v>2.35</v>
      </c>
    </row>
    <row r="5068" spans="1:5" x14ac:dyDescent="0.25">
      <c r="A5068" s="4" t="s">
        <v>53</v>
      </c>
      <c r="B5068" s="4" t="s">
        <v>45</v>
      </c>
      <c r="C5068" s="5">
        <v>45323</v>
      </c>
      <c r="D5068" s="4">
        <v>5.7</v>
      </c>
      <c r="E5068" s="4">
        <v>1.81</v>
      </c>
    </row>
    <row r="5069" spans="1:5" x14ac:dyDescent="0.25">
      <c r="A5069" s="4" t="s">
        <v>53</v>
      </c>
      <c r="B5069" s="4" t="s">
        <v>45</v>
      </c>
      <c r="C5069" s="5">
        <v>45323</v>
      </c>
      <c r="D5069" s="4">
        <v>7.4</v>
      </c>
      <c r="E5069" s="4">
        <v>2.35</v>
      </c>
    </row>
    <row r="5070" spans="1:5" x14ac:dyDescent="0.25">
      <c r="A5070" s="4" t="s">
        <v>53</v>
      </c>
      <c r="B5070" s="4" t="s">
        <v>45</v>
      </c>
      <c r="C5070" s="5">
        <v>45323</v>
      </c>
      <c r="D5070" s="4">
        <v>5.7</v>
      </c>
      <c r="E5070" s="4">
        <v>1.81</v>
      </c>
    </row>
    <row r="5071" spans="1:5" x14ac:dyDescent="0.25">
      <c r="A5071" s="4" t="s">
        <v>53</v>
      </c>
      <c r="B5071" s="4" t="s">
        <v>45</v>
      </c>
      <c r="C5071" s="5">
        <v>45323</v>
      </c>
      <c r="D5071" s="4">
        <v>7.4</v>
      </c>
      <c r="E5071" s="4">
        <v>2.35</v>
      </c>
    </row>
    <row r="5072" spans="1:5" x14ac:dyDescent="0.25">
      <c r="A5072" s="4" t="s">
        <v>53</v>
      </c>
      <c r="B5072" s="4" t="s">
        <v>45</v>
      </c>
      <c r="C5072" s="5">
        <v>45323</v>
      </c>
      <c r="D5072" s="4">
        <v>5.7</v>
      </c>
      <c r="E5072" s="4">
        <v>1.81</v>
      </c>
    </row>
    <row r="5073" spans="1:5" x14ac:dyDescent="0.25">
      <c r="A5073" s="4" t="s">
        <v>53</v>
      </c>
      <c r="B5073" s="4" t="s">
        <v>45</v>
      </c>
      <c r="C5073" s="5">
        <v>45323</v>
      </c>
      <c r="D5073" s="4">
        <v>6</v>
      </c>
      <c r="E5073" s="4">
        <v>1.91</v>
      </c>
    </row>
    <row r="5074" spans="1:5" x14ac:dyDescent="0.25">
      <c r="A5074" s="4" t="s">
        <v>53</v>
      </c>
      <c r="B5074" s="4" t="s">
        <v>45</v>
      </c>
      <c r="C5074" s="5">
        <v>45323</v>
      </c>
      <c r="D5074" s="4">
        <v>1.6</v>
      </c>
      <c r="E5074" s="4">
        <v>0.5</v>
      </c>
    </row>
    <row r="5075" spans="1:5" x14ac:dyDescent="0.25">
      <c r="A5075" s="4" t="s">
        <v>53</v>
      </c>
      <c r="B5075" s="4" t="s">
        <v>45</v>
      </c>
      <c r="C5075" s="5">
        <v>45323</v>
      </c>
      <c r="D5075" s="4">
        <v>5.7</v>
      </c>
      <c r="E5075" s="4">
        <v>1.81</v>
      </c>
    </row>
    <row r="5076" spans="1:5" x14ac:dyDescent="0.25">
      <c r="A5076" s="4" t="s">
        <v>53</v>
      </c>
      <c r="B5076" s="4" t="s">
        <v>45</v>
      </c>
      <c r="C5076" s="5">
        <v>45323</v>
      </c>
      <c r="D5076" s="4">
        <v>7.4</v>
      </c>
      <c r="E5076" s="4">
        <v>2.35</v>
      </c>
    </row>
    <row r="5077" spans="1:5" x14ac:dyDescent="0.25">
      <c r="A5077" s="4" t="s">
        <v>53</v>
      </c>
      <c r="B5077" s="4" t="s">
        <v>45</v>
      </c>
      <c r="C5077" s="5">
        <v>45323</v>
      </c>
      <c r="D5077" s="4">
        <v>5.7</v>
      </c>
      <c r="E5077" s="4">
        <v>1.81</v>
      </c>
    </row>
    <row r="5078" spans="1:5" x14ac:dyDescent="0.25">
      <c r="A5078" s="4" t="s">
        <v>53</v>
      </c>
      <c r="B5078" s="4" t="s">
        <v>45</v>
      </c>
      <c r="C5078" s="5">
        <v>45323</v>
      </c>
      <c r="D5078" s="4">
        <v>18.7</v>
      </c>
      <c r="E5078" s="4">
        <v>6.06</v>
      </c>
    </row>
    <row r="5079" spans="1:5" x14ac:dyDescent="0.25">
      <c r="A5079" s="4" t="s">
        <v>53</v>
      </c>
      <c r="B5079" s="4" t="s">
        <v>45</v>
      </c>
      <c r="C5079" s="5">
        <v>45324</v>
      </c>
      <c r="D5079" s="4">
        <v>3</v>
      </c>
      <c r="E5079" s="4">
        <v>0.95</v>
      </c>
    </row>
    <row r="5080" spans="1:5" x14ac:dyDescent="0.25">
      <c r="A5080" s="4" t="s">
        <v>53</v>
      </c>
      <c r="B5080" s="4" t="s">
        <v>45</v>
      </c>
      <c r="C5080" s="5">
        <v>45324</v>
      </c>
      <c r="D5080" s="4">
        <v>0.3</v>
      </c>
      <c r="E5080" s="4">
        <v>0.1</v>
      </c>
    </row>
    <row r="5081" spans="1:5" x14ac:dyDescent="0.25">
      <c r="A5081" s="4" t="s">
        <v>53</v>
      </c>
      <c r="B5081" s="4" t="s">
        <v>45</v>
      </c>
      <c r="C5081" s="5">
        <v>45324</v>
      </c>
      <c r="D5081" s="4">
        <v>0.7</v>
      </c>
      <c r="E5081" s="4">
        <v>0.22</v>
      </c>
    </row>
    <row r="5082" spans="1:5" x14ac:dyDescent="0.25">
      <c r="A5082" s="4" t="s">
        <v>53</v>
      </c>
      <c r="B5082" s="4" t="s">
        <v>45</v>
      </c>
      <c r="C5082" s="5">
        <v>45324</v>
      </c>
      <c r="D5082" s="4">
        <v>1.4</v>
      </c>
      <c r="E5082" s="4">
        <v>0.44</v>
      </c>
    </row>
    <row r="5083" spans="1:5" x14ac:dyDescent="0.25">
      <c r="A5083" s="4" t="s">
        <v>53</v>
      </c>
      <c r="B5083" s="4" t="s">
        <v>45</v>
      </c>
      <c r="C5083" s="5">
        <v>45324</v>
      </c>
      <c r="D5083" s="4">
        <v>0.8</v>
      </c>
      <c r="E5083" s="4">
        <v>0.24</v>
      </c>
    </row>
    <row r="5084" spans="1:5" x14ac:dyDescent="0.25">
      <c r="A5084" s="4" t="s">
        <v>53</v>
      </c>
      <c r="B5084" s="4" t="s">
        <v>45</v>
      </c>
      <c r="C5084" s="5">
        <v>45324</v>
      </c>
      <c r="D5084" s="4">
        <v>0.6</v>
      </c>
      <c r="E5084" s="4">
        <v>0.2</v>
      </c>
    </row>
    <row r="5085" spans="1:5" x14ac:dyDescent="0.25">
      <c r="A5085" s="4" t="s">
        <v>53</v>
      </c>
      <c r="B5085" s="4" t="s">
        <v>45</v>
      </c>
      <c r="C5085" s="5">
        <v>45324</v>
      </c>
      <c r="D5085" s="4">
        <v>1.3</v>
      </c>
      <c r="E5085" s="4">
        <v>0.41</v>
      </c>
    </row>
    <row r="5086" spans="1:5" x14ac:dyDescent="0.25">
      <c r="A5086" s="4" t="s">
        <v>53</v>
      </c>
      <c r="B5086" s="4" t="s">
        <v>45</v>
      </c>
      <c r="C5086" s="5">
        <v>45324</v>
      </c>
      <c r="D5086" s="4">
        <v>1.6</v>
      </c>
      <c r="E5086" s="4">
        <v>0.5</v>
      </c>
    </row>
    <row r="5087" spans="1:5" x14ac:dyDescent="0.25">
      <c r="A5087" s="4" t="s">
        <v>53</v>
      </c>
      <c r="B5087" s="4" t="s">
        <v>45</v>
      </c>
      <c r="C5087" s="5">
        <v>45324</v>
      </c>
      <c r="D5087" s="4">
        <v>1.3</v>
      </c>
      <c r="E5087" s="4">
        <v>0.41</v>
      </c>
    </row>
    <row r="5088" spans="1:5" x14ac:dyDescent="0.25">
      <c r="A5088" s="4" t="s">
        <v>53</v>
      </c>
      <c r="B5088" s="4" t="s">
        <v>45</v>
      </c>
      <c r="C5088" s="5">
        <v>45324</v>
      </c>
      <c r="D5088" s="4">
        <v>21.9</v>
      </c>
      <c r="E5088" s="4">
        <v>7.08</v>
      </c>
    </row>
    <row r="5089" spans="1:5" x14ac:dyDescent="0.25">
      <c r="A5089" s="4" t="s">
        <v>53</v>
      </c>
      <c r="B5089" s="4" t="s">
        <v>45</v>
      </c>
      <c r="C5089" s="5">
        <v>45324</v>
      </c>
      <c r="D5089" s="4">
        <v>15.4</v>
      </c>
      <c r="E5089" s="4">
        <v>5</v>
      </c>
    </row>
    <row r="5090" spans="1:5" x14ac:dyDescent="0.25">
      <c r="A5090" s="4" t="s">
        <v>53</v>
      </c>
      <c r="B5090" s="4" t="s">
        <v>45</v>
      </c>
      <c r="C5090" s="5">
        <v>45328</v>
      </c>
      <c r="D5090" s="4">
        <v>8.8000000000000007</v>
      </c>
      <c r="E5090" s="4">
        <v>2.85</v>
      </c>
    </row>
    <row r="5091" spans="1:5" x14ac:dyDescent="0.25">
      <c r="A5091" s="4" t="s">
        <v>53</v>
      </c>
      <c r="B5091" s="4" t="s">
        <v>45</v>
      </c>
      <c r="C5091" s="5">
        <v>45329</v>
      </c>
      <c r="D5091" s="4">
        <v>30.6</v>
      </c>
      <c r="E5091" s="4">
        <v>9.92</v>
      </c>
    </row>
    <row r="5092" spans="1:5" x14ac:dyDescent="0.25">
      <c r="A5092" s="4" t="s">
        <v>53</v>
      </c>
      <c r="B5092" s="4" t="s">
        <v>45</v>
      </c>
      <c r="C5092" s="5">
        <v>45329</v>
      </c>
      <c r="D5092" s="4">
        <v>13.2</v>
      </c>
      <c r="E5092" s="4">
        <v>4.28</v>
      </c>
    </row>
    <row r="5093" spans="1:5" x14ac:dyDescent="0.25">
      <c r="A5093" s="4" t="s">
        <v>53</v>
      </c>
      <c r="B5093" s="4" t="s">
        <v>45</v>
      </c>
      <c r="C5093" s="5">
        <v>45329</v>
      </c>
      <c r="D5093" s="4">
        <v>25.4</v>
      </c>
      <c r="E5093" s="4">
        <v>8.23</v>
      </c>
    </row>
    <row r="5094" spans="1:5" x14ac:dyDescent="0.25">
      <c r="A5094" s="4" t="s">
        <v>53</v>
      </c>
      <c r="B5094" s="4" t="s">
        <v>45</v>
      </c>
      <c r="C5094" s="5">
        <v>45329</v>
      </c>
      <c r="D5094" s="4">
        <v>2.4</v>
      </c>
      <c r="E5094" s="4">
        <v>0.75</v>
      </c>
    </row>
    <row r="5095" spans="1:5" x14ac:dyDescent="0.25">
      <c r="A5095" s="4" t="s">
        <v>53</v>
      </c>
      <c r="B5095" s="4" t="s">
        <v>45</v>
      </c>
      <c r="C5095" s="5">
        <v>45329</v>
      </c>
      <c r="D5095" s="4">
        <v>35.299999999999997</v>
      </c>
      <c r="E5095" s="4">
        <v>11.43</v>
      </c>
    </row>
    <row r="5096" spans="1:5" x14ac:dyDescent="0.25">
      <c r="A5096" s="4" t="s">
        <v>53</v>
      </c>
      <c r="B5096" s="4" t="s">
        <v>45</v>
      </c>
      <c r="C5096" s="5">
        <v>45329</v>
      </c>
      <c r="D5096" s="4">
        <v>34.200000000000003</v>
      </c>
      <c r="E5096" s="4">
        <v>11.08</v>
      </c>
    </row>
    <row r="5097" spans="1:5" x14ac:dyDescent="0.25">
      <c r="A5097" s="4" t="s">
        <v>53</v>
      </c>
      <c r="B5097" s="4" t="s">
        <v>45</v>
      </c>
      <c r="C5097" s="5">
        <v>45329</v>
      </c>
      <c r="D5097" s="4">
        <v>34.200000000000003</v>
      </c>
      <c r="E5097" s="4">
        <v>11.08</v>
      </c>
    </row>
    <row r="5098" spans="1:5" x14ac:dyDescent="0.25">
      <c r="A5098" s="4" t="s">
        <v>53</v>
      </c>
      <c r="B5098" s="4" t="s">
        <v>45</v>
      </c>
      <c r="C5098" s="5">
        <v>45329</v>
      </c>
      <c r="D5098" s="4">
        <v>34.200000000000003</v>
      </c>
      <c r="E5098" s="4">
        <v>11.08</v>
      </c>
    </row>
    <row r="5099" spans="1:5" x14ac:dyDescent="0.25">
      <c r="A5099" s="4" t="s">
        <v>53</v>
      </c>
      <c r="B5099" s="4" t="s">
        <v>45</v>
      </c>
      <c r="C5099" s="5">
        <v>45329</v>
      </c>
      <c r="D5099" s="4">
        <v>24.8</v>
      </c>
      <c r="E5099" s="4">
        <v>8</v>
      </c>
    </row>
    <row r="5100" spans="1:5" x14ac:dyDescent="0.25">
      <c r="A5100" s="4" t="s">
        <v>53</v>
      </c>
      <c r="B5100" s="4" t="s">
        <v>45</v>
      </c>
      <c r="C5100" s="5">
        <v>45330</v>
      </c>
      <c r="D5100" s="4">
        <v>11</v>
      </c>
      <c r="E5100" s="4">
        <v>3.57</v>
      </c>
    </row>
    <row r="5101" spans="1:5" x14ac:dyDescent="0.25">
      <c r="A5101" s="4" t="s">
        <v>53</v>
      </c>
      <c r="B5101" s="4" t="s">
        <v>45</v>
      </c>
      <c r="C5101" s="5">
        <v>45330</v>
      </c>
      <c r="D5101" s="4">
        <v>1.9</v>
      </c>
      <c r="E5101" s="4">
        <v>0.6</v>
      </c>
    </row>
    <row r="5102" spans="1:5" x14ac:dyDescent="0.25">
      <c r="A5102" s="4" t="s">
        <v>53</v>
      </c>
      <c r="B5102" s="4" t="s">
        <v>45</v>
      </c>
      <c r="C5102" s="5">
        <v>45330</v>
      </c>
      <c r="D5102" s="4">
        <v>0.5</v>
      </c>
      <c r="E5102" s="4">
        <v>0.16</v>
      </c>
    </row>
    <row r="5103" spans="1:5" x14ac:dyDescent="0.25">
      <c r="A5103" s="4" t="s">
        <v>53</v>
      </c>
      <c r="B5103" s="4" t="s">
        <v>45</v>
      </c>
      <c r="C5103" s="5">
        <v>45330</v>
      </c>
      <c r="D5103" s="4">
        <v>2.4</v>
      </c>
      <c r="E5103" s="4">
        <v>0.75</v>
      </c>
    </row>
    <row r="5104" spans="1:5" x14ac:dyDescent="0.25">
      <c r="A5104" s="4" t="s">
        <v>53</v>
      </c>
      <c r="B5104" s="4" t="s">
        <v>45</v>
      </c>
      <c r="C5104" s="5">
        <v>45330</v>
      </c>
      <c r="D5104" s="4">
        <v>1.2</v>
      </c>
      <c r="E5104" s="4">
        <v>0.37</v>
      </c>
    </row>
    <row r="5105" spans="1:5" x14ac:dyDescent="0.25">
      <c r="A5105" s="4" t="s">
        <v>53</v>
      </c>
      <c r="B5105" s="4" t="s">
        <v>45</v>
      </c>
      <c r="C5105" s="5">
        <v>45330</v>
      </c>
      <c r="D5105" s="4">
        <v>4.5999999999999996</v>
      </c>
      <c r="E5105" s="4">
        <v>1.47</v>
      </c>
    </row>
    <row r="5106" spans="1:5" x14ac:dyDescent="0.25">
      <c r="A5106" s="4" t="s">
        <v>53</v>
      </c>
      <c r="B5106" s="4" t="s">
        <v>45</v>
      </c>
      <c r="C5106" s="5">
        <v>45330</v>
      </c>
      <c r="D5106" s="4">
        <v>15.4</v>
      </c>
      <c r="E5106" s="4">
        <v>5</v>
      </c>
    </row>
    <row r="5107" spans="1:5" x14ac:dyDescent="0.25">
      <c r="A5107" s="4" t="s">
        <v>53</v>
      </c>
      <c r="B5107" s="4" t="s">
        <v>45</v>
      </c>
      <c r="C5107" s="5">
        <v>45330</v>
      </c>
      <c r="D5107" s="4">
        <v>19.2</v>
      </c>
      <c r="E5107" s="4">
        <v>6.21</v>
      </c>
    </row>
    <row r="5108" spans="1:5" x14ac:dyDescent="0.25">
      <c r="A5108" s="4" t="s">
        <v>53</v>
      </c>
      <c r="B5108" s="4" t="s">
        <v>45</v>
      </c>
      <c r="C5108" s="5">
        <v>45330</v>
      </c>
      <c r="D5108" s="4">
        <v>20.100000000000001</v>
      </c>
      <c r="E5108" s="4">
        <v>6.5</v>
      </c>
    </row>
    <row r="5109" spans="1:5" x14ac:dyDescent="0.25">
      <c r="A5109" s="4" t="s">
        <v>53</v>
      </c>
      <c r="B5109" s="4" t="s">
        <v>45</v>
      </c>
      <c r="C5109" s="5">
        <v>45331</v>
      </c>
      <c r="D5109" s="4">
        <v>27.9</v>
      </c>
      <c r="E5109" s="4">
        <v>9.0299999999999994</v>
      </c>
    </row>
    <row r="5110" spans="1:5" x14ac:dyDescent="0.25">
      <c r="A5110" s="4" t="s">
        <v>53</v>
      </c>
      <c r="B5110" s="4" t="s">
        <v>45</v>
      </c>
      <c r="C5110" s="5">
        <v>45331</v>
      </c>
      <c r="D5110" s="4">
        <v>15</v>
      </c>
      <c r="E5110" s="4">
        <v>4.8099999999999996</v>
      </c>
    </row>
    <row r="5111" spans="1:5" x14ac:dyDescent="0.25">
      <c r="A5111" s="4" t="s">
        <v>53</v>
      </c>
      <c r="B5111" s="4" t="s">
        <v>45</v>
      </c>
      <c r="C5111" s="5">
        <v>45331</v>
      </c>
      <c r="D5111" s="4">
        <v>2.4</v>
      </c>
      <c r="E5111" s="4">
        <v>0.78</v>
      </c>
    </row>
    <row r="5112" spans="1:5" x14ac:dyDescent="0.25">
      <c r="A5112" s="4" t="s">
        <v>53</v>
      </c>
      <c r="B5112" s="4" t="s">
        <v>45</v>
      </c>
      <c r="C5112" s="5">
        <v>45331</v>
      </c>
      <c r="D5112" s="4">
        <v>28.8</v>
      </c>
      <c r="E5112" s="4">
        <v>9.34</v>
      </c>
    </row>
    <row r="5113" spans="1:5" x14ac:dyDescent="0.25">
      <c r="A5113" s="4" t="s">
        <v>53</v>
      </c>
      <c r="B5113" s="4" t="s">
        <v>45</v>
      </c>
      <c r="C5113" s="5">
        <v>45331</v>
      </c>
      <c r="D5113" s="4">
        <v>15.4</v>
      </c>
      <c r="E5113" s="4">
        <v>5</v>
      </c>
    </row>
    <row r="5114" spans="1:5" x14ac:dyDescent="0.25">
      <c r="A5114" s="4" t="s">
        <v>53</v>
      </c>
      <c r="B5114" s="4" t="s">
        <v>45</v>
      </c>
      <c r="C5114" s="5">
        <v>45331</v>
      </c>
      <c r="D5114" s="4">
        <v>2.4</v>
      </c>
      <c r="E5114" s="4">
        <v>0.75</v>
      </c>
    </row>
    <row r="5115" spans="1:5" x14ac:dyDescent="0.25">
      <c r="A5115" s="4" t="s">
        <v>53</v>
      </c>
      <c r="B5115" s="4" t="s">
        <v>45</v>
      </c>
      <c r="C5115" s="5">
        <v>45331</v>
      </c>
      <c r="D5115" s="4">
        <v>2.5</v>
      </c>
      <c r="E5115" s="4">
        <v>0.81</v>
      </c>
    </row>
    <row r="5116" spans="1:5" x14ac:dyDescent="0.25">
      <c r="A5116" s="4" t="s">
        <v>53</v>
      </c>
      <c r="B5116" s="4" t="s">
        <v>45</v>
      </c>
      <c r="C5116" s="5">
        <v>45331</v>
      </c>
      <c r="D5116" s="4">
        <v>3</v>
      </c>
      <c r="E5116" s="4">
        <v>0.95</v>
      </c>
    </row>
    <row r="5117" spans="1:5" x14ac:dyDescent="0.25">
      <c r="A5117" s="4" t="s">
        <v>53</v>
      </c>
      <c r="B5117" s="4" t="s">
        <v>45</v>
      </c>
      <c r="C5117" s="5">
        <v>45331</v>
      </c>
      <c r="D5117" s="4">
        <v>0.6</v>
      </c>
      <c r="E5117" s="4">
        <v>0.2</v>
      </c>
    </row>
    <row r="5118" spans="1:5" x14ac:dyDescent="0.25">
      <c r="A5118" s="4" t="s">
        <v>53</v>
      </c>
      <c r="B5118" s="4" t="s">
        <v>45</v>
      </c>
      <c r="C5118" s="5">
        <v>45331</v>
      </c>
      <c r="D5118" s="4">
        <v>4</v>
      </c>
      <c r="E5118" s="4">
        <v>1.24</v>
      </c>
    </row>
    <row r="5119" spans="1:5" x14ac:dyDescent="0.25">
      <c r="A5119" s="4" t="s">
        <v>53</v>
      </c>
      <c r="B5119" s="4" t="s">
        <v>45</v>
      </c>
      <c r="C5119" s="5">
        <v>45331</v>
      </c>
      <c r="D5119" s="4">
        <v>0.2</v>
      </c>
      <c r="E5119" s="4">
        <v>0.06</v>
      </c>
    </row>
    <row r="5120" spans="1:5" x14ac:dyDescent="0.25">
      <c r="A5120" s="4" t="s">
        <v>53</v>
      </c>
      <c r="B5120" s="4" t="s">
        <v>45</v>
      </c>
      <c r="C5120" s="5">
        <v>45331</v>
      </c>
      <c r="D5120" s="4">
        <v>0.2</v>
      </c>
      <c r="E5120" s="4">
        <v>0.06</v>
      </c>
    </row>
    <row r="5121" spans="1:5" x14ac:dyDescent="0.25">
      <c r="A5121" s="4" t="s">
        <v>53</v>
      </c>
      <c r="B5121" s="4" t="s">
        <v>45</v>
      </c>
      <c r="C5121" s="5">
        <v>45331</v>
      </c>
      <c r="D5121" s="4">
        <v>4.0999999999999996</v>
      </c>
      <c r="E5121" s="4">
        <v>1.29</v>
      </c>
    </row>
    <row r="5122" spans="1:5" x14ac:dyDescent="0.25">
      <c r="A5122" s="4" t="s">
        <v>53</v>
      </c>
      <c r="B5122" s="4" t="s">
        <v>45</v>
      </c>
      <c r="C5122" s="5">
        <v>45331</v>
      </c>
      <c r="D5122" s="4">
        <v>2.5</v>
      </c>
      <c r="E5122" s="4">
        <v>0.81</v>
      </c>
    </row>
    <row r="5123" spans="1:5" x14ac:dyDescent="0.25">
      <c r="A5123" s="4" t="s">
        <v>53</v>
      </c>
      <c r="B5123" s="4" t="s">
        <v>45</v>
      </c>
      <c r="C5123" s="5">
        <v>45334</v>
      </c>
      <c r="D5123" s="4">
        <v>57.4</v>
      </c>
      <c r="E5123" s="4">
        <v>18.61</v>
      </c>
    </row>
    <row r="5124" spans="1:5" x14ac:dyDescent="0.25">
      <c r="A5124" s="4" t="s">
        <v>53</v>
      </c>
      <c r="B5124" s="4" t="s">
        <v>45</v>
      </c>
      <c r="C5124" s="5">
        <v>45334</v>
      </c>
      <c r="D5124" s="4">
        <v>6.2</v>
      </c>
      <c r="E5124" s="4">
        <v>1.96</v>
      </c>
    </row>
    <row r="5125" spans="1:5" x14ac:dyDescent="0.25">
      <c r="A5125" s="4" t="s">
        <v>53</v>
      </c>
      <c r="B5125" s="4" t="s">
        <v>45</v>
      </c>
      <c r="C5125" s="5">
        <v>45334</v>
      </c>
      <c r="D5125" s="4">
        <v>6.2</v>
      </c>
      <c r="E5125" s="4">
        <v>1.96</v>
      </c>
    </row>
    <row r="5126" spans="1:5" x14ac:dyDescent="0.25">
      <c r="A5126" s="4" t="s">
        <v>53</v>
      </c>
      <c r="B5126" s="4" t="s">
        <v>45</v>
      </c>
      <c r="C5126" s="5">
        <v>45334</v>
      </c>
      <c r="D5126" s="4">
        <v>6.2</v>
      </c>
      <c r="E5126" s="4">
        <v>1.96</v>
      </c>
    </row>
    <row r="5127" spans="1:5" x14ac:dyDescent="0.25">
      <c r="A5127" s="4" t="s">
        <v>53</v>
      </c>
      <c r="B5127" s="4" t="s">
        <v>45</v>
      </c>
      <c r="C5127" s="5">
        <v>45334</v>
      </c>
      <c r="D5127" s="4">
        <v>6.2</v>
      </c>
      <c r="E5127" s="4">
        <v>1.96</v>
      </c>
    </row>
    <row r="5128" spans="1:5" x14ac:dyDescent="0.25">
      <c r="A5128" s="4" t="s">
        <v>53</v>
      </c>
      <c r="B5128" s="4" t="s">
        <v>45</v>
      </c>
      <c r="C5128" s="5">
        <v>45334</v>
      </c>
      <c r="D5128" s="4">
        <v>6.2</v>
      </c>
      <c r="E5128" s="4">
        <v>1.96</v>
      </c>
    </row>
    <row r="5129" spans="1:5" x14ac:dyDescent="0.25">
      <c r="A5129" s="4" t="s">
        <v>53</v>
      </c>
      <c r="B5129" s="4" t="s">
        <v>45</v>
      </c>
      <c r="C5129" s="5">
        <v>45334</v>
      </c>
      <c r="D5129" s="4">
        <v>6.2</v>
      </c>
      <c r="E5129" s="4">
        <v>1.96</v>
      </c>
    </row>
    <row r="5130" spans="1:5" x14ac:dyDescent="0.25">
      <c r="A5130" s="4" t="s">
        <v>53</v>
      </c>
      <c r="B5130" s="4" t="s">
        <v>45</v>
      </c>
      <c r="C5130" s="5">
        <v>45334</v>
      </c>
      <c r="D5130" s="4">
        <v>6.2</v>
      </c>
      <c r="E5130" s="4">
        <v>1.96</v>
      </c>
    </row>
    <row r="5131" spans="1:5" x14ac:dyDescent="0.25">
      <c r="A5131" s="4" t="s">
        <v>53</v>
      </c>
      <c r="B5131" s="4" t="s">
        <v>45</v>
      </c>
      <c r="C5131" s="5">
        <v>45334</v>
      </c>
      <c r="D5131" s="4">
        <v>6.2</v>
      </c>
      <c r="E5131" s="4">
        <v>1.96</v>
      </c>
    </row>
    <row r="5132" spans="1:5" x14ac:dyDescent="0.25">
      <c r="A5132" s="4" t="s">
        <v>53</v>
      </c>
      <c r="B5132" s="4" t="s">
        <v>45</v>
      </c>
      <c r="C5132" s="5">
        <v>45334</v>
      </c>
      <c r="D5132" s="4">
        <v>6.2</v>
      </c>
      <c r="E5132" s="4">
        <v>1.96</v>
      </c>
    </row>
    <row r="5133" spans="1:5" x14ac:dyDescent="0.25">
      <c r="A5133" s="4" t="s">
        <v>53</v>
      </c>
      <c r="B5133" s="4" t="s">
        <v>45</v>
      </c>
      <c r="C5133" s="5">
        <v>45334</v>
      </c>
      <c r="D5133" s="4">
        <v>0.1</v>
      </c>
      <c r="E5133" s="4">
        <v>0.03</v>
      </c>
    </row>
    <row r="5134" spans="1:5" x14ac:dyDescent="0.25">
      <c r="A5134" s="4" t="s">
        <v>53</v>
      </c>
      <c r="B5134" s="4" t="s">
        <v>45</v>
      </c>
      <c r="C5134" s="5">
        <v>45334</v>
      </c>
      <c r="D5134" s="4">
        <v>42.5</v>
      </c>
      <c r="E5134" s="4">
        <v>13.78</v>
      </c>
    </row>
    <row r="5135" spans="1:5" x14ac:dyDescent="0.25">
      <c r="A5135" s="4" t="s">
        <v>53</v>
      </c>
      <c r="B5135" s="4" t="s">
        <v>45</v>
      </c>
      <c r="C5135" s="5">
        <v>45335</v>
      </c>
      <c r="D5135" s="4">
        <v>42.5</v>
      </c>
      <c r="E5135" s="4">
        <v>13.78</v>
      </c>
    </row>
    <row r="5136" spans="1:5" x14ac:dyDescent="0.25">
      <c r="A5136" s="4" t="s">
        <v>53</v>
      </c>
      <c r="B5136" s="4" t="s">
        <v>45</v>
      </c>
      <c r="C5136" s="5">
        <v>45335</v>
      </c>
      <c r="D5136" s="4">
        <v>11.4</v>
      </c>
      <c r="E5136" s="4">
        <v>3.64</v>
      </c>
    </row>
    <row r="5137" spans="1:5" x14ac:dyDescent="0.25">
      <c r="A5137" s="4" t="s">
        <v>53</v>
      </c>
      <c r="B5137" s="4" t="s">
        <v>45</v>
      </c>
      <c r="C5137" s="5">
        <v>45335</v>
      </c>
      <c r="D5137" s="4">
        <v>6.2</v>
      </c>
      <c r="E5137" s="4">
        <v>1.96</v>
      </c>
    </row>
    <row r="5138" spans="1:5" x14ac:dyDescent="0.25">
      <c r="A5138" s="4" t="s">
        <v>53</v>
      </c>
      <c r="B5138" s="4" t="s">
        <v>45</v>
      </c>
      <c r="C5138" s="5">
        <v>45335</v>
      </c>
      <c r="D5138" s="4">
        <v>6.2</v>
      </c>
      <c r="E5138" s="4">
        <v>1.96</v>
      </c>
    </row>
    <row r="5139" spans="1:5" x14ac:dyDescent="0.25">
      <c r="A5139" s="4" t="s">
        <v>53</v>
      </c>
      <c r="B5139" s="4" t="s">
        <v>45</v>
      </c>
      <c r="C5139" s="5">
        <v>45335</v>
      </c>
      <c r="D5139" s="4">
        <v>6.2</v>
      </c>
      <c r="E5139" s="4">
        <v>1.96</v>
      </c>
    </row>
    <row r="5140" spans="1:5" x14ac:dyDescent="0.25">
      <c r="A5140" s="4" t="s">
        <v>53</v>
      </c>
      <c r="B5140" s="4" t="s">
        <v>45</v>
      </c>
      <c r="C5140" s="5">
        <v>45335</v>
      </c>
      <c r="D5140" s="4">
        <v>6.2</v>
      </c>
      <c r="E5140" s="4">
        <v>1.96</v>
      </c>
    </row>
    <row r="5141" spans="1:5" x14ac:dyDescent="0.25">
      <c r="A5141" s="4" t="s">
        <v>53</v>
      </c>
      <c r="B5141" s="4" t="s">
        <v>45</v>
      </c>
      <c r="C5141" s="5">
        <v>45335</v>
      </c>
      <c r="D5141" s="4">
        <v>6.2</v>
      </c>
      <c r="E5141" s="4">
        <v>1.96</v>
      </c>
    </row>
    <row r="5142" spans="1:5" x14ac:dyDescent="0.25">
      <c r="A5142" s="4" t="s">
        <v>53</v>
      </c>
      <c r="B5142" s="4" t="s">
        <v>45</v>
      </c>
      <c r="C5142" s="5">
        <v>45335</v>
      </c>
      <c r="D5142" s="4">
        <v>6.2</v>
      </c>
      <c r="E5142" s="4">
        <v>1.96</v>
      </c>
    </row>
    <row r="5143" spans="1:5" x14ac:dyDescent="0.25">
      <c r="A5143" s="4" t="s">
        <v>53</v>
      </c>
      <c r="B5143" s="4" t="s">
        <v>45</v>
      </c>
      <c r="C5143" s="5">
        <v>45335</v>
      </c>
      <c r="D5143" s="4">
        <v>6.2</v>
      </c>
      <c r="E5143" s="4">
        <v>1.96</v>
      </c>
    </row>
    <row r="5144" spans="1:5" x14ac:dyDescent="0.25">
      <c r="A5144" s="4" t="s">
        <v>53</v>
      </c>
      <c r="B5144" s="4" t="s">
        <v>45</v>
      </c>
      <c r="C5144" s="5">
        <v>45335</v>
      </c>
      <c r="D5144" s="4">
        <v>6.2</v>
      </c>
      <c r="E5144" s="4">
        <v>1.96</v>
      </c>
    </row>
    <row r="5145" spans="1:5" x14ac:dyDescent="0.25">
      <c r="A5145" s="4" t="s">
        <v>53</v>
      </c>
      <c r="B5145" s="4" t="s">
        <v>45</v>
      </c>
      <c r="C5145" s="5">
        <v>45335</v>
      </c>
      <c r="D5145" s="4">
        <v>6.2</v>
      </c>
      <c r="E5145" s="4">
        <v>1.96</v>
      </c>
    </row>
    <row r="5146" spans="1:5" x14ac:dyDescent="0.25">
      <c r="A5146" s="4" t="s">
        <v>53</v>
      </c>
      <c r="B5146" s="4" t="s">
        <v>45</v>
      </c>
      <c r="C5146" s="5">
        <v>45335</v>
      </c>
      <c r="D5146" s="4">
        <v>0.1</v>
      </c>
      <c r="E5146" s="4">
        <v>0.03</v>
      </c>
    </row>
    <row r="5147" spans="1:5" x14ac:dyDescent="0.25">
      <c r="A5147" s="4" t="s">
        <v>53</v>
      </c>
      <c r="B5147" s="4" t="s">
        <v>45</v>
      </c>
      <c r="C5147" s="5">
        <v>45335</v>
      </c>
      <c r="D5147" s="4">
        <v>42.5</v>
      </c>
      <c r="E5147" s="4">
        <v>13.78</v>
      </c>
    </row>
    <row r="5148" spans="1:5" x14ac:dyDescent="0.25">
      <c r="A5148" s="4" t="s">
        <v>53</v>
      </c>
      <c r="B5148" s="4" t="s">
        <v>45</v>
      </c>
      <c r="C5148" s="5">
        <v>45336</v>
      </c>
      <c r="D5148" s="4">
        <v>42.5</v>
      </c>
      <c r="E5148" s="4">
        <v>13.78</v>
      </c>
    </row>
    <row r="5149" spans="1:5" x14ac:dyDescent="0.25">
      <c r="A5149" s="4" t="s">
        <v>53</v>
      </c>
      <c r="B5149" s="4" t="s">
        <v>45</v>
      </c>
      <c r="C5149" s="5">
        <v>45336</v>
      </c>
      <c r="D5149" s="4">
        <v>11.4</v>
      </c>
      <c r="E5149" s="4">
        <v>3.64</v>
      </c>
    </row>
    <row r="5150" spans="1:5" x14ac:dyDescent="0.25">
      <c r="A5150" s="4" t="s">
        <v>53</v>
      </c>
      <c r="B5150" s="4" t="s">
        <v>45</v>
      </c>
      <c r="C5150" s="5">
        <v>45336</v>
      </c>
      <c r="D5150" s="4">
        <v>6.2</v>
      </c>
      <c r="E5150" s="4">
        <v>1.96</v>
      </c>
    </row>
    <row r="5151" spans="1:5" x14ac:dyDescent="0.25">
      <c r="A5151" s="4" t="s">
        <v>53</v>
      </c>
      <c r="B5151" s="4" t="s">
        <v>45</v>
      </c>
      <c r="C5151" s="5">
        <v>45336</v>
      </c>
      <c r="D5151" s="4">
        <v>6.2</v>
      </c>
      <c r="E5151" s="4">
        <v>1.96</v>
      </c>
    </row>
    <row r="5152" spans="1:5" x14ac:dyDescent="0.25">
      <c r="A5152" s="4" t="s">
        <v>53</v>
      </c>
      <c r="B5152" s="4" t="s">
        <v>45</v>
      </c>
      <c r="C5152" s="5">
        <v>45336</v>
      </c>
      <c r="D5152" s="4">
        <v>6.2</v>
      </c>
      <c r="E5152" s="4">
        <v>1.96</v>
      </c>
    </row>
    <row r="5153" spans="1:5" x14ac:dyDescent="0.25">
      <c r="A5153" s="4" t="s">
        <v>53</v>
      </c>
      <c r="B5153" s="4" t="s">
        <v>45</v>
      </c>
      <c r="C5153" s="5">
        <v>45336</v>
      </c>
      <c r="D5153" s="4">
        <v>0.1</v>
      </c>
      <c r="E5153" s="4">
        <v>0.03</v>
      </c>
    </row>
    <row r="5154" spans="1:5" x14ac:dyDescent="0.25">
      <c r="A5154" s="4" t="s">
        <v>53</v>
      </c>
      <c r="B5154" s="4" t="s">
        <v>45</v>
      </c>
      <c r="C5154" s="5">
        <v>45336</v>
      </c>
      <c r="D5154" s="4">
        <v>40.700000000000003</v>
      </c>
      <c r="E5154" s="4">
        <v>13.2</v>
      </c>
    </row>
    <row r="5155" spans="1:5" x14ac:dyDescent="0.25">
      <c r="A5155" s="4" t="s">
        <v>53</v>
      </c>
      <c r="B5155" s="4" t="s">
        <v>45</v>
      </c>
      <c r="C5155" s="5">
        <v>45336</v>
      </c>
      <c r="D5155" s="4">
        <v>19.2</v>
      </c>
      <c r="E5155" s="4">
        <v>6.21</v>
      </c>
    </row>
    <row r="5156" spans="1:5" x14ac:dyDescent="0.25">
      <c r="A5156" s="4" t="s">
        <v>53</v>
      </c>
      <c r="B5156" s="4" t="s">
        <v>45</v>
      </c>
      <c r="C5156" s="5">
        <v>45336</v>
      </c>
      <c r="D5156" s="4">
        <v>0.9</v>
      </c>
      <c r="E5156" s="4">
        <v>0.28999999999999998</v>
      </c>
    </row>
    <row r="5157" spans="1:5" x14ac:dyDescent="0.25">
      <c r="A5157" s="4" t="s">
        <v>53</v>
      </c>
      <c r="B5157" s="4" t="s">
        <v>45</v>
      </c>
      <c r="C5157" s="5">
        <v>45336</v>
      </c>
      <c r="D5157" s="4">
        <v>11</v>
      </c>
      <c r="E5157" s="4">
        <v>3.57</v>
      </c>
    </row>
    <row r="5158" spans="1:5" x14ac:dyDescent="0.25">
      <c r="A5158" s="4" t="s">
        <v>53</v>
      </c>
      <c r="B5158" s="4" t="s">
        <v>45</v>
      </c>
      <c r="C5158" s="5">
        <v>45337</v>
      </c>
      <c r="D5158" s="4">
        <v>24.2</v>
      </c>
      <c r="E5158" s="4">
        <v>7.8</v>
      </c>
    </row>
    <row r="5159" spans="1:5" x14ac:dyDescent="0.25">
      <c r="A5159" s="4" t="s">
        <v>53</v>
      </c>
      <c r="B5159" s="4" t="s">
        <v>45</v>
      </c>
      <c r="C5159" s="5">
        <v>45337</v>
      </c>
      <c r="D5159" s="4">
        <v>7.6</v>
      </c>
      <c r="E5159" s="4">
        <v>2.4500000000000002</v>
      </c>
    </row>
    <row r="5160" spans="1:5" x14ac:dyDescent="0.25">
      <c r="A5160" s="4" t="s">
        <v>53</v>
      </c>
      <c r="B5160" s="4" t="s">
        <v>45</v>
      </c>
      <c r="C5160" s="5">
        <v>45337</v>
      </c>
      <c r="D5160" s="4">
        <v>2.4</v>
      </c>
      <c r="E5160" s="4">
        <v>0.78</v>
      </c>
    </row>
    <row r="5161" spans="1:5" x14ac:dyDescent="0.25">
      <c r="A5161" s="4" t="s">
        <v>53</v>
      </c>
      <c r="B5161" s="4" t="s">
        <v>45</v>
      </c>
      <c r="C5161" s="5">
        <v>45337</v>
      </c>
      <c r="D5161" s="4">
        <v>28.8</v>
      </c>
      <c r="E5161" s="4">
        <v>9.34</v>
      </c>
    </row>
    <row r="5162" spans="1:5" x14ac:dyDescent="0.25">
      <c r="A5162" s="4" t="s">
        <v>53</v>
      </c>
      <c r="B5162" s="4" t="s">
        <v>45</v>
      </c>
      <c r="C5162" s="5">
        <v>45337</v>
      </c>
      <c r="D5162" s="4">
        <v>28.8</v>
      </c>
      <c r="E5162" s="4">
        <v>9.34</v>
      </c>
    </row>
    <row r="5163" spans="1:5" x14ac:dyDescent="0.25">
      <c r="A5163" s="4" t="s">
        <v>53</v>
      </c>
      <c r="B5163" s="4" t="s">
        <v>45</v>
      </c>
      <c r="C5163" s="5">
        <v>45337</v>
      </c>
      <c r="D5163" s="4">
        <v>2.4</v>
      </c>
      <c r="E5163" s="4">
        <v>0.78</v>
      </c>
    </row>
    <row r="5164" spans="1:5" x14ac:dyDescent="0.25">
      <c r="A5164" s="4" t="s">
        <v>53</v>
      </c>
      <c r="B5164" s="4" t="s">
        <v>45</v>
      </c>
      <c r="C5164" s="5">
        <v>45337</v>
      </c>
      <c r="D5164" s="4">
        <v>0.9</v>
      </c>
      <c r="E5164" s="4">
        <v>0.28000000000000003</v>
      </c>
    </row>
    <row r="5165" spans="1:5" x14ac:dyDescent="0.25">
      <c r="A5165" s="4" t="s">
        <v>53</v>
      </c>
      <c r="B5165" s="4" t="s">
        <v>45</v>
      </c>
      <c r="C5165" s="5">
        <v>45337</v>
      </c>
      <c r="D5165" s="4">
        <v>1</v>
      </c>
      <c r="E5165" s="4">
        <v>0.31</v>
      </c>
    </row>
    <row r="5166" spans="1:5" x14ac:dyDescent="0.25">
      <c r="A5166" s="4" t="s">
        <v>53</v>
      </c>
      <c r="B5166" s="4" t="s">
        <v>45</v>
      </c>
      <c r="C5166" s="5">
        <v>45337</v>
      </c>
      <c r="D5166" s="4">
        <v>1.2</v>
      </c>
      <c r="E5166" s="4">
        <v>0.38</v>
      </c>
    </row>
    <row r="5167" spans="1:5" x14ac:dyDescent="0.25">
      <c r="A5167" s="4" t="s">
        <v>53</v>
      </c>
      <c r="B5167" s="4" t="s">
        <v>45</v>
      </c>
      <c r="C5167" s="5">
        <v>45337</v>
      </c>
      <c r="D5167" s="4">
        <v>1</v>
      </c>
      <c r="E5167" s="4">
        <v>0.31</v>
      </c>
    </row>
    <row r="5168" spans="1:5" x14ac:dyDescent="0.25">
      <c r="A5168" s="4" t="s">
        <v>53</v>
      </c>
      <c r="B5168" s="4" t="s">
        <v>45</v>
      </c>
      <c r="C5168" s="5">
        <v>45337</v>
      </c>
      <c r="D5168" s="4">
        <v>1</v>
      </c>
      <c r="E5168" s="4">
        <v>0.31</v>
      </c>
    </row>
    <row r="5169" spans="1:5" x14ac:dyDescent="0.25">
      <c r="A5169" s="4" t="s">
        <v>53</v>
      </c>
      <c r="B5169" s="4" t="s">
        <v>45</v>
      </c>
      <c r="C5169" s="5">
        <v>45337</v>
      </c>
      <c r="D5169" s="4">
        <v>1.2</v>
      </c>
      <c r="E5169" s="4">
        <v>0.38</v>
      </c>
    </row>
    <row r="5170" spans="1:5" x14ac:dyDescent="0.25">
      <c r="A5170" s="4" t="s">
        <v>53</v>
      </c>
      <c r="B5170" s="4" t="s">
        <v>45</v>
      </c>
      <c r="C5170" s="5">
        <v>45337</v>
      </c>
      <c r="D5170" s="4">
        <v>27.5</v>
      </c>
      <c r="E5170" s="4">
        <v>8.92</v>
      </c>
    </row>
    <row r="5171" spans="1:5" x14ac:dyDescent="0.25">
      <c r="A5171" s="4" t="s">
        <v>53</v>
      </c>
      <c r="B5171" s="4" t="s">
        <v>45</v>
      </c>
      <c r="C5171" s="5">
        <v>45337</v>
      </c>
      <c r="D5171" s="4">
        <v>19</v>
      </c>
      <c r="E5171" s="4">
        <v>6.17</v>
      </c>
    </row>
    <row r="5172" spans="1:5" x14ac:dyDescent="0.25">
      <c r="A5172" s="4" t="s">
        <v>53</v>
      </c>
      <c r="B5172" s="4" t="s">
        <v>45</v>
      </c>
      <c r="C5172" s="5">
        <v>45337</v>
      </c>
      <c r="D5172" s="4">
        <v>2</v>
      </c>
      <c r="E5172" s="4">
        <v>0.64</v>
      </c>
    </row>
    <row r="5173" spans="1:5" x14ac:dyDescent="0.25">
      <c r="A5173" s="4" t="s">
        <v>53</v>
      </c>
      <c r="B5173" s="4" t="s">
        <v>45</v>
      </c>
      <c r="C5173" s="5">
        <v>45337</v>
      </c>
      <c r="D5173" s="4">
        <v>11.7</v>
      </c>
      <c r="E5173" s="4">
        <v>3.78</v>
      </c>
    </row>
    <row r="5174" spans="1:5" x14ac:dyDescent="0.25">
      <c r="A5174" s="4" t="s">
        <v>53</v>
      </c>
      <c r="B5174" s="4" t="s">
        <v>45</v>
      </c>
      <c r="C5174" s="5">
        <v>45337</v>
      </c>
      <c r="D5174" s="4">
        <v>30.6</v>
      </c>
      <c r="E5174" s="4">
        <v>9.92</v>
      </c>
    </row>
    <row r="5175" spans="1:5" x14ac:dyDescent="0.25">
      <c r="A5175" s="4" t="s">
        <v>53</v>
      </c>
      <c r="B5175" s="4" t="s">
        <v>60</v>
      </c>
      <c r="C5175" s="5">
        <v>45271</v>
      </c>
      <c r="D5175" s="4">
        <v>24.2</v>
      </c>
      <c r="E5175" s="4">
        <v>7.85</v>
      </c>
    </row>
    <row r="5176" spans="1:5" x14ac:dyDescent="0.25">
      <c r="A5176" s="4" t="s">
        <v>53</v>
      </c>
      <c r="B5176" s="4" t="s">
        <v>60</v>
      </c>
      <c r="C5176" s="5">
        <v>45271</v>
      </c>
      <c r="D5176" s="4">
        <v>24.2</v>
      </c>
      <c r="E5176" s="4">
        <v>7.85</v>
      </c>
    </row>
    <row r="5177" spans="1:5" x14ac:dyDescent="0.25">
      <c r="A5177" s="4" t="s">
        <v>53</v>
      </c>
      <c r="B5177" s="4" t="s">
        <v>60</v>
      </c>
      <c r="C5177" s="5">
        <v>45271</v>
      </c>
      <c r="D5177" s="4">
        <v>24.2</v>
      </c>
      <c r="E5177" s="4">
        <v>7.85</v>
      </c>
    </row>
    <row r="5178" spans="1:5" x14ac:dyDescent="0.25">
      <c r="A5178" s="4" t="s">
        <v>53</v>
      </c>
      <c r="B5178" s="4" t="s">
        <v>60</v>
      </c>
      <c r="C5178" s="5">
        <v>45271</v>
      </c>
      <c r="D5178" s="4">
        <v>24.2</v>
      </c>
      <c r="E5178" s="4">
        <v>7.85</v>
      </c>
    </row>
    <row r="5179" spans="1:5" x14ac:dyDescent="0.25">
      <c r="A5179" s="4" t="s">
        <v>53</v>
      </c>
      <c r="B5179" s="4" t="s">
        <v>60</v>
      </c>
      <c r="C5179" s="5">
        <v>45271</v>
      </c>
      <c r="D5179" s="4">
        <v>8.8000000000000007</v>
      </c>
      <c r="E5179" s="4">
        <v>2.85</v>
      </c>
    </row>
    <row r="5180" spans="1:5" x14ac:dyDescent="0.25">
      <c r="A5180" s="4" t="s">
        <v>53</v>
      </c>
      <c r="B5180" s="4" t="s">
        <v>60</v>
      </c>
      <c r="C5180" s="5">
        <v>45272</v>
      </c>
      <c r="D5180" s="4">
        <v>15.4</v>
      </c>
      <c r="E5180" s="4">
        <v>5</v>
      </c>
    </row>
    <row r="5181" spans="1:5" x14ac:dyDescent="0.25">
      <c r="A5181" s="4" t="s">
        <v>53</v>
      </c>
      <c r="B5181" s="4" t="s">
        <v>60</v>
      </c>
      <c r="C5181" s="5">
        <v>45272</v>
      </c>
      <c r="D5181" s="4">
        <v>24.2</v>
      </c>
      <c r="E5181" s="4">
        <v>7.85</v>
      </c>
    </row>
    <row r="5182" spans="1:5" x14ac:dyDescent="0.25">
      <c r="A5182" s="4" t="s">
        <v>53</v>
      </c>
      <c r="B5182" s="4" t="s">
        <v>60</v>
      </c>
      <c r="C5182" s="5">
        <v>45272</v>
      </c>
      <c r="D5182" s="4">
        <v>24.2</v>
      </c>
      <c r="E5182" s="4">
        <v>7.85</v>
      </c>
    </row>
    <row r="5183" spans="1:5" x14ac:dyDescent="0.25">
      <c r="A5183" s="4" t="s">
        <v>53</v>
      </c>
      <c r="B5183" s="4" t="s">
        <v>60</v>
      </c>
      <c r="C5183" s="5">
        <v>45272</v>
      </c>
      <c r="D5183" s="4">
        <v>24.2</v>
      </c>
      <c r="E5183" s="4">
        <v>7.85</v>
      </c>
    </row>
    <row r="5184" spans="1:5" x14ac:dyDescent="0.25">
      <c r="A5184" s="4" t="s">
        <v>53</v>
      </c>
      <c r="B5184" s="4" t="s">
        <v>60</v>
      </c>
      <c r="C5184" s="5">
        <v>45272</v>
      </c>
      <c r="D5184" s="4">
        <v>24.2</v>
      </c>
      <c r="E5184" s="4">
        <v>7.85</v>
      </c>
    </row>
    <row r="5185" spans="1:5" x14ac:dyDescent="0.25">
      <c r="A5185" s="4" t="s">
        <v>53</v>
      </c>
      <c r="B5185" s="4" t="s">
        <v>60</v>
      </c>
      <c r="C5185" s="5">
        <v>45272</v>
      </c>
      <c r="D5185" s="4">
        <v>24.2</v>
      </c>
      <c r="E5185" s="4">
        <v>7.85</v>
      </c>
    </row>
    <row r="5186" spans="1:5" x14ac:dyDescent="0.25">
      <c r="A5186" s="4" t="s">
        <v>53</v>
      </c>
      <c r="B5186" s="4" t="s">
        <v>60</v>
      </c>
      <c r="C5186" s="5">
        <v>45272</v>
      </c>
      <c r="D5186" s="4">
        <v>8.8000000000000007</v>
      </c>
      <c r="E5186" s="4">
        <v>2.85</v>
      </c>
    </row>
    <row r="5187" spans="1:5" x14ac:dyDescent="0.25">
      <c r="A5187" s="4" t="s">
        <v>53</v>
      </c>
      <c r="B5187" s="4" t="s">
        <v>60</v>
      </c>
      <c r="C5187" s="5">
        <v>45273</v>
      </c>
      <c r="D5187" s="4">
        <v>15.4</v>
      </c>
      <c r="E5187" s="4">
        <v>5</v>
      </c>
    </row>
    <row r="5188" spans="1:5" x14ac:dyDescent="0.25">
      <c r="A5188" s="4" t="s">
        <v>53</v>
      </c>
      <c r="B5188" s="4" t="s">
        <v>60</v>
      </c>
      <c r="C5188" s="5">
        <v>45273</v>
      </c>
      <c r="D5188" s="4">
        <v>24.2</v>
      </c>
      <c r="E5188" s="4">
        <v>7.85</v>
      </c>
    </row>
    <row r="5189" spans="1:5" x14ac:dyDescent="0.25">
      <c r="A5189" s="4" t="s">
        <v>53</v>
      </c>
      <c r="B5189" s="4" t="s">
        <v>60</v>
      </c>
      <c r="C5189" s="5">
        <v>45273</v>
      </c>
      <c r="D5189" s="4">
        <v>24.2</v>
      </c>
      <c r="E5189" s="4">
        <v>7.85</v>
      </c>
    </row>
    <row r="5190" spans="1:5" x14ac:dyDescent="0.25">
      <c r="A5190" s="4" t="s">
        <v>53</v>
      </c>
      <c r="B5190" s="4" t="s">
        <v>60</v>
      </c>
      <c r="C5190" s="5">
        <v>45273</v>
      </c>
      <c r="D5190" s="4">
        <v>24.2</v>
      </c>
      <c r="E5190" s="4">
        <v>7.85</v>
      </c>
    </row>
    <row r="5191" spans="1:5" x14ac:dyDescent="0.25">
      <c r="A5191" s="4" t="s">
        <v>53</v>
      </c>
      <c r="B5191" s="4" t="s">
        <v>60</v>
      </c>
      <c r="C5191" s="5">
        <v>45274</v>
      </c>
      <c r="D5191" s="4">
        <v>2.4</v>
      </c>
      <c r="E5191" s="4">
        <v>0.75</v>
      </c>
    </row>
    <row r="5192" spans="1:5" x14ac:dyDescent="0.25">
      <c r="A5192" s="4" t="s">
        <v>53</v>
      </c>
      <c r="B5192" s="4" t="s">
        <v>60</v>
      </c>
      <c r="C5192" s="5">
        <v>45274</v>
      </c>
      <c r="D5192" s="4">
        <v>0.8</v>
      </c>
      <c r="E5192" s="4">
        <v>0.26</v>
      </c>
    </row>
    <row r="5193" spans="1:5" x14ac:dyDescent="0.25">
      <c r="A5193" s="4" t="s">
        <v>53</v>
      </c>
      <c r="B5193" s="4" t="s">
        <v>60</v>
      </c>
      <c r="C5193" s="5">
        <v>45274</v>
      </c>
      <c r="D5193" s="4">
        <v>0.4</v>
      </c>
      <c r="E5193" s="4">
        <v>0.12</v>
      </c>
    </row>
    <row r="5194" spans="1:5" x14ac:dyDescent="0.25">
      <c r="A5194" s="4" t="s">
        <v>53</v>
      </c>
      <c r="B5194" s="4" t="s">
        <v>60</v>
      </c>
      <c r="C5194" s="5">
        <v>45274</v>
      </c>
      <c r="D5194" s="4">
        <v>11.7</v>
      </c>
      <c r="E5194" s="4">
        <v>3.79</v>
      </c>
    </row>
    <row r="5195" spans="1:5" x14ac:dyDescent="0.25">
      <c r="A5195" s="4" t="s">
        <v>53</v>
      </c>
      <c r="B5195" s="4" t="s">
        <v>60</v>
      </c>
      <c r="C5195" s="5">
        <v>45274</v>
      </c>
      <c r="D5195" s="4">
        <v>10.9</v>
      </c>
      <c r="E5195" s="4">
        <v>3.53</v>
      </c>
    </row>
    <row r="5196" spans="1:5" x14ac:dyDescent="0.25">
      <c r="A5196" s="4" t="s">
        <v>53</v>
      </c>
      <c r="B5196" s="4" t="s">
        <v>60</v>
      </c>
      <c r="C5196" s="5">
        <v>45274</v>
      </c>
      <c r="D5196" s="4">
        <v>0.7</v>
      </c>
      <c r="E5196" s="4">
        <v>0.23</v>
      </c>
    </row>
    <row r="5197" spans="1:5" x14ac:dyDescent="0.25">
      <c r="A5197" s="4" t="s">
        <v>53</v>
      </c>
      <c r="B5197" s="4" t="s">
        <v>60</v>
      </c>
      <c r="C5197" s="5">
        <v>45274</v>
      </c>
      <c r="D5197" s="4">
        <v>0.4</v>
      </c>
      <c r="E5197" s="4">
        <v>0.12</v>
      </c>
    </row>
    <row r="5198" spans="1:5" x14ac:dyDescent="0.25">
      <c r="A5198" s="4" t="s">
        <v>53</v>
      </c>
      <c r="B5198" s="4" t="s">
        <v>60</v>
      </c>
      <c r="C5198" s="5">
        <v>45274</v>
      </c>
      <c r="D5198" s="4">
        <v>11.7</v>
      </c>
      <c r="E5198" s="4">
        <v>3.79</v>
      </c>
    </row>
    <row r="5199" spans="1:5" x14ac:dyDescent="0.25">
      <c r="A5199" s="4" t="s">
        <v>53</v>
      </c>
      <c r="B5199" s="4" t="s">
        <v>60</v>
      </c>
      <c r="C5199" s="5">
        <v>45274</v>
      </c>
      <c r="D5199" s="4">
        <v>10.9</v>
      </c>
      <c r="E5199" s="4">
        <v>3.53</v>
      </c>
    </row>
    <row r="5200" spans="1:5" x14ac:dyDescent="0.25">
      <c r="A5200" s="4" t="s">
        <v>53</v>
      </c>
      <c r="B5200" s="4" t="s">
        <v>60</v>
      </c>
      <c r="C5200" s="5">
        <v>45274</v>
      </c>
      <c r="D5200" s="4">
        <v>0.7</v>
      </c>
      <c r="E5200" s="4">
        <v>0.23</v>
      </c>
    </row>
    <row r="5201" spans="1:5" x14ac:dyDescent="0.25">
      <c r="A5201" s="4" t="s">
        <v>53</v>
      </c>
      <c r="B5201" s="4" t="s">
        <v>60</v>
      </c>
      <c r="C5201" s="5">
        <v>45274</v>
      </c>
      <c r="D5201" s="4">
        <v>0.4</v>
      </c>
      <c r="E5201" s="4">
        <v>0.12</v>
      </c>
    </row>
    <row r="5202" spans="1:5" x14ac:dyDescent="0.25">
      <c r="A5202" s="4" t="s">
        <v>53</v>
      </c>
      <c r="B5202" s="4" t="s">
        <v>60</v>
      </c>
      <c r="C5202" s="5">
        <v>45274</v>
      </c>
      <c r="D5202" s="4">
        <v>11.7</v>
      </c>
      <c r="E5202" s="4">
        <v>3.79</v>
      </c>
    </row>
    <row r="5203" spans="1:5" x14ac:dyDescent="0.25">
      <c r="A5203" s="4" t="s">
        <v>53</v>
      </c>
      <c r="B5203" s="4" t="s">
        <v>60</v>
      </c>
      <c r="C5203" s="5">
        <v>45274</v>
      </c>
      <c r="D5203" s="4">
        <v>10.9</v>
      </c>
      <c r="E5203" s="4">
        <v>3.53</v>
      </c>
    </row>
    <row r="5204" spans="1:5" x14ac:dyDescent="0.25">
      <c r="A5204" s="4" t="s">
        <v>53</v>
      </c>
      <c r="B5204" s="4" t="s">
        <v>60</v>
      </c>
      <c r="C5204" s="5">
        <v>45274</v>
      </c>
      <c r="D5204" s="4">
        <v>0.7</v>
      </c>
      <c r="E5204" s="4">
        <v>0.23</v>
      </c>
    </row>
    <row r="5205" spans="1:5" x14ac:dyDescent="0.25">
      <c r="A5205" s="4" t="s">
        <v>53</v>
      </c>
      <c r="B5205" s="4" t="s">
        <v>60</v>
      </c>
      <c r="C5205" s="5">
        <v>45274</v>
      </c>
      <c r="D5205" s="4">
        <v>0.4</v>
      </c>
      <c r="E5205" s="4">
        <v>0.12</v>
      </c>
    </row>
    <row r="5206" spans="1:5" x14ac:dyDescent="0.25">
      <c r="A5206" s="4" t="s">
        <v>53</v>
      </c>
      <c r="B5206" s="4" t="s">
        <v>60</v>
      </c>
      <c r="C5206" s="5">
        <v>45274</v>
      </c>
      <c r="D5206" s="4">
        <v>11.7</v>
      </c>
      <c r="E5206" s="4">
        <v>3.79</v>
      </c>
    </row>
    <row r="5207" spans="1:5" x14ac:dyDescent="0.25">
      <c r="A5207" s="4" t="s">
        <v>53</v>
      </c>
      <c r="B5207" s="4" t="s">
        <v>60</v>
      </c>
      <c r="C5207" s="5">
        <v>45274</v>
      </c>
      <c r="D5207" s="4">
        <v>10.9</v>
      </c>
      <c r="E5207" s="4">
        <v>3.53</v>
      </c>
    </row>
    <row r="5208" spans="1:5" x14ac:dyDescent="0.25">
      <c r="A5208" s="4" t="s">
        <v>53</v>
      </c>
      <c r="B5208" s="4" t="s">
        <v>60</v>
      </c>
      <c r="C5208" s="5">
        <v>45274</v>
      </c>
      <c r="D5208" s="4">
        <v>0.7</v>
      </c>
      <c r="E5208" s="4">
        <v>0.23</v>
      </c>
    </row>
    <row r="5209" spans="1:5" x14ac:dyDescent="0.25">
      <c r="A5209" s="4" t="s">
        <v>53</v>
      </c>
      <c r="B5209" s="4" t="s">
        <v>60</v>
      </c>
      <c r="C5209" s="5">
        <v>45274</v>
      </c>
      <c r="D5209" s="4">
        <v>0.4</v>
      </c>
      <c r="E5209" s="4">
        <v>0.12</v>
      </c>
    </row>
    <row r="5210" spans="1:5" x14ac:dyDescent="0.25">
      <c r="A5210" s="4" t="s">
        <v>53</v>
      </c>
      <c r="B5210" s="4" t="s">
        <v>60</v>
      </c>
      <c r="C5210" s="5">
        <v>45274</v>
      </c>
      <c r="D5210" s="4">
        <v>11.7</v>
      </c>
      <c r="E5210" s="4">
        <v>3.79</v>
      </c>
    </row>
    <row r="5211" spans="1:5" x14ac:dyDescent="0.25">
      <c r="A5211" s="4" t="s">
        <v>53</v>
      </c>
      <c r="B5211" s="4" t="s">
        <v>60</v>
      </c>
      <c r="C5211" s="5">
        <v>45274</v>
      </c>
      <c r="D5211" s="4">
        <v>8.6999999999999993</v>
      </c>
      <c r="E5211" s="4">
        <v>2.82</v>
      </c>
    </row>
    <row r="5212" spans="1:5" x14ac:dyDescent="0.25">
      <c r="A5212" s="4" t="s">
        <v>53</v>
      </c>
      <c r="B5212" s="4" t="s">
        <v>60</v>
      </c>
      <c r="C5212" s="5">
        <v>45275</v>
      </c>
      <c r="D5212" s="4">
        <v>2.4</v>
      </c>
      <c r="E5212" s="4">
        <v>0.75</v>
      </c>
    </row>
    <row r="5213" spans="1:5" x14ac:dyDescent="0.25">
      <c r="A5213" s="4" t="s">
        <v>53</v>
      </c>
      <c r="B5213" s="4" t="s">
        <v>60</v>
      </c>
      <c r="C5213" s="5">
        <v>45275</v>
      </c>
      <c r="D5213" s="4">
        <v>0.8</v>
      </c>
      <c r="E5213" s="4">
        <v>0.26</v>
      </c>
    </row>
    <row r="5214" spans="1:5" x14ac:dyDescent="0.25">
      <c r="A5214" s="4" t="s">
        <v>53</v>
      </c>
      <c r="B5214" s="4" t="s">
        <v>60</v>
      </c>
      <c r="C5214" s="5">
        <v>45275</v>
      </c>
      <c r="D5214" s="4">
        <v>0.4</v>
      </c>
      <c r="E5214" s="4">
        <v>0.12</v>
      </c>
    </row>
    <row r="5215" spans="1:5" x14ac:dyDescent="0.25">
      <c r="A5215" s="4" t="s">
        <v>53</v>
      </c>
      <c r="B5215" s="4" t="s">
        <v>60</v>
      </c>
      <c r="C5215" s="5">
        <v>45275</v>
      </c>
      <c r="D5215" s="4">
        <v>11.7</v>
      </c>
      <c r="E5215" s="4">
        <v>3.79</v>
      </c>
    </row>
    <row r="5216" spans="1:5" x14ac:dyDescent="0.25">
      <c r="A5216" s="4" t="s">
        <v>53</v>
      </c>
      <c r="B5216" s="4" t="s">
        <v>60</v>
      </c>
      <c r="C5216" s="5">
        <v>45275</v>
      </c>
      <c r="D5216" s="4">
        <v>10.9</v>
      </c>
      <c r="E5216" s="4">
        <v>3.53</v>
      </c>
    </row>
    <row r="5217" spans="1:5" x14ac:dyDescent="0.25">
      <c r="A5217" s="4" t="s">
        <v>53</v>
      </c>
      <c r="B5217" s="4" t="s">
        <v>60</v>
      </c>
      <c r="C5217" s="5">
        <v>45275</v>
      </c>
      <c r="D5217" s="4">
        <v>0.7</v>
      </c>
      <c r="E5217" s="4">
        <v>0.23</v>
      </c>
    </row>
    <row r="5218" spans="1:5" x14ac:dyDescent="0.25">
      <c r="A5218" s="4" t="s">
        <v>53</v>
      </c>
      <c r="B5218" s="4" t="s">
        <v>60</v>
      </c>
      <c r="C5218" s="5">
        <v>45275</v>
      </c>
      <c r="D5218" s="4">
        <v>0.4</v>
      </c>
      <c r="E5218" s="4">
        <v>0.12</v>
      </c>
    </row>
    <row r="5219" spans="1:5" x14ac:dyDescent="0.25">
      <c r="A5219" s="4" t="s">
        <v>53</v>
      </c>
      <c r="B5219" s="4" t="s">
        <v>60</v>
      </c>
      <c r="C5219" s="5">
        <v>45275</v>
      </c>
      <c r="D5219" s="4">
        <v>11.7</v>
      </c>
      <c r="E5219" s="4">
        <v>3.79</v>
      </c>
    </row>
    <row r="5220" spans="1:5" x14ac:dyDescent="0.25">
      <c r="A5220" s="4" t="s">
        <v>53</v>
      </c>
      <c r="B5220" s="4" t="s">
        <v>60</v>
      </c>
      <c r="C5220" s="5">
        <v>45275</v>
      </c>
      <c r="D5220" s="4">
        <v>10.9</v>
      </c>
      <c r="E5220" s="4">
        <v>3.53</v>
      </c>
    </row>
    <row r="5221" spans="1:5" x14ac:dyDescent="0.25">
      <c r="A5221" s="4" t="s">
        <v>53</v>
      </c>
      <c r="B5221" s="4" t="s">
        <v>60</v>
      </c>
      <c r="C5221" s="5">
        <v>45275</v>
      </c>
      <c r="D5221" s="4">
        <v>0.7</v>
      </c>
      <c r="E5221" s="4">
        <v>0.23</v>
      </c>
    </row>
    <row r="5222" spans="1:5" x14ac:dyDescent="0.25">
      <c r="A5222" s="4" t="s">
        <v>53</v>
      </c>
      <c r="B5222" s="4" t="s">
        <v>60</v>
      </c>
      <c r="C5222" s="5">
        <v>45275</v>
      </c>
      <c r="D5222" s="4">
        <v>0.4</v>
      </c>
      <c r="E5222" s="4">
        <v>0.12</v>
      </c>
    </row>
    <row r="5223" spans="1:5" x14ac:dyDescent="0.25">
      <c r="A5223" s="4" t="s">
        <v>53</v>
      </c>
      <c r="B5223" s="4" t="s">
        <v>60</v>
      </c>
      <c r="C5223" s="5">
        <v>45275</v>
      </c>
      <c r="D5223" s="4">
        <v>11.7</v>
      </c>
      <c r="E5223" s="4">
        <v>3.79</v>
      </c>
    </row>
    <row r="5224" spans="1:5" x14ac:dyDescent="0.25">
      <c r="A5224" s="4" t="s">
        <v>53</v>
      </c>
      <c r="B5224" s="4" t="s">
        <v>60</v>
      </c>
      <c r="C5224" s="5">
        <v>45275</v>
      </c>
      <c r="D5224" s="4">
        <v>10.9</v>
      </c>
      <c r="E5224" s="4">
        <v>3.53</v>
      </c>
    </row>
    <row r="5225" spans="1:5" x14ac:dyDescent="0.25">
      <c r="A5225" s="4" t="s">
        <v>53</v>
      </c>
      <c r="B5225" s="4" t="s">
        <v>60</v>
      </c>
      <c r="C5225" s="5">
        <v>45275</v>
      </c>
      <c r="D5225" s="4">
        <v>0.7</v>
      </c>
      <c r="E5225" s="4">
        <v>0.23</v>
      </c>
    </row>
    <row r="5226" spans="1:5" x14ac:dyDescent="0.25">
      <c r="A5226" s="4" t="s">
        <v>53</v>
      </c>
      <c r="B5226" s="4" t="s">
        <v>60</v>
      </c>
      <c r="C5226" s="5">
        <v>45275</v>
      </c>
      <c r="D5226" s="4">
        <v>0.4</v>
      </c>
      <c r="E5226" s="4">
        <v>0.12</v>
      </c>
    </row>
    <row r="5227" spans="1:5" x14ac:dyDescent="0.25">
      <c r="A5227" s="4" t="s">
        <v>53</v>
      </c>
      <c r="B5227" s="4" t="s">
        <v>60</v>
      </c>
      <c r="C5227" s="5">
        <v>45275</v>
      </c>
      <c r="D5227" s="4">
        <v>11.7</v>
      </c>
      <c r="E5227" s="4">
        <v>3.79</v>
      </c>
    </row>
    <row r="5228" spans="1:5" x14ac:dyDescent="0.25">
      <c r="A5228" s="4" t="s">
        <v>53</v>
      </c>
      <c r="B5228" s="4" t="s">
        <v>60</v>
      </c>
      <c r="C5228" s="5">
        <v>45275</v>
      </c>
      <c r="D5228" s="4">
        <v>8.6999999999999993</v>
      </c>
      <c r="E5228" s="4">
        <v>2.82</v>
      </c>
    </row>
    <row r="5229" spans="1:5" x14ac:dyDescent="0.25">
      <c r="A5229" s="4" t="s">
        <v>53</v>
      </c>
      <c r="B5229" s="4" t="s">
        <v>60</v>
      </c>
      <c r="C5229" s="5">
        <v>45278</v>
      </c>
      <c r="D5229" s="4">
        <v>7.2</v>
      </c>
      <c r="E5229" s="4">
        <v>2.27</v>
      </c>
    </row>
    <row r="5230" spans="1:5" x14ac:dyDescent="0.25">
      <c r="A5230" s="4" t="s">
        <v>53</v>
      </c>
      <c r="B5230" s="4" t="s">
        <v>60</v>
      </c>
      <c r="C5230" s="5">
        <v>45278</v>
      </c>
      <c r="D5230" s="4">
        <v>7.6</v>
      </c>
      <c r="E5230" s="4">
        <v>2.41</v>
      </c>
    </row>
    <row r="5231" spans="1:5" x14ac:dyDescent="0.25">
      <c r="A5231" s="4" t="s">
        <v>53</v>
      </c>
      <c r="B5231" s="4" t="s">
        <v>60</v>
      </c>
      <c r="C5231" s="5">
        <v>45278</v>
      </c>
      <c r="D5231" s="4">
        <v>7.2</v>
      </c>
      <c r="E5231" s="4">
        <v>2.27</v>
      </c>
    </row>
    <row r="5232" spans="1:5" x14ac:dyDescent="0.25">
      <c r="A5232" s="4" t="s">
        <v>53</v>
      </c>
      <c r="B5232" s="4" t="s">
        <v>60</v>
      </c>
      <c r="C5232" s="5">
        <v>45278</v>
      </c>
      <c r="D5232" s="4">
        <v>2.2000000000000002</v>
      </c>
      <c r="E5232" s="4">
        <v>0.69</v>
      </c>
    </row>
    <row r="5233" spans="1:5" x14ac:dyDescent="0.25">
      <c r="A5233" s="4" t="s">
        <v>53</v>
      </c>
      <c r="B5233" s="4" t="s">
        <v>60</v>
      </c>
      <c r="C5233" s="5">
        <v>45278</v>
      </c>
      <c r="D5233" s="4">
        <v>2.5</v>
      </c>
      <c r="E5233" s="4">
        <v>0.81</v>
      </c>
    </row>
    <row r="5234" spans="1:5" x14ac:dyDescent="0.25">
      <c r="A5234" s="4" t="s">
        <v>53</v>
      </c>
      <c r="B5234" s="4" t="s">
        <v>60</v>
      </c>
      <c r="C5234" s="5">
        <v>45279</v>
      </c>
      <c r="D5234" s="4">
        <v>15.4</v>
      </c>
      <c r="E5234" s="4">
        <v>5</v>
      </c>
    </row>
    <row r="5235" spans="1:5" x14ac:dyDescent="0.25">
      <c r="A5235" s="4" t="s">
        <v>53</v>
      </c>
      <c r="B5235" s="4" t="s">
        <v>60</v>
      </c>
      <c r="C5235" s="5">
        <v>45279</v>
      </c>
      <c r="D5235" s="4">
        <v>20.5</v>
      </c>
      <c r="E5235" s="4">
        <v>6.66</v>
      </c>
    </row>
    <row r="5236" spans="1:5" x14ac:dyDescent="0.25">
      <c r="A5236" s="4" t="s">
        <v>53</v>
      </c>
      <c r="B5236" s="4" t="s">
        <v>60</v>
      </c>
      <c r="C5236" s="5">
        <v>45279</v>
      </c>
      <c r="D5236" s="4">
        <v>4.7</v>
      </c>
      <c r="E5236" s="4">
        <v>1.51</v>
      </c>
    </row>
    <row r="5237" spans="1:5" x14ac:dyDescent="0.25">
      <c r="A5237" s="4" t="s">
        <v>53</v>
      </c>
      <c r="B5237" s="4" t="s">
        <v>60</v>
      </c>
      <c r="C5237" s="5">
        <v>45279</v>
      </c>
      <c r="D5237" s="4">
        <v>3.2</v>
      </c>
      <c r="E5237" s="4">
        <v>1.02</v>
      </c>
    </row>
    <row r="5238" spans="1:5" x14ac:dyDescent="0.25">
      <c r="A5238" s="4" t="s">
        <v>53</v>
      </c>
      <c r="B5238" s="4" t="s">
        <v>60</v>
      </c>
      <c r="C5238" s="5">
        <v>45279</v>
      </c>
      <c r="D5238" s="4">
        <v>3.2</v>
      </c>
      <c r="E5238" s="4">
        <v>1.02</v>
      </c>
    </row>
    <row r="5239" spans="1:5" x14ac:dyDescent="0.25">
      <c r="A5239" s="4" t="s">
        <v>53</v>
      </c>
      <c r="B5239" s="4" t="s">
        <v>60</v>
      </c>
      <c r="C5239" s="5">
        <v>45279</v>
      </c>
      <c r="D5239" s="4">
        <v>3.2</v>
      </c>
      <c r="E5239" s="4">
        <v>1.02</v>
      </c>
    </row>
    <row r="5240" spans="1:5" x14ac:dyDescent="0.25">
      <c r="A5240" s="4" t="s">
        <v>53</v>
      </c>
      <c r="B5240" s="4" t="s">
        <v>60</v>
      </c>
      <c r="C5240" s="5">
        <v>45279</v>
      </c>
      <c r="D5240" s="4">
        <v>3.2</v>
      </c>
      <c r="E5240" s="4">
        <v>1.02</v>
      </c>
    </row>
    <row r="5241" spans="1:5" x14ac:dyDescent="0.25">
      <c r="A5241" s="4" t="s">
        <v>53</v>
      </c>
      <c r="B5241" s="4" t="s">
        <v>60</v>
      </c>
      <c r="C5241" s="5">
        <v>45279</v>
      </c>
      <c r="D5241" s="4">
        <v>3.2</v>
      </c>
      <c r="E5241" s="4">
        <v>1.02</v>
      </c>
    </row>
    <row r="5242" spans="1:5" x14ac:dyDescent="0.25">
      <c r="A5242" s="4" t="s">
        <v>53</v>
      </c>
      <c r="B5242" s="4" t="s">
        <v>60</v>
      </c>
      <c r="C5242" s="5">
        <v>45279</v>
      </c>
      <c r="D5242" s="4">
        <v>3.2</v>
      </c>
      <c r="E5242" s="4">
        <v>1.02</v>
      </c>
    </row>
    <row r="5243" spans="1:5" x14ac:dyDescent="0.25">
      <c r="A5243" s="4" t="s">
        <v>53</v>
      </c>
      <c r="B5243" s="4" t="s">
        <v>60</v>
      </c>
      <c r="C5243" s="5">
        <v>45279</v>
      </c>
      <c r="D5243" s="4">
        <v>3.2</v>
      </c>
      <c r="E5243" s="4">
        <v>1.02</v>
      </c>
    </row>
    <row r="5244" spans="1:5" x14ac:dyDescent="0.25">
      <c r="A5244" s="4" t="s">
        <v>53</v>
      </c>
      <c r="B5244" s="4" t="s">
        <v>60</v>
      </c>
      <c r="C5244" s="5">
        <v>45279</v>
      </c>
      <c r="D5244" s="4">
        <v>3.2</v>
      </c>
      <c r="E5244" s="4">
        <v>1.02</v>
      </c>
    </row>
    <row r="5245" spans="1:5" x14ac:dyDescent="0.25">
      <c r="A5245" s="4" t="s">
        <v>53</v>
      </c>
      <c r="B5245" s="4" t="s">
        <v>60</v>
      </c>
      <c r="C5245" s="5">
        <v>45279</v>
      </c>
      <c r="D5245" s="4">
        <v>3.2</v>
      </c>
      <c r="E5245" s="4">
        <v>1.02</v>
      </c>
    </row>
    <row r="5246" spans="1:5" x14ac:dyDescent="0.25">
      <c r="A5246" s="4" t="s">
        <v>53</v>
      </c>
      <c r="B5246" s="4" t="s">
        <v>60</v>
      </c>
      <c r="C5246" s="5">
        <v>45279</v>
      </c>
      <c r="D5246" s="4">
        <v>3.2</v>
      </c>
      <c r="E5246" s="4">
        <v>1.02</v>
      </c>
    </row>
    <row r="5247" spans="1:5" x14ac:dyDescent="0.25">
      <c r="A5247" s="4" t="s">
        <v>53</v>
      </c>
      <c r="B5247" s="4" t="s">
        <v>60</v>
      </c>
      <c r="C5247" s="5">
        <v>45279</v>
      </c>
      <c r="D5247" s="4">
        <v>6</v>
      </c>
      <c r="E5247" s="4">
        <v>1.91</v>
      </c>
    </row>
    <row r="5248" spans="1:5" x14ac:dyDescent="0.25">
      <c r="A5248" s="4" t="s">
        <v>53</v>
      </c>
      <c r="B5248" s="4" t="s">
        <v>60</v>
      </c>
      <c r="C5248" s="5">
        <v>45279</v>
      </c>
      <c r="D5248" s="4">
        <v>12.8</v>
      </c>
      <c r="E5248" s="4">
        <v>4.12</v>
      </c>
    </row>
    <row r="5249" spans="1:5" x14ac:dyDescent="0.25">
      <c r="A5249" s="4" t="s">
        <v>53</v>
      </c>
      <c r="B5249" s="4" t="s">
        <v>60</v>
      </c>
      <c r="C5249" s="5">
        <v>45279</v>
      </c>
      <c r="D5249" s="4">
        <v>30.6</v>
      </c>
      <c r="E5249" s="4">
        <v>9.92</v>
      </c>
    </row>
    <row r="5250" spans="1:5" x14ac:dyDescent="0.25">
      <c r="A5250" s="4" t="s">
        <v>53</v>
      </c>
      <c r="B5250" s="4" t="s">
        <v>60</v>
      </c>
      <c r="C5250" s="5">
        <v>45280</v>
      </c>
      <c r="D5250" s="4">
        <v>3.8</v>
      </c>
      <c r="E5250" s="4">
        <v>1.19</v>
      </c>
    </row>
    <row r="5251" spans="1:5" x14ac:dyDescent="0.25">
      <c r="A5251" s="4" t="s">
        <v>53</v>
      </c>
      <c r="B5251" s="4" t="s">
        <v>60</v>
      </c>
      <c r="C5251" s="5">
        <v>45280</v>
      </c>
      <c r="D5251" s="4">
        <v>12.8</v>
      </c>
      <c r="E5251" s="4">
        <v>4.12</v>
      </c>
    </row>
    <row r="5252" spans="1:5" x14ac:dyDescent="0.25">
      <c r="A5252" s="4" t="s">
        <v>53</v>
      </c>
      <c r="B5252" s="4" t="s">
        <v>60</v>
      </c>
      <c r="C5252" s="5">
        <v>45280</v>
      </c>
      <c r="D5252" s="4">
        <v>56.8</v>
      </c>
      <c r="E5252" s="4">
        <v>18.420000000000002</v>
      </c>
    </row>
    <row r="5253" spans="1:5" x14ac:dyDescent="0.25">
      <c r="A5253" s="4" t="s">
        <v>53</v>
      </c>
      <c r="B5253" s="4" t="s">
        <v>60</v>
      </c>
      <c r="C5253" s="5">
        <v>45280</v>
      </c>
      <c r="D5253" s="4">
        <v>9.6999999999999993</v>
      </c>
      <c r="E5253" s="4">
        <v>3.15</v>
      </c>
    </row>
    <row r="5254" spans="1:5" x14ac:dyDescent="0.25">
      <c r="A5254" s="4" t="s">
        <v>53</v>
      </c>
      <c r="B5254" s="4" t="s">
        <v>60</v>
      </c>
      <c r="C5254" s="5">
        <v>45280</v>
      </c>
      <c r="D5254" s="4">
        <v>9.6999999999999993</v>
      </c>
      <c r="E5254" s="4">
        <v>3.15</v>
      </c>
    </row>
    <row r="5255" spans="1:5" x14ac:dyDescent="0.25">
      <c r="A5255" s="4" t="s">
        <v>53</v>
      </c>
      <c r="B5255" s="4" t="s">
        <v>60</v>
      </c>
      <c r="C5255" s="5">
        <v>45280</v>
      </c>
      <c r="D5255" s="4">
        <v>9.6999999999999993</v>
      </c>
      <c r="E5255" s="4">
        <v>3.15</v>
      </c>
    </row>
    <row r="5256" spans="1:5" x14ac:dyDescent="0.25">
      <c r="A5256" s="4" t="s">
        <v>53</v>
      </c>
      <c r="B5256" s="4" t="s">
        <v>60</v>
      </c>
      <c r="C5256" s="5">
        <v>45280</v>
      </c>
      <c r="D5256" s="4">
        <v>9.6999999999999993</v>
      </c>
      <c r="E5256" s="4">
        <v>3.15</v>
      </c>
    </row>
    <row r="5257" spans="1:5" x14ac:dyDescent="0.25">
      <c r="A5257" s="4" t="s">
        <v>53</v>
      </c>
      <c r="B5257" s="4" t="s">
        <v>60</v>
      </c>
      <c r="C5257" s="5">
        <v>45280</v>
      </c>
      <c r="D5257" s="4">
        <v>9.6999999999999993</v>
      </c>
      <c r="E5257" s="4">
        <v>3.15</v>
      </c>
    </row>
    <row r="5258" spans="1:5" x14ac:dyDescent="0.25">
      <c r="A5258" s="4" t="s">
        <v>53</v>
      </c>
      <c r="B5258" s="4" t="s">
        <v>60</v>
      </c>
      <c r="C5258" s="5">
        <v>45280</v>
      </c>
      <c r="D5258" s="4">
        <v>9.6999999999999993</v>
      </c>
      <c r="E5258" s="4">
        <v>3.15</v>
      </c>
    </row>
    <row r="5259" spans="1:5" x14ac:dyDescent="0.25">
      <c r="A5259" s="4" t="s">
        <v>53</v>
      </c>
      <c r="B5259" s="4" t="s">
        <v>60</v>
      </c>
      <c r="C5259" s="5">
        <v>45280</v>
      </c>
      <c r="D5259" s="4">
        <v>9.6999999999999993</v>
      </c>
      <c r="E5259" s="4">
        <v>3.15</v>
      </c>
    </row>
    <row r="5260" spans="1:5" x14ac:dyDescent="0.25">
      <c r="A5260" s="4" t="s">
        <v>53</v>
      </c>
      <c r="B5260" s="4" t="s">
        <v>60</v>
      </c>
      <c r="C5260" s="5">
        <v>45281</v>
      </c>
      <c r="D5260" s="4">
        <v>9.6999999999999993</v>
      </c>
      <c r="E5260" s="4">
        <v>3.15</v>
      </c>
    </row>
    <row r="5261" spans="1:5" x14ac:dyDescent="0.25">
      <c r="A5261" s="4" t="s">
        <v>53</v>
      </c>
      <c r="B5261" s="4" t="s">
        <v>60</v>
      </c>
      <c r="C5261" s="5">
        <v>45281</v>
      </c>
      <c r="D5261" s="4">
        <v>9.6999999999999993</v>
      </c>
      <c r="E5261" s="4">
        <v>3.15</v>
      </c>
    </row>
    <row r="5262" spans="1:5" x14ac:dyDescent="0.25">
      <c r="A5262" s="4" t="s">
        <v>53</v>
      </c>
      <c r="B5262" s="4" t="s">
        <v>60</v>
      </c>
      <c r="C5262" s="5">
        <v>45281</v>
      </c>
      <c r="D5262" s="4">
        <v>9.6999999999999993</v>
      </c>
      <c r="E5262" s="4">
        <v>3.15</v>
      </c>
    </row>
    <row r="5263" spans="1:5" x14ac:dyDescent="0.25">
      <c r="A5263" s="4" t="s">
        <v>53</v>
      </c>
      <c r="B5263" s="4" t="s">
        <v>60</v>
      </c>
      <c r="C5263" s="5">
        <v>45281</v>
      </c>
      <c r="D5263" s="4">
        <v>9.6999999999999993</v>
      </c>
      <c r="E5263" s="4">
        <v>3.15</v>
      </c>
    </row>
    <row r="5264" spans="1:5" x14ac:dyDescent="0.25">
      <c r="A5264" s="4" t="s">
        <v>53</v>
      </c>
      <c r="B5264" s="4" t="s">
        <v>60</v>
      </c>
      <c r="C5264" s="5">
        <v>45281</v>
      </c>
      <c r="D5264" s="4">
        <v>9.6999999999999993</v>
      </c>
      <c r="E5264" s="4">
        <v>3.15</v>
      </c>
    </row>
    <row r="5265" spans="1:5" x14ac:dyDescent="0.25">
      <c r="A5265" s="4" t="s">
        <v>53</v>
      </c>
      <c r="B5265" s="4" t="s">
        <v>60</v>
      </c>
      <c r="C5265" s="5">
        <v>45281</v>
      </c>
      <c r="D5265" s="4">
        <v>9.6999999999999993</v>
      </c>
      <c r="E5265" s="4">
        <v>3.15</v>
      </c>
    </row>
    <row r="5266" spans="1:5" x14ac:dyDescent="0.25">
      <c r="A5266" s="4" t="s">
        <v>53</v>
      </c>
      <c r="B5266" s="4" t="s">
        <v>60</v>
      </c>
      <c r="C5266" s="5">
        <v>45281</v>
      </c>
      <c r="D5266" s="4">
        <v>9.6999999999999993</v>
      </c>
      <c r="E5266" s="4">
        <v>3.15</v>
      </c>
    </row>
    <row r="5267" spans="1:5" x14ac:dyDescent="0.25">
      <c r="A5267" s="4" t="s">
        <v>53</v>
      </c>
      <c r="B5267" s="4" t="s">
        <v>60</v>
      </c>
      <c r="C5267" s="5">
        <v>45313</v>
      </c>
      <c r="D5267" s="4">
        <v>13.8</v>
      </c>
      <c r="E5267" s="4">
        <v>4.47</v>
      </c>
    </row>
    <row r="5268" spans="1:5" x14ac:dyDescent="0.25">
      <c r="A5268" s="4" t="s">
        <v>53</v>
      </c>
      <c r="B5268" s="4" t="s">
        <v>60</v>
      </c>
      <c r="C5268" s="5">
        <v>45313</v>
      </c>
      <c r="D5268" s="4">
        <v>11.7</v>
      </c>
      <c r="E5268" s="4">
        <v>3.79</v>
      </c>
    </row>
    <row r="5269" spans="1:5" x14ac:dyDescent="0.25">
      <c r="A5269" s="4" t="s">
        <v>53</v>
      </c>
      <c r="B5269" s="4" t="s">
        <v>60</v>
      </c>
      <c r="C5269" s="5">
        <v>45313</v>
      </c>
      <c r="D5269" s="4">
        <v>10.9</v>
      </c>
      <c r="E5269" s="4">
        <v>3.53</v>
      </c>
    </row>
    <row r="5270" spans="1:5" x14ac:dyDescent="0.25">
      <c r="A5270" s="4" t="s">
        <v>53</v>
      </c>
      <c r="B5270" s="4" t="s">
        <v>60</v>
      </c>
      <c r="C5270" s="5">
        <v>45313</v>
      </c>
      <c r="D5270" s="4">
        <v>11.7</v>
      </c>
      <c r="E5270" s="4">
        <v>3.79</v>
      </c>
    </row>
    <row r="5271" spans="1:5" x14ac:dyDescent="0.25">
      <c r="A5271" s="4" t="s">
        <v>53</v>
      </c>
      <c r="B5271" s="4" t="s">
        <v>60</v>
      </c>
      <c r="C5271" s="5">
        <v>45313</v>
      </c>
      <c r="D5271" s="4">
        <v>10.9</v>
      </c>
      <c r="E5271" s="4">
        <v>3.53</v>
      </c>
    </row>
    <row r="5272" spans="1:5" x14ac:dyDescent="0.25">
      <c r="A5272" s="4" t="s">
        <v>53</v>
      </c>
      <c r="B5272" s="4" t="s">
        <v>60</v>
      </c>
      <c r="C5272" s="5">
        <v>45313</v>
      </c>
      <c r="D5272" s="4">
        <v>11.7</v>
      </c>
      <c r="E5272" s="4">
        <v>3.79</v>
      </c>
    </row>
    <row r="5273" spans="1:5" x14ac:dyDescent="0.25">
      <c r="A5273" s="4" t="s">
        <v>53</v>
      </c>
      <c r="B5273" s="4" t="s">
        <v>60</v>
      </c>
      <c r="C5273" s="5">
        <v>45313</v>
      </c>
      <c r="D5273" s="4">
        <v>10.9</v>
      </c>
      <c r="E5273" s="4">
        <v>3.53</v>
      </c>
    </row>
    <row r="5274" spans="1:5" x14ac:dyDescent="0.25">
      <c r="A5274" s="4" t="s">
        <v>53</v>
      </c>
      <c r="B5274" s="4" t="s">
        <v>60</v>
      </c>
      <c r="C5274" s="5">
        <v>45313</v>
      </c>
      <c r="D5274" s="4">
        <v>11.7</v>
      </c>
      <c r="E5274" s="4">
        <v>3.79</v>
      </c>
    </row>
    <row r="5275" spans="1:5" x14ac:dyDescent="0.25">
      <c r="A5275" s="4" t="s">
        <v>53</v>
      </c>
      <c r="B5275" s="4" t="s">
        <v>60</v>
      </c>
      <c r="C5275" s="5">
        <v>45313</v>
      </c>
      <c r="D5275" s="4">
        <v>10.9</v>
      </c>
      <c r="E5275" s="4">
        <v>3.53</v>
      </c>
    </row>
    <row r="5276" spans="1:5" x14ac:dyDescent="0.25">
      <c r="A5276" s="4" t="s">
        <v>53</v>
      </c>
      <c r="B5276" s="4" t="s">
        <v>60</v>
      </c>
      <c r="C5276" s="5">
        <v>45313</v>
      </c>
      <c r="D5276" s="4">
        <v>11.7</v>
      </c>
      <c r="E5276" s="4">
        <v>3.79</v>
      </c>
    </row>
    <row r="5277" spans="1:5" x14ac:dyDescent="0.25">
      <c r="A5277" s="4" t="s">
        <v>53</v>
      </c>
      <c r="B5277" s="4" t="s">
        <v>60</v>
      </c>
      <c r="C5277" s="5">
        <v>45313</v>
      </c>
      <c r="D5277" s="4">
        <v>10.9</v>
      </c>
      <c r="E5277" s="4">
        <v>3.53</v>
      </c>
    </row>
    <row r="5278" spans="1:5" x14ac:dyDescent="0.25">
      <c r="A5278" s="4" t="s">
        <v>53</v>
      </c>
      <c r="B5278" s="4" t="s">
        <v>60</v>
      </c>
      <c r="C5278" s="5">
        <v>45313</v>
      </c>
      <c r="D5278" s="4">
        <v>11.7</v>
      </c>
      <c r="E5278" s="4">
        <v>3.79</v>
      </c>
    </row>
    <row r="5279" spans="1:5" x14ac:dyDescent="0.25">
      <c r="A5279" s="4" t="s">
        <v>53</v>
      </c>
      <c r="B5279" s="4" t="s">
        <v>60</v>
      </c>
      <c r="C5279" s="5">
        <v>45313</v>
      </c>
      <c r="D5279" s="4">
        <v>10.9</v>
      </c>
      <c r="E5279" s="4">
        <v>3.53</v>
      </c>
    </row>
    <row r="5280" spans="1:5" x14ac:dyDescent="0.25">
      <c r="A5280" s="4" t="s">
        <v>53</v>
      </c>
      <c r="B5280" s="4" t="s">
        <v>60</v>
      </c>
      <c r="C5280" s="5">
        <v>45313</v>
      </c>
      <c r="D5280" s="4">
        <v>11.7</v>
      </c>
      <c r="E5280" s="4">
        <v>3.79</v>
      </c>
    </row>
    <row r="5281" spans="1:5" x14ac:dyDescent="0.25">
      <c r="A5281" s="4" t="s">
        <v>53</v>
      </c>
      <c r="B5281" s="4" t="s">
        <v>60</v>
      </c>
      <c r="C5281" s="5">
        <v>45313</v>
      </c>
      <c r="D5281" s="4">
        <v>8.6999999999999993</v>
      </c>
      <c r="E5281" s="4">
        <v>2.82</v>
      </c>
    </row>
    <row r="5282" spans="1:5" x14ac:dyDescent="0.25">
      <c r="A5282" s="4" t="s">
        <v>53</v>
      </c>
      <c r="B5282" s="4" t="s">
        <v>60</v>
      </c>
      <c r="C5282" s="5">
        <v>45314</v>
      </c>
      <c r="D5282" s="4">
        <v>2.4</v>
      </c>
      <c r="E5282" s="4">
        <v>0.75</v>
      </c>
    </row>
    <row r="5283" spans="1:5" x14ac:dyDescent="0.25">
      <c r="A5283" s="4" t="s">
        <v>53</v>
      </c>
      <c r="B5283" s="4" t="s">
        <v>60</v>
      </c>
      <c r="C5283" s="5">
        <v>45314</v>
      </c>
      <c r="D5283" s="4">
        <v>0.4</v>
      </c>
      <c r="E5283" s="4">
        <v>0.12</v>
      </c>
    </row>
    <row r="5284" spans="1:5" x14ac:dyDescent="0.25">
      <c r="A5284" s="4" t="s">
        <v>53</v>
      </c>
      <c r="B5284" s="4" t="s">
        <v>60</v>
      </c>
      <c r="C5284" s="5">
        <v>45314</v>
      </c>
      <c r="D5284" s="4">
        <v>11.7</v>
      </c>
      <c r="E5284" s="4">
        <v>3.79</v>
      </c>
    </row>
    <row r="5285" spans="1:5" x14ac:dyDescent="0.25">
      <c r="A5285" s="4" t="s">
        <v>53</v>
      </c>
      <c r="B5285" s="4" t="s">
        <v>60</v>
      </c>
      <c r="C5285" s="5">
        <v>45314</v>
      </c>
      <c r="D5285" s="4">
        <v>10.9</v>
      </c>
      <c r="E5285" s="4">
        <v>3.53</v>
      </c>
    </row>
    <row r="5286" spans="1:5" x14ac:dyDescent="0.25">
      <c r="A5286" s="4" t="s">
        <v>53</v>
      </c>
      <c r="B5286" s="4" t="s">
        <v>60</v>
      </c>
      <c r="C5286" s="5">
        <v>45314</v>
      </c>
      <c r="D5286" s="4">
        <v>0.7</v>
      </c>
      <c r="E5286" s="4">
        <v>0.23</v>
      </c>
    </row>
    <row r="5287" spans="1:5" x14ac:dyDescent="0.25">
      <c r="A5287" s="4" t="s">
        <v>53</v>
      </c>
      <c r="B5287" s="4" t="s">
        <v>60</v>
      </c>
      <c r="C5287" s="5">
        <v>45314</v>
      </c>
      <c r="D5287" s="4">
        <v>1.3</v>
      </c>
      <c r="E5287" s="4">
        <v>0.41</v>
      </c>
    </row>
    <row r="5288" spans="1:5" x14ac:dyDescent="0.25">
      <c r="A5288" s="4" t="s">
        <v>53</v>
      </c>
      <c r="B5288" s="4" t="s">
        <v>60</v>
      </c>
      <c r="C5288" s="5">
        <v>45315</v>
      </c>
      <c r="D5288" s="4">
        <v>8</v>
      </c>
      <c r="E5288" s="4">
        <v>2.54</v>
      </c>
    </row>
    <row r="5289" spans="1:5" x14ac:dyDescent="0.25">
      <c r="A5289" s="4" t="s">
        <v>53</v>
      </c>
      <c r="B5289" s="4" t="s">
        <v>60</v>
      </c>
      <c r="C5289" s="5">
        <v>45315</v>
      </c>
      <c r="D5289" s="4">
        <v>1.3</v>
      </c>
      <c r="E5289" s="4">
        <v>0.41</v>
      </c>
    </row>
    <row r="5290" spans="1:5" x14ac:dyDescent="0.25">
      <c r="A5290" s="4" t="s">
        <v>53</v>
      </c>
      <c r="B5290" s="4" t="s">
        <v>60</v>
      </c>
      <c r="C5290" s="5">
        <v>45315</v>
      </c>
      <c r="D5290" s="4">
        <v>1.6</v>
      </c>
      <c r="E5290" s="4">
        <v>0.5</v>
      </c>
    </row>
    <row r="5291" spans="1:5" x14ac:dyDescent="0.25">
      <c r="A5291" s="4" t="s">
        <v>53</v>
      </c>
      <c r="B5291" s="4" t="s">
        <v>60</v>
      </c>
      <c r="C5291" s="5">
        <v>45315</v>
      </c>
      <c r="D5291" s="4">
        <v>1.3</v>
      </c>
      <c r="E5291" s="4">
        <v>0.41</v>
      </c>
    </row>
    <row r="5292" spans="1:5" x14ac:dyDescent="0.25">
      <c r="A5292" s="4" t="s">
        <v>53</v>
      </c>
      <c r="B5292" s="4" t="s">
        <v>60</v>
      </c>
      <c r="C5292" s="5">
        <v>45315</v>
      </c>
      <c r="D5292" s="4">
        <v>1.6</v>
      </c>
      <c r="E5292" s="4">
        <v>0.5</v>
      </c>
    </row>
    <row r="5293" spans="1:5" x14ac:dyDescent="0.25">
      <c r="A5293" s="4" t="s">
        <v>53</v>
      </c>
      <c r="B5293" s="4" t="s">
        <v>60</v>
      </c>
      <c r="C5293" s="5">
        <v>45315</v>
      </c>
      <c r="D5293" s="4">
        <v>1.3</v>
      </c>
      <c r="E5293" s="4">
        <v>0.41</v>
      </c>
    </row>
    <row r="5294" spans="1:5" x14ac:dyDescent="0.25">
      <c r="A5294" s="4" t="s">
        <v>53</v>
      </c>
      <c r="B5294" s="4" t="s">
        <v>60</v>
      </c>
      <c r="C5294" s="5">
        <v>45315</v>
      </c>
      <c r="D5294" s="4">
        <v>1.6</v>
      </c>
      <c r="E5294" s="4">
        <v>0.5</v>
      </c>
    </row>
    <row r="5295" spans="1:5" x14ac:dyDescent="0.25">
      <c r="A5295" s="4" t="s">
        <v>53</v>
      </c>
      <c r="B5295" s="4" t="s">
        <v>60</v>
      </c>
      <c r="C5295" s="5">
        <v>45315</v>
      </c>
      <c r="D5295" s="4">
        <v>1.3</v>
      </c>
      <c r="E5295" s="4">
        <v>0.41</v>
      </c>
    </row>
    <row r="5296" spans="1:5" x14ac:dyDescent="0.25">
      <c r="A5296" s="4" t="s">
        <v>53</v>
      </c>
      <c r="B5296" s="4" t="s">
        <v>60</v>
      </c>
      <c r="C5296" s="5">
        <v>45315</v>
      </c>
      <c r="D5296" s="4">
        <v>3.9</v>
      </c>
      <c r="E5296" s="4">
        <v>1.25</v>
      </c>
    </row>
    <row r="5297" spans="1:5" x14ac:dyDescent="0.25">
      <c r="A5297" s="4" t="s">
        <v>53</v>
      </c>
      <c r="B5297" s="4" t="s">
        <v>60</v>
      </c>
      <c r="C5297" s="5">
        <v>45317</v>
      </c>
      <c r="D5297" s="4">
        <v>2.4</v>
      </c>
      <c r="E5297" s="4">
        <v>0.75</v>
      </c>
    </row>
    <row r="5298" spans="1:5" x14ac:dyDescent="0.25">
      <c r="A5298" s="4" t="s">
        <v>53</v>
      </c>
      <c r="B5298" s="4" t="s">
        <v>60</v>
      </c>
      <c r="C5298" s="5">
        <v>45317</v>
      </c>
      <c r="D5298" s="4">
        <v>0.7</v>
      </c>
      <c r="E5298" s="4">
        <v>0.22</v>
      </c>
    </row>
    <row r="5299" spans="1:5" x14ac:dyDescent="0.25">
      <c r="A5299" s="4" t="s">
        <v>53</v>
      </c>
      <c r="B5299" s="4" t="s">
        <v>60</v>
      </c>
      <c r="C5299" s="5">
        <v>45317</v>
      </c>
      <c r="D5299" s="4">
        <v>0.3</v>
      </c>
      <c r="E5299" s="4">
        <v>0.1</v>
      </c>
    </row>
    <row r="5300" spans="1:5" x14ac:dyDescent="0.25">
      <c r="A5300" s="4" t="s">
        <v>53</v>
      </c>
      <c r="B5300" s="4" t="s">
        <v>60</v>
      </c>
      <c r="C5300" s="5">
        <v>45317</v>
      </c>
      <c r="D5300" s="4">
        <v>1.6</v>
      </c>
      <c r="E5300" s="4">
        <v>0.5</v>
      </c>
    </row>
    <row r="5301" spans="1:5" x14ac:dyDescent="0.25">
      <c r="A5301" s="4" t="s">
        <v>53</v>
      </c>
      <c r="B5301" s="4" t="s">
        <v>60</v>
      </c>
      <c r="C5301" s="5">
        <v>45317</v>
      </c>
      <c r="D5301" s="4">
        <v>1.3</v>
      </c>
      <c r="E5301" s="4">
        <v>0.41</v>
      </c>
    </row>
    <row r="5302" spans="1:5" x14ac:dyDescent="0.25">
      <c r="A5302" s="4" t="s">
        <v>53</v>
      </c>
      <c r="B5302" s="4" t="s">
        <v>60</v>
      </c>
      <c r="C5302" s="5">
        <v>45317</v>
      </c>
      <c r="D5302" s="4">
        <v>1.6</v>
      </c>
      <c r="E5302" s="4">
        <v>0.5</v>
      </c>
    </row>
    <row r="5303" spans="1:5" x14ac:dyDescent="0.25">
      <c r="A5303" s="4" t="s">
        <v>53</v>
      </c>
      <c r="B5303" s="4" t="s">
        <v>60</v>
      </c>
      <c r="C5303" s="5">
        <v>45317</v>
      </c>
      <c r="D5303" s="4">
        <v>1.3</v>
      </c>
      <c r="E5303" s="4">
        <v>0.41</v>
      </c>
    </row>
    <row r="5304" spans="1:5" x14ac:dyDescent="0.25">
      <c r="A5304" s="4" t="s">
        <v>53</v>
      </c>
      <c r="B5304" s="4" t="s">
        <v>60</v>
      </c>
      <c r="C5304" s="5">
        <v>45317</v>
      </c>
      <c r="D5304" s="4">
        <v>1.6</v>
      </c>
      <c r="E5304" s="4">
        <v>0.5</v>
      </c>
    </row>
    <row r="5305" spans="1:5" x14ac:dyDescent="0.25">
      <c r="A5305" s="4" t="s">
        <v>53</v>
      </c>
      <c r="B5305" s="4" t="s">
        <v>60</v>
      </c>
      <c r="C5305" s="5">
        <v>45317</v>
      </c>
      <c r="D5305" s="4">
        <v>1.3</v>
      </c>
      <c r="E5305" s="4">
        <v>0.41</v>
      </c>
    </row>
    <row r="5306" spans="1:5" x14ac:dyDescent="0.25">
      <c r="A5306" s="4" t="s">
        <v>53</v>
      </c>
      <c r="B5306" s="4" t="s">
        <v>60</v>
      </c>
      <c r="C5306" s="5">
        <v>45317</v>
      </c>
      <c r="D5306" s="4">
        <v>1.6</v>
      </c>
      <c r="E5306" s="4">
        <v>0.5</v>
      </c>
    </row>
    <row r="5307" spans="1:5" x14ac:dyDescent="0.25">
      <c r="A5307" s="4" t="s">
        <v>53</v>
      </c>
      <c r="B5307" s="4" t="s">
        <v>60</v>
      </c>
      <c r="C5307" s="5">
        <v>45317</v>
      </c>
      <c r="D5307" s="4">
        <v>1.3</v>
      </c>
      <c r="E5307" s="4">
        <v>0.41</v>
      </c>
    </row>
    <row r="5308" spans="1:5" x14ac:dyDescent="0.25">
      <c r="A5308" s="4" t="s">
        <v>53</v>
      </c>
      <c r="B5308" s="4" t="s">
        <v>60</v>
      </c>
      <c r="C5308" s="5">
        <v>45317</v>
      </c>
      <c r="D5308" s="4">
        <v>1.6</v>
      </c>
      <c r="E5308" s="4">
        <v>0.5</v>
      </c>
    </row>
    <row r="5309" spans="1:5" x14ac:dyDescent="0.25">
      <c r="A5309" s="4" t="s">
        <v>53</v>
      </c>
      <c r="B5309" s="4" t="s">
        <v>60</v>
      </c>
      <c r="C5309" s="5">
        <v>45317</v>
      </c>
      <c r="D5309" s="4">
        <v>1.3</v>
      </c>
      <c r="E5309" s="4">
        <v>0.41</v>
      </c>
    </row>
    <row r="5310" spans="1:5" x14ac:dyDescent="0.25">
      <c r="A5310" s="4" t="s">
        <v>53</v>
      </c>
      <c r="B5310" s="4" t="s">
        <v>60</v>
      </c>
      <c r="C5310" s="5">
        <v>45317</v>
      </c>
      <c r="D5310" s="4">
        <v>1.6</v>
      </c>
      <c r="E5310" s="4">
        <v>0.5</v>
      </c>
    </row>
    <row r="5311" spans="1:5" x14ac:dyDescent="0.25">
      <c r="A5311" s="4" t="s">
        <v>53</v>
      </c>
      <c r="B5311" s="4" t="s">
        <v>60</v>
      </c>
      <c r="C5311" s="5">
        <v>45317</v>
      </c>
      <c r="D5311" s="4">
        <v>1.3</v>
      </c>
      <c r="E5311" s="4">
        <v>0.41</v>
      </c>
    </row>
    <row r="5312" spans="1:5" x14ac:dyDescent="0.25">
      <c r="A5312" s="4" t="s">
        <v>53</v>
      </c>
      <c r="B5312" s="4" t="s">
        <v>60</v>
      </c>
      <c r="C5312" s="5">
        <v>45317</v>
      </c>
      <c r="D5312" s="4">
        <v>1.6</v>
      </c>
      <c r="E5312" s="4">
        <v>0.5</v>
      </c>
    </row>
    <row r="5313" spans="1:5" x14ac:dyDescent="0.25">
      <c r="A5313" s="4" t="s">
        <v>53</v>
      </c>
      <c r="B5313" s="4" t="s">
        <v>60</v>
      </c>
      <c r="C5313" s="5">
        <v>45317</v>
      </c>
      <c r="D5313" s="4">
        <v>1.3</v>
      </c>
      <c r="E5313" s="4">
        <v>0.41</v>
      </c>
    </row>
    <row r="5314" spans="1:5" x14ac:dyDescent="0.25">
      <c r="A5314" s="4" t="s">
        <v>53</v>
      </c>
      <c r="B5314" s="4" t="s">
        <v>60</v>
      </c>
      <c r="C5314" s="5">
        <v>45317</v>
      </c>
      <c r="D5314" s="4">
        <v>3.9</v>
      </c>
      <c r="E5314" s="4">
        <v>1.25</v>
      </c>
    </row>
    <row r="5315" spans="1:5" x14ac:dyDescent="0.25">
      <c r="A5315" s="4" t="s">
        <v>53</v>
      </c>
      <c r="B5315" s="4" t="s">
        <v>60</v>
      </c>
      <c r="C5315" s="5">
        <v>45317</v>
      </c>
      <c r="D5315" s="4">
        <v>5.8</v>
      </c>
      <c r="E5315" s="4">
        <v>1.88</v>
      </c>
    </row>
    <row r="5316" spans="1:5" x14ac:dyDescent="0.25">
      <c r="A5316" s="4" t="s">
        <v>53</v>
      </c>
      <c r="B5316" s="4" t="s">
        <v>60</v>
      </c>
      <c r="C5316" s="5">
        <v>45317</v>
      </c>
      <c r="D5316" s="4">
        <v>24</v>
      </c>
      <c r="E5316" s="4">
        <v>7.78</v>
      </c>
    </row>
    <row r="5317" spans="1:5" x14ac:dyDescent="0.25">
      <c r="A5317" s="4" t="s">
        <v>53</v>
      </c>
      <c r="B5317" s="4" t="s">
        <v>60</v>
      </c>
      <c r="C5317" s="5">
        <v>45320</v>
      </c>
      <c r="D5317" s="4">
        <v>11</v>
      </c>
      <c r="E5317" s="4">
        <v>3.57</v>
      </c>
    </row>
    <row r="5318" spans="1:5" x14ac:dyDescent="0.25">
      <c r="A5318" s="4" t="s">
        <v>53</v>
      </c>
      <c r="B5318" s="4" t="s">
        <v>60</v>
      </c>
      <c r="C5318" s="5">
        <v>45320</v>
      </c>
      <c r="D5318" s="4">
        <v>10.7</v>
      </c>
      <c r="E5318" s="4">
        <v>3.44</v>
      </c>
    </row>
    <row r="5319" spans="1:5" x14ac:dyDescent="0.25">
      <c r="A5319" s="4" t="s">
        <v>53</v>
      </c>
      <c r="B5319" s="4" t="s">
        <v>60</v>
      </c>
      <c r="C5319" s="5">
        <v>45320</v>
      </c>
      <c r="D5319" s="4">
        <v>1.4</v>
      </c>
      <c r="E5319" s="4">
        <v>0.46</v>
      </c>
    </row>
    <row r="5320" spans="1:5" x14ac:dyDescent="0.25">
      <c r="A5320" s="4" t="s">
        <v>53</v>
      </c>
      <c r="B5320" s="4" t="s">
        <v>60</v>
      </c>
      <c r="C5320" s="5">
        <v>45320</v>
      </c>
      <c r="D5320" s="4">
        <v>3</v>
      </c>
      <c r="E5320" s="4">
        <v>0.98</v>
      </c>
    </row>
    <row r="5321" spans="1:5" x14ac:dyDescent="0.25">
      <c r="A5321" s="4" t="s">
        <v>53</v>
      </c>
      <c r="B5321" s="4" t="s">
        <v>60</v>
      </c>
      <c r="C5321" s="5">
        <v>45320</v>
      </c>
      <c r="D5321" s="4">
        <v>1.4</v>
      </c>
      <c r="E5321" s="4">
        <v>0.46</v>
      </c>
    </row>
    <row r="5322" spans="1:5" x14ac:dyDescent="0.25">
      <c r="A5322" s="4" t="s">
        <v>53</v>
      </c>
      <c r="B5322" s="4" t="s">
        <v>60</v>
      </c>
      <c r="C5322" s="5">
        <v>45320</v>
      </c>
      <c r="D5322" s="4">
        <v>1.4</v>
      </c>
      <c r="E5322" s="4">
        <v>0.46</v>
      </c>
    </row>
    <row r="5323" spans="1:5" x14ac:dyDescent="0.25">
      <c r="A5323" s="4" t="s">
        <v>53</v>
      </c>
      <c r="B5323" s="4" t="s">
        <v>60</v>
      </c>
      <c r="C5323" s="5">
        <v>45320</v>
      </c>
      <c r="D5323" s="4">
        <v>1.4</v>
      </c>
      <c r="E5323" s="4">
        <v>0.46</v>
      </c>
    </row>
    <row r="5324" spans="1:5" x14ac:dyDescent="0.25">
      <c r="A5324" s="4" t="s">
        <v>53</v>
      </c>
      <c r="B5324" s="4" t="s">
        <v>60</v>
      </c>
      <c r="C5324" s="5">
        <v>45320</v>
      </c>
      <c r="D5324" s="4">
        <v>25.2</v>
      </c>
      <c r="E5324" s="4">
        <v>8.1199999999999992</v>
      </c>
    </row>
    <row r="5325" spans="1:5" x14ac:dyDescent="0.25">
      <c r="A5325" s="4" t="s">
        <v>53</v>
      </c>
      <c r="B5325" s="4" t="s">
        <v>60</v>
      </c>
      <c r="C5325" s="5">
        <v>45320</v>
      </c>
      <c r="D5325" s="4">
        <v>27.5</v>
      </c>
      <c r="E5325" s="4">
        <v>8.92</v>
      </c>
    </row>
    <row r="5326" spans="1:5" x14ac:dyDescent="0.25">
      <c r="A5326" s="4" t="s">
        <v>53</v>
      </c>
      <c r="B5326" s="4" t="s">
        <v>60</v>
      </c>
      <c r="C5326" s="5">
        <v>45320</v>
      </c>
      <c r="D5326" s="4">
        <v>29.3</v>
      </c>
      <c r="E5326" s="4">
        <v>9.5</v>
      </c>
    </row>
    <row r="5327" spans="1:5" x14ac:dyDescent="0.25">
      <c r="A5327" s="4" t="s">
        <v>53</v>
      </c>
      <c r="B5327" s="4" t="s">
        <v>60</v>
      </c>
      <c r="C5327" s="5">
        <v>45321</v>
      </c>
      <c r="D5327" s="4">
        <v>2.4</v>
      </c>
      <c r="E5327" s="4">
        <v>0.75</v>
      </c>
    </row>
    <row r="5328" spans="1:5" x14ac:dyDescent="0.25">
      <c r="A5328" s="4" t="s">
        <v>53</v>
      </c>
      <c r="B5328" s="4" t="s">
        <v>60</v>
      </c>
      <c r="C5328" s="5">
        <v>45321</v>
      </c>
      <c r="D5328" s="4">
        <v>1.3</v>
      </c>
      <c r="E5328" s="4">
        <v>0.41</v>
      </c>
    </row>
    <row r="5329" spans="1:5" x14ac:dyDescent="0.25">
      <c r="A5329" s="4" t="s">
        <v>53</v>
      </c>
      <c r="B5329" s="4" t="s">
        <v>60</v>
      </c>
      <c r="C5329" s="5">
        <v>45321</v>
      </c>
      <c r="D5329" s="4">
        <v>1.6</v>
      </c>
      <c r="E5329" s="4">
        <v>0.5</v>
      </c>
    </row>
    <row r="5330" spans="1:5" x14ac:dyDescent="0.25">
      <c r="A5330" s="4" t="s">
        <v>53</v>
      </c>
      <c r="B5330" s="4" t="s">
        <v>60</v>
      </c>
      <c r="C5330" s="5">
        <v>45321</v>
      </c>
      <c r="D5330" s="4">
        <v>1.3</v>
      </c>
      <c r="E5330" s="4">
        <v>0.41</v>
      </c>
    </row>
    <row r="5331" spans="1:5" x14ac:dyDescent="0.25">
      <c r="A5331" s="4" t="s">
        <v>53</v>
      </c>
      <c r="B5331" s="4" t="s">
        <v>60</v>
      </c>
      <c r="C5331" s="5">
        <v>45321</v>
      </c>
      <c r="D5331" s="4">
        <v>1.6</v>
      </c>
      <c r="E5331" s="4">
        <v>0.5</v>
      </c>
    </row>
    <row r="5332" spans="1:5" x14ac:dyDescent="0.25">
      <c r="A5332" s="4" t="s">
        <v>53</v>
      </c>
      <c r="B5332" s="4" t="s">
        <v>60</v>
      </c>
      <c r="C5332" s="5">
        <v>45321</v>
      </c>
      <c r="D5332" s="4">
        <v>1.3</v>
      </c>
      <c r="E5332" s="4">
        <v>0.41</v>
      </c>
    </row>
    <row r="5333" spans="1:5" x14ac:dyDescent="0.25">
      <c r="A5333" s="4" t="s">
        <v>53</v>
      </c>
      <c r="B5333" s="4" t="s">
        <v>60</v>
      </c>
      <c r="C5333" s="5">
        <v>45321</v>
      </c>
      <c r="D5333" s="4">
        <v>1.6</v>
      </c>
      <c r="E5333" s="4">
        <v>0.5</v>
      </c>
    </row>
    <row r="5334" spans="1:5" x14ac:dyDescent="0.25">
      <c r="A5334" s="4" t="s">
        <v>53</v>
      </c>
      <c r="B5334" s="4" t="s">
        <v>60</v>
      </c>
      <c r="C5334" s="5">
        <v>45321</v>
      </c>
      <c r="D5334" s="4">
        <v>1.3</v>
      </c>
      <c r="E5334" s="4">
        <v>0.41</v>
      </c>
    </row>
    <row r="5335" spans="1:5" x14ac:dyDescent="0.25">
      <c r="A5335" s="4" t="s">
        <v>53</v>
      </c>
      <c r="B5335" s="4" t="s">
        <v>60</v>
      </c>
      <c r="C5335" s="5">
        <v>45321</v>
      </c>
      <c r="D5335" s="4">
        <v>1.6</v>
      </c>
      <c r="E5335" s="4">
        <v>0.5</v>
      </c>
    </row>
    <row r="5336" spans="1:5" x14ac:dyDescent="0.25">
      <c r="A5336" s="4" t="s">
        <v>53</v>
      </c>
      <c r="B5336" s="4" t="s">
        <v>60</v>
      </c>
      <c r="C5336" s="5">
        <v>45321</v>
      </c>
      <c r="D5336" s="4">
        <v>0.4</v>
      </c>
      <c r="E5336" s="4">
        <v>0.12</v>
      </c>
    </row>
    <row r="5337" spans="1:5" x14ac:dyDescent="0.25">
      <c r="A5337" s="4" t="s">
        <v>53</v>
      </c>
      <c r="B5337" s="4" t="s">
        <v>60</v>
      </c>
      <c r="C5337" s="5">
        <v>45321</v>
      </c>
      <c r="D5337" s="4">
        <v>11.7</v>
      </c>
      <c r="E5337" s="4">
        <v>3.79</v>
      </c>
    </row>
    <row r="5338" spans="1:5" x14ac:dyDescent="0.25">
      <c r="A5338" s="4" t="s">
        <v>53</v>
      </c>
      <c r="B5338" s="4" t="s">
        <v>60</v>
      </c>
      <c r="C5338" s="5">
        <v>45321</v>
      </c>
      <c r="D5338" s="4">
        <v>10.9</v>
      </c>
      <c r="E5338" s="4">
        <v>3.53</v>
      </c>
    </row>
    <row r="5339" spans="1:5" x14ac:dyDescent="0.25">
      <c r="A5339" s="4" t="s">
        <v>53</v>
      </c>
      <c r="B5339" s="4" t="s">
        <v>60</v>
      </c>
      <c r="C5339" s="5">
        <v>45321</v>
      </c>
      <c r="D5339" s="4">
        <v>0.7</v>
      </c>
      <c r="E5339" s="4">
        <v>0.23</v>
      </c>
    </row>
    <row r="5340" spans="1:5" x14ac:dyDescent="0.25">
      <c r="A5340" s="4" t="s">
        <v>53</v>
      </c>
      <c r="B5340" s="4" t="s">
        <v>60</v>
      </c>
      <c r="C5340" s="5">
        <v>45321</v>
      </c>
      <c r="D5340" s="4">
        <v>0.7</v>
      </c>
      <c r="E5340" s="4">
        <v>0.22</v>
      </c>
    </row>
    <row r="5341" spans="1:5" x14ac:dyDescent="0.25">
      <c r="A5341" s="4" t="s">
        <v>53</v>
      </c>
      <c r="B5341" s="4" t="s">
        <v>60</v>
      </c>
      <c r="C5341" s="5">
        <v>45321</v>
      </c>
      <c r="D5341" s="4">
        <v>1.6</v>
      </c>
      <c r="E5341" s="4">
        <v>0.5</v>
      </c>
    </row>
    <row r="5342" spans="1:5" x14ac:dyDescent="0.25">
      <c r="A5342" s="4" t="s">
        <v>53</v>
      </c>
      <c r="B5342" s="4" t="s">
        <v>60</v>
      </c>
      <c r="C5342" s="5">
        <v>45321</v>
      </c>
      <c r="D5342" s="4">
        <v>1.3</v>
      </c>
      <c r="E5342" s="4">
        <v>0.41</v>
      </c>
    </row>
    <row r="5343" spans="1:5" x14ac:dyDescent="0.25">
      <c r="A5343" s="4" t="s">
        <v>53</v>
      </c>
      <c r="B5343" s="4" t="s">
        <v>60</v>
      </c>
      <c r="C5343" s="5">
        <v>45321</v>
      </c>
      <c r="D5343" s="4">
        <v>1.6</v>
      </c>
      <c r="E5343" s="4">
        <v>0.5</v>
      </c>
    </row>
    <row r="5344" spans="1:5" x14ac:dyDescent="0.25">
      <c r="A5344" s="4" t="s">
        <v>53</v>
      </c>
      <c r="B5344" s="4" t="s">
        <v>60</v>
      </c>
      <c r="C5344" s="5">
        <v>45321</v>
      </c>
      <c r="D5344" s="4">
        <v>1.3</v>
      </c>
      <c r="E5344" s="4">
        <v>0.41</v>
      </c>
    </row>
    <row r="5345" spans="1:5" x14ac:dyDescent="0.25">
      <c r="A5345" s="4" t="s">
        <v>53</v>
      </c>
      <c r="B5345" s="4" t="s">
        <v>60</v>
      </c>
      <c r="C5345" s="5">
        <v>45321</v>
      </c>
      <c r="D5345" s="4">
        <v>1.6</v>
      </c>
      <c r="E5345" s="4">
        <v>0.5</v>
      </c>
    </row>
    <row r="5346" spans="1:5" x14ac:dyDescent="0.25">
      <c r="A5346" s="4" t="s">
        <v>53</v>
      </c>
      <c r="B5346" s="4" t="s">
        <v>60</v>
      </c>
      <c r="C5346" s="5">
        <v>45321</v>
      </c>
      <c r="D5346" s="4">
        <v>1.3</v>
      </c>
      <c r="E5346" s="4">
        <v>0.41</v>
      </c>
    </row>
    <row r="5347" spans="1:5" x14ac:dyDescent="0.25">
      <c r="A5347" s="4" t="s">
        <v>53</v>
      </c>
      <c r="B5347" s="4" t="s">
        <v>60</v>
      </c>
      <c r="C5347" s="5">
        <v>45321</v>
      </c>
      <c r="D5347" s="4">
        <v>1.6</v>
      </c>
      <c r="E5347" s="4">
        <v>0.5</v>
      </c>
    </row>
    <row r="5348" spans="1:5" x14ac:dyDescent="0.25">
      <c r="A5348" s="4" t="s">
        <v>53</v>
      </c>
      <c r="B5348" s="4" t="s">
        <v>60</v>
      </c>
      <c r="C5348" s="5">
        <v>45321</v>
      </c>
      <c r="D5348" s="4">
        <v>1.3</v>
      </c>
      <c r="E5348" s="4">
        <v>0.41</v>
      </c>
    </row>
    <row r="5349" spans="1:5" x14ac:dyDescent="0.25">
      <c r="A5349" s="4" t="s">
        <v>53</v>
      </c>
      <c r="B5349" s="4" t="s">
        <v>60</v>
      </c>
      <c r="C5349" s="5">
        <v>45321</v>
      </c>
      <c r="D5349" s="4">
        <v>1.6</v>
      </c>
      <c r="E5349" s="4">
        <v>0.5</v>
      </c>
    </row>
    <row r="5350" spans="1:5" x14ac:dyDescent="0.25">
      <c r="A5350" s="4" t="s">
        <v>53</v>
      </c>
      <c r="B5350" s="4" t="s">
        <v>60</v>
      </c>
      <c r="C5350" s="5">
        <v>45321</v>
      </c>
      <c r="D5350" s="4">
        <v>1.3</v>
      </c>
      <c r="E5350" s="4">
        <v>0.41</v>
      </c>
    </row>
    <row r="5351" spans="1:5" x14ac:dyDescent="0.25">
      <c r="A5351" s="4" t="s">
        <v>53</v>
      </c>
      <c r="B5351" s="4" t="s">
        <v>60</v>
      </c>
      <c r="C5351" s="5">
        <v>45321</v>
      </c>
      <c r="D5351" s="4">
        <v>3.9</v>
      </c>
      <c r="E5351" s="4">
        <v>1.25</v>
      </c>
    </row>
    <row r="5352" spans="1:5" x14ac:dyDescent="0.25">
      <c r="A5352" s="4" t="s">
        <v>53</v>
      </c>
      <c r="B5352" s="4" t="s">
        <v>60</v>
      </c>
      <c r="C5352" s="5">
        <v>45322</v>
      </c>
      <c r="D5352" s="4">
        <v>35.5</v>
      </c>
      <c r="E5352" s="4">
        <v>11.42</v>
      </c>
    </row>
    <row r="5353" spans="1:5" x14ac:dyDescent="0.25">
      <c r="A5353" s="4" t="s">
        <v>53</v>
      </c>
      <c r="B5353" s="4" t="s">
        <v>60</v>
      </c>
      <c r="C5353" s="5">
        <v>45322</v>
      </c>
      <c r="D5353" s="4">
        <v>22.3</v>
      </c>
      <c r="E5353" s="4">
        <v>7.15</v>
      </c>
    </row>
    <row r="5354" spans="1:5" x14ac:dyDescent="0.25">
      <c r="A5354" s="4" t="s">
        <v>53</v>
      </c>
      <c r="B5354" s="4" t="s">
        <v>60</v>
      </c>
      <c r="C5354" s="5">
        <v>45322</v>
      </c>
      <c r="D5354" s="4">
        <v>4.4000000000000004</v>
      </c>
      <c r="E5354" s="4">
        <v>1.43</v>
      </c>
    </row>
    <row r="5355" spans="1:5" x14ac:dyDescent="0.25">
      <c r="A5355" s="4" t="s">
        <v>53</v>
      </c>
      <c r="B5355" s="4" t="s">
        <v>60</v>
      </c>
      <c r="C5355" s="5">
        <v>45322</v>
      </c>
      <c r="D5355" s="4">
        <v>3</v>
      </c>
      <c r="E5355" s="4">
        <v>0.95</v>
      </c>
    </row>
    <row r="5356" spans="1:5" x14ac:dyDescent="0.25">
      <c r="A5356" s="4" t="s">
        <v>53</v>
      </c>
      <c r="B5356" s="4" t="s">
        <v>60</v>
      </c>
      <c r="C5356" s="5">
        <v>45322</v>
      </c>
      <c r="D5356" s="4">
        <v>2.5</v>
      </c>
      <c r="E5356" s="4">
        <v>0.81</v>
      </c>
    </row>
    <row r="5357" spans="1:5" x14ac:dyDescent="0.25">
      <c r="A5357" s="4" t="s">
        <v>53</v>
      </c>
      <c r="B5357" s="4" t="s">
        <v>60</v>
      </c>
      <c r="C5357" s="5">
        <v>45322</v>
      </c>
      <c r="D5357" s="4">
        <v>3.8</v>
      </c>
      <c r="E5357" s="4">
        <v>1.19</v>
      </c>
    </row>
    <row r="5358" spans="1:5" x14ac:dyDescent="0.25">
      <c r="A5358" s="4" t="s">
        <v>53</v>
      </c>
      <c r="B5358" s="4" t="s">
        <v>60</v>
      </c>
      <c r="C5358" s="5">
        <v>45322</v>
      </c>
      <c r="D5358" s="4">
        <v>0.8</v>
      </c>
      <c r="E5358" s="4">
        <v>0.24</v>
      </c>
    </row>
    <row r="5359" spans="1:5" x14ac:dyDescent="0.25">
      <c r="A5359" s="4" t="s">
        <v>53</v>
      </c>
      <c r="B5359" s="4" t="s">
        <v>60</v>
      </c>
      <c r="C5359" s="5">
        <v>45322</v>
      </c>
      <c r="D5359" s="4">
        <v>1.4</v>
      </c>
      <c r="E5359" s="4">
        <v>0.44</v>
      </c>
    </row>
    <row r="5360" spans="1:5" x14ac:dyDescent="0.25">
      <c r="A5360" s="4" t="s">
        <v>53</v>
      </c>
      <c r="B5360" s="4" t="s">
        <v>60</v>
      </c>
      <c r="C5360" s="5">
        <v>45322</v>
      </c>
      <c r="D5360" s="4">
        <v>0.8</v>
      </c>
      <c r="E5360" s="4">
        <v>0.24</v>
      </c>
    </row>
    <row r="5361" spans="1:5" x14ac:dyDescent="0.25">
      <c r="A5361" s="4" t="s">
        <v>53</v>
      </c>
      <c r="B5361" s="4" t="s">
        <v>60</v>
      </c>
      <c r="C5361" s="5">
        <v>45322</v>
      </c>
      <c r="D5361" s="4">
        <v>1.4</v>
      </c>
      <c r="E5361" s="4">
        <v>0.44</v>
      </c>
    </row>
    <row r="5362" spans="1:5" x14ac:dyDescent="0.25">
      <c r="A5362" s="4" t="s">
        <v>53</v>
      </c>
      <c r="B5362" s="4" t="s">
        <v>60</v>
      </c>
      <c r="C5362" s="5">
        <v>45322</v>
      </c>
      <c r="D5362" s="4">
        <v>0.8</v>
      </c>
      <c r="E5362" s="4">
        <v>0.24</v>
      </c>
    </row>
    <row r="5363" spans="1:5" x14ac:dyDescent="0.25">
      <c r="A5363" s="4" t="s">
        <v>53</v>
      </c>
      <c r="B5363" s="4" t="s">
        <v>60</v>
      </c>
      <c r="C5363" s="5">
        <v>45322</v>
      </c>
      <c r="D5363" s="4">
        <v>2.5</v>
      </c>
      <c r="E5363" s="4">
        <v>0.81</v>
      </c>
    </row>
    <row r="5364" spans="1:5" x14ac:dyDescent="0.25">
      <c r="A5364" s="4" t="s">
        <v>53</v>
      </c>
      <c r="B5364" s="4" t="s">
        <v>60</v>
      </c>
      <c r="C5364" s="5">
        <v>45322</v>
      </c>
      <c r="D5364" s="4">
        <v>15.4</v>
      </c>
      <c r="E5364" s="4">
        <v>5</v>
      </c>
    </row>
    <row r="5365" spans="1:5" x14ac:dyDescent="0.25">
      <c r="A5365" s="4" t="s">
        <v>53</v>
      </c>
      <c r="B5365" s="4" t="s">
        <v>60</v>
      </c>
      <c r="C5365" s="5">
        <v>45322</v>
      </c>
      <c r="D5365" s="4">
        <v>27</v>
      </c>
      <c r="E5365" s="4">
        <v>8.76</v>
      </c>
    </row>
    <row r="5366" spans="1:5" x14ac:dyDescent="0.25">
      <c r="A5366" s="4" t="s">
        <v>53</v>
      </c>
      <c r="B5366" s="4" t="s">
        <v>60</v>
      </c>
      <c r="C5366" s="5">
        <v>45322</v>
      </c>
      <c r="D5366" s="4">
        <v>29.3</v>
      </c>
      <c r="E5366" s="4">
        <v>9.5</v>
      </c>
    </row>
    <row r="5367" spans="1:5" x14ac:dyDescent="0.25">
      <c r="A5367" s="4" t="s">
        <v>53</v>
      </c>
      <c r="B5367" s="4" t="s">
        <v>60</v>
      </c>
      <c r="C5367" s="5">
        <v>45323</v>
      </c>
      <c r="D5367" s="4">
        <v>9.6999999999999993</v>
      </c>
      <c r="E5367" s="4">
        <v>3.15</v>
      </c>
    </row>
    <row r="5368" spans="1:5" x14ac:dyDescent="0.25">
      <c r="A5368" s="4" t="s">
        <v>53</v>
      </c>
      <c r="B5368" s="4" t="s">
        <v>60</v>
      </c>
      <c r="C5368" s="5">
        <v>45323</v>
      </c>
      <c r="D5368" s="4">
        <v>9.6999999999999993</v>
      </c>
      <c r="E5368" s="4">
        <v>3.15</v>
      </c>
    </row>
    <row r="5369" spans="1:5" x14ac:dyDescent="0.25">
      <c r="A5369" s="4" t="s">
        <v>53</v>
      </c>
      <c r="B5369" s="4" t="s">
        <v>60</v>
      </c>
      <c r="C5369" s="5">
        <v>45323</v>
      </c>
      <c r="D5369" s="4">
        <v>14</v>
      </c>
      <c r="E5369" s="4">
        <v>4.54</v>
      </c>
    </row>
    <row r="5370" spans="1:5" x14ac:dyDescent="0.25">
      <c r="A5370" s="4" t="s">
        <v>53</v>
      </c>
      <c r="B5370" s="4" t="s">
        <v>60</v>
      </c>
      <c r="C5370" s="5">
        <v>45323</v>
      </c>
      <c r="D5370" s="4">
        <v>9.6999999999999993</v>
      </c>
      <c r="E5370" s="4">
        <v>3.15</v>
      </c>
    </row>
    <row r="5371" spans="1:5" x14ac:dyDescent="0.25">
      <c r="A5371" s="4" t="s">
        <v>53</v>
      </c>
      <c r="B5371" s="4" t="s">
        <v>60</v>
      </c>
      <c r="C5371" s="5">
        <v>45323</v>
      </c>
      <c r="D5371" s="4">
        <v>14</v>
      </c>
      <c r="E5371" s="4">
        <v>4.54</v>
      </c>
    </row>
    <row r="5372" spans="1:5" x14ac:dyDescent="0.25">
      <c r="A5372" s="4" t="s">
        <v>53</v>
      </c>
      <c r="B5372" s="4" t="s">
        <v>60</v>
      </c>
      <c r="C5372" s="5">
        <v>45324</v>
      </c>
      <c r="D5372" s="4">
        <v>35.9</v>
      </c>
      <c r="E5372" s="4">
        <v>11.61</v>
      </c>
    </row>
    <row r="5373" spans="1:5" x14ac:dyDescent="0.25">
      <c r="A5373" s="4" t="s">
        <v>53</v>
      </c>
      <c r="B5373" s="4" t="s">
        <v>60</v>
      </c>
      <c r="C5373" s="5">
        <v>45324</v>
      </c>
      <c r="D5373" s="4">
        <v>19.8</v>
      </c>
      <c r="E5373" s="4">
        <v>6.37</v>
      </c>
    </row>
    <row r="5374" spans="1:5" x14ac:dyDescent="0.25">
      <c r="A5374" s="4" t="s">
        <v>53</v>
      </c>
      <c r="B5374" s="4" t="s">
        <v>60</v>
      </c>
      <c r="C5374" s="5">
        <v>45324</v>
      </c>
      <c r="D5374" s="4">
        <v>20.100000000000001</v>
      </c>
      <c r="E5374" s="4">
        <v>6.5</v>
      </c>
    </row>
    <row r="5375" spans="1:5" x14ac:dyDescent="0.25">
      <c r="A5375" s="4" t="s">
        <v>53</v>
      </c>
      <c r="B5375" s="4" t="s">
        <v>60</v>
      </c>
      <c r="C5375" s="5">
        <v>45324</v>
      </c>
      <c r="D5375" s="4">
        <v>21</v>
      </c>
      <c r="E5375" s="4">
        <v>6.79</v>
      </c>
    </row>
    <row r="5376" spans="1:5" x14ac:dyDescent="0.25">
      <c r="A5376" s="4" t="s">
        <v>53</v>
      </c>
      <c r="B5376" s="4" t="s">
        <v>60</v>
      </c>
      <c r="C5376" s="5">
        <v>45324</v>
      </c>
      <c r="D5376" s="4">
        <v>2.2999999999999998</v>
      </c>
      <c r="E5376" s="4">
        <v>0.73</v>
      </c>
    </row>
    <row r="5377" spans="1:5" x14ac:dyDescent="0.25">
      <c r="A5377" s="4" t="s">
        <v>53</v>
      </c>
      <c r="B5377" s="4" t="s">
        <v>60</v>
      </c>
      <c r="C5377" s="5">
        <v>45324</v>
      </c>
      <c r="D5377" s="4">
        <v>2.2999999999999998</v>
      </c>
      <c r="E5377" s="4">
        <v>0.73</v>
      </c>
    </row>
    <row r="5378" spans="1:5" x14ac:dyDescent="0.25">
      <c r="A5378" s="4" t="s">
        <v>53</v>
      </c>
      <c r="B5378" s="4" t="s">
        <v>60</v>
      </c>
      <c r="C5378" s="5">
        <v>45324</v>
      </c>
      <c r="D5378" s="4">
        <v>2.2999999999999998</v>
      </c>
      <c r="E5378" s="4">
        <v>0.73</v>
      </c>
    </row>
    <row r="5379" spans="1:5" x14ac:dyDescent="0.25">
      <c r="A5379" s="4" t="s">
        <v>53</v>
      </c>
      <c r="B5379" s="4" t="s">
        <v>60</v>
      </c>
      <c r="C5379" s="5">
        <v>45324</v>
      </c>
      <c r="D5379" s="4">
        <v>2.2999999999999998</v>
      </c>
      <c r="E5379" s="4">
        <v>0.73</v>
      </c>
    </row>
    <row r="5380" spans="1:5" x14ac:dyDescent="0.25">
      <c r="A5380" s="4" t="s">
        <v>53</v>
      </c>
      <c r="B5380" s="4" t="s">
        <v>60</v>
      </c>
      <c r="C5380" s="5">
        <v>45324</v>
      </c>
      <c r="D5380" s="4">
        <v>2.2999999999999998</v>
      </c>
      <c r="E5380" s="4">
        <v>0.73</v>
      </c>
    </row>
    <row r="5381" spans="1:5" x14ac:dyDescent="0.25">
      <c r="A5381" s="4" t="s">
        <v>53</v>
      </c>
      <c r="B5381" s="4" t="s">
        <v>60</v>
      </c>
      <c r="C5381" s="5">
        <v>45324</v>
      </c>
      <c r="D5381" s="4">
        <v>2.2999999999999998</v>
      </c>
      <c r="E5381" s="4">
        <v>0.73</v>
      </c>
    </row>
    <row r="5382" spans="1:5" x14ac:dyDescent="0.25">
      <c r="A5382" s="4" t="s">
        <v>53</v>
      </c>
      <c r="B5382" s="4" t="s">
        <v>60</v>
      </c>
      <c r="C5382" s="5">
        <v>45324</v>
      </c>
      <c r="D5382" s="4">
        <v>2.2999999999999998</v>
      </c>
      <c r="E5382" s="4">
        <v>0.73</v>
      </c>
    </row>
    <row r="5383" spans="1:5" x14ac:dyDescent="0.25">
      <c r="A5383" s="4" t="s">
        <v>53</v>
      </c>
      <c r="B5383" s="4" t="s">
        <v>60</v>
      </c>
      <c r="C5383" s="5">
        <v>45324</v>
      </c>
      <c r="D5383" s="4">
        <v>18.7</v>
      </c>
      <c r="E5383" s="4">
        <v>6.06</v>
      </c>
    </row>
    <row r="5384" spans="1:5" x14ac:dyDescent="0.25">
      <c r="A5384" s="4" t="s">
        <v>53</v>
      </c>
      <c r="B5384" s="4" t="s">
        <v>60</v>
      </c>
      <c r="C5384" s="5">
        <v>45328</v>
      </c>
      <c r="D5384" s="4">
        <v>15.4</v>
      </c>
      <c r="E5384" s="4">
        <v>5</v>
      </c>
    </row>
    <row r="5385" spans="1:5" x14ac:dyDescent="0.25">
      <c r="A5385" s="4" t="s">
        <v>53</v>
      </c>
      <c r="B5385" s="4" t="s">
        <v>60</v>
      </c>
      <c r="C5385" s="5">
        <v>45328</v>
      </c>
      <c r="D5385" s="4">
        <v>27.5</v>
      </c>
      <c r="E5385" s="4">
        <v>8.92</v>
      </c>
    </row>
    <row r="5386" spans="1:5" x14ac:dyDescent="0.25">
      <c r="A5386" s="4" t="s">
        <v>53</v>
      </c>
      <c r="B5386" s="4" t="s">
        <v>60</v>
      </c>
      <c r="C5386" s="5">
        <v>45328</v>
      </c>
      <c r="D5386" s="4">
        <v>18.3</v>
      </c>
      <c r="E5386" s="4">
        <v>5.93</v>
      </c>
    </row>
    <row r="5387" spans="1:5" x14ac:dyDescent="0.25">
      <c r="A5387" s="4" t="s">
        <v>53</v>
      </c>
      <c r="B5387" s="4" t="s">
        <v>60</v>
      </c>
      <c r="C5387" s="5">
        <v>45328</v>
      </c>
      <c r="D5387" s="4">
        <v>9.5</v>
      </c>
      <c r="E5387" s="4">
        <v>3.08</v>
      </c>
    </row>
    <row r="5388" spans="1:5" x14ac:dyDescent="0.25">
      <c r="A5388" s="4" t="s">
        <v>53</v>
      </c>
      <c r="B5388" s="4" t="s">
        <v>60</v>
      </c>
      <c r="C5388" s="5">
        <v>45328</v>
      </c>
      <c r="D5388" s="4">
        <v>1.3</v>
      </c>
      <c r="E5388" s="4">
        <v>0.42</v>
      </c>
    </row>
    <row r="5389" spans="1:5" x14ac:dyDescent="0.25">
      <c r="A5389" s="4" t="s">
        <v>53</v>
      </c>
      <c r="B5389" s="4" t="s">
        <v>60</v>
      </c>
      <c r="C5389" s="5">
        <v>45328</v>
      </c>
      <c r="D5389" s="4">
        <v>3.6</v>
      </c>
      <c r="E5389" s="4">
        <v>1.1599999999999999</v>
      </c>
    </row>
    <row r="5390" spans="1:5" x14ac:dyDescent="0.25">
      <c r="A5390" s="4" t="s">
        <v>53</v>
      </c>
      <c r="B5390" s="4" t="s">
        <v>60</v>
      </c>
      <c r="C5390" s="5">
        <v>45328</v>
      </c>
      <c r="D5390" s="4">
        <v>24.1</v>
      </c>
      <c r="E5390" s="4">
        <v>7.82</v>
      </c>
    </row>
    <row r="5391" spans="1:5" x14ac:dyDescent="0.25">
      <c r="A5391" s="4" t="s">
        <v>53</v>
      </c>
      <c r="B5391" s="4" t="s">
        <v>60</v>
      </c>
      <c r="C5391" s="5">
        <v>45328</v>
      </c>
      <c r="D5391" s="4">
        <v>15.4</v>
      </c>
      <c r="E5391" s="4">
        <v>5</v>
      </c>
    </row>
    <row r="5392" spans="1:5" x14ac:dyDescent="0.25">
      <c r="A5392" s="4" t="s">
        <v>53</v>
      </c>
      <c r="B5392" s="4" t="s">
        <v>60</v>
      </c>
      <c r="C5392" s="5">
        <v>45329</v>
      </c>
      <c r="D5392" s="4">
        <v>11</v>
      </c>
      <c r="E5392" s="4">
        <v>3.57</v>
      </c>
    </row>
    <row r="5393" spans="1:5" x14ac:dyDescent="0.25">
      <c r="A5393" s="4" t="s">
        <v>53</v>
      </c>
      <c r="B5393" s="4" t="s">
        <v>60</v>
      </c>
      <c r="C5393" s="5">
        <v>45329</v>
      </c>
      <c r="D5393" s="4">
        <v>8.1</v>
      </c>
      <c r="E5393" s="4">
        <v>2.63</v>
      </c>
    </row>
    <row r="5394" spans="1:5" x14ac:dyDescent="0.25">
      <c r="A5394" s="4" t="s">
        <v>53</v>
      </c>
      <c r="B5394" s="4" t="s">
        <v>60</v>
      </c>
      <c r="C5394" s="5">
        <v>45329</v>
      </c>
      <c r="D5394" s="4">
        <v>1.2</v>
      </c>
      <c r="E5394" s="4">
        <v>0.38</v>
      </c>
    </row>
    <row r="5395" spans="1:5" x14ac:dyDescent="0.25">
      <c r="A5395" s="4" t="s">
        <v>53</v>
      </c>
      <c r="B5395" s="4" t="s">
        <v>60</v>
      </c>
      <c r="C5395" s="5">
        <v>45329</v>
      </c>
      <c r="D5395" s="4">
        <v>42.2</v>
      </c>
      <c r="E5395" s="4">
        <v>13.62</v>
      </c>
    </row>
    <row r="5396" spans="1:5" x14ac:dyDescent="0.25">
      <c r="A5396" s="4" t="s">
        <v>53</v>
      </c>
      <c r="B5396" s="4" t="s">
        <v>60</v>
      </c>
      <c r="C5396" s="5">
        <v>45329</v>
      </c>
      <c r="D5396" s="4">
        <v>35.6</v>
      </c>
      <c r="E5396" s="4">
        <v>11.53</v>
      </c>
    </row>
    <row r="5397" spans="1:5" x14ac:dyDescent="0.25">
      <c r="A5397" s="4" t="s">
        <v>53</v>
      </c>
      <c r="B5397" s="4" t="s">
        <v>60</v>
      </c>
      <c r="C5397" s="5">
        <v>45329</v>
      </c>
      <c r="D5397" s="4">
        <v>31.7</v>
      </c>
      <c r="E5397" s="4">
        <v>10.27</v>
      </c>
    </row>
    <row r="5398" spans="1:5" x14ac:dyDescent="0.25">
      <c r="A5398" s="4" t="s">
        <v>53</v>
      </c>
      <c r="B5398" s="4" t="s">
        <v>60</v>
      </c>
      <c r="C5398" s="5">
        <v>45329</v>
      </c>
      <c r="D5398" s="4">
        <v>12.2</v>
      </c>
      <c r="E5398" s="4">
        <v>3.97</v>
      </c>
    </row>
    <row r="5399" spans="1:5" x14ac:dyDescent="0.25">
      <c r="A5399" s="4" t="s">
        <v>53</v>
      </c>
      <c r="B5399" s="4" t="s">
        <v>60</v>
      </c>
      <c r="C5399" s="5">
        <v>45329</v>
      </c>
      <c r="D5399" s="4">
        <v>34.200000000000003</v>
      </c>
      <c r="E5399" s="4">
        <v>11.08</v>
      </c>
    </row>
    <row r="5400" spans="1:5" x14ac:dyDescent="0.25">
      <c r="A5400" s="4" t="s">
        <v>53</v>
      </c>
      <c r="B5400" s="4" t="s">
        <v>60</v>
      </c>
      <c r="C5400" s="5">
        <v>45329</v>
      </c>
      <c r="D5400" s="4">
        <v>24.8</v>
      </c>
      <c r="E5400" s="4">
        <v>8</v>
      </c>
    </row>
    <row r="5401" spans="1:5" x14ac:dyDescent="0.25">
      <c r="A5401" s="4" t="s">
        <v>53</v>
      </c>
      <c r="B5401" s="4" t="s">
        <v>60</v>
      </c>
      <c r="C5401" s="5">
        <v>45330</v>
      </c>
      <c r="D5401" s="4">
        <v>18.7</v>
      </c>
      <c r="E5401" s="4">
        <v>6.06</v>
      </c>
    </row>
    <row r="5402" spans="1:5" x14ac:dyDescent="0.25">
      <c r="A5402" s="4" t="s">
        <v>53</v>
      </c>
      <c r="B5402" s="4" t="s">
        <v>60</v>
      </c>
      <c r="C5402" s="5">
        <v>45330</v>
      </c>
      <c r="D5402" s="4">
        <v>13.1</v>
      </c>
      <c r="E5402" s="4">
        <v>4.24</v>
      </c>
    </row>
    <row r="5403" spans="1:5" x14ac:dyDescent="0.25">
      <c r="A5403" s="4" t="s">
        <v>53</v>
      </c>
      <c r="B5403" s="4" t="s">
        <v>60</v>
      </c>
      <c r="C5403" s="5">
        <v>45330</v>
      </c>
      <c r="D5403" s="4">
        <v>13.1</v>
      </c>
      <c r="E5403" s="4">
        <v>4.24</v>
      </c>
    </row>
    <row r="5404" spans="1:5" x14ac:dyDescent="0.25">
      <c r="A5404" s="4" t="s">
        <v>53</v>
      </c>
      <c r="B5404" s="4" t="s">
        <v>60</v>
      </c>
      <c r="C5404" s="5">
        <v>45330</v>
      </c>
      <c r="D5404" s="4">
        <v>13.1</v>
      </c>
      <c r="E5404" s="4">
        <v>4.24</v>
      </c>
    </row>
    <row r="5405" spans="1:5" x14ac:dyDescent="0.25">
      <c r="A5405" s="4" t="s">
        <v>53</v>
      </c>
      <c r="B5405" s="4" t="s">
        <v>60</v>
      </c>
      <c r="C5405" s="5">
        <v>45330</v>
      </c>
      <c r="D5405" s="4">
        <v>28.8</v>
      </c>
      <c r="E5405" s="4">
        <v>9.34</v>
      </c>
    </row>
    <row r="5406" spans="1:5" x14ac:dyDescent="0.25">
      <c r="A5406" s="4" t="s">
        <v>53</v>
      </c>
      <c r="B5406" s="4" t="s">
        <v>60</v>
      </c>
      <c r="C5406" s="5">
        <v>45330</v>
      </c>
      <c r="D5406" s="4">
        <v>15.4</v>
      </c>
      <c r="E5406" s="4">
        <v>5</v>
      </c>
    </row>
    <row r="5407" spans="1:5" x14ac:dyDescent="0.25">
      <c r="A5407" s="4" t="s">
        <v>53</v>
      </c>
      <c r="B5407" s="4" t="s">
        <v>60</v>
      </c>
      <c r="C5407" s="5">
        <v>45330</v>
      </c>
      <c r="D5407" s="4">
        <v>1.2</v>
      </c>
      <c r="E5407" s="4">
        <v>0.37</v>
      </c>
    </row>
    <row r="5408" spans="1:5" x14ac:dyDescent="0.25">
      <c r="A5408" s="4" t="s">
        <v>53</v>
      </c>
      <c r="B5408" s="4" t="s">
        <v>60</v>
      </c>
      <c r="C5408" s="5">
        <v>45330</v>
      </c>
      <c r="D5408" s="4">
        <v>17.3</v>
      </c>
      <c r="E5408" s="4">
        <v>5.61</v>
      </c>
    </row>
    <row r="5409" spans="1:5" x14ac:dyDescent="0.25">
      <c r="A5409" s="4" t="s">
        <v>53</v>
      </c>
      <c r="B5409" s="4" t="s">
        <v>60</v>
      </c>
      <c r="C5409" s="5">
        <v>45330</v>
      </c>
      <c r="D5409" s="4">
        <v>17.3</v>
      </c>
      <c r="E5409" s="4">
        <v>5.62</v>
      </c>
    </row>
    <row r="5410" spans="1:5" x14ac:dyDescent="0.25">
      <c r="A5410" s="4" t="s">
        <v>53</v>
      </c>
      <c r="B5410" s="4" t="s">
        <v>60</v>
      </c>
      <c r="C5410" s="5">
        <v>45330</v>
      </c>
      <c r="D5410" s="4">
        <v>17.3</v>
      </c>
      <c r="E5410" s="4">
        <v>5.61</v>
      </c>
    </row>
    <row r="5411" spans="1:5" x14ac:dyDescent="0.25">
      <c r="A5411" s="4" t="s">
        <v>53</v>
      </c>
      <c r="B5411" s="4" t="s">
        <v>60</v>
      </c>
      <c r="C5411" s="5">
        <v>45330</v>
      </c>
      <c r="D5411" s="4">
        <v>17.3</v>
      </c>
      <c r="E5411" s="4">
        <v>5.62</v>
      </c>
    </row>
    <row r="5412" spans="1:5" x14ac:dyDescent="0.25">
      <c r="A5412" s="4" t="s">
        <v>53</v>
      </c>
      <c r="B5412" s="4" t="s">
        <v>60</v>
      </c>
      <c r="C5412" s="5">
        <v>45330</v>
      </c>
      <c r="D5412" s="4">
        <v>5.6</v>
      </c>
      <c r="E5412" s="4">
        <v>1.77</v>
      </c>
    </row>
    <row r="5413" spans="1:5" x14ac:dyDescent="0.25">
      <c r="A5413" s="4" t="s">
        <v>53</v>
      </c>
      <c r="B5413" s="4" t="s">
        <v>60</v>
      </c>
      <c r="C5413" s="5">
        <v>45330</v>
      </c>
      <c r="D5413" s="4">
        <v>21.7</v>
      </c>
      <c r="E5413" s="4">
        <v>7.01</v>
      </c>
    </row>
    <row r="5414" spans="1:5" x14ac:dyDescent="0.25">
      <c r="A5414" s="4" t="s">
        <v>53</v>
      </c>
      <c r="B5414" s="4" t="s">
        <v>60</v>
      </c>
      <c r="C5414" s="5">
        <v>45331</v>
      </c>
      <c r="D5414" s="4">
        <v>29.3</v>
      </c>
      <c r="E5414" s="4">
        <v>9.5</v>
      </c>
    </row>
    <row r="5415" spans="1:5" x14ac:dyDescent="0.25">
      <c r="A5415" s="4" t="s">
        <v>53</v>
      </c>
      <c r="B5415" s="4" t="s">
        <v>60</v>
      </c>
      <c r="C5415" s="5">
        <v>45331</v>
      </c>
      <c r="D5415" s="4">
        <v>1.2</v>
      </c>
      <c r="E5415" s="4">
        <v>0.38</v>
      </c>
    </row>
    <row r="5416" spans="1:5" x14ac:dyDescent="0.25">
      <c r="A5416" s="4" t="s">
        <v>53</v>
      </c>
      <c r="B5416" s="4" t="s">
        <v>60</v>
      </c>
      <c r="C5416" s="5">
        <v>45331</v>
      </c>
      <c r="D5416" s="4">
        <v>2.4</v>
      </c>
      <c r="E5416" s="4">
        <v>0.75</v>
      </c>
    </row>
    <row r="5417" spans="1:5" x14ac:dyDescent="0.25">
      <c r="A5417" s="4" t="s">
        <v>53</v>
      </c>
      <c r="B5417" s="4" t="s">
        <v>60</v>
      </c>
      <c r="C5417" s="5">
        <v>45331</v>
      </c>
      <c r="D5417" s="4">
        <v>4.8</v>
      </c>
      <c r="E5417" s="4">
        <v>1.53</v>
      </c>
    </row>
    <row r="5418" spans="1:5" x14ac:dyDescent="0.25">
      <c r="A5418" s="4" t="s">
        <v>53</v>
      </c>
      <c r="B5418" s="4" t="s">
        <v>60</v>
      </c>
      <c r="C5418" s="5">
        <v>45331</v>
      </c>
      <c r="D5418" s="4">
        <v>4.2</v>
      </c>
      <c r="E5418" s="4">
        <v>1.35</v>
      </c>
    </row>
    <row r="5419" spans="1:5" x14ac:dyDescent="0.25">
      <c r="A5419" s="4" t="s">
        <v>53</v>
      </c>
      <c r="B5419" s="4" t="s">
        <v>60</v>
      </c>
      <c r="C5419" s="5">
        <v>45334</v>
      </c>
      <c r="D5419" s="4">
        <v>2.4</v>
      </c>
      <c r="E5419" s="4">
        <v>0.75</v>
      </c>
    </row>
    <row r="5420" spans="1:5" x14ac:dyDescent="0.25">
      <c r="A5420" s="4" t="s">
        <v>53</v>
      </c>
      <c r="B5420" s="4" t="s">
        <v>60</v>
      </c>
      <c r="C5420" s="5">
        <v>45334</v>
      </c>
      <c r="D5420" s="4">
        <v>1.2</v>
      </c>
      <c r="E5420" s="4">
        <v>0.37</v>
      </c>
    </row>
    <row r="5421" spans="1:5" x14ac:dyDescent="0.25">
      <c r="A5421" s="4" t="s">
        <v>53</v>
      </c>
      <c r="B5421" s="4" t="s">
        <v>60</v>
      </c>
      <c r="C5421" s="5">
        <v>45334</v>
      </c>
      <c r="D5421" s="4">
        <v>0.3</v>
      </c>
      <c r="E5421" s="4">
        <v>0.1</v>
      </c>
    </row>
    <row r="5422" spans="1:5" x14ac:dyDescent="0.25">
      <c r="A5422" s="4" t="s">
        <v>53</v>
      </c>
      <c r="B5422" s="4" t="s">
        <v>60</v>
      </c>
      <c r="C5422" s="5">
        <v>45334</v>
      </c>
      <c r="D5422" s="4">
        <v>1.2</v>
      </c>
      <c r="E5422" s="4">
        <v>0.37</v>
      </c>
    </row>
    <row r="5423" spans="1:5" x14ac:dyDescent="0.25">
      <c r="A5423" s="4" t="s">
        <v>53</v>
      </c>
      <c r="B5423" s="4" t="s">
        <v>60</v>
      </c>
      <c r="C5423" s="5">
        <v>45334</v>
      </c>
      <c r="D5423" s="4">
        <v>0.3</v>
      </c>
      <c r="E5423" s="4">
        <v>0.1</v>
      </c>
    </row>
    <row r="5424" spans="1:5" x14ac:dyDescent="0.25">
      <c r="A5424" s="4" t="s">
        <v>53</v>
      </c>
      <c r="B5424" s="4" t="s">
        <v>60</v>
      </c>
      <c r="C5424" s="5">
        <v>45334</v>
      </c>
      <c r="D5424" s="4">
        <v>1.2</v>
      </c>
      <c r="E5424" s="4">
        <v>0.37</v>
      </c>
    </row>
    <row r="5425" spans="1:5" x14ac:dyDescent="0.25">
      <c r="A5425" s="4" t="s">
        <v>53</v>
      </c>
      <c r="B5425" s="4" t="s">
        <v>60</v>
      </c>
      <c r="C5425" s="5">
        <v>45334</v>
      </c>
      <c r="D5425" s="4">
        <v>0.3</v>
      </c>
      <c r="E5425" s="4">
        <v>0.1</v>
      </c>
    </row>
    <row r="5426" spans="1:5" x14ac:dyDescent="0.25">
      <c r="A5426" s="4" t="s">
        <v>53</v>
      </c>
      <c r="B5426" s="4" t="s">
        <v>60</v>
      </c>
      <c r="C5426" s="5">
        <v>45334</v>
      </c>
      <c r="D5426" s="4">
        <v>1.2</v>
      </c>
      <c r="E5426" s="4">
        <v>0.37</v>
      </c>
    </row>
    <row r="5427" spans="1:5" x14ac:dyDescent="0.25">
      <c r="A5427" s="4" t="s">
        <v>53</v>
      </c>
      <c r="B5427" s="4" t="s">
        <v>60</v>
      </c>
      <c r="C5427" s="5">
        <v>45334</v>
      </c>
      <c r="D5427" s="4">
        <v>0.3</v>
      </c>
      <c r="E5427" s="4">
        <v>0.1</v>
      </c>
    </row>
    <row r="5428" spans="1:5" x14ac:dyDescent="0.25">
      <c r="A5428" s="4" t="s">
        <v>53</v>
      </c>
      <c r="B5428" s="4" t="s">
        <v>60</v>
      </c>
      <c r="C5428" s="5">
        <v>45334</v>
      </c>
      <c r="D5428" s="4">
        <v>1.2</v>
      </c>
      <c r="E5428" s="4">
        <v>0.37</v>
      </c>
    </row>
    <row r="5429" spans="1:5" x14ac:dyDescent="0.25">
      <c r="A5429" s="4" t="s">
        <v>53</v>
      </c>
      <c r="B5429" s="4" t="s">
        <v>60</v>
      </c>
      <c r="C5429" s="5">
        <v>45334</v>
      </c>
      <c r="D5429" s="4">
        <v>0.3</v>
      </c>
      <c r="E5429" s="4">
        <v>0.1</v>
      </c>
    </row>
    <row r="5430" spans="1:5" x14ac:dyDescent="0.25">
      <c r="A5430" s="4" t="s">
        <v>53</v>
      </c>
      <c r="B5430" s="4" t="s">
        <v>60</v>
      </c>
      <c r="C5430" s="5">
        <v>45334</v>
      </c>
      <c r="D5430" s="4">
        <v>30.6</v>
      </c>
      <c r="E5430" s="4">
        <v>9.92</v>
      </c>
    </row>
    <row r="5431" spans="1:5" x14ac:dyDescent="0.25">
      <c r="A5431" s="4" t="s">
        <v>53</v>
      </c>
      <c r="B5431" s="4" t="s">
        <v>60</v>
      </c>
      <c r="C5431" s="5">
        <v>45335</v>
      </c>
      <c r="D5431" s="4">
        <v>2.4</v>
      </c>
      <c r="E5431" s="4">
        <v>0.75</v>
      </c>
    </row>
    <row r="5432" spans="1:5" x14ac:dyDescent="0.25">
      <c r="A5432" s="4" t="s">
        <v>53</v>
      </c>
      <c r="B5432" s="4" t="s">
        <v>60</v>
      </c>
      <c r="C5432" s="5">
        <v>45335</v>
      </c>
      <c r="D5432" s="4">
        <v>1.2</v>
      </c>
      <c r="E5432" s="4">
        <v>0.37</v>
      </c>
    </row>
    <row r="5433" spans="1:5" x14ac:dyDescent="0.25">
      <c r="A5433" s="4" t="s">
        <v>53</v>
      </c>
      <c r="B5433" s="4" t="s">
        <v>60</v>
      </c>
      <c r="C5433" s="5">
        <v>45335</v>
      </c>
      <c r="D5433" s="4">
        <v>0.3</v>
      </c>
      <c r="E5433" s="4">
        <v>0.1</v>
      </c>
    </row>
    <row r="5434" spans="1:5" x14ac:dyDescent="0.25">
      <c r="A5434" s="4" t="s">
        <v>53</v>
      </c>
      <c r="B5434" s="4" t="s">
        <v>60</v>
      </c>
      <c r="C5434" s="5">
        <v>45335</v>
      </c>
      <c r="D5434" s="4">
        <v>1.2</v>
      </c>
      <c r="E5434" s="4">
        <v>0.37</v>
      </c>
    </row>
    <row r="5435" spans="1:5" x14ac:dyDescent="0.25">
      <c r="A5435" s="4" t="s">
        <v>53</v>
      </c>
      <c r="B5435" s="4" t="s">
        <v>60</v>
      </c>
      <c r="C5435" s="5">
        <v>45335</v>
      </c>
      <c r="D5435" s="4">
        <v>0.3</v>
      </c>
      <c r="E5435" s="4">
        <v>0.1</v>
      </c>
    </row>
    <row r="5436" spans="1:5" x14ac:dyDescent="0.25">
      <c r="A5436" s="4" t="s">
        <v>53</v>
      </c>
      <c r="B5436" s="4" t="s">
        <v>60</v>
      </c>
      <c r="C5436" s="5">
        <v>45335</v>
      </c>
      <c r="D5436" s="4">
        <v>1.2</v>
      </c>
      <c r="E5436" s="4">
        <v>0.37</v>
      </c>
    </row>
    <row r="5437" spans="1:5" x14ac:dyDescent="0.25">
      <c r="A5437" s="4" t="s">
        <v>53</v>
      </c>
      <c r="B5437" s="4" t="s">
        <v>60</v>
      </c>
      <c r="C5437" s="5">
        <v>45335</v>
      </c>
      <c r="D5437" s="4">
        <v>0.3</v>
      </c>
      <c r="E5437" s="4">
        <v>0.1</v>
      </c>
    </row>
    <row r="5438" spans="1:5" x14ac:dyDescent="0.25">
      <c r="A5438" s="4" t="s">
        <v>53</v>
      </c>
      <c r="B5438" s="4" t="s">
        <v>60</v>
      </c>
      <c r="C5438" s="5">
        <v>45335</v>
      </c>
      <c r="D5438" s="4">
        <v>1.2</v>
      </c>
      <c r="E5438" s="4">
        <v>0.37</v>
      </c>
    </row>
    <row r="5439" spans="1:5" x14ac:dyDescent="0.25">
      <c r="A5439" s="4" t="s">
        <v>53</v>
      </c>
      <c r="B5439" s="4" t="s">
        <v>60</v>
      </c>
      <c r="C5439" s="5">
        <v>45335</v>
      </c>
      <c r="D5439" s="4">
        <v>0.3</v>
      </c>
      <c r="E5439" s="4">
        <v>0.1</v>
      </c>
    </row>
    <row r="5440" spans="1:5" x14ac:dyDescent="0.25">
      <c r="A5440" s="4" t="s">
        <v>53</v>
      </c>
      <c r="B5440" s="4" t="s">
        <v>60</v>
      </c>
      <c r="C5440" s="5">
        <v>45335</v>
      </c>
      <c r="D5440" s="4">
        <v>1.2</v>
      </c>
      <c r="E5440" s="4">
        <v>0.37</v>
      </c>
    </row>
    <row r="5441" spans="1:5" x14ac:dyDescent="0.25">
      <c r="A5441" s="4" t="s">
        <v>53</v>
      </c>
      <c r="B5441" s="4" t="s">
        <v>60</v>
      </c>
      <c r="C5441" s="5">
        <v>45335</v>
      </c>
      <c r="D5441" s="4">
        <v>0.3</v>
      </c>
      <c r="E5441" s="4">
        <v>0.1</v>
      </c>
    </row>
    <row r="5442" spans="1:5" x14ac:dyDescent="0.25">
      <c r="A5442" s="4" t="s">
        <v>53</v>
      </c>
      <c r="B5442" s="4" t="s">
        <v>60</v>
      </c>
      <c r="C5442" s="5">
        <v>45335</v>
      </c>
      <c r="D5442" s="4">
        <v>30.6</v>
      </c>
      <c r="E5442" s="4">
        <v>9.92</v>
      </c>
    </row>
    <row r="5443" spans="1:5" x14ac:dyDescent="0.25">
      <c r="A5443" s="4" t="s">
        <v>53</v>
      </c>
      <c r="B5443" s="4" t="s">
        <v>60</v>
      </c>
      <c r="C5443" s="5">
        <v>45336</v>
      </c>
      <c r="D5443" s="4">
        <v>30.6</v>
      </c>
      <c r="E5443" s="4">
        <v>9.92</v>
      </c>
    </row>
    <row r="5444" spans="1:5" x14ac:dyDescent="0.25">
      <c r="A5444" s="4" t="s">
        <v>53</v>
      </c>
      <c r="B5444" s="4" t="s">
        <v>60</v>
      </c>
      <c r="C5444" s="5">
        <v>45336</v>
      </c>
      <c r="D5444" s="4">
        <v>17.5</v>
      </c>
      <c r="E5444" s="4">
        <v>5.66</v>
      </c>
    </row>
    <row r="5445" spans="1:5" x14ac:dyDescent="0.25">
      <c r="A5445" s="4" t="s">
        <v>53</v>
      </c>
      <c r="B5445" s="4" t="s">
        <v>60</v>
      </c>
      <c r="C5445" s="5">
        <v>45336</v>
      </c>
      <c r="D5445" s="4">
        <v>17.5</v>
      </c>
      <c r="E5445" s="4">
        <v>5.65</v>
      </c>
    </row>
    <row r="5446" spans="1:5" x14ac:dyDescent="0.25">
      <c r="A5446" s="4" t="s">
        <v>53</v>
      </c>
      <c r="B5446" s="4" t="s">
        <v>60</v>
      </c>
      <c r="C5446" s="5">
        <v>45336</v>
      </c>
      <c r="D5446" s="4">
        <v>17.5</v>
      </c>
      <c r="E5446" s="4">
        <v>5.66</v>
      </c>
    </row>
    <row r="5447" spans="1:5" x14ac:dyDescent="0.25">
      <c r="A5447" s="4" t="s">
        <v>53</v>
      </c>
      <c r="B5447" s="4" t="s">
        <v>60</v>
      </c>
      <c r="C5447" s="5">
        <v>45336</v>
      </c>
      <c r="D5447" s="4">
        <v>17.5</v>
      </c>
      <c r="E5447" s="4">
        <v>5.65</v>
      </c>
    </row>
    <row r="5448" spans="1:5" x14ac:dyDescent="0.25">
      <c r="A5448" s="4" t="s">
        <v>53</v>
      </c>
      <c r="B5448" s="4" t="s">
        <v>60</v>
      </c>
      <c r="C5448" s="5">
        <v>45336</v>
      </c>
      <c r="D5448" s="4">
        <v>17.5</v>
      </c>
      <c r="E5448" s="4">
        <v>5.66</v>
      </c>
    </row>
    <row r="5449" spans="1:5" x14ac:dyDescent="0.25">
      <c r="A5449" s="4" t="s">
        <v>53</v>
      </c>
      <c r="B5449" s="4" t="s">
        <v>60</v>
      </c>
      <c r="C5449" s="5">
        <v>45336</v>
      </c>
      <c r="D5449" s="4">
        <v>17.5</v>
      </c>
      <c r="E5449" s="4">
        <v>5.65</v>
      </c>
    </row>
    <row r="5450" spans="1:5" x14ac:dyDescent="0.25">
      <c r="A5450" s="4" t="s">
        <v>53</v>
      </c>
      <c r="B5450" s="4" t="s">
        <v>60</v>
      </c>
      <c r="C5450" s="5">
        <v>45336</v>
      </c>
      <c r="D5450" s="4">
        <v>17.5</v>
      </c>
      <c r="E5450" s="4">
        <v>5.66</v>
      </c>
    </row>
    <row r="5451" spans="1:5" x14ac:dyDescent="0.25">
      <c r="A5451" s="4" t="s">
        <v>53</v>
      </c>
      <c r="B5451" s="4" t="s">
        <v>60</v>
      </c>
      <c r="C5451" s="5">
        <v>45336</v>
      </c>
      <c r="D5451" s="4">
        <v>5.2</v>
      </c>
      <c r="E5451" s="4">
        <v>1.68</v>
      </c>
    </row>
    <row r="5452" spans="1:5" x14ac:dyDescent="0.25">
      <c r="A5452" s="4" t="s">
        <v>53</v>
      </c>
      <c r="B5452" s="4" t="s">
        <v>60</v>
      </c>
      <c r="C5452" s="5">
        <v>45336</v>
      </c>
      <c r="D5452" s="4">
        <v>42.5</v>
      </c>
      <c r="E5452" s="4">
        <v>13.78</v>
      </c>
    </row>
    <row r="5453" spans="1:5" x14ac:dyDescent="0.25">
      <c r="A5453" s="4" t="s">
        <v>53</v>
      </c>
      <c r="B5453" s="4" t="s">
        <v>60</v>
      </c>
      <c r="C5453" s="5">
        <v>45337</v>
      </c>
      <c r="D5453" s="4">
        <v>40.200000000000003</v>
      </c>
      <c r="E5453" s="4">
        <v>13.03</v>
      </c>
    </row>
    <row r="5454" spans="1:5" x14ac:dyDescent="0.25">
      <c r="A5454" s="4" t="s">
        <v>53</v>
      </c>
      <c r="B5454" s="4" t="s">
        <v>60</v>
      </c>
      <c r="C5454" s="5">
        <v>45337</v>
      </c>
      <c r="D5454" s="4">
        <v>2.2000000000000002</v>
      </c>
      <c r="E5454" s="4">
        <v>0.68</v>
      </c>
    </row>
    <row r="5455" spans="1:5" x14ac:dyDescent="0.25">
      <c r="A5455" s="4" t="s">
        <v>53</v>
      </c>
      <c r="B5455" s="4" t="s">
        <v>60</v>
      </c>
      <c r="C5455" s="5">
        <v>45337</v>
      </c>
      <c r="D5455" s="4">
        <v>18.3</v>
      </c>
      <c r="E5455" s="4">
        <v>5.92</v>
      </c>
    </row>
    <row r="5456" spans="1:5" x14ac:dyDescent="0.25">
      <c r="A5456" s="4" t="s">
        <v>53</v>
      </c>
      <c r="B5456" s="4" t="s">
        <v>60</v>
      </c>
      <c r="C5456" s="5">
        <v>45337</v>
      </c>
      <c r="D5456" s="4">
        <v>27</v>
      </c>
      <c r="E5456" s="4">
        <v>8.76</v>
      </c>
    </row>
    <row r="5457" spans="1:5" x14ac:dyDescent="0.25">
      <c r="A5457" s="4" t="s">
        <v>53</v>
      </c>
      <c r="B5457" s="4" t="s">
        <v>60</v>
      </c>
      <c r="C5457" s="5">
        <v>45337</v>
      </c>
      <c r="D5457" s="4">
        <v>0.5</v>
      </c>
      <c r="E5457" s="4">
        <v>0.16</v>
      </c>
    </row>
    <row r="5458" spans="1:5" x14ac:dyDescent="0.25">
      <c r="A5458" s="4" t="s">
        <v>53</v>
      </c>
      <c r="B5458" s="4" t="s">
        <v>60</v>
      </c>
      <c r="C5458" s="5">
        <v>45337</v>
      </c>
      <c r="D5458" s="4">
        <v>2.4</v>
      </c>
      <c r="E5458" s="4">
        <v>0.75</v>
      </c>
    </row>
    <row r="5459" spans="1:5" x14ac:dyDescent="0.25">
      <c r="A5459" s="4" t="s">
        <v>53</v>
      </c>
      <c r="B5459" s="4" t="s">
        <v>60</v>
      </c>
      <c r="C5459" s="5">
        <v>45337</v>
      </c>
      <c r="D5459" s="4">
        <v>1.2</v>
      </c>
      <c r="E5459" s="4">
        <v>0.38</v>
      </c>
    </row>
    <row r="5460" spans="1:5" x14ac:dyDescent="0.25">
      <c r="A5460" s="4" t="s">
        <v>53</v>
      </c>
      <c r="B5460" s="4" t="s">
        <v>60</v>
      </c>
      <c r="C5460" s="5">
        <v>45337</v>
      </c>
      <c r="D5460" s="4">
        <v>2.4</v>
      </c>
      <c r="E5460" s="4">
        <v>0.75</v>
      </c>
    </row>
    <row r="5461" spans="1:5" x14ac:dyDescent="0.25">
      <c r="A5461" s="4" t="s">
        <v>53</v>
      </c>
      <c r="B5461" s="4" t="s">
        <v>60</v>
      </c>
      <c r="C5461" s="5">
        <v>45337</v>
      </c>
      <c r="D5461" s="4">
        <v>0.5</v>
      </c>
      <c r="E5461" s="4">
        <v>0.16</v>
      </c>
    </row>
    <row r="5462" spans="1:5" x14ac:dyDescent="0.25">
      <c r="A5462" s="4" t="s">
        <v>53</v>
      </c>
      <c r="B5462" s="4" t="s">
        <v>60</v>
      </c>
      <c r="C5462" s="5">
        <v>45337</v>
      </c>
      <c r="D5462" s="4">
        <v>30.6</v>
      </c>
      <c r="E5462" s="4">
        <v>9.92</v>
      </c>
    </row>
    <row r="5463" spans="1:5" x14ac:dyDescent="0.25">
      <c r="A5463" s="4" t="s">
        <v>53</v>
      </c>
      <c r="B5463" s="4" t="s">
        <v>47</v>
      </c>
      <c r="C5463" s="5">
        <v>45310</v>
      </c>
      <c r="D5463" s="4">
        <v>27.9</v>
      </c>
      <c r="E5463" s="4">
        <v>9.0299999999999994</v>
      </c>
    </row>
    <row r="5464" spans="1:5" x14ac:dyDescent="0.25">
      <c r="A5464" s="4" t="s">
        <v>53</v>
      </c>
      <c r="B5464" s="4" t="s">
        <v>47</v>
      </c>
      <c r="C5464" s="5">
        <v>45310</v>
      </c>
      <c r="D5464" s="4">
        <v>20.100000000000001</v>
      </c>
      <c r="E5464" s="4">
        <v>6.51</v>
      </c>
    </row>
    <row r="5465" spans="1:5" x14ac:dyDescent="0.25">
      <c r="A5465" s="4" t="s">
        <v>53</v>
      </c>
      <c r="B5465" s="4" t="s">
        <v>47</v>
      </c>
      <c r="C5465" s="5">
        <v>45310</v>
      </c>
      <c r="D5465" s="4">
        <v>30.6</v>
      </c>
      <c r="E5465" s="4">
        <v>9.92</v>
      </c>
    </row>
    <row r="5466" spans="1:5" x14ac:dyDescent="0.25">
      <c r="A5466" s="4" t="s">
        <v>53</v>
      </c>
      <c r="B5466" s="4" t="s">
        <v>47</v>
      </c>
      <c r="C5466" s="5">
        <v>45313</v>
      </c>
      <c r="D5466" s="4">
        <v>8.5</v>
      </c>
      <c r="E5466" s="4">
        <v>2.69</v>
      </c>
    </row>
    <row r="5467" spans="1:5" x14ac:dyDescent="0.25">
      <c r="A5467" s="4" t="s">
        <v>53</v>
      </c>
      <c r="B5467" s="4" t="s">
        <v>47</v>
      </c>
      <c r="C5467" s="5">
        <v>45313</v>
      </c>
      <c r="D5467" s="4">
        <v>2.4</v>
      </c>
      <c r="E5467" s="4">
        <v>0.75</v>
      </c>
    </row>
    <row r="5468" spans="1:5" x14ac:dyDescent="0.25">
      <c r="A5468" s="4" t="s">
        <v>53</v>
      </c>
      <c r="B5468" s="4" t="s">
        <v>47</v>
      </c>
      <c r="C5468" s="5">
        <v>45313</v>
      </c>
      <c r="D5468" s="4">
        <v>44.5</v>
      </c>
      <c r="E5468" s="4">
        <v>14.43</v>
      </c>
    </row>
    <row r="5469" spans="1:5" x14ac:dyDescent="0.25">
      <c r="A5469" s="4" t="s">
        <v>53</v>
      </c>
      <c r="B5469" s="4" t="s">
        <v>47</v>
      </c>
      <c r="C5469" s="5">
        <v>45313</v>
      </c>
      <c r="D5469" s="4">
        <v>5.3</v>
      </c>
      <c r="E5469" s="4">
        <v>1.72</v>
      </c>
    </row>
    <row r="5470" spans="1:5" x14ac:dyDescent="0.25">
      <c r="A5470" s="4" t="s">
        <v>53</v>
      </c>
      <c r="B5470" s="4" t="s">
        <v>47</v>
      </c>
      <c r="C5470" s="5">
        <v>45313</v>
      </c>
      <c r="D5470" s="4">
        <v>4.4000000000000004</v>
      </c>
      <c r="E5470" s="4">
        <v>1.43</v>
      </c>
    </row>
    <row r="5471" spans="1:5" x14ac:dyDescent="0.25">
      <c r="A5471" s="4" t="s">
        <v>53</v>
      </c>
      <c r="B5471" s="4" t="s">
        <v>47</v>
      </c>
      <c r="C5471" s="5">
        <v>45313</v>
      </c>
      <c r="D5471" s="4">
        <v>5.3</v>
      </c>
      <c r="E5471" s="4">
        <v>1.72</v>
      </c>
    </row>
    <row r="5472" spans="1:5" x14ac:dyDescent="0.25">
      <c r="A5472" s="4" t="s">
        <v>53</v>
      </c>
      <c r="B5472" s="4" t="s">
        <v>47</v>
      </c>
      <c r="C5472" s="5">
        <v>45313</v>
      </c>
      <c r="D5472" s="4">
        <v>4.4000000000000004</v>
      </c>
      <c r="E5472" s="4">
        <v>1.43</v>
      </c>
    </row>
    <row r="5473" spans="1:5" x14ac:dyDescent="0.25">
      <c r="A5473" s="4" t="s">
        <v>53</v>
      </c>
      <c r="B5473" s="4" t="s">
        <v>47</v>
      </c>
      <c r="C5473" s="5">
        <v>45313</v>
      </c>
      <c r="D5473" s="4">
        <v>5.3</v>
      </c>
      <c r="E5473" s="4">
        <v>1.72</v>
      </c>
    </row>
    <row r="5474" spans="1:5" x14ac:dyDescent="0.25">
      <c r="A5474" s="4" t="s">
        <v>53</v>
      </c>
      <c r="B5474" s="4" t="s">
        <v>47</v>
      </c>
      <c r="C5474" s="5">
        <v>45313</v>
      </c>
      <c r="D5474" s="4">
        <v>8.6999999999999993</v>
      </c>
      <c r="E5474" s="4">
        <v>2.82</v>
      </c>
    </row>
    <row r="5475" spans="1:5" x14ac:dyDescent="0.25">
      <c r="A5475" s="4" t="s">
        <v>53</v>
      </c>
      <c r="B5475" s="4" t="s">
        <v>47</v>
      </c>
      <c r="C5475" s="5">
        <v>45314</v>
      </c>
      <c r="D5475" s="4">
        <v>8.8000000000000007</v>
      </c>
      <c r="E5475" s="4">
        <v>2.85</v>
      </c>
    </row>
    <row r="5476" spans="1:5" x14ac:dyDescent="0.25">
      <c r="A5476" s="4" t="s">
        <v>53</v>
      </c>
      <c r="B5476" s="4" t="s">
        <v>47</v>
      </c>
      <c r="C5476" s="5">
        <v>45314</v>
      </c>
      <c r="D5476" s="4">
        <v>8.8000000000000007</v>
      </c>
      <c r="E5476" s="4">
        <v>2.85</v>
      </c>
    </row>
    <row r="5477" spans="1:5" x14ac:dyDescent="0.25">
      <c r="A5477" s="4" t="s">
        <v>53</v>
      </c>
      <c r="B5477" s="4" t="s">
        <v>47</v>
      </c>
      <c r="C5477" s="5">
        <v>45314</v>
      </c>
      <c r="D5477" s="4">
        <v>8.8000000000000007</v>
      </c>
      <c r="E5477" s="4">
        <v>2.85</v>
      </c>
    </row>
    <row r="5478" spans="1:5" x14ac:dyDescent="0.25">
      <c r="A5478" s="4" t="s">
        <v>53</v>
      </c>
      <c r="B5478" s="4" t="s">
        <v>47</v>
      </c>
      <c r="C5478" s="5">
        <v>45314</v>
      </c>
      <c r="D5478" s="4">
        <v>8.8000000000000007</v>
      </c>
      <c r="E5478" s="4">
        <v>2.85</v>
      </c>
    </row>
    <row r="5479" spans="1:5" x14ac:dyDescent="0.25">
      <c r="A5479" s="4" t="s">
        <v>53</v>
      </c>
      <c r="B5479" s="4" t="s">
        <v>47</v>
      </c>
      <c r="C5479" s="5">
        <v>45314</v>
      </c>
      <c r="D5479" s="4">
        <v>8.8000000000000007</v>
      </c>
      <c r="E5479" s="4">
        <v>2.85</v>
      </c>
    </row>
    <row r="5480" spans="1:5" x14ac:dyDescent="0.25">
      <c r="A5480" s="4" t="s">
        <v>53</v>
      </c>
      <c r="B5480" s="4" t="s">
        <v>47</v>
      </c>
      <c r="C5480" s="5">
        <v>45314</v>
      </c>
      <c r="D5480" s="4">
        <v>8.8000000000000007</v>
      </c>
      <c r="E5480" s="4">
        <v>2.85</v>
      </c>
    </row>
    <row r="5481" spans="1:5" x14ac:dyDescent="0.25">
      <c r="A5481" s="4" t="s">
        <v>53</v>
      </c>
      <c r="B5481" s="4" t="s">
        <v>47</v>
      </c>
      <c r="C5481" s="5">
        <v>45314</v>
      </c>
      <c r="D5481" s="4">
        <v>8.8000000000000007</v>
      </c>
      <c r="E5481" s="4">
        <v>2.85</v>
      </c>
    </row>
    <row r="5482" spans="1:5" x14ac:dyDescent="0.25">
      <c r="A5482" s="4" t="s">
        <v>53</v>
      </c>
      <c r="B5482" s="4" t="s">
        <v>47</v>
      </c>
      <c r="C5482" s="5">
        <v>45314</v>
      </c>
      <c r="D5482" s="4">
        <v>8.8000000000000007</v>
      </c>
      <c r="E5482" s="4">
        <v>2.85</v>
      </c>
    </row>
    <row r="5483" spans="1:5" x14ac:dyDescent="0.25">
      <c r="A5483" s="4" t="s">
        <v>53</v>
      </c>
      <c r="B5483" s="4" t="s">
        <v>47</v>
      </c>
      <c r="C5483" s="5">
        <v>45314</v>
      </c>
      <c r="D5483" s="4">
        <v>5</v>
      </c>
      <c r="E5483" s="4">
        <v>1.62</v>
      </c>
    </row>
    <row r="5484" spans="1:5" x14ac:dyDescent="0.25">
      <c r="A5484" s="4" t="s">
        <v>53</v>
      </c>
      <c r="B5484" s="4" t="s">
        <v>47</v>
      </c>
      <c r="C5484" s="5">
        <v>45314</v>
      </c>
      <c r="D5484" s="4">
        <v>11.7</v>
      </c>
      <c r="E5484" s="4">
        <v>3.79</v>
      </c>
    </row>
    <row r="5485" spans="1:5" x14ac:dyDescent="0.25">
      <c r="A5485" s="4" t="s">
        <v>53</v>
      </c>
      <c r="B5485" s="4" t="s">
        <v>47</v>
      </c>
      <c r="C5485" s="5">
        <v>45314</v>
      </c>
      <c r="D5485" s="4">
        <v>2.2999999999999998</v>
      </c>
      <c r="E5485" s="4">
        <v>0.74</v>
      </c>
    </row>
    <row r="5486" spans="1:5" x14ac:dyDescent="0.25">
      <c r="A5486" s="4" t="s">
        <v>53</v>
      </c>
      <c r="B5486" s="4" t="s">
        <v>47</v>
      </c>
      <c r="C5486" s="5">
        <v>45314</v>
      </c>
      <c r="D5486" s="4">
        <v>2.1</v>
      </c>
      <c r="E5486" s="4">
        <v>0.68</v>
      </c>
    </row>
    <row r="5487" spans="1:5" x14ac:dyDescent="0.25">
      <c r="A5487" s="4" t="s">
        <v>53</v>
      </c>
      <c r="B5487" s="4" t="s">
        <v>47</v>
      </c>
      <c r="C5487" s="5">
        <v>45315</v>
      </c>
      <c r="D5487" s="4">
        <v>3.6</v>
      </c>
      <c r="E5487" s="4">
        <v>1.17</v>
      </c>
    </row>
    <row r="5488" spans="1:5" x14ac:dyDescent="0.25">
      <c r="A5488" s="4" t="s">
        <v>53</v>
      </c>
      <c r="B5488" s="4" t="s">
        <v>47</v>
      </c>
      <c r="C5488" s="5">
        <v>45315</v>
      </c>
      <c r="D5488" s="4">
        <v>11</v>
      </c>
      <c r="E5488" s="4">
        <v>3.57</v>
      </c>
    </row>
    <row r="5489" spans="1:5" x14ac:dyDescent="0.25">
      <c r="A5489" s="4" t="s">
        <v>53</v>
      </c>
      <c r="B5489" s="4" t="s">
        <v>47</v>
      </c>
      <c r="C5489" s="5">
        <v>45317</v>
      </c>
      <c r="D5489" s="4">
        <v>15.4</v>
      </c>
      <c r="E5489" s="4">
        <v>5</v>
      </c>
    </row>
    <row r="5490" spans="1:5" x14ac:dyDescent="0.25">
      <c r="A5490" s="4" t="s">
        <v>53</v>
      </c>
      <c r="B5490" s="4" t="s">
        <v>47</v>
      </c>
      <c r="C5490" s="5">
        <v>45321</v>
      </c>
      <c r="D5490" s="4">
        <v>15.4</v>
      </c>
      <c r="E5490" s="4">
        <v>5</v>
      </c>
    </row>
    <row r="5491" spans="1:5" x14ac:dyDescent="0.25">
      <c r="A5491" s="4" t="s">
        <v>53</v>
      </c>
      <c r="B5491" s="4" t="s">
        <v>47</v>
      </c>
      <c r="C5491" s="5">
        <v>45321</v>
      </c>
      <c r="D5491" s="4">
        <v>24.5</v>
      </c>
      <c r="E5491" s="4">
        <v>7.89</v>
      </c>
    </row>
    <row r="5492" spans="1:5" x14ac:dyDescent="0.25">
      <c r="A5492" s="4" t="s">
        <v>53</v>
      </c>
      <c r="B5492" s="4" t="s">
        <v>47</v>
      </c>
      <c r="C5492" s="5">
        <v>45321</v>
      </c>
      <c r="D5492" s="4">
        <v>1.2</v>
      </c>
      <c r="E5492" s="4">
        <v>0.37</v>
      </c>
    </row>
    <row r="5493" spans="1:5" x14ac:dyDescent="0.25">
      <c r="A5493" s="4" t="s">
        <v>53</v>
      </c>
      <c r="B5493" s="4" t="s">
        <v>47</v>
      </c>
      <c r="C5493" s="5">
        <v>45321</v>
      </c>
      <c r="D5493" s="4">
        <v>1</v>
      </c>
      <c r="E5493" s="4">
        <v>0.31</v>
      </c>
    </row>
    <row r="5494" spans="1:5" x14ac:dyDescent="0.25">
      <c r="A5494" s="4" t="s">
        <v>53</v>
      </c>
      <c r="B5494" s="4" t="s">
        <v>47</v>
      </c>
      <c r="C5494" s="5">
        <v>45321</v>
      </c>
      <c r="D5494" s="4">
        <v>24.6</v>
      </c>
      <c r="E5494" s="4">
        <v>7.97</v>
      </c>
    </row>
    <row r="5495" spans="1:5" x14ac:dyDescent="0.25">
      <c r="A5495" s="4" t="s">
        <v>53</v>
      </c>
      <c r="B5495" s="4" t="s">
        <v>47</v>
      </c>
      <c r="C5495" s="5">
        <v>45321</v>
      </c>
      <c r="D5495" s="4">
        <v>31.7</v>
      </c>
      <c r="E5495" s="4">
        <v>10.27</v>
      </c>
    </row>
    <row r="5496" spans="1:5" x14ac:dyDescent="0.25">
      <c r="A5496" s="4" t="s">
        <v>53</v>
      </c>
      <c r="B5496" s="4" t="s">
        <v>47</v>
      </c>
      <c r="C5496" s="5">
        <v>45321</v>
      </c>
      <c r="D5496" s="4">
        <v>54.8</v>
      </c>
      <c r="E5496" s="4">
        <v>17.760000000000002</v>
      </c>
    </row>
    <row r="5497" spans="1:5" x14ac:dyDescent="0.25">
      <c r="A5497" s="4" t="s">
        <v>53</v>
      </c>
      <c r="B5497" s="4" t="s">
        <v>47</v>
      </c>
      <c r="C5497" s="5">
        <v>45322</v>
      </c>
      <c r="D5497" s="4">
        <v>27.9</v>
      </c>
      <c r="E5497" s="4">
        <v>9.0299999999999994</v>
      </c>
    </row>
    <row r="5498" spans="1:5" x14ac:dyDescent="0.25">
      <c r="A5498" s="4" t="s">
        <v>53</v>
      </c>
      <c r="B5498" s="4" t="s">
        <v>47</v>
      </c>
      <c r="C5498" s="5">
        <v>45322</v>
      </c>
      <c r="D5498" s="4">
        <v>19.8</v>
      </c>
      <c r="E5498" s="4">
        <v>6.31</v>
      </c>
    </row>
    <row r="5499" spans="1:5" x14ac:dyDescent="0.25">
      <c r="A5499" s="4" t="s">
        <v>53</v>
      </c>
      <c r="B5499" s="4" t="s">
        <v>47</v>
      </c>
      <c r="C5499" s="5">
        <v>45322</v>
      </c>
      <c r="D5499" s="4">
        <v>24.2</v>
      </c>
      <c r="E5499" s="4">
        <v>7.84</v>
      </c>
    </row>
    <row r="5500" spans="1:5" x14ac:dyDescent="0.25">
      <c r="A5500" s="4" t="s">
        <v>53</v>
      </c>
      <c r="B5500" s="4" t="s">
        <v>47</v>
      </c>
      <c r="C5500" s="5">
        <v>45322</v>
      </c>
      <c r="D5500" s="4">
        <v>13.2</v>
      </c>
      <c r="E5500" s="4">
        <v>4.21</v>
      </c>
    </row>
    <row r="5501" spans="1:5" x14ac:dyDescent="0.25">
      <c r="A5501" s="4" t="s">
        <v>53</v>
      </c>
      <c r="B5501" s="4" t="s">
        <v>47</v>
      </c>
      <c r="C5501" s="5">
        <v>45322</v>
      </c>
      <c r="D5501" s="4">
        <v>0.5</v>
      </c>
      <c r="E5501" s="4">
        <v>0.16</v>
      </c>
    </row>
    <row r="5502" spans="1:5" x14ac:dyDescent="0.25">
      <c r="A5502" s="4" t="s">
        <v>53</v>
      </c>
      <c r="B5502" s="4" t="s">
        <v>47</v>
      </c>
      <c r="C5502" s="5">
        <v>45322</v>
      </c>
      <c r="D5502" s="4">
        <v>1.3</v>
      </c>
      <c r="E5502" s="4">
        <v>0.43</v>
      </c>
    </row>
    <row r="5503" spans="1:5" x14ac:dyDescent="0.25">
      <c r="A5503" s="4" t="s">
        <v>53</v>
      </c>
      <c r="B5503" s="4" t="s">
        <v>47</v>
      </c>
      <c r="C5503" s="5">
        <v>45322</v>
      </c>
      <c r="D5503" s="4">
        <v>1.2</v>
      </c>
      <c r="E5503" s="4">
        <v>0.38</v>
      </c>
    </row>
    <row r="5504" spans="1:5" x14ac:dyDescent="0.25">
      <c r="A5504" s="4" t="s">
        <v>53</v>
      </c>
      <c r="B5504" s="4" t="s">
        <v>47</v>
      </c>
      <c r="C5504" s="5">
        <v>45323</v>
      </c>
      <c r="D5504" s="4">
        <v>0.9</v>
      </c>
      <c r="E5504" s="4">
        <v>0.27</v>
      </c>
    </row>
    <row r="5505" spans="1:5" x14ac:dyDescent="0.25">
      <c r="A5505" s="4" t="s">
        <v>53</v>
      </c>
      <c r="B5505" s="4" t="s">
        <v>47</v>
      </c>
      <c r="C5505" s="5">
        <v>45323</v>
      </c>
      <c r="D5505" s="4">
        <v>0.2</v>
      </c>
      <c r="E5505" s="4">
        <v>0.06</v>
      </c>
    </row>
    <row r="5506" spans="1:5" x14ac:dyDescent="0.25">
      <c r="A5506" s="4" t="s">
        <v>53</v>
      </c>
      <c r="B5506" s="4" t="s">
        <v>47</v>
      </c>
      <c r="C5506" s="5">
        <v>45323</v>
      </c>
      <c r="D5506" s="4">
        <v>6.4</v>
      </c>
      <c r="E5506" s="4">
        <v>2.0099999999999998</v>
      </c>
    </row>
    <row r="5507" spans="1:5" x14ac:dyDescent="0.25">
      <c r="A5507" s="4" t="s">
        <v>53</v>
      </c>
      <c r="B5507" s="4" t="s">
        <v>47</v>
      </c>
      <c r="C5507" s="5">
        <v>45323</v>
      </c>
      <c r="D5507" s="4">
        <v>2.4</v>
      </c>
      <c r="E5507" s="4">
        <v>0.78</v>
      </c>
    </row>
    <row r="5508" spans="1:5" x14ac:dyDescent="0.25">
      <c r="A5508" s="4" t="s">
        <v>53</v>
      </c>
      <c r="B5508" s="4" t="s">
        <v>47</v>
      </c>
      <c r="C5508" s="5">
        <v>45323</v>
      </c>
      <c r="D5508" s="4">
        <v>21</v>
      </c>
      <c r="E5508" s="4">
        <v>6.79</v>
      </c>
    </row>
    <row r="5509" spans="1:5" x14ac:dyDescent="0.25">
      <c r="A5509" s="4" t="s">
        <v>53</v>
      </c>
      <c r="B5509" s="4" t="s">
        <v>47</v>
      </c>
      <c r="C5509" s="5">
        <v>45323</v>
      </c>
      <c r="D5509" s="4">
        <v>20.100000000000001</v>
      </c>
      <c r="E5509" s="4">
        <v>6.5</v>
      </c>
    </row>
    <row r="5510" spans="1:5" x14ac:dyDescent="0.25">
      <c r="A5510" s="4" t="s">
        <v>53</v>
      </c>
      <c r="B5510" s="4" t="s">
        <v>47</v>
      </c>
      <c r="C5510" s="5">
        <v>45323</v>
      </c>
      <c r="D5510" s="4">
        <v>21</v>
      </c>
      <c r="E5510" s="4">
        <v>6.79</v>
      </c>
    </row>
    <row r="5511" spans="1:5" x14ac:dyDescent="0.25">
      <c r="A5511" s="4" t="s">
        <v>53</v>
      </c>
      <c r="B5511" s="4" t="s">
        <v>47</v>
      </c>
      <c r="C5511" s="5">
        <v>45323</v>
      </c>
      <c r="D5511" s="4">
        <v>20.100000000000001</v>
      </c>
      <c r="E5511" s="4">
        <v>6.5</v>
      </c>
    </row>
    <row r="5512" spans="1:5" x14ac:dyDescent="0.25">
      <c r="A5512" s="4" t="s">
        <v>53</v>
      </c>
      <c r="B5512" s="4" t="s">
        <v>47</v>
      </c>
      <c r="C5512" s="5">
        <v>45323</v>
      </c>
      <c r="D5512" s="4">
        <v>21</v>
      </c>
      <c r="E5512" s="4">
        <v>6.79</v>
      </c>
    </row>
    <row r="5513" spans="1:5" x14ac:dyDescent="0.25">
      <c r="A5513" s="4" t="s">
        <v>53</v>
      </c>
      <c r="B5513" s="4" t="s">
        <v>47</v>
      </c>
      <c r="C5513" s="5">
        <v>45323</v>
      </c>
      <c r="D5513" s="4">
        <v>20.100000000000001</v>
      </c>
      <c r="E5513" s="4">
        <v>6.5</v>
      </c>
    </row>
    <row r="5514" spans="1:5" x14ac:dyDescent="0.25">
      <c r="A5514" s="4" t="s">
        <v>53</v>
      </c>
      <c r="B5514" s="4" t="s">
        <v>47</v>
      </c>
      <c r="C5514" s="5">
        <v>45323</v>
      </c>
      <c r="D5514" s="4">
        <v>21</v>
      </c>
      <c r="E5514" s="4">
        <v>6.79</v>
      </c>
    </row>
    <row r="5515" spans="1:5" x14ac:dyDescent="0.25">
      <c r="A5515" s="4" t="s">
        <v>53</v>
      </c>
      <c r="B5515" s="4" t="s">
        <v>47</v>
      </c>
      <c r="C5515" s="5">
        <v>45323</v>
      </c>
      <c r="D5515" s="4">
        <v>20.100000000000001</v>
      </c>
      <c r="E5515" s="4">
        <v>6.5</v>
      </c>
    </row>
    <row r="5516" spans="1:5" x14ac:dyDescent="0.25">
      <c r="A5516" s="4" t="s">
        <v>53</v>
      </c>
      <c r="B5516" s="4" t="s">
        <v>47</v>
      </c>
      <c r="C5516" s="5">
        <v>45323</v>
      </c>
      <c r="D5516" s="4">
        <v>21</v>
      </c>
      <c r="E5516" s="4">
        <v>6.79</v>
      </c>
    </row>
    <row r="5517" spans="1:5" x14ac:dyDescent="0.25">
      <c r="A5517" s="4" t="s">
        <v>53</v>
      </c>
      <c r="B5517" s="4" t="s">
        <v>47</v>
      </c>
      <c r="C5517" s="5">
        <v>45324</v>
      </c>
      <c r="D5517" s="4">
        <v>8.8000000000000007</v>
      </c>
      <c r="E5517" s="4">
        <v>2.85</v>
      </c>
    </row>
    <row r="5518" spans="1:5" x14ac:dyDescent="0.25">
      <c r="A5518" s="4" t="s">
        <v>53</v>
      </c>
      <c r="B5518" s="4" t="s">
        <v>47</v>
      </c>
      <c r="C5518" s="5">
        <v>45324</v>
      </c>
      <c r="D5518" s="4">
        <v>8.5</v>
      </c>
      <c r="E5518" s="4">
        <v>2.75</v>
      </c>
    </row>
    <row r="5519" spans="1:5" x14ac:dyDescent="0.25">
      <c r="A5519" s="4" t="s">
        <v>53</v>
      </c>
      <c r="B5519" s="4" t="s">
        <v>47</v>
      </c>
      <c r="C5519" s="5">
        <v>45324</v>
      </c>
      <c r="D5519" s="4">
        <v>5.9</v>
      </c>
      <c r="E5519" s="4">
        <v>1.91</v>
      </c>
    </row>
    <row r="5520" spans="1:5" x14ac:dyDescent="0.25">
      <c r="A5520" s="4" t="s">
        <v>53</v>
      </c>
      <c r="B5520" s="4" t="s">
        <v>47</v>
      </c>
      <c r="C5520" s="5">
        <v>45324</v>
      </c>
      <c r="D5520" s="4">
        <v>8.5</v>
      </c>
      <c r="E5520" s="4">
        <v>2.75</v>
      </c>
    </row>
    <row r="5521" spans="1:5" x14ac:dyDescent="0.25">
      <c r="A5521" s="4" t="s">
        <v>53</v>
      </c>
      <c r="B5521" s="4" t="s">
        <v>47</v>
      </c>
      <c r="C5521" s="5">
        <v>45324</v>
      </c>
      <c r="D5521" s="4">
        <v>25</v>
      </c>
      <c r="E5521" s="4">
        <v>8.09</v>
      </c>
    </row>
    <row r="5522" spans="1:5" x14ac:dyDescent="0.25">
      <c r="A5522" s="4" t="s">
        <v>53</v>
      </c>
      <c r="B5522" s="4" t="s">
        <v>47</v>
      </c>
      <c r="C5522" s="5">
        <v>45324</v>
      </c>
      <c r="D5522" s="4">
        <v>22</v>
      </c>
      <c r="E5522" s="4">
        <v>7.09</v>
      </c>
    </row>
    <row r="5523" spans="1:5" x14ac:dyDescent="0.25">
      <c r="A5523" s="4" t="s">
        <v>53</v>
      </c>
      <c r="B5523" s="4" t="s">
        <v>47</v>
      </c>
      <c r="C5523" s="5">
        <v>45324</v>
      </c>
      <c r="D5523" s="4">
        <v>8.5</v>
      </c>
      <c r="E5523" s="4">
        <v>2.75</v>
      </c>
    </row>
    <row r="5524" spans="1:5" x14ac:dyDescent="0.25">
      <c r="A5524" s="4" t="s">
        <v>53</v>
      </c>
      <c r="B5524" s="4" t="s">
        <v>47</v>
      </c>
      <c r="C5524" s="5">
        <v>45324</v>
      </c>
      <c r="D5524" s="4">
        <v>5.9</v>
      </c>
      <c r="E5524" s="4">
        <v>1.91</v>
      </c>
    </row>
    <row r="5525" spans="1:5" x14ac:dyDescent="0.25">
      <c r="A5525" s="4" t="s">
        <v>53</v>
      </c>
      <c r="B5525" s="4" t="s">
        <v>47</v>
      </c>
      <c r="C5525" s="5">
        <v>45324</v>
      </c>
      <c r="D5525" s="4">
        <v>8.5</v>
      </c>
      <c r="E5525" s="4">
        <v>2.75</v>
      </c>
    </row>
    <row r="5526" spans="1:5" x14ac:dyDescent="0.25">
      <c r="A5526" s="4" t="s">
        <v>53</v>
      </c>
      <c r="B5526" s="4" t="s">
        <v>47</v>
      </c>
      <c r="C5526" s="5">
        <v>45324</v>
      </c>
      <c r="D5526" s="4">
        <v>8.6999999999999993</v>
      </c>
      <c r="E5526" s="4">
        <v>2.82</v>
      </c>
    </row>
    <row r="5527" spans="1:5" x14ac:dyDescent="0.25">
      <c r="A5527" s="4" t="s">
        <v>53</v>
      </c>
      <c r="B5527" s="4" t="s">
        <v>47</v>
      </c>
      <c r="C5527" s="5">
        <v>45327</v>
      </c>
      <c r="D5527" s="4">
        <v>18.7</v>
      </c>
      <c r="E5527" s="4">
        <v>6.06</v>
      </c>
    </row>
    <row r="5528" spans="1:5" x14ac:dyDescent="0.25">
      <c r="A5528" s="4" t="s">
        <v>53</v>
      </c>
      <c r="B5528" s="4" t="s">
        <v>47</v>
      </c>
      <c r="C5528" s="5">
        <v>45327</v>
      </c>
      <c r="D5528" s="4">
        <v>21.6</v>
      </c>
      <c r="E5528" s="4">
        <v>6.98</v>
      </c>
    </row>
    <row r="5529" spans="1:5" x14ac:dyDescent="0.25">
      <c r="A5529" s="4" t="s">
        <v>53</v>
      </c>
      <c r="B5529" s="4" t="s">
        <v>47</v>
      </c>
      <c r="C5529" s="5">
        <v>45327</v>
      </c>
      <c r="D5529" s="4">
        <v>15.9</v>
      </c>
      <c r="E5529" s="4">
        <v>5.1100000000000003</v>
      </c>
    </row>
    <row r="5530" spans="1:5" x14ac:dyDescent="0.25">
      <c r="A5530" s="4" t="s">
        <v>53</v>
      </c>
      <c r="B5530" s="4" t="s">
        <v>47</v>
      </c>
      <c r="C5530" s="5">
        <v>45327</v>
      </c>
      <c r="D5530" s="4">
        <v>0.4</v>
      </c>
      <c r="E5530" s="4">
        <v>0.12</v>
      </c>
    </row>
    <row r="5531" spans="1:5" x14ac:dyDescent="0.25">
      <c r="A5531" s="4" t="s">
        <v>53</v>
      </c>
      <c r="B5531" s="4" t="s">
        <v>47</v>
      </c>
      <c r="C5531" s="5">
        <v>45327</v>
      </c>
      <c r="D5531" s="4">
        <v>6</v>
      </c>
      <c r="E5531" s="4">
        <v>1.91</v>
      </c>
    </row>
    <row r="5532" spans="1:5" x14ac:dyDescent="0.25">
      <c r="A5532" s="4" t="s">
        <v>53</v>
      </c>
      <c r="B5532" s="4" t="s">
        <v>47</v>
      </c>
      <c r="C5532" s="5">
        <v>45327</v>
      </c>
      <c r="D5532" s="4">
        <v>13.1</v>
      </c>
      <c r="E5532" s="4">
        <v>4.24</v>
      </c>
    </row>
    <row r="5533" spans="1:5" x14ac:dyDescent="0.25">
      <c r="A5533" s="4" t="s">
        <v>53</v>
      </c>
      <c r="B5533" s="4" t="s">
        <v>47</v>
      </c>
      <c r="C5533" s="5">
        <v>45327</v>
      </c>
      <c r="D5533" s="4">
        <v>13.1</v>
      </c>
      <c r="E5533" s="4">
        <v>4.24</v>
      </c>
    </row>
    <row r="5534" spans="1:5" x14ac:dyDescent="0.25">
      <c r="A5534" s="4" t="s">
        <v>53</v>
      </c>
      <c r="B5534" s="4" t="s">
        <v>47</v>
      </c>
      <c r="C5534" s="5">
        <v>45327</v>
      </c>
      <c r="D5534" s="4">
        <v>6</v>
      </c>
      <c r="E5534" s="4">
        <v>1.91</v>
      </c>
    </row>
    <row r="5535" spans="1:5" x14ac:dyDescent="0.25">
      <c r="A5535" s="4" t="s">
        <v>53</v>
      </c>
      <c r="B5535" s="4" t="s">
        <v>47</v>
      </c>
      <c r="C5535" s="5">
        <v>45327</v>
      </c>
      <c r="D5535" s="4">
        <v>6.1</v>
      </c>
      <c r="E5535" s="4">
        <v>1.94</v>
      </c>
    </row>
    <row r="5536" spans="1:5" x14ac:dyDescent="0.25">
      <c r="A5536" s="4" t="s">
        <v>53</v>
      </c>
      <c r="B5536" s="4" t="s">
        <v>47</v>
      </c>
      <c r="C5536" s="5">
        <v>45327</v>
      </c>
      <c r="D5536" s="4">
        <v>13.1</v>
      </c>
      <c r="E5536" s="4">
        <v>4.24</v>
      </c>
    </row>
    <row r="5537" spans="1:5" x14ac:dyDescent="0.25">
      <c r="A5537" s="4" t="s">
        <v>53</v>
      </c>
      <c r="B5537" s="4" t="s">
        <v>47</v>
      </c>
      <c r="C5537" s="5">
        <v>45327</v>
      </c>
      <c r="D5537" s="4">
        <v>13.1</v>
      </c>
      <c r="E5537" s="4">
        <v>4.24</v>
      </c>
    </row>
    <row r="5538" spans="1:5" x14ac:dyDescent="0.25">
      <c r="A5538" s="4" t="s">
        <v>53</v>
      </c>
      <c r="B5538" s="4" t="s">
        <v>47</v>
      </c>
      <c r="C5538" s="5">
        <v>45327</v>
      </c>
      <c r="D5538" s="4">
        <v>13.1</v>
      </c>
      <c r="E5538" s="4">
        <v>4.24</v>
      </c>
    </row>
    <row r="5539" spans="1:5" x14ac:dyDescent="0.25">
      <c r="A5539" s="4" t="s">
        <v>53</v>
      </c>
      <c r="B5539" s="4" t="s">
        <v>47</v>
      </c>
      <c r="C5539" s="5">
        <v>45327</v>
      </c>
      <c r="D5539" s="4">
        <v>30.6</v>
      </c>
      <c r="E5539" s="4">
        <v>9.92</v>
      </c>
    </row>
    <row r="5540" spans="1:5" x14ac:dyDescent="0.25">
      <c r="A5540" s="4" t="s">
        <v>53</v>
      </c>
      <c r="B5540" s="4" t="s">
        <v>47</v>
      </c>
      <c r="C5540" s="5">
        <v>45328</v>
      </c>
      <c r="D5540" s="4">
        <v>13.8</v>
      </c>
      <c r="E5540" s="4">
        <v>4.47</v>
      </c>
    </row>
    <row r="5541" spans="1:5" x14ac:dyDescent="0.25">
      <c r="A5541" s="4" t="s">
        <v>53</v>
      </c>
      <c r="B5541" s="4" t="s">
        <v>47</v>
      </c>
      <c r="C5541" s="5">
        <v>45328</v>
      </c>
      <c r="D5541" s="4">
        <v>2.5</v>
      </c>
      <c r="E5541" s="4">
        <v>0.81</v>
      </c>
    </row>
    <row r="5542" spans="1:5" x14ac:dyDescent="0.25">
      <c r="A5542" s="4" t="s">
        <v>53</v>
      </c>
      <c r="B5542" s="4" t="s">
        <v>47</v>
      </c>
      <c r="C5542" s="5">
        <v>45328</v>
      </c>
      <c r="D5542" s="4">
        <v>2.4</v>
      </c>
      <c r="E5542" s="4">
        <v>0.75</v>
      </c>
    </row>
    <row r="5543" spans="1:5" x14ac:dyDescent="0.25">
      <c r="A5543" s="4" t="s">
        <v>53</v>
      </c>
      <c r="B5543" s="4" t="s">
        <v>47</v>
      </c>
      <c r="C5543" s="5">
        <v>45328</v>
      </c>
      <c r="D5543" s="4">
        <v>2.5</v>
      </c>
      <c r="E5543" s="4">
        <v>0.81</v>
      </c>
    </row>
    <row r="5544" spans="1:5" x14ac:dyDescent="0.25">
      <c r="A5544" s="4" t="s">
        <v>53</v>
      </c>
      <c r="B5544" s="4" t="s">
        <v>47</v>
      </c>
      <c r="C5544" s="5">
        <v>45328</v>
      </c>
      <c r="D5544" s="4">
        <v>2.4</v>
      </c>
      <c r="E5544" s="4">
        <v>0.75</v>
      </c>
    </row>
    <row r="5545" spans="1:5" x14ac:dyDescent="0.25">
      <c r="A5545" s="4" t="s">
        <v>53</v>
      </c>
      <c r="B5545" s="4" t="s">
        <v>47</v>
      </c>
      <c r="C5545" s="5">
        <v>45328</v>
      </c>
      <c r="D5545" s="4">
        <v>2.5</v>
      </c>
      <c r="E5545" s="4">
        <v>0.81</v>
      </c>
    </row>
    <row r="5546" spans="1:5" x14ac:dyDescent="0.25">
      <c r="A5546" s="4" t="s">
        <v>53</v>
      </c>
      <c r="B5546" s="4" t="s">
        <v>47</v>
      </c>
      <c r="C5546" s="5">
        <v>45328</v>
      </c>
      <c r="D5546" s="4">
        <v>2.4</v>
      </c>
      <c r="E5546" s="4">
        <v>0.75</v>
      </c>
    </row>
    <row r="5547" spans="1:5" x14ac:dyDescent="0.25">
      <c r="A5547" s="4" t="s">
        <v>53</v>
      </c>
      <c r="B5547" s="4" t="s">
        <v>47</v>
      </c>
      <c r="C5547" s="5">
        <v>45328</v>
      </c>
      <c r="D5547" s="4">
        <v>2.5</v>
      </c>
      <c r="E5547" s="4">
        <v>0.81</v>
      </c>
    </row>
    <row r="5548" spans="1:5" x14ac:dyDescent="0.25">
      <c r="A5548" s="4" t="s">
        <v>53</v>
      </c>
      <c r="B5548" s="4" t="s">
        <v>47</v>
      </c>
      <c r="C5548" s="5">
        <v>45328</v>
      </c>
      <c r="D5548" s="4">
        <v>2.4</v>
      </c>
      <c r="E5548" s="4">
        <v>0.75</v>
      </c>
    </row>
    <row r="5549" spans="1:5" x14ac:dyDescent="0.25">
      <c r="A5549" s="4" t="s">
        <v>53</v>
      </c>
      <c r="B5549" s="4" t="s">
        <v>47</v>
      </c>
      <c r="C5549" s="5">
        <v>45328</v>
      </c>
      <c r="D5549" s="4">
        <v>2.5</v>
      </c>
      <c r="E5549" s="4">
        <v>0.81</v>
      </c>
    </row>
    <row r="5550" spans="1:5" x14ac:dyDescent="0.25">
      <c r="A5550" s="4" t="s">
        <v>53</v>
      </c>
      <c r="B5550" s="4" t="s">
        <v>47</v>
      </c>
      <c r="C5550" s="5">
        <v>45328</v>
      </c>
      <c r="D5550" s="4">
        <v>2.4</v>
      </c>
      <c r="E5550" s="4">
        <v>0.75</v>
      </c>
    </row>
    <row r="5551" spans="1:5" x14ac:dyDescent="0.25">
      <c r="A5551" s="4" t="s">
        <v>53</v>
      </c>
      <c r="B5551" s="4" t="s">
        <v>47</v>
      </c>
      <c r="C5551" s="5">
        <v>45328</v>
      </c>
      <c r="D5551" s="4">
        <v>2.5</v>
      </c>
      <c r="E5551" s="4">
        <v>0.81</v>
      </c>
    </row>
    <row r="5552" spans="1:5" x14ac:dyDescent="0.25">
      <c r="A5552" s="4" t="s">
        <v>53</v>
      </c>
      <c r="B5552" s="4" t="s">
        <v>47</v>
      </c>
      <c r="C5552" s="5">
        <v>45328</v>
      </c>
      <c r="D5552" s="4">
        <v>2.4</v>
      </c>
      <c r="E5552" s="4">
        <v>0.75</v>
      </c>
    </row>
    <row r="5553" spans="1:5" x14ac:dyDescent="0.25">
      <c r="A5553" s="4" t="s">
        <v>53</v>
      </c>
      <c r="B5553" s="4" t="s">
        <v>47</v>
      </c>
      <c r="C5553" s="5">
        <v>45328</v>
      </c>
      <c r="D5553" s="4">
        <v>2.5</v>
      </c>
      <c r="E5553" s="4">
        <v>0.81</v>
      </c>
    </row>
    <row r="5554" spans="1:5" x14ac:dyDescent="0.25">
      <c r="A5554" s="4" t="s">
        <v>53</v>
      </c>
      <c r="B5554" s="4" t="s">
        <v>47</v>
      </c>
      <c r="C5554" s="5">
        <v>45329</v>
      </c>
      <c r="D5554" s="4">
        <v>2.4</v>
      </c>
      <c r="E5554" s="4">
        <v>0.75</v>
      </c>
    </row>
    <row r="5555" spans="1:5" x14ac:dyDescent="0.25">
      <c r="A5555" s="4" t="s">
        <v>53</v>
      </c>
      <c r="B5555" s="4" t="s">
        <v>47</v>
      </c>
      <c r="C5555" s="5">
        <v>45329</v>
      </c>
      <c r="D5555" s="4">
        <v>9.3000000000000007</v>
      </c>
      <c r="E5555" s="4">
        <v>2.88</v>
      </c>
    </row>
    <row r="5556" spans="1:5" x14ac:dyDescent="0.25">
      <c r="A5556" s="4" t="s">
        <v>53</v>
      </c>
      <c r="B5556" s="4" t="s">
        <v>47</v>
      </c>
      <c r="C5556" s="5">
        <v>45329</v>
      </c>
      <c r="D5556" s="4">
        <v>3.7</v>
      </c>
      <c r="E5556" s="4">
        <v>1.1399999999999999</v>
      </c>
    </row>
    <row r="5557" spans="1:5" x14ac:dyDescent="0.25">
      <c r="A5557" s="4" t="s">
        <v>53</v>
      </c>
      <c r="B5557" s="4" t="s">
        <v>47</v>
      </c>
      <c r="C5557" s="5">
        <v>45329</v>
      </c>
      <c r="D5557" s="4">
        <v>2.5</v>
      </c>
      <c r="E5557" s="4">
        <v>0.81</v>
      </c>
    </row>
    <row r="5558" spans="1:5" x14ac:dyDescent="0.25">
      <c r="A5558" s="4" t="s">
        <v>53</v>
      </c>
      <c r="B5558" s="4" t="s">
        <v>47</v>
      </c>
      <c r="C5558" s="5">
        <v>45329</v>
      </c>
      <c r="D5558" s="4">
        <v>2.4</v>
      </c>
      <c r="E5558" s="4">
        <v>0.75</v>
      </c>
    </row>
    <row r="5559" spans="1:5" x14ac:dyDescent="0.25">
      <c r="A5559" s="4" t="s">
        <v>53</v>
      </c>
      <c r="B5559" s="4" t="s">
        <v>47</v>
      </c>
      <c r="C5559" s="5">
        <v>45329</v>
      </c>
      <c r="D5559" s="4">
        <v>2.5</v>
      </c>
      <c r="E5559" s="4">
        <v>0.81</v>
      </c>
    </row>
    <row r="5560" spans="1:5" x14ac:dyDescent="0.25">
      <c r="A5560" s="4" t="s">
        <v>53</v>
      </c>
      <c r="B5560" s="4" t="s">
        <v>47</v>
      </c>
      <c r="C5560" s="5">
        <v>45329</v>
      </c>
      <c r="D5560" s="4">
        <v>2.4</v>
      </c>
      <c r="E5560" s="4">
        <v>0.75</v>
      </c>
    </row>
    <row r="5561" spans="1:5" x14ac:dyDescent="0.25">
      <c r="A5561" s="4" t="s">
        <v>53</v>
      </c>
      <c r="B5561" s="4" t="s">
        <v>47</v>
      </c>
      <c r="C5561" s="5">
        <v>45329</v>
      </c>
      <c r="D5561" s="4">
        <v>2.5</v>
      </c>
      <c r="E5561" s="4">
        <v>0.81</v>
      </c>
    </row>
    <row r="5562" spans="1:5" x14ac:dyDescent="0.25">
      <c r="A5562" s="4" t="s">
        <v>53</v>
      </c>
      <c r="B5562" s="4" t="s">
        <v>47</v>
      </c>
      <c r="C5562" s="5">
        <v>45329</v>
      </c>
      <c r="D5562" s="4">
        <v>29</v>
      </c>
      <c r="E5562" s="4">
        <v>9.34</v>
      </c>
    </row>
    <row r="5563" spans="1:5" x14ac:dyDescent="0.25">
      <c r="A5563" s="4" t="s">
        <v>53</v>
      </c>
      <c r="B5563" s="4" t="s">
        <v>47</v>
      </c>
      <c r="C5563" s="5">
        <v>45329</v>
      </c>
      <c r="D5563" s="4">
        <v>1</v>
      </c>
      <c r="E5563" s="4">
        <v>0.31</v>
      </c>
    </row>
    <row r="5564" spans="1:5" x14ac:dyDescent="0.25">
      <c r="A5564" s="4" t="s">
        <v>53</v>
      </c>
      <c r="B5564" s="4" t="s">
        <v>47</v>
      </c>
      <c r="C5564" s="5">
        <v>45329</v>
      </c>
      <c r="D5564" s="4">
        <v>2.2000000000000002</v>
      </c>
      <c r="E5564" s="4">
        <v>0.69</v>
      </c>
    </row>
    <row r="5565" spans="1:5" x14ac:dyDescent="0.25">
      <c r="A5565" s="4" t="s">
        <v>53</v>
      </c>
      <c r="B5565" s="4" t="s">
        <v>47</v>
      </c>
      <c r="C5565" s="5">
        <v>45329</v>
      </c>
      <c r="D5565" s="4">
        <v>6.2</v>
      </c>
      <c r="E5565" s="4">
        <v>1.92</v>
      </c>
    </row>
    <row r="5566" spans="1:5" x14ac:dyDescent="0.25">
      <c r="A5566" s="4" t="s">
        <v>53</v>
      </c>
      <c r="B5566" s="4" t="s">
        <v>47</v>
      </c>
      <c r="C5566" s="5">
        <v>45329</v>
      </c>
      <c r="D5566" s="4">
        <v>0.2</v>
      </c>
      <c r="E5566" s="4">
        <v>0.06</v>
      </c>
    </row>
    <row r="5567" spans="1:5" x14ac:dyDescent="0.25">
      <c r="A5567" s="4" t="s">
        <v>53</v>
      </c>
      <c r="B5567" s="4" t="s">
        <v>47</v>
      </c>
      <c r="C5567" s="5">
        <v>45329</v>
      </c>
      <c r="D5567" s="4">
        <v>0.2</v>
      </c>
      <c r="E5567" s="4">
        <v>0.06</v>
      </c>
    </row>
    <row r="5568" spans="1:5" x14ac:dyDescent="0.25">
      <c r="A5568" s="4" t="s">
        <v>53</v>
      </c>
      <c r="B5568" s="4" t="s">
        <v>47</v>
      </c>
      <c r="C5568" s="5">
        <v>45329</v>
      </c>
      <c r="D5568" s="4">
        <v>0.6</v>
      </c>
      <c r="E5568" s="4">
        <v>0.18</v>
      </c>
    </row>
    <row r="5569" spans="1:5" x14ac:dyDescent="0.25">
      <c r="A5569" s="4" t="s">
        <v>53</v>
      </c>
      <c r="B5569" s="4" t="s">
        <v>47</v>
      </c>
      <c r="C5569" s="5">
        <v>45329</v>
      </c>
      <c r="D5569" s="4">
        <v>2.5</v>
      </c>
      <c r="E5569" s="4">
        <v>0.81</v>
      </c>
    </row>
    <row r="5570" spans="1:5" x14ac:dyDescent="0.25">
      <c r="A5570" s="4" t="s">
        <v>53</v>
      </c>
      <c r="B5570" s="4" t="s">
        <v>47</v>
      </c>
      <c r="C5570" s="5">
        <v>45330</v>
      </c>
      <c r="D5570" s="4">
        <v>29</v>
      </c>
      <c r="E5570" s="4">
        <v>9.34</v>
      </c>
    </row>
    <row r="5571" spans="1:5" x14ac:dyDescent="0.25">
      <c r="A5571" s="4" t="s">
        <v>53</v>
      </c>
      <c r="B5571" s="4" t="s">
        <v>47</v>
      </c>
      <c r="C5571" s="5">
        <v>45330</v>
      </c>
      <c r="D5571" s="4">
        <v>0.2</v>
      </c>
      <c r="E5571" s="4">
        <v>0.06</v>
      </c>
    </row>
    <row r="5572" spans="1:5" x14ac:dyDescent="0.25">
      <c r="A5572" s="4" t="s">
        <v>53</v>
      </c>
      <c r="B5572" s="4" t="s">
        <v>47</v>
      </c>
      <c r="C5572" s="5">
        <v>45330</v>
      </c>
      <c r="D5572" s="4">
        <v>0.6</v>
      </c>
      <c r="E5572" s="4">
        <v>0.18</v>
      </c>
    </row>
    <row r="5573" spans="1:5" x14ac:dyDescent="0.25">
      <c r="A5573" s="4" t="s">
        <v>53</v>
      </c>
      <c r="B5573" s="4" t="s">
        <v>47</v>
      </c>
      <c r="C5573" s="5">
        <v>45330</v>
      </c>
      <c r="D5573" s="4">
        <v>6.2</v>
      </c>
      <c r="E5573" s="4">
        <v>1.92</v>
      </c>
    </row>
    <row r="5574" spans="1:5" x14ac:dyDescent="0.25">
      <c r="A5574" s="4" t="s">
        <v>53</v>
      </c>
      <c r="B5574" s="4" t="s">
        <v>47</v>
      </c>
      <c r="C5574" s="5">
        <v>45330</v>
      </c>
      <c r="D5574" s="4">
        <v>0.2</v>
      </c>
      <c r="E5574" s="4">
        <v>0.06</v>
      </c>
    </row>
    <row r="5575" spans="1:5" x14ac:dyDescent="0.25">
      <c r="A5575" s="4" t="s">
        <v>53</v>
      </c>
      <c r="B5575" s="4" t="s">
        <v>47</v>
      </c>
      <c r="C5575" s="5">
        <v>45330</v>
      </c>
      <c r="D5575" s="4">
        <v>7.2</v>
      </c>
      <c r="E5575" s="4">
        <v>2.25</v>
      </c>
    </row>
    <row r="5576" spans="1:5" x14ac:dyDescent="0.25">
      <c r="A5576" s="4" t="s">
        <v>53</v>
      </c>
      <c r="B5576" s="4" t="s">
        <v>47</v>
      </c>
      <c r="C5576" s="5">
        <v>45330</v>
      </c>
      <c r="D5576" s="4">
        <v>9.3000000000000007</v>
      </c>
      <c r="E5576" s="4">
        <v>2.88</v>
      </c>
    </row>
    <row r="5577" spans="1:5" x14ac:dyDescent="0.25">
      <c r="A5577" s="4" t="s">
        <v>53</v>
      </c>
      <c r="B5577" s="4" t="s">
        <v>47</v>
      </c>
      <c r="C5577" s="5">
        <v>45330</v>
      </c>
      <c r="D5577" s="4">
        <v>1</v>
      </c>
      <c r="E5577" s="4">
        <v>0.31</v>
      </c>
    </row>
    <row r="5578" spans="1:5" x14ac:dyDescent="0.25">
      <c r="A5578" s="4" t="s">
        <v>53</v>
      </c>
      <c r="B5578" s="4" t="s">
        <v>47</v>
      </c>
      <c r="C5578" s="5">
        <v>45330</v>
      </c>
      <c r="D5578" s="4">
        <v>2.2000000000000002</v>
      </c>
      <c r="E5578" s="4">
        <v>0.69</v>
      </c>
    </row>
    <row r="5579" spans="1:5" x14ac:dyDescent="0.25">
      <c r="A5579" s="4" t="s">
        <v>53</v>
      </c>
      <c r="B5579" s="4" t="s">
        <v>47</v>
      </c>
      <c r="C5579" s="5">
        <v>45330</v>
      </c>
      <c r="D5579" s="4">
        <v>6.2</v>
      </c>
      <c r="E5579" s="4">
        <v>1.92</v>
      </c>
    </row>
    <row r="5580" spans="1:5" x14ac:dyDescent="0.25">
      <c r="A5580" s="4" t="s">
        <v>53</v>
      </c>
      <c r="B5580" s="4" t="s">
        <v>47</v>
      </c>
      <c r="C5580" s="5">
        <v>45330</v>
      </c>
      <c r="D5580" s="4">
        <v>0.2</v>
      </c>
      <c r="E5580" s="4">
        <v>0.06</v>
      </c>
    </row>
    <row r="5581" spans="1:5" x14ac:dyDescent="0.25">
      <c r="A5581" s="4" t="s">
        <v>53</v>
      </c>
      <c r="B5581" s="4" t="s">
        <v>47</v>
      </c>
      <c r="C5581" s="5">
        <v>45330</v>
      </c>
      <c r="D5581" s="4">
        <v>0.9</v>
      </c>
      <c r="E5581" s="4">
        <v>0.28000000000000003</v>
      </c>
    </row>
    <row r="5582" spans="1:5" x14ac:dyDescent="0.25">
      <c r="A5582" s="4" t="s">
        <v>53</v>
      </c>
      <c r="B5582" s="4" t="s">
        <v>47</v>
      </c>
      <c r="C5582" s="5">
        <v>45330</v>
      </c>
      <c r="D5582" s="4">
        <v>0.1</v>
      </c>
      <c r="E5582" s="4">
        <v>0.03</v>
      </c>
    </row>
    <row r="5583" spans="1:5" x14ac:dyDescent="0.25">
      <c r="A5583" s="4" t="s">
        <v>53</v>
      </c>
      <c r="B5583" s="4" t="s">
        <v>47</v>
      </c>
      <c r="C5583" s="5">
        <v>45330</v>
      </c>
      <c r="D5583" s="4">
        <v>6.2</v>
      </c>
      <c r="E5583" s="4">
        <v>1.92</v>
      </c>
    </row>
    <row r="5584" spans="1:5" x14ac:dyDescent="0.25">
      <c r="A5584" s="4" t="s">
        <v>53</v>
      </c>
      <c r="B5584" s="4" t="s">
        <v>47</v>
      </c>
      <c r="C5584" s="5">
        <v>45330</v>
      </c>
      <c r="D5584" s="4">
        <v>0.2</v>
      </c>
      <c r="E5584" s="4">
        <v>0.06</v>
      </c>
    </row>
    <row r="5585" spans="1:5" x14ac:dyDescent="0.25">
      <c r="A5585" s="4" t="s">
        <v>53</v>
      </c>
      <c r="B5585" s="4" t="s">
        <v>47</v>
      </c>
      <c r="C5585" s="5">
        <v>45330</v>
      </c>
      <c r="D5585" s="4">
        <v>7.2</v>
      </c>
      <c r="E5585" s="4">
        <v>2.25</v>
      </c>
    </row>
    <row r="5586" spans="1:5" x14ac:dyDescent="0.25">
      <c r="A5586" s="4" t="s">
        <v>53</v>
      </c>
      <c r="B5586" s="4" t="s">
        <v>47</v>
      </c>
      <c r="C5586" s="5">
        <v>45330</v>
      </c>
      <c r="D5586" s="4">
        <v>2.5</v>
      </c>
      <c r="E5586" s="4">
        <v>0.81</v>
      </c>
    </row>
    <row r="5587" spans="1:5" x14ac:dyDescent="0.25">
      <c r="A5587" s="4" t="s">
        <v>53</v>
      </c>
      <c r="B5587" s="4" t="s">
        <v>47</v>
      </c>
      <c r="C5587" s="5">
        <v>45331</v>
      </c>
      <c r="D5587" s="4">
        <v>30.6</v>
      </c>
      <c r="E5587" s="4">
        <v>9.92</v>
      </c>
    </row>
    <row r="5588" spans="1:5" x14ac:dyDescent="0.25">
      <c r="A5588" s="4" t="s">
        <v>53</v>
      </c>
      <c r="B5588" s="4" t="s">
        <v>47</v>
      </c>
      <c r="C5588" s="5">
        <v>45331</v>
      </c>
      <c r="D5588" s="4">
        <v>2.4</v>
      </c>
      <c r="E5588" s="4">
        <v>0.75</v>
      </c>
    </row>
    <row r="5589" spans="1:5" x14ac:dyDescent="0.25">
      <c r="A5589" s="4" t="s">
        <v>53</v>
      </c>
      <c r="B5589" s="4" t="s">
        <v>47</v>
      </c>
      <c r="C5589" s="5">
        <v>45331</v>
      </c>
      <c r="D5589" s="4">
        <v>2.4</v>
      </c>
      <c r="E5589" s="4">
        <v>0.75</v>
      </c>
    </row>
    <row r="5590" spans="1:5" x14ac:dyDescent="0.25">
      <c r="A5590" s="4" t="s">
        <v>53</v>
      </c>
      <c r="B5590" s="4" t="s">
        <v>47</v>
      </c>
      <c r="C5590" s="5">
        <v>45331</v>
      </c>
      <c r="D5590" s="4">
        <v>2.4</v>
      </c>
      <c r="E5590" s="4">
        <v>0.75</v>
      </c>
    </row>
    <row r="5591" spans="1:5" x14ac:dyDescent="0.25">
      <c r="A5591" s="4" t="s">
        <v>53</v>
      </c>
      <c r="B5591" s="4" t="s">
        <v>47</v>
      </c>
      <c r="C5591" s="5">
        <v>45331</v>
      </c>
      <c r="D5591" s="4">
        <v>4.8</v>
      </c>
      <c r="E5591" s="4">
        <v>1.53</v>
      </c>
    </row>
    <row r="5592" spans="1:5" x14ac:dyDescent="0.25">
      <c r="A5592" s="4" t="s">
        <v>53</v>
      </c>
      <c r="B5592" s="4" t="s">
        <v>47</v>
      </c>
      <c r="C5592" s="5">
        <v>45331</v>
      </c>
      <c r="D5592" s="4">
        <v>3.8</v>
      </c>
      <c r="E5592" s="4">
        <v>1.22</v>
      </c>
    </row>
    <row r="5593" spans="1:5" x14ac:dyDescent="0.25">
      <c r="A5593" s="4" t="s">
        <v>53</v>
      </c>
      <c r="B5593" s="4" t="s">
        <v>47</v>
      </c>
      <c r="C5593" s="5">
        <v>45334</v>
      </c>
      <c r="D5593" s="4">
        <v>2.4</v>
      </c>
      <c r="E5593" s="4">
        <v>0.75</v>
      </c>
    </row>
    <row r="5594" spans="1:5" x14ac:dyDescent="0.25">
      <c r="A5594" s="4" t="s">
        <v>53</v>
      </c>
      <c r="B5594" s="4" t="s">
        <v>47</v>
      </c>
      <c r="C5594" s="5">
        <v>45334</v>
      </c>
      <c r="D5594" s="4">
        <v>0.8</v>
      </c>
      <c r="E5594" s="4">
        <v>0.26</v>
      </c>
    </row>
    <row r="5595" spans="1:5" x14ac:dyDescent="0.25">
      <c r="A5595" s="4" t="s">
        <v>53</v>
      </c>
      <c r="B5595" s="4" t="s">
        <v>47</v>
      </c>
      <c r="C5595" s="5">
        <v>45334</v>
      </c>
      <c r="D5595" s="4">
        <v>0.4</v>
      </c>
      <c r="E5595" s="4">
        <v>0.12</v>
      </c>
    </row>
    <row r="5596" spans="1:5" x14ac:dyDescent="0.25">
      <c r="A5596" s="4" t="s">
        <v>53</v>
      </c>
      <c r="B5596" s="4" t="s">
        <v>47</v>
      </c>
      <c r="C5596" s="5">
        <v>45334</v>
      </c>
      <c r="D5596" s="4">
        <v>4.0999999999999996</v>
      </c>
      <c r="E5596" s="4">
        <v>1.32</v>
      </c>
    </row>
    <row r="5597" spans="1:5" x14ac:dyDescent="0.25">
      <c r="A5597" s="4" t="s">
        <v>53</v>
      </c>
      <c r="B5597" s="4" t="s">
        <v>47</v>
      </c>
      <c r="C5597" s="5">
        <v>45334</v>
      </c>
      <c r="D5597" s="4">
        <v>7</v>
      </c>
      <c r="E5597" s="4">
        <v>2.2400000000000002</v>
      </c>
    </row>
    <row r="5598" spans="1:5" x14ac:dyDescent="0.25">
      <c r="A5598" s="4" t="s">
        <v>53</v>
      </c>
      <c r="B5598" s="4" t="s">
        <v>47</v>
      </c>
      <c r="C5598" s="5">
        <v>45334</v>
      </c>
      <c r="D5598" s="4">
        <v>0.3</v>
      </c>
      <c r="E5598" s="4">
        <v>0.1</v>
      </c>
    </row>
    <row r="5599" spans="1:5" x14ac:dyDescent="0.25">
      <c r="A5599" s="4" t="s">
        <v>53</v>
      </c>
      <c r="B5599" s="4" t="s">
        <v>47</v>
      </c>
      <c r="C5599" s="5">
        <v>45334</v>
      </c>
      <c r="D5599" s="4">
        <v>0.5</v>
      </c>
      <c r="E5599" s="4">
        <v>0.16</v>
      </c>
    </row>
    <row r="5600" spans="1:5" x14ac:dyDescent="0.25">
      <c r="A5600" s="4" t="s">
        <v>53</v>
      </c>
      <c r="B5600" s="4" t="s">
        <v>47</v>
      </c>
      <c r="C5600" s="5">
        <v>45334</v>
      </c>
      <c r="D5600" s="4">
        <v>3.7</v>
      </c>
      <c r="E5600" s="4">
        <v>1.19</v>
      </c>
    </row>
    <row r="5601" spans="1:5" x14ac:dyDescent="0.25">
      <c r="A5601" s="4" t="s">
        <v>53</v>
      </c>
      <c r="B5601" s="4" t="s">
        <v>47</v>
      </c>
      <c r="C5601" s="5">
        <v>45334</v>
      </c>
      <c r="D5601" s="4">
        <v>7</v>
      </c>
      <c r="E5601" s="4">
        <v>2.2400000000000002</v>
      </c>
    </row>
    <row r="5602" spans="1:5" x14ac:dyDescent="0.25">
      <c r="A5602" s="4" t="s">
        <v>53</v>
      </c>
      <c r="B5602" s="4" t="s">
        <v>47</v>
      </c>
      <c r="C5602" s="5">
        <v>45334</v>
      </c>
      <c r="D5602" s="4">
        <v>0.3</v>
      </c>
      <c r="E5602" s="4">
        <v>0.1</v>
      </c>
    </row>
    <row r="5603" spans="1:5" x14ac:dyDescent="0.25">
      <c r="A5603" s="4" t="s">
        <v>53</v>
      </c>
      <c r="B5603" s="4" t="s">
        <v>47</v>
      </c>
      <c r="C5603" s="5">
        <v>45334</v>
      </c>
      <c r="D5603" s="4">
        <v>4.0999999999999996</v>
      </c>
      <c r="E5603" s="4">
        <v>1.32</v>
      </c>
    </row>
    <row r="5604" spans="1:5" x14ac:dyDescent="0.25">
      <c r="A5604" s="4" t="s">
        <v>53</v>
      </c>
      <c r="B5604" s="4" t="s">
        <v>47</v>
      </c>
      <c r="C5604" s="5">
        <v>45334</v>
      </c>
      <c r="D5604" s="4">
        <v>7</v>
      </c>
      <c r="E5604" s="4">
        <v>2.2400000000000002</v>
      </c>
    </row>
    <row r="5605" spans="1:5" x14ac:dyDescent="0.25">
      <c r="A5605" s="4" t="s">
        <v>53</v>
      </c>
      <c r="B5605" s="4" t="s">
        <v>47</v>
      </c>
      <c r="C5605" s="5">
        <v>45334</v>
      </c>
      <c r="D5605" s="4">
        <v>0.3</v>
      </c>
      <c r="E5605" s="4">
        <v>0.1</v>
      </c>
    </row>
    <row r="5606" spans="1:5" x14ac:dyDescent="0.25">
      <c r="A5606" s="4" t="s">
        <v>53</v>
      </c>
      <c r="B5606" s="4" t="s">
        <v>47</v>
      </c>
      <c r="C5606" s="5">
        <v>45334</v>
      </c>
      <c r="D5606" s="4">
        <v>4.0999999999999996</v>
      </c>
      <c r="E5606" s="4">
        <v>1.32</v>
      </c>
    </row>
    <row r="5607" spans="1:5" x14ac:dyDescent="0.25">
      <c r="A5607" s="4" t="s">
        <v>53</v>
      </c>
      <c r="B5607" s="4" t="s">
        <v>47</v>
      </c>
      <c r="C5607" s="5">
        <v>45334</v>
      </c>
      <c r="D5607" s="4">
        <v>10.8</v>
      </c>
      <c r="E5607" s="4">
        <v>3.48</v>
      </c>
    </row>
    <row r="5608" spans="1:5" x14ac:dyDescent="0.25">
      <c r="A5608" s="4" t="s">
        <v>53</v>
      </c>
      <c r="B5608" s="4" t="s">
        <v>47</v>
      </c>
      <c r="C5608" s="5">
        <v>45334</v>
      </c>
      <c r="D5608" s="4">
        <v>0.3</v>
      </c>
      <c r="E5608" s="4">
        <v>0.1</v>
      </c>
    </row>
    <row r="5609" spans="1:5" x14ac:dyDescent="0.25">
      <c r="A5609" s="4" t="s">
        <v>53</v>
      </c>
      <c r="B5609" s="4" t="s">
        <v>47</v>
      </c>
      <c r="C5609" s="5">
        <v>45334</v>
      </c>
      <c r="D5609" s="4">
        <v>4.0999999999999996</v>
      </c>
      <c r="E5609" s="4">
        <v>1.32</v>
      </c>
    </row>
    <row r="5610" spans="1:5" x14ac:dyDescent="0.25">
      <c r="A5610" s="4" t="s">
        <v>53</v>
      </c>
      <c r="B5610" s="4" t="s">
        <v>47</v>
      </c>
      <c r="C5610" s="5">
        <v>45334</v>
      </c>
      <c r="D5610" s="4">
        <v>7</v>
      </c>
      <c r="E5610" s="4">
        <v>2.2400000000000002</v>
      </c>
    </row>
    <row r="5611" spans="1:5" x14ac:dyDescent="0.25">
      <c r="A5611" s="4" t="s">
        <v>53</v>
      </c>
      <c r="B5611" s="4" t="s">
        <v>47</v>
      </c>
      <c r="C5611" s="5">
        <v>45334</v>
      </c>
      <c r="D5611" s="4">
        <v>0.3</v>
      </c>
      <c r="E5611" s="4">
        <v>0.1</v>
      </c>
    </row>
    <row r="5612" spans="1:5" x14ac:dyDescent="0.25">
      <c r="A5612" s="4" t="s">
        <v>53</v>
      </c>
      <c r="B5612" s="4" t="s">
        <v>47</v>
      </c>
      <c r="C5612" s="5">
        <v>45334</v>
      </c>
      <c r="D5612" s="4">
        <v>4.0999999999999996</v>
      </c>
      <c r="E5612" s="4">
        <v>1.32</v>
      </c>
    </row>
    <row r="5613" spans="1:5" x14ac:dyDescent="0.25">
      <c r="A5613" s="4" t="s">
        <v>53</v>
      </c>
      <c r="B5613" s="4" t="s">
        <v>47</v>
      </c>
      <c r="C5613" s="5">
        <v>45334</v>
      </c>
      <c r="D5613" s="4">
        <v>30.6</v>
      </c>
      <c r="E5613" s="4">
        <v>9.92</v>
      </c>
    </row>
    <row r="5614" spans="1:5" x14ac:dyDescent="0.25">
      <c r="A5614" s="4" t="s">
        <v>53</v>
      </c>
      <c r="B5614" s="4" t="s">
        <v>47</v>
      </c>
      <c r="C5614" s="5">
        <v>45335</v>
      </c>
      <c r="D5614" s="4">
        <v>2.4</v>
      </c>
      <c r="E5614" s="4">
        <v>0.75</v>
      </c>
    </row>
    <row r="5615" spans="1:5" x14ac:dyDescent="0.25">
      <c r="A5615" s="4" t="s">
        <v>53</v>
      </c>
      <c r="B5615" s="4" t="s">
        <v>47</v>
      </c>
      <c r="C5615" s="5">
        <v>45335</v>
      </c>
      <c r="D5615" s="4">
        <v>0.8</v>
      </c>
      <c r="E5615" s="4">
        <v>0.26</v>
      </c>
    </row>
    <row r="5616" spans="1:5" x14ac:dyDescent="0.25">
      <c r="A5616" s="4" t="s">
        <v>53</v>
      </c>
      <c r="B5616" s="4" t="s">
        <v>47</v>
      </c>
      <c r="C5616" s="5">
        <v>45335</v>
      </c>
      <c r="D5616" s="4">
        <v>4.0999999999999996</v>
      </c>
      <c r="E5616" s="4">
        <v>1.32</v>
      </c>
    </row>
    <row r="5617" spans="1:5" x14ac:dyDescent="0.25">
      <c r="A5617" s="4" t="s">
        <v>53</v>
      </c>
      <c r="B5617" s="4" t="s">
        <v>47</v>
      </c>
      <c r="C5617" s="5">
        <v>45335</v>
      </c>
      <c r="D5617" s="4">
        <v>7</v>
      </c>
      <c r="E5617" s="4">
        <v>2.2400000000000002</v>
      </c>
    </row>
    <row r="5618" spans="1:5" x14ac:dyDescent="0.25">
      <c r="A5618" s="4" t="s">
        <v>53</v>
      </c>
      <c r="B5618" s="4" t="s">
        <v>47</v>
      </c>
      <c r="C5618" s="5">
        <v>45335</v>
      </c>
      <c r="D5618" s="4">
        <v>0.3</v>
      </c>
      <c r="E5618" s="4">
        <v>0.1</v>
      </c>
    </row>
    <row r="5619" spans="1:5" x14ac:dyDescent="0.25">
      <c r="A5619" s="4" t="s">
        <v>53</v>
      </c>
      <c r="B5619" s="4" t="s">
        <v>47</v>
      </c>
      <c r="C5619" s="5">
        <v>45335</v>
      </c>
      <c r="D5619" s="4">
        <v>4.0999999999999996</v>
      </c>
      <c r="E5619" s="4">
        <v>1.32</v>
      </c>
    </row>
    <row r="5620" spans="1:5" x14ac:dyDescent="0.25">
      <c r="A5620" s="4" t="s">
        <v>53</v>
      </c>
      <c r="B5620" s="4" t="s">
        <v>47</v>
      </c>
      <c r="C5620" s="5">
        <v>45335</v>
      </c>
      <c r="D5620" s="4">
        <v>7</v>
      </c>
      <c r="E5620" s="4">
        <v>2.2400000000000002</v>
      </c>
    </row>
    <row r="5621" spans="1:5" x14ac:dyDescent="0.25">
      <c r="A5621" s="4" t="s">
        <v>53</v>
      </c>
      <c r="B5621" s="4" t="s">
        <v>47</v>
      </c>
      <c r="C5621" s="5">
        <v>45335</v>
      </c>
      <c r="D5621" s="4">
        <v>0.3</v>
      </c>
      <c r="E5621" s="4">
        <v>0.1</v>
      </c>
    </row>
    <row r="5622" spans="1:5" x14ac:dyDescent="0.25">
      <c r="A5622" s="4" t="s">
        <v>53</v>
      </c>
      <c r="B5622" s="4" t="s">
        <v>47</v>
      </c>
      <c r="C5622" s="5">
        <v>45335</v>
      </c>
      <c r="D5622" s="4">
        <v>4.0999999999999996</v>
      </c>
      <c r="E5622" s="4">
        <v>1.32</v>
      </c>
    </row>
    <row r="5623" spans="1:5" x14ac:dyDescent="0.25">
      <c r="A5623" s="4" t="s">
        <v>53</v>
      </c>
      <c r="B5623" s="4" t="s">
        <v>47</v>
      </c>
      <c r="C5623" s="5">
        <v>45335</v>
      </c>
      <c r="D5623" s="4">
        <v>8.1999999999999993</v>
      </c>
      <c r="E5623" s="4">
        <v>2.62</v>
      </c>
    </row>
    <row r="5624" spans="1:5" x14ac:dyDescent="0.25">
      <c r="A5624" s="4" t="s">
        <v>53</v>
      </c>
      <c r="B5624" s="4" t="s">
        <v>47</v>
      </c>
      <c r="C5624" s="5">
        <v>45335</v>
      </c>
      <c r="D5624" s="4">
        <v>0.3</v>
      </c>
      <c r="E5624" s="4">
        <v>0.1</v>
      </c>
    </row>
    <row r="5625" spans="1:5" x14ac:dyDescent="0.25">
      <c r="A5625" s="4" t="s">
        <v>53</v>
      </c>
      <c r="B5625" s="4" t="s">
        <v>47</v>
      </c>
      <c r="C5625" s="5">
        <v>45335</v>
      </c>
      <c r="D5625" s="4">
        <v>4.0999999999999996</v>
      </c>
      <c r="E5625" s="4">
        <v>1.32</v>
      </c>
    </row>
    <row r="5626" spans="1:5" x14ac:dyDescent="0.25">
      <c r="A5626" s="4" t="s">
        <v>53</v>
      </c>
      <c r="B5626" s="4" t="s">
        <v>47</v>
      </c>
      <c r="C5626" s="5">
        <v>45335</v>
      </c>
      <c r="D5626" s="4">
        <v>7</v>
      </c>
      <c r="E5626" s="4">
        <v>2.2400000000000002</v>
      </c>
    </row>
    <row r="5627" spans="1:5" x14ac:dyDescent="0.25">
      <c r="A5627" s="4" t="s">
        <v>53</v>
      </c>
      <c r="B5627" s="4" t="s">
        <v>47</v>
      </c>
      <c r="C5627" s="5">
        <v>45335</v>
      </c>
      <c r="D5627" s="4">
        <v>0.3</v>
      </c>
      <c r="E5627" s="4">
        <v>0.1</v>
      </c>
    </row>
    <row r="5628" spans="1:5" x14ac:dyDescent="0.25">
      <c r="A5628" s="4" t="s">
        <v>53</v>
      </c>
      <c r="B5628" s="4" t="s">
        <v>47</v>
      </c>
      <c r="C5628" s="5">
        <v>45335</v>
      </c>
      <c r="D5628" s="4">
        <v>0.5</v>
      </c>
      <c r="E5628" s="4">
        <v>0.15</v>
      </c>
    </row>
    <row r="5629" spans="1:5" x14ac:dyDescent="0.25">
      <c r="A5629" s="4" t="s">
        <v>53</v>
      </c>
      <c r="B5629" s="4" t="s">
        <v>47</v>
      </c>
      <c r="C5629" s="5">
        <v>45335</v>
      </c>
      <c r="D5629" s="4">
        <v>11.7</v>
      </c>
      <c r="E5629" s="4">
        <v>3.78</v>
      </c>
    </row>
    <row r="5630" spans="1:5" x14ac:dyDescent="0.25">
      <c r="A5630" s="4" t="s">
        <v>53</v>
      </c>
      <c r="B5630" s="4" t="s">
        <v>47</v>
      </c>
      <c r="C5630" s="5">
        <v>45335</v>
      </c>
      <c r="D5630" s="4">
        <v>7</v>
      </c>
      <c r="E5630" s="4">
        <v>2.2400000000000002</v>
      </c>
    </row>
    <row r="5631" spans="1:5" x14ac:dyDescent="0.25">
      <c r="A5631" s="4" t="s">
        <v>53</v>
      </c>
      <c r="B5631" s="4" t="s">
        <v>47</v>
      </c>
      <c r="C5631" s="5">
        <v>45335</v>
      </c>
      <c r="D5631" s="4">
        <v>0.3</v>
      </c>
      <c r="E5631" s="4">
        <v>0.1</v>
      </c>
    </row>
    <row r="5632" spans="1:5" x14ac:dyDescent="0.25">
      <c r="A5632" s="4" t="s">
        <v>53</v>
      </c>
      <c r="B5632" s="4" t="s">
        <v>47</v>
      </c>
      <c r="C5632" s="5">
        <v>45335</v>
      </c>
      <c r="D5632" s="4">
        <v>4.0999999999999996</v>
      </c>
      <c r="E5632" s="4">
        <v>1.32</v>
      </c>
    </row>
    <row r="5633" spans="1:5" x14ac:dyDescent="0.25">
      <c r="A5633" s="4" t="s">
        <v>53</v>
      </c>
      <c r="B5633" s="4" t="s">
        <v>47</v>
      </c>
      <c r="C5633" s="5">
        <v>45335</v>
      </c>
      <c r="D5633" s="4">
        <v>7</v>
      </c>
      <c r="E5633" s="4">
        <v>2.2400000000000002</v>
      </c>
    </row>
    <row r="5634" spans="1:5" x14ac:dyDescent="0.25">
      <c r="A5634" s="4" t="s">
        <v>53</v>
      </c>
      <c r="B5634" s="4" t="s">
        <v>47</v>
      </c>
      <c r="C5634" s="5">
        <v>45335</v>
      </c>
      <c r="D5634" s="4">
        <v>0.3</v>
      </c>
      <c r="E5634" s="4">
        <v>0.1</v>
      </c>
    </row>
    <row r="5635" spans="1:5" x14ac:dyDescent="0.25">
      <c r="A5635" s="4" t="s">
        <v>53</v>
      </c>
      <c r="B5635" s="4" t="s">
        <v>47</v>
      </c>
      <c r="C5635" s="5">
        <v>45335</v>
      </c>
      <c r="D5635" s="4">
        <v>12</v>
      </c>
      <c r="E5635" s="4">
        <v>3.87</v>
      </c>
    </row>
    <row r="5636" spans="1:5" x14ac:dyDescent="0.25">
      <c r="A5636" s="4" t="s">
        <v>53</v>
      </c>
      <c r="B5636" s="4" t="s">
        <v>47</v>
      </c>
      <c r="C5636" s="5">
        <v>45335</v>
      </c>
      <c r="D5636" s="4">
        <v>30.6</v>
      </c>
      <c r="E5636" s="4">
        <v>9.92</v>
      </c>
    </row>
    <row r="5637" spans="1:5" x14ac:dyDescent="0.25">
      <c r="A5637" s="4" t="s">
        <v>53</v>
      </c>
      <c r="B5637" s="4" t="s">
        <v>47</v>
      </c>
      <c r="C5637" s="5">
        <v>45336</v>
      </c>
      <c r="D5637" s="4">
        <v>1.2</v>
      </c>
      <c r="E5637" s="4">
        <v>0.38</v>
      </c>
    </row>
    <row r="5638" spans="1:5" x14ac:dyDescent="0.25">
      <c r="A5638" s="4" t="s">
        <v>53</v>
      </c>
      <c r="B5638" s="4" t="s">
        <v>47</v>
      </c>
      <c r="C5638" s="5">
        <v>45336</v>
      </c>
      <c r="D5638" s="4">
        <v>1.2</v>
      </c>
      <c r="E5638" s="4">
        <v>0.38</v>
      </c>
    </row>
    <row r="5639" spans="1:5" x14ac:dyDescent="0.25">
      <c r="A5639" s="4" t="s">
        <v>53</v>
      </c>
      <c r="B5639" s="4" t="s">
        <v>47</v>
      </c>
      <c r="C5639" s="5">
        <v>45336</v>
      </c>
      <c r="D5639" s="4">
        <v>11</v>
      </c>
      <c r="E5639" s="4">
        <v>3.57</v>
      </c>
    </row>
    <row r="5640" spans="1:5" x14ac:dyDescent="0.25">
      <c r="A5640" s="4" t="s">
        <v>53</v>
      </c>
      <c r="B5640" s="4" t="s">
        <v>47</v>
      </c>
      <c r="C5640" s="5">
        <v>45336</v>
      </c>
      <c r="D5640" s="4">
        <v>27.5</v>
      </c>
      <c r="E5640" s="4">
        <v>8.92</v>
      </c>
    </row>
    <row r="5641" spans="1:5" x14ac:dyDescent="0.25">
      <c r="A5641" s="4" t="s">
        <v>53</v>
      </c>
      <c r="B5641" s="4" t="s">
        <v>47</v>
      </c>
      <c r="C5641" s="5">
        <v>45336</v>
      </c>
      <c r="D5641" s="4">
        <v>27.5</v>
      </c>
      <c r="E5641" s="4">
        <v>8.92</v>
      </c>
    </row>
    <row r="5642" spans="1:5" x14ac:dyDescent="0.25">
      <c r="A5642" s="4" t="s">
        <v>53</v>
      </c>
      <c r="B5642" s="4" t="s">
        <v>47</v>
      </c>
      <c r="C5642" s="5">
        <v>45337</v>
      </c>
      <c r="D5642" s="4">
        <v>37.5</v>
      </c>
      <c r="E5642" s="4">
        <v>12.12</v>
      </c>
    </row>
    <row r="5643" spans="1:5" x14ac:dyDescent="0.25">
      <c r="A5643" s="4" t="s">
        <v>53</v>
      </c>
      <c r="B5643" s="4" t="s">
        <v>47</v>
      </c>
      <c r="C5643" s="5">
        <v>45337</v>
      </c>
      <c r="D5643" s="4">
        <v>17.5</v>
      </c>
      <c r="E5643" s="4">
        <v>5.66</v>
      </c>
    </row>
    <row r="5644" spans="1:5" x14ac:dyDescent="0.25">
      <c r="A5644" s="4" t="s">
        <v>53</v>
      </c>
      <c r="B5644" s="4" t="s">
        <v>47</v>
      </c>
      <c r="C5644" s="5">
        <v>45337</v>
      </c>
      <c r="D5644" s="4">
        <v>17.5</v>
      </c>
      <c r="E5644" s="4">
        <v>5.65</v>
      </c>
    </row>
    <row r="5645" spans="1:5" x14ac:dyDescent="0.25">
      <c r="A5645" s="4" t="s">
        <v>53</v>
      </c>
      <c r="B5645" s="4" t="s">
        <v>47</v>
      </c>
      <c r="C5645" s="5">
        <v>45337</v>
      </c>
      <c r="D5645" s="4">
        <v>17.5</v>
      </c>
      <c r="E5645" s="4">
        <v>5.66</v>
      </c>
    </row>
    <row r="5646" spans="1:5" x14ac:dyDescent="0.25">
      <c r="A5646" s="4" t="s">
        <v>53</v>
      </c>
      <c r="B5646" s="4" t="s">
        <v>47</v>
      </c>
      <c r="C5646" s="5">
        <v>45337</v>
      </c>
      <c r="D5646" s="4">
        <v>17.5</v>
      </c>
      <c r="E5646" s="4">
        <v>5.65</v>
      </c>
    </row>
    <row r="5647" spans="1:5" x14ac:dyDescent="0.25">
      <c r="A5647" s="4" t="s">
        <v>53</v>
      </c>
      <c r="B5647" s="4" t="s">
        <v>47</v>
      </c>
      <c r="C5647" s="5">
        <v>45337</v>
      </c>
      <c r="D5647" s="4">
        <v>13.1</v>
      </c>
      <c r="E5647" s="4">
        <v>4.24</v>
      </c>
    </row>
    <row r="5648" spans="1:5" x14ac:dyDescent="0.25">
      <c r="A5648" s="4" t="s">
        <v>53</v>
      </c>
      <c r="B5648" s="4" t="s">
        <v>47</v>
      </c>
      <c r="C5648" s="5">
        <v>45337</v>
      </c>
      <c r="D5648" s="4">
        <v>1.4</v>
      </c>
      <c r="E5648" s="4">
        <v>0.44</v>
      </c>
    </row>
    <row r="5649" spans="1:5" x14ac:dyDescent="0.25">
      <c r="A5649" s="4" t="s">
        <v>53</v>
      </c>
      <c r="B5649" s="4" t="s">
        <v>47</v>
      </c>
      <c r="C5649" s="5">
        <v>45337</v>
      </c>
      <c r="D5649" s="4">
        <v>2.2999999999999998</v>
      </c>
      <c r="E5649" s="4">
        <v>0.73</v>
      </c>
    </row>
    <row r="5650" spans="1:5" x14ac:dyDescent="0.25">
      <c r="A5650" s="4" t="s">
        <v>53</v>
      </c>
      <c r="B5650" s="4" t="s">
        <v>47</v>
      </c>
      <c r="C5650" s="5">
        <v>45337</v>
      </c>
      <c r="D5650" s="4">
        <v>1.4</v>
      </c>
      <c r="E5650" s="4">
        <v>0.44</v>
      </c>
    </row>
    <row r="5651" spans="1:5" x14ac:dyDescent="0.25">
      <c r="A5651" s="4" t="s">
        <v>53</v>
      </c>
      <c r="B5651" s="4" t="s">
        <v>47</v>
      </c>
      <c r="C5651" s="5">
        <v>45337</v>
      </c>
      <c r="D5651" s="4">
        <v>10</v>
      </c>
      <c r="E5651" s="4">
        <v>3.22</v>
      </c>
    </row>
    <row r="5652" spans="1:5" x14ac:dyDescent="0.25">
      <c r="A5652" s="4" t="s">
        <v>53</v>
      </c>
      <c r="B5652" s="4" t="s">
        <v>47</v>
      </c>
      <c r="C5652" s="5">
        <v>45337</v>
      </c>
      <c r="D5652" s="4">
        <v>9.1</v>
      </c>
      <c r="E5652" s="4">
        <v>2.93</v>
      </c>
    </row>
    <row r="5653" spans="1:5" x14ac:dyDescent="0.25">
      <c r="A5653" s="4" t="s">
        <v>53</v>
      </c>
      <c r="B5653" s="4" t="s">
        <v>47</v>
      </c>
      <c r="C5653" s="5">
        <v>45337</v>
      </c>
      <c r="D5653" s="4">
        <v>2.2999999999999998</v>
      </c>
      <c r="E5653" s="4">
        <v>0.73</v>
      </c>
    </row>
    <row r="5654" spans="1:5" x14ac:dyDescent="0.25">
      <c r="A5654" s="4" t="s">
        <v>53</v>
      </c>
      <c r="B5654" s="4" t="s">
        <v>47</v>
      </c>
      <c r="C5654" s="5">
        <v>45337</v>
      </c>
      <c r="D5654" s="4">
        <v>1.4</v>
      </c>
      <c r="E5654" s="4">
        <v>0.44</v>
      </c>
    </row>
    <row r="5655" spans="1:5" x14ac:dyDescent="0.25">
      <c r="A5655" s="4" t="s">
        <v>53</v>
      </c>
      <c r="B5655" s="4" t="s">
        <v>47</v>
      </c>
      <c r="C5655" s="5">
        <v>45337</v>
      </c>
      <c r="D5655" s="4">
        <v>21</v>
      </c>
      <c r="E5655" s="4">
        <v>6.79</v>
      </c>
    </row>
    <row r="5656" spans="1:5" x14ac:dyDescent="0.25">
      <c r="A5656" s="4" t="s">
        <v>53</v>
      </c>
      <c r="B5656" s="4" t="s">
        <v>61</v>
      </c>
      <c r="C5656" s="5">
        <v>45308</v>
      </c>
      <c r="D5656" s="4">
        <v>13.8</v>
      </c>
      <c r="E5656" s="4">
        <v>4.47</v>
      </c>
    </row>
    <row r="5657" spans="1:5" x14ac:dyDescent="0.25">
      <c r="A5657" s="4" t="s">
        <v>53</v>
      </c>
      <c r="B5657" s="4" t="s">
        <v>61</v>
      </c>
      <c r="C5657" s="5">
        <v>45308</v>
      </c>
      <c r="D5657" s="4">
        <v>11.7</v>
      </c>
      <c r="E5657" s="4">
        <v>3.79</v>
      </c>
    </row>
    <row r="5658" spans="1:5" x14ac:dyDescent="0.25">
      <c r="A5658" s="4" t="s">
        <v>53</v>
      </c>
      <c r="B5658" s="4" t="s">
        <v>61</v>
      </c>
      <c r="C5658" s="5">
        <v>45308</v>
      </c>
      <c r="D5658" s="4">
        <v>2.2999999999999998</v>
      </c>
      <c r="E5658" s="4">
        <v>0.74</v>
      </c>
    </row>
    <row r="5659" spans="1:5" x14ac:dyDescent="0.25">
      <c r="A5659" s="4" t="s">
        <v>53</v>
      </c>
      <c r="B5659" s="4" t="s">
        <v>61</v>
      </c>
      <c r="C5659" s="5">
        <v>45308</v>
      </c>
      <c r="D5659" s="4">
        <v>2.2999999999999998</v>
      </c>
      <c r="E5659" s="4">
        <v>0.74</v>
      </c>
    </row>
    <row r="5660" spans="1:5" x14ac:dyDescent="0.25">
      <c r="A5660" s="4" t="s">
        <v>53</v>
      </c>
      <c r="B5660" s="4" t="s">
        <v>61</v>
      </c>
      <c r="C5660" s="5">
        <v>45308</v>
      </c>
      <c r="D5660" s="4">
        <v>10.9</v>
      </c>
      <c r="E5660" s="4">
        <v>3.53</v>
      </c>
    </row>
    <row r="5661" spans="1:5" x14ac:dyDescent="0.25">
      <c r="A5661" s="4" t="s">
        <v>53</v>
      </c>
      <c r="B5661" s="4" t="s">
        <v>61</v>
      </c>
      <c r="C5661" s="5">
        <v>45308</v>
      </c>
      <c r="D5661" s="4">
        <v>11.7</v>
      </c>
      <c r="E5661" s="4">
        <v>3.79</v>
      </c>
    </row>
    <row r="5662" spans="1:5" x14ac:dyDescent="0.25">
      <c r="A5662" s="4" t="s">
        <v>53</v>
      </c>
      <c r="B5662" s="4" t="s">
        <v>61</v>
      </c>
      <c r="C5662" s="5">
        <v>45308</v>
      </c>
      <c r="D5662" s="4">
        <v>2.2999999999999998</v>
      </c>
      <c r="E5662" s="4">
        <v>0.74</v>
      </c>
    </row>
    <row r="5663" spans="1:5" x14ac:dyDescent="0.25">
      <c r="A5663" s="4" t="s">
        <v>53</v>
      </c>
      <c r="B5663" s="4" t="s">
        <v>61</v>
      </c>
      <c r="C5663" s="5">
        <v>45308</v>
      </c>
      <c r="D5663" s="4">
        <v>2.2999999999999998</v>
      </c>
      <c r="E5663" s="4">
        <v>0.74</v>
      </c>
    </row>
    <row r="5664" spans="1:5" x14ac:dyDescent="0.25">
      <c r="A5664" s="4" t="s">
        <v>53</v>
      </c>
      <c r="B5664" s="4" t="s">
        <v>61</v>
      </c>
      <c r="C5664" s="5">
        <v>45308</v>
      </c>
      <c r="D5664" s="4">
        <v>10.9</v>
      </c>
      <c r="E5664" s="4">
        <v>3.53</v>
      </c>
    </row>
    <row r="5665" spans="1:5" x14ac:dyDescent="0.25">
      <c r="A5665" s="4" t="s">
        <v>53</v>
      </c>
      <c r="B5665" s="4" t="s">
        <v>61</v>
      </c>
      <c r="C5665" s="5">
        <v>45308</v>
      </c>
      <c r="D5665" s="4">
        <v>11.7</v>
      </c>
      <c r="E5665" s="4">
        <v>3.79</v>
      </c>
    </row>
    <row r="5666" spans="1:5" x14ac:dyDescent="0.25">
      <c r="A5666" s="4" t="s">
        <v>53</v>
      </c>
      <c r="B5666" s="4" t="s">
        <v>61</v>
      </c>
      <c r="C5666" s="5">
        <v>45308</v>
      </c>
      <c r="D5666" s="4">
        <v>2.2999999999999998</v>
      </c>
      <c r="E5666" s="4">
        <v>0.74</v>
      </c>
    </row>
    <row r="5667" spans="1:5" x14ac:dyDescent="0.25">
      <c r="A5667" s="4" t="s">
        <v>53</v>
      </c>
      <c r="B5667" s="4" t="s">
        <v>61</v>
      </c>
      <c r="C5667" s="5">
        <v>45308</v>
      </c>
      <c r="D5667" s="4">
        <v>2.2999999999999998</v>
      </c>
      <c r="E5667" s="4">
        <v>0.74</v>
      </c>
    </row>
    <row r="5668" spans="1:5" x14ac:dyDescent="0.25">
      <c r="A5668" s="4" t="s">
        <v>53</v>
      </c>
      <c r="B5668" s="4" t="s">
        <v>61</v>
      </c>
      <c r="C5668" s="5">
        <v>45308</v>
      </c>
      <c r="D5668" s="4">
        <v>10.9</v>
      </c>
      <c r="E5668" s="4">
        <v>3.53</v>
      </c>
    </row>
    <row r="5669" spans="1:5" x14ac:dyDescent="0.25">
      <c r="A5669" s="4" t="s">
        <v>53</v>
      </c>
      <c r="B5669" s="4" t="s">
        <v>61</v>
      </c>
      <c r="C5669" s="5">
        <v>45308</v>
      </c>
      <c r="D5669" s="4">
        <v>11.7</v>
      </c>
      <c r="E5669" s="4">
        <v>3.79</v>
      </c>
    </row>
    <row r="5670" spans="1:5" x14ac:dyDescent="0.25">
      <c r="A5670" s="4" t="s">
        <v>53</v>
      </c>
      <c r="B5670" s="4" t="s">
        <v>61</v>
      </c>
      <c r="C5670" s="5">
        <v>45308</v>
      </c>
      <c r="D5670" s="4">
        <v>2.2999999999999998</v>
      </c>
      <c r="E5670" s="4">
        <v>0.74</v>
      </c>
    </row>
    <row r="5671" spans="1:5" x14ac:dyDescent="0.25">
      <c r="A5671" s="4" t="s">
        <v>53</v>
      </c>
      <c r="B5671" s="4" t="s">
        <v>61</v>
      </c>
      <c r="C5671" s="5">
        <v>45308</v>
      </c>
      <c r="D5671" s="4">
        <v>2.2999999999999998</v>
      </c>
      <c r="E5671" s="4">
        <v>0.74</v>
      </c>
    </row>
    <row r="5672" spans="1:5" x14ac:dyDescent="0.25">
      <c r="A5672" s="4" t="s">
        <v>53</v>
      </c>
      <c r="B5672" s="4" t="s">
        <v>61</v>
      </c>
      <c r="C5672" s="5">
        <v>45308</v>
      </c>
      <c r="D5672" s="4">
        <v>8.6999999999999993</v>
      </c>
      <c r="E5672" s="4">
        <v>2.82</v>
      </c>
    </row>
    <row r="5673" spans="1:5" x14ac:dyDescent="0.25">
      <c r="A5673" s="4" t="s">
        <v>53</v>
      </c>
      <c r="B5673" s="4" t="s">
        <v>61</v>
      </c>
      <c r="C5673" s="5">
        <v>45310</v>
      </c>
      <c r="D5673" s="4">
        <v>13.8</v>
      </c>
      <c r="E5673" s="4">
        <v>4.47</v>
      </c>
    </row>
    <row r="5674" spans="1:5" x14ac:dyDescent="0.25">
      <c r="A5674" s="4" t="s">
        <v>53</v>
      </c>
      <c r="B5674" s="4" t="s">
        <v>61</v>
      </c>
      <c r="C5674" s="5">
        <v>45310</v>
      </c>
      <c r="D5674" s="4">
        <v>11.7</v>
      </c>
      <c r="E5674" s="4">
        <v>3.79</v>
      </c>
    </row>
    <row r="5675" spans="1:5" x14ac:dyDescent="0.25">
      <c r="A5675" s="4" t="s">
        <v>53</v>
      </c>
      <c r="B5675" s="4" t="s">
        <v>61</v>
      </c>
      <c r="C5675" s="5">
        <v>45310</v>
      </c>
      <c r="D5675" s="4">
        <v>10.9</v>
      </c>
      <c r="E5675" s="4">
        <v>3.53</v>
      </c>
    </row>
    <row r="5676" spans="1:5" x14ac:dyDescent="0.25">
      <c r="A5676" s="4" t="s">
        <v>53</v>
      </c>
      <c r="B5676" s="4" t="s">
        <v>61</v>
      </c>
      <c r="C5676" s="5">
        <v>45310</v>
      </c>
      <c r="D5676" s="4">
        <v>11.7</v>
      </c>
      <c r="E5676" s="4">
        <v>3.79</v>
      </c>
    </row>
    <row r="5677" spans="1:5" x14ac:dyDescent="0.25">
      <c r="A5677" s="4" t="s">
        <v>53</v>
      </c>
      <c r="B5677" s="4" t="s">
        <v>61</v>
      </c>
      <c r="C5677" s="5">
        <v>45310</v>
      </c>
      <c r="D5677" s="4">
        <v>10.9</v>
      </c>
      <c r="E5677" s="4">
        <v>3.53</v>
      </c>
    </row>
    <row r="5678" spans="1:5" x14ac:dyDescent="0.25">
      <c r="A5678" s="4" t="s">
        <v>53</v>
      </c>
      <c r="B5678" s="4" t="s">
        <v>61</v>
      </c>
      <c r="C5678" s="5">
        <v>45310</v>
      </c>
      <c r="D5678" s="4">
        <v>11.7</v>
      </c>
      <c r="E5678" s="4">
        <v>3.79</v>
      </c>
    </row>
    <row r="5679" spans="1:5" x14ac:dyDescent="0.25">
      <c r="A5679" s="4" t="s">
        <v>53</v>
      </c>
      <c r="B5679" s="4" t="s">
        <v>61</v>
      </c>
      <c r="C5679" s="5">
        <v>45310</v>
      </c>
      <c r="D5679" s="4">
        <v>10.9</v>
      </c>
      <c r="E5679" s="4">
        <v>3.53</v>
      </c>
    </row>
    <row r="5680" spans="1:5" x14ac:dyDescent="0.25">
      <c r="A5680" s="4" t="s">
        <v>53</v>
      </c>
      <c r="B5680" s="4" t="s">
        <v>61</v>
      </c>
      <c r="C5680" s="5">
        <v>45310</v>
      </c>
      <c r="D5680" s="4">
        <v>11.7</v>
      </c>
      <c r="E5680" s="4">
        <v>3.79</v>
      </c>
    </row>
    <row r="5681" spans="1:5" x14ac:dyDescent="0.25">
      <c r="A5681" s="4" t="s">
        <v>53</v>
      </c>
      <c r="B5681" s="4" t="s">
        <v>61</v>
      </c>
      <c r="C5681" s="5">
        <v>45310</v>
      </c>
      <c r="D5681" s="4">
        <v>10.9</v>
      </c>
      <c r="E5681" s="4">
        <v>3.53</v>
      </c>
    </row>
    <row r="5682" spans="1:5" x14ac:dyDescent="0.25">
      <c r="A5682" s="4" t="s">
        <v>53</v>
      </c>
      <c r="B5682" s="4" t="s">
        <v>61</v>
      </c>
      <c r="C5682" s="5">
        <v>45310</v>
      </c>
      <c r="D5682" s="4">
        <v>11.7</v>
      </c>
      <c r="E5682" s="4">
        <v>3.79</v>
      </c>
    </row>
    <row r="5683" spans="1:5" x14ac:dyDescent="0.25">
      <c r="A5683" s="4" t="s">
        <v>53</v>
      </c>
      <c r="B5683" s="4" t="s">
        <v>61</v>
      </c>
      <c r="C5683" s="5">
        <v>45310</v>
      </c>
      <c r="D5683" s="4">
        <v>8.6999999999999993</v>
      </c>
      <c r="E5683" s="4">
        <v>2.82</v>
      </c>
    </row>
    <row r="5684" spans="1:5" x14ac:dyDescent="0.25">
      <c r="A5684" s="4" t="s">
        <v>53</v>
      </c>
      <c r="B5684" s="4" t="s">
        <v>61</v>
      </c>
      <c r="C5684" s="5">
        <v>45313</v>
      </c>
      <c r="D5684" s="4">
        <v>13.8</v>
      </c>
      <c r="E5684" s="4">
        <v>4.47</v>
      </c>
    </row>
    <row r="5685" spans="1:5" x14ac:dyDescent="0.25">
      <c r="A5685" s="4" t="s">
        <v>53</v>
      </c>
      <c r="B5685" s="4" t="s">
        <v>61</v>
      </c>
      <c r="C5685" s="5">
        <v>45313</v>
      </c>
      <c r="D5685" s="4">
        <v>11.7</v>
      </c>
      <c r="E5685" s="4">
        <v>3.79</v>
      </c>
    </row>
    <row r="5686" spans="1:5" x14ac:dyDescent="0.25">
      <c r="A5686" s="4" t="s">
        <v>53</v>
      </c>
      <c r="B5686" s="4" t="s">
        <v>61</v>
      </c>
      <c r="C5686" s="5">
        <v>45313</v>
      </c>
      <c r="D5686" s="4">
        <v>10.9</v>
      </c>
      <c r="E5686" s="4">
        <v>3.53</v>
      </c>
    </row>
    <row r="5687" spans="1:5" x14ac:dyDescent="0.25">
      <c r="A5687" s="4" t="s">
        <v>53</v>
      </c>
      <c r="B5687" s="4" t="s">
        <v>61</v>
      </c>
      <c r="C5687" s="5">
        <v>45313</v>
      </c>
      <c r="D5687" s="4">
        <v>11.7</v>
      </c>
      <c r="E5687" s="4">
        <v>3.79</v>
      </c>
    </row>
    <row r="5688" spans="1:5" x14ac:dyDescent="0.25">
      <c r="A5688" s="4" t="s">
        <v>53</v>
      </c>
      <c r="B5688" s="4" t="s">
        <v>61</v>
      </c>
      <c r="C5688" s="5">
        <v>45313</v>
      </c>
      <c r="D5688" s="4">
        <v>10.9</v>
      </c>
      <c r="E5688" s="4">
        <v>3.53</v>
      </c>
    </row>
    <row r="5689" spans="1:5" x14ac:dyDescent="0.25">
      <c r="A5689" s="4" t="s">
        <v>53</v>
      </c>
      <c r="B5689" s="4" t="s">
        <v>61</v>
      </c>
      <c r="C5689" s="5">
        <v>45313</v>
      </c>
      <c r="D5689" s="4">
        <v>11.7</v>
      </c>
      <c r="E5689" s="4">
        <v>3.79</v>
      </c>
    </row>
    <row r="5690" spans="1:5" x14ac:dyDescent="0.25">
      <c r="A5690" s="4" t="s">
        <v>53</v>
      </c>
      <c r="B5690" s="4" t="s">
        <v>61</v>
      </c>
      <c r="C5690" s="5">
        <v>45313</v>
      </c>
      <c r="D5690" s="4">
        <v>10.9</v>
      </c>
      <c r="E5690" s="4">
        <v>3.53</v>
      </c>
    </row>
    <row r="5691" spans="1:5" x14ac:dyDescent="0.25">
      <c r="A5691" s="4" t="s">
        <v>53</v>
      </c>
      <c r="B5691" s="4" t="s">
        <v>61</v>
      </c>
      <c r="C5691" s="5">
        <v>45313</v>
      </c>
      <c r="D5691" s="4">
        <v>11.7</v>
      </c>
      <c r="E5691" s="4">
        <v>3.79</v>
      </c>
    </row>
    <row r="5692" spans="1:5" x14ac:dyDescent="0.25">
      <c r="A5692" s="4" t="s">
        <v>53</v>
      </c>
      <c r="B5692" s="4" t="s">
        <v>61</v>
      </c>
      <c r="C5692" s="5">
        <v>45313</v>
      </c>
      <c r="D5692" s="4">
        <v>10.9</v>
      </c>
      <c r="E5692" s="4">
        <v>3.53</v>
      </c>
    </row>
    <row r="5693" spans="1:5" x14ac:dyDescent="0.25">
      <c r="A5693" s="4" t="s">
        <v>53</v>
      </c>
      <c r="B5693" s="4" t="s">
        <v>61</v>
      </c>
      <c r="C5693" s="5">
        <v>45313</v>
      </c>
      <c r="D5693" s="4">
        <v>11.7</v>
      </c>
      <c r="E5693" s="4">
        <v>3.79</v>
      </c>
    </row>
    <row r="5694" spans="1:5" x14ac:dyDescent="0.25">
      <c r="A5694" s="4" t="s">
        <v>53</v>
      </c>
      <c r="B5694" s="4" t="s">
        <v>61</v>
      </c>
      <c r="C5694" s="5">
        <v>45313</v>
      </c>
      <c r="D5694" s="4">
        <v>10.9</v>
      </c>
      <c r="E5694" s="4">
        <v>3.53</v>
      </c>
    </row>
    <row r="5695" spans="1:5" x14ac:dyDescent="0.25">
      <c r="A5695" s="4" t="s">
        <v>53</v>
      </c>
      <c r="B5695" s="4" t="s">
        <v>61</v>
      </c>
      <c r="C5695" s="5">
        <v>45313</v>
      </c>
      <c r="D5695" s="4">
        <v>11.7</v>
      </c>
      <c r="E5695" s="4">
        <v>3.79</v>
      </c>
    </row>
    <row r="5696" spans="1:5" x14ac:dyDescent="0.25">
      <c r="A5696" s="4" t="s">
        <v>53</v>
      </c>
      <c r="B5696" s="4" t="s">
        <v>61</v>
      </c>
      <c r="C5696" s="5">
        <v>45313</v>
      </c>
      <c r="D5696" s="4">
        <v>8.6999999999999993</v>
      </c>
      <c r="E5696" s="4">
        <v>2.82</v>
      </c>
    </row>
    <row r="5697" spans="1:5" x14ac:dyDescent="0.25">
      <c r="A5697" s="4" t="s">
        <v>53</v>
      </c>
      <c r="B5697" s="4" t="s">
        <v>61</v>
      </c>
      <c r="C5697" s="5">
        <v>45314</v>
      </c>
      <c r="D5697" s="4">
        <v>13.8</v>
      </c>
      <c r="E5697" s="4">
        <v>4.47</v>
      </c>
    </row>
    <row r="5698" spans="1:5" x14ac:dyDescent="0.25">
      <c r="A5698" s="4" t="s">
        <v>53</v>
      </c>
      <c r="B5698" s="4" t="s">
        <v>61</v>
      </c>
      <c r="C5698" s="5">
        <v>45314</v>
      </c>
      <c r="D5698" s="4">
        <v>11.7</v>
      </c>
      <c r="E5698" s="4">
        <v>3.79</v>
      </c>
    </row>
    <row r="5699" spans="1:5" x14ac:dyDescent="0.25">
      <c r="A5699" s="4" t="s">
        <v>53</v>
      </c>
      <c r="B5699" s="4" t="s">
        <v>61</v>
      </c>
      <c r="C5699" s="5">
        <v>45314</v>
      </c>
      <c r="D5699" s="4">
        <v>2.2999999999999998</v>
      </c>
      <c r="E5699" s="4">
        <v>0.74</v>
      </c>
    </row>
    <row r="5700" spans="1:5" x14ac:dyDescent="0.25">
      <c r="A5700" s="4" t="s">
        <v>53</v>
      </c>
      <c r="B5700" s="4" t="s">
        <v>61</v>
      </c>
      <c r="C5700" s="5">
        <v>45314</v>
      </c>
      <c r="D5700" s="4">
        <v>2.2999999999999998</v>
      </c>
      <c r="E5700" s="4">
        <v>0.74</v>
      </c>
    </row>
    <row r="5701" spans="1:5" x14ac:dyDescent="0.25">
      <c r="A5701" s="4" t="s">
        <v>53</v>
      </c>
      <c r="B5701" s="4" t="s">
        <v>61</v>
      </c>
      <c r="C5701" s="5">
        <v>45314</v>
      </c>
      <c r="D5701" s="4">
        <v>10.9</v>
      </c>
      <c r="E5701" s="4">
        <v>3.53</v>
      </c>
    </row>
    <row r="5702" spans="1:5" x14ac:dyDescent="0.25">
      <c r="A5702" s="4" t="s">
        <v>53</v>
      </c>
      <c r="B5702" s="4" t="s">
        <v>61</v>
      </c>
      <c r="C5702" s="5">
        <v>45314</v>
      </c>
      <c r="D5702" s="4">
        <v>11.7</v>
      </c>
      <c r="E5702" s="4">
        <v>3.79</v>
      </c>
    </row>
    <row r="5703" spans="1:5" x14ac:dyDescent="0.25">
      <c r="A5703" s="4" t="s">
        <v>53</v>
      </c>
      <c r="B5703" s="4" t="s">
        <v>61</v>
      </c>
      <c r="C5703" s="5">
        <v>45314</v>
      </c>
      <c r="D5703" s="4">
        <v>2.2999999999999998</v>
      </c>
      <c r="E5703" s="4">
        <v>0.74</v>
      </c>
    </row>
    <row r="5704" spans="1:5" x14ac:dyDescent="0.25">
      <c r="A5704" s="4" t="s">
        <v>53</v>
      </c>
      <c r="B5704" s="4" t="s">
        <v>61</v>
      </c>
      <c r="C5704" s="5">
        <v>45314</v>
      </c>
      <c r="D5704" s="4">
        <v>2.2999999999999998</v>
      </c>
      <c r="E5704" s="4">
        <v>0.74</v>
      </c>
    </row>
    <row r="5705" spans="1:5" x14ac:dyDescent="0.25">
      <c r="A5705" s="4" t="s">
        <v>53</v>
      </c>
      <c r="B5705" s="4" t="s">
        <v>61</v>
      </c>
      <c r="C5705" s="5">
        <v>45314</v>
      </c>
      <c r="D5705" s="4">
        <v>10.9</v>
      </c>
      <c r="E5705" s="4">
        <v>3.53</v>
      </c>
    </row>
    <row r="5706" spans="1:5" x14ac:dyDescent="0.25">
      <c r="A5706" s="4" t="s">
        <v>53</v>
      </c>
      <c r="B5706" s="4" t="s">
        <v>61</v>
      </c>
      <c r="C5706" s="5">
        <v>45314</v>
      </c>
      <c r="D5706" s="4">
        <v>11.7</v>
      </c>
      <c r="E5706" s="4">
        <v>3.79</v>
      </c>
    </row>
    <row r="5707" spans="1:5" x14ac:dyDescent="0.25">
      <c r="A5707" s="4" t="s">
        <v>53</v>
      </c>
      <c r="B5707" s="4" t="s">
        <v>61</v>
      </c>
      <c r="C5707" s="5">
        <v>45314</v>
      </c>
      <c r="D5707" s="4">
        <v>2.2999999999999998</v>
      </c>
      <c r="E5707" s="4">
        <v>0.74</v>
      </c>
    </row>
    <row r="5708" spans="1:5" x14ac:dyDescent="0.25">
      <c r="A5708" s="4" t="s">
        <v>53</v>
      </c>
      <c r="B5708" s="4" t="s">
        <v>61</v>
      </c>
      <c r="C5708" s="5">
        <v>45314</v>
      </c>
      <c r="D5708" s="4">
        <v>2.2999999999999998</v>
      </c>
      <c r="E5708" s="4">
        <v>0.74</v>
      </c>
    </row>
    <row r="5709" spans="1:5" x14ac:dyDescent="0.25">
      <c r="A5709" s="4" t="s">
        <v>53</v>
      </c>
      <c r="B5709" s="4" t="s">
        <v>61</v>
      </c>
      <c r="C5709" s="5">
        <v>45314</v>
      </c>
      <c r="D5709" s="4">
        <v>10.9</v>
      </c>
      <c r="E5709" s="4">
        <v>3.53</v>
      </c>
    </row>
    <row r="5710" spans="1:5" x14ac:dyDescent="0.25">
      <c r="A5710" s="4" t="s">
        <v>53</v>
      </c>
      <c r="B5710" s="4" t="s">
        <v>61</v>
      </c>
      <c r="C5710" s="5">
        <v>45314</v>
      </c>
      <c r="D5710" s="4">
        <v>11.7</v>
      </c>
      <c r="E5710" s="4">
        <v>3.79</v>
      </c>
    </row>
    <row r="5711" spans="1:5" x14ac:dyDescent="0.25">
      <c r="A5711" s="4" t="s">
        <v>53</v>
      </c>
      <c r="B5711" s="4" t="s">
        <v>61</v>
      </c>
      <c r="C5711" s="5">
        <v>45314</v>
      </c>
      <c r="D5711" s="4">
        <v>2.2999999999999998</v>
      </c>
      <c r="E5711" s="4">
        <v>0.74</v>
      </c>
    </row>
    <row r="5712" spans="1:5" x14ac:dyDescent="0.25">
      <c r="A5712" s="4" t="s">
        <v>53</v>
      </c>
      <c r="B5712" s="4" t="s">
        <v>61</v>
      </c>
      <c r="C5712" s="5">
        <v>45314</v>
      </c>
      <c r="D5712" s="4">
        <v>2.2999999999999998</v>
      </c>
      <c r="E5712" s="4">
        <v>0.74</v>
      </c>
    </row>
    <row r="5713" spans="1:5" x14ac:dyDescent="0.25">
      <c r="A5713" s="4" t="s">
        <v>53</v>
      </c>
      <c r="B5713" s="4" t="s">
        <v>61</v>
      </c>
      <c r="C5713" s="5">
        <v>45314</v>
      </c>
      <c r="D5713" s="4">
        <v>8.6999999999999993</v>
      </c>
      <c r="E5713" s="4">
        <v>2.82</v>
      </c>
    </row>
    <row r="5714" spans="1:5" x14ac:dyDescent="0.25">
      <c r="A5714" s="4" t="s">
        <v>53</v>
      </c>
      <c r="B5714" s="4" t="s">
        <v>61</v>
      </c>
      <c r="C5714" s="5">
        <v>45316</v>
      </c>
      <c r="D5714" s="4">
        <v>13.8</v>
      </c>
      <c r="E5714" s="4">
        <v>4.47</v>
      </c>
    </row>
    <row r="5715" spans="1:5" x14ac:dyDescent="0.25">
      <c r="A5715" s="4" t="s">
        <v>53</v>
      </c>
      <c r="B5715" s="4" t="s">
        <v>61</v>
      </c>
      <c r="C5715" s="5">
        <v>45316</v>
      </c>
      <c r="D5715" s="4">
        <v>11.7</v>
      </c>
      <c r="E5715" s="4">
        <v>3.79</v>
      </c>
    </row>
    <row r="5716" spans="1:5" x14ac:dyDescent="0.25">
      <c r="A5716" s="4" t="s">
        <v>53</v>
      </c>
      <c r="B5716" s="4" t="s">
        <v>61</v>
      </c>
      <c r="C5716" s="5">
        <v>45316</v>
      </c>
      <c r="D5716" s="4">
        <v>10.9</v>
      </c>
      <c r="E5716" s="4">
        <v>3.53</v>
      </c>
    </row>
    <row r="5717" spans="1:5" x14ac:dyDescent="0.25">
      <c r="A5717" s="4" t="s">
        <v>53</v>
      </c>
      <c r="B5717" s="4" t="s">
        <v>61</v>
      </c>
      <c r="C5717" s="5">
        <v>45316</v>
      </c>
      <c r="D5717" s="4">
        <v>11.7</v>
      </c>
      <c r="E5717" s="4">
        <v>3.79</v>
      </c>
    </row>
    <row r="5718" spans="1:5" x14ac:dyDescent="0.25">
      <c r="A5718" s="4" t="s">
        <v>53</v>
      </c>
      <c r="B5718" s="4" t="s">
        <v>61</v>
      </c>
      <c r="C5718" s="5">
        <v>45316</v>
      </c>
      <c r="D5718" s="4">
        <v>10.9</v>
      </c>
      <c r="E5718" s="4">
        <v>3.53</v>
      </c>
    </row>
    <row r="5719" spans="1:5" x14ac:dyDescent="0.25">
      <c r="A5719" s="4" t="s">
        <v>53</v>
      </c>
      <c r="B5719" s="4" t="s">
        <v>61</v>
      </c>
      <c r="C5719" s="5">
        <v>45316</v>
      </c>
      <c r="D5719" s="4">
        <v>11.7</v>
      </c>
      <c r="E5719" s="4">
        <v>3.79</v>
      </c>
    </row>
    <row r="5720" spans="1:5" x14ac:dyDescent="0.25">
      <c r="A5720" s="4" t="s">
        <v>53</v>
      </c>
      <c r="B5720" s="4" t="s">
        <v>61</v>
      </c>
      <c r="C5720" s="5">
        <v>45316</v>
      </c>
      <c r="D5720" s="4">
        <v>10.9</v>
      </c>
      <c r="E5720" s="4">
        <v>3.53</v>
      </c>
    </row>
    <row r="5721" spans="1:5" x14ac:dyDescent="0.25">
      <c r="A5721" s="4" t="s">
        <v>53</v>
      </c>
      <c r="B5721" s="4" t="s">
        <v>61</v>
      </c>
      <c r="C5721" s="5">
        <v>45316</v>
      </c>
      <c r="D5721" s="4">
        <v>11.7</v>
      </c>
      <c r="E5721" s="4">
        <v>3.79</v>
      </c>
    </row>
    <row r="5722" spans="1:5" x14ac:dyDescent="0.25">
      <c r="A5722" s="4" t="s">
        <v>53</v>
      </c>
      <c r="B5722" s="4" t="s">
        <v>61</v>
      </c>
      <c r="C5722" s="5">
        <v>45316</v>
      </c>
      <c r="D5722" s="4">
        <v>14.1</v>
      </c>
      <c r="E5722" s="4">
        <v>4.58</v>
      </c>
    </row>
    <row r="5723" spans="1:5" x14ac:dyDescent="0.25">
      <c r="A5723" s="4" t="s">
        <v>53</v>
      </c>
      <c r="B5723" s="4" t="s">
        <v>61</v>
      </c>
      <c r="C5723" s="5">
        <v>45316</v>
      </c>
      <c r="D5723" s="4">
        <v>9.6999999999999993</v>
      </c>
      <c r="E5723" s="4">
        <v>3.15</v>
      </c>
    </row>
    <row r="5724" spans="1:5" x14ac:dyDescent="0.25">
      <c r="A5724" s="4" t="s">
        <v>53</v>
      </c>
      <c r="B5724" s="4" t="s">
        <v>61</v>
      </c>
      <c r="C5724" s="5">
        <v>45316</v>
      </c>
      <c r="D5724" s="4">
        <v>9.6999999999999993</v>
      </c>
      <c r="E5724" s="4">
        <v>3.15</v>
      </c>
    </row>
    <row r="5725" spans="1:5" x14ac:dyDescent="0.25">
      <c r="A5725" s="4" t="s">
        <v>53</v>
      </c>
      <c r="B5725" s="4" t="s">
        <v>61</v>
      </c>
      <c r="C5725" s="5">
        <v>45316</v>
      </c>
      <c r="D5725" s="4">
        <v>19.399999999999999</v>
      </c>
      <c r="E5725" s="4">
        <v>6.3</v>
      </c>
    </row>
    <row r="5726" spans="1:5" x14ac:dyDescent="0.25">
      <c r="A5726" s="4" t="s">
        <v>53</v>
      </c>
      <c r="B5726" s="4" t="s">
        <v>61</v>
      </c>
      <c r="C5726" s="5">
        <v>45317</v>
      </c>
      <c r="D5726" s="4">
        <v>13.8</v>
      </c>
      <c r="E5726" s="4">
        <v>4.47</v>
      </c>
    </row>
    <row r="5727" spans="1:5" x14ac:dyDescent="0.25">
      <c r="A5727" s="4" t="s">
        <v>53</v>
      </c>
      <c r="B5727" s="4" t="s">
        <v>61</v>
      </c>
      <c r="C5727" s="5">
        <v>45317</v>
      </c>
      <c r="D5727" s="4">
        <v>11.7</v>
      </c>
      <c r="E5727" s="4">
        <v>3.79</v>
      </c>
    </row>
    <row r="5728" spans="1:5" x14ac:dyDescent="0.25">
      <c r="A5728" s="4" t="s">
        <v>53</v>
      </c>
      <c r="B5728" s="4" t="s">
        <v>61</v>
      </c>
      <c r="C5728" s="5">
        <v>45317</v>
      </c>
      <c r="D5728" s="4">
        <v>10.9</v>
      </c>
      <c r="E5728" s="4">
        <v>3.53</v>
      </c>
    </row>
    <row r="5729" spans="1:5" x14ac:dyDescent="0.25">
      <c r="A5729" s="4" t="s">
        <v>53</v>
      </c>
      <c r="B5729" s="4" t="s">
        <v>61</v>
      </c>
      <c r="C5729" s="5">
        <v>45317</v>
      </c>
      <c r="D5729" s="4">
        <v>11.7</v>
      </c>
      <c r="E5729" s="4">
        <v>3.79</v>
      </c>
    </row>
    <row r="5730" spans="1:5" x14ac:dyDescent="0.25">
      <c r="A5730" s="4" t="s">
        <v>53</v>
      </c>
      <c r="B5730" s="4" t="s">
        <v>61</v>
      </c>
      <c r="C5730" s="5">
        <v>45317</v>
      </c>
      <c r="D5730" s="4">
        <v>10.9</v>
      </c>
      <c r="E5730" s="4">
        <v>3.53</v>
      </c>
    </row>
    <row r="5731" spans="1:5" x14ac:dyDescent="0.25">
      <c r="A5731" s="4" t="s">
        <v>53</v>
      </c>
      <c r="B5731" s="4" t="s">
        <v>61</v>
      </c>
      <c r="C5731" s="5">
        <v>45317</v>
      </c>
      <c r="D5731" s="4">
        <v>11.7</v>
      </c>
      <c r="E5731" s="4">
        <v>3.79</v>
      </c>
    </row>
    <row r="5732" spans="1:5" x14ac:dyDescent="0.25">
      <c r="A5732" s="4" t="s">
        <v>53</v>
      </c>
      <c r="B5732" s="4" t="s">
        <v>61</v>
      </c>
      <c r="C5732" s="5">
        <v>45317</v>
      </c>
      <c r="D5732" s="4">
        <v>24.1</v>
      </c>
      <c r="E5732" s="4">
        <v>7.82</v>
      </c>
    </row>
    <row r="5733" spans="1:5" x14ac:dyDescent="0.25">
      <c r="A5733" s="4" t="s">
        <v>53</v>
      </c>
      <c r="B5733" s="4" t="s">
        <v>61</v>
      </c>
      <c r="C5733" s="5">
        <v>45317</v>
      </c>
      <c r="D5733" s="4">
        <v>17.3</v>
      </c>
      <c r="E5733" s="4">
        <v>5.62</v>
      </c>
    </row>
    <row r="5734" spans="1:5" x14ac:dyDescent="0.25">
      <c r="A5734" s="4" t="s">
        <v>53</v>
      </c>
      <c r="B5734" s="4" t="s">
        <v>61</v>
      </c>
      <c r="C5734" s="5">
        <v>45317</v>
      </c>
      <c r="D5734" s="4">
        <v>0.4</v>
      </c>
      <c r="E5734" s="4">
        <v>0.12</v>
      </c>
    </row>
    <row r="5735" spans="1:5" x14ac:dyDescent="0.25">
      <c r="A5735" s="4" t="s">
        <v>53</v>
      </c>
      <c r="B5735" s="4" t="s">
        <v>61</v>
      </c>
      <c r="C5735" s="5">
        <v>45317</v>
      </c>
      <c r="D5735" s="4">
        <v>0.9</v>
      </c>
      <c r="E5735" s="4">
        <v>0.28000000000000003</v>
      </c>
    </row>
    <row r="5736" spans="1:5" x14ac:dyDescent="0.25">
      <c r="A5736" s="4" t="s">
        <v>53</v>
      </c>
      <c r="B5736" s="4" t="s">
        <v>61</v>
      </c>
      <c r="C5736" s="5">
        <v>45320</v>
      </c>
      <c r="D5736" s="4">
        <v>35.9</v>
      </c>
      <c r="E5736" s="4">
        <v>11.61</v>
      </c>
    </row>
    <row r="5737" spans="1:5" x14ac:dyDescent="0.25">
      <c r="A5737" s="4" t="s">
        <v>53</v>
      </c>
      <c r="B5737" s="4" t="s">
        <v>61</v>
      </c>
      <c r="C5737" s="5">
        <v>45320</v>
      </c>
      <c r="D5737" s="4">
        <v>10.3</v>
      </c>
      <c r="E5737" s="4">
        <v>3.31</v>
      </c>
    </row>
    <row r="5738" spans="1:5" x14ac:dyDescent="0.25">
      <c r="A5738" s="4" t="s">
        <v>53</v>
      </c>
      <c r="B5738" s="4" t="s">
        <v>61</v>
      </c>
      <c r="C5738" s="5">
        <v>45320</v>
      </c>
      <c r="D5738" s="4">
        <v>25.6</v>
      </c>
      <c r="E5738" s="4">
        <v>8.3000000000000007</v>
      </c>
    </row>
    <row r="5739" spans="1:5" x14ac:dyDescent="0.25">
      <c r="A5739" s="4" t="s">
        <v>53</v>
      </c>
      <c r="B5739" s="4" t="s">
        <v>61</v>
      </c>
      <c r="C5739" s="5">
        <v>45320</v>
      </c>
      <c r="D5739" s="4">
        <v>13.8</v>
      </c>
      <c r="E5739" s="4">
        <v>4.47</v>
      </c>
    </row>
    <row r="5740" spans="1:5" x14ac:dyDescent="0.25">
      <c r="A5740" s="4" t="s">
        <v>53</v>
      </c>
      <c r="B5740" s="4" t="s">
        <v>61</v>
      </c>
      <c r="C5740" s="5">
        <v>45320</v>
      </c>
      <c r="D5740" s="4">
        <v>17.899999999999999</v>
      </c>
      <c r="E5740" s="4">
        <v>5.76</v>
      </c>
    </row>
    <row r="5741" spans="1:5" x14ac:dyDescent="0.25">
      <c r="A5741" s="4" t="s">
        <v>53</v>
      </c>
      <c r="B5741" s="4" t="s">
        <v>61</v>
      </c>
      <c r="C5741" s="5">
        <v>45320</v>
      </c>
      <c r="D5741" s="4">
        <v>17.899999999999999</v>
      </c>
      <c r="E5741" s="4">
        <v>5.76</v>
      </c>
    </row>
    <row r="5742" spans="1:5" x14ac:dyDescent="0.25">
      <c r="A5742" s="4" t="s">
        <v>53</v>
      </c>
      <c r="B5742" s="4" t="s">
        <v>61</v>
      </c>
      <c r="C5742" s="5">
        <v>45320</v>
      </c>
      <c r="D5742" s="4">
        <v>29.3</v>
      </c>
      <c r="E5742" s="4">
        <v>9.5</v>
      </c>
    </row>
    <row r="5743" spans="1:5" x14ac:dyDescent="0.25">
      <c r="A5743" s="4" t="s">
        <v>53</v>
      </c>
      <c r="B5743" s="4" t="s">
        <v>61</v>
      </c>
      <c r="C5743" s="5">
        <v>45320</v>
      </c>
      <c r="D5743" s="4">
        <v>29.3</v>
      </c>
      <c r="E5743" s="4">
        <v>9.5</v>
      </c>
    </row>
    <row r="5744" spans="1:5" x14ac:dyDescent="0.25">
      <c r="A5744" s="4" t="s">
        <v>53</v>
      </c>
      <c r="B5744" s="4" t="s">
        <v>61</v>
      </c>
      <c r="C5744" s="5">
        <v>45320</v>
      </c>
      <c r="D5744" s="4">
        <v>29.3</v>
      </c>
      <c r="E5744" s="4">
        <v>9.5</v>
      </c>
    </row>
    <row r="5745" spans="1:5" x14ac:dyDescent="0.25">
      <c r="A5745" s="4" t="s">
        <v>53</v>
      </c>
      <c r="B5745" s="4" t="s">
        <v>61</v>
      </c>
      <c r="C5745" s="5">
        <v>45321</v>
      </c>
      <c r="D5745" s="4">
        <v>2.4</v>
      </c>
      <c r="E5745" s="4">
        <v>0.75</v>
      </c>
    </row>
    <row r="5746" spans="1:5" x14ac:dyDescent="0.25">
      <c r="A5746" s="4" t="s">
        <v>53</v>
      </c>
      <c r="B5746" s="4" t="s">
        <v>61</v>
      </c>
      <c r="C5746" s="5">
        <v>45321</v>
      </c>
      <c r="D5746" s="4">
        <v>1.3</v>
      </c>
      <c r="E5746" s="4">
        <v>0.41</v>
      </c>
    </row>
    <row r="5747" spans="1:5" x14ac:dyDescent="0.25">
      <c r="A5747" s="4" t="s">
        <v>53</v>
      </c>
      <c r="B5747" s="4" t="s">
        <v>61</v>
      </c>
      <c r="C5747" s="5">
        <v>45321</v>
      </c>
      <c r="D5747" s="4">
        <v>1.6</v>
      </c>
      <c r="E5747" s="4">
        <v>0.5</v>
      </c>
    </row>
    <row r="5748" spans="1:5" x14ac:dyDescent="0.25">
      <c r="A5748" s="4" t="s">
        <v>53</v>
      </c>
      <c r="B5748" s="4" t="s">
        <v>61</v>
      </c>
      <c r="C5748" s="5">
        <v>45321</v>
      </c>
      <c r="D5748" s="4">
        <v>1.3</v>
      </c>
      <c r="E5748" s="4">
        <v>0.41</v>
      </c>
    </row>
    <row r="5749" spans="1:5" x14ac:dyDescent="0.25">
      <c r="A5749" s="4" t="s">
        <v>53</v>
      </c>
      <c r="B5749" s="4" t="s">
        <v>61</v>
      </c>
      <c r="C5749" s="5">
        <v>45321</v>
      </c>
      <c r="D5749" s="4">
        <v>1.6</v>
      </c>
      <c r="E5749" s="4">
        <v>0.5</v>
      </c>
    </row>
    <row r="5750" spans="1:5" x14ac:dyDescent="0.25">
      <c r="A5750" s="4" t="s">
        <v>53</v>
      </c>
      <c r="B5750" s="4" t="s">
        <v>61</v>
      </c>
      <c r="C5750" s="5">
        <v>45321</v>
      </c>
      <c r="D5750" s="4">
        <v>1.3</v>
      </c>
      <c r="E5750" s="4">
        <v>0.41</v>
      </c>
    </row>
    <row r="5751" spans="1:5" x14ac:dyDescent="0.25">
      <c r="A5751" s="4" t="s">
        <v>53</v>
      </c>
      <c r="B5751" s="4" t="s">
        <v>61</v>
      </c>
      <c r="C5751" s="5">
        <v>45321</v>
      </c>
      <c r="D5751" s="4">
        <v>1.6</v>
      </c>
      <c r="E5751" s="4">
        <v>0.5</v>
      </c>
    </row>
    <row r="5752" spans="1:5" x14ac:dyDescent="0.25">
      <c r="A5752" s="4" t="s">
        <v>53</v>
      </c>
      <c r="B5752" s="4" t="s">
        <v>61</v>
      </c>
      <c r="C5752" s="5">
        <v>45321</v>
      </c>
      <c r="D5752" s="4">
        <v>1.3</v>
      </c>
      <c r="E5752" s="4">
        <v>0.41</v>
      </c>
    </row>
    <row r="5753" spans="1:5" x14ac:dyDescent="0.25">
      <c r="A5753" s="4" t="s">
        <v>53</v>
      </c>
      <c r="B5753" s="4" t="s">
        <v>61</v>
      </c>
      <c r="C5753" s="5">
        <v>45321</v>
      </c>
      <c r="D5753" s="4">
        <v>1.6</v>
      </c>
      <c r="E5753" s="4">
        <v>0.5</v>
      </c>
    </row>
    <row r="5754" spans="1:5" x14ac:dyDescent="0.25">
      <c r="A5754" s="4" t="s">
        <v>53</v>
      </c>
      <c r="B5754" s="4" t="s">
        <v>61</v>
      </c>
      <c r="C5754" s="5">
        <v>45321</v>
      </c>
      <c r="D5754" s="4">
        <v>1.3</v>
      </c>
      <c r="E5754" s="4">
        <v>0.41</v>
      </c>
    </row>
    <row r="5755" spans="1:5" x14ac:dyDescent="0.25">
      <c r="A5755" s="4" t="s">
        <v>53</v>
      </c>
      <c r="B5755" s="4" t="s">
        <v>61</v>
      </c>
      <c r="C5755" s="5">
        <v>45321</v>
      </c>
      <c r="D5755" s="4">
        <v>1.6</v>
      </c>
      <c r="E5755" s="4">
        <v>0.5</v>
      </c>
    </row>
    <row r="5756" spans="1:5" x14ac:dyDescent="0.25">
      <c r="A5756" s="4" t="s">
        <v>53</v>
      </c>
      <c r="B5756" s="4" t="s">
        <v>61</v>
      </c>
      <c r="C5756" s="5">
        <v>45321</v>
      </c>
      <c r="D5756" s="4">
        <v>1.3</v>
      </c>
      <c r="E5756" s="4">
        <v>0.41</v>
      </c>
    </row>
    <row r="5757" spans="1:5" x14ac:dyDescent="0.25">
      <c r="A5757" s="4" t="s">
        <v>53</v>
      </c>
      <c r="B5757" s="4" t="s">
        <v>61</v>
      </c>
      <c r="C5757" s="5">
        <v>45321</v>
      </c>
      <c r="D5757" s="4">
        <v>1.6</v>
      </c>
      <c r="E5757" s="4">
        <v>0.5</v>
      </c>
    </row>
    <row r="5758" spans="1:5" x14ac:dyDescent="0.25">
      <c r="A5758" s="4" t="s">
        <v>53</v>
      </c>
      <c r="B5758" s="4" t="s">
        <v>61</v>
      </c>
      <c r="C5758" s="5">
        <v>45321</v>
      </c>
      <c r="D5758" s="4">
        <v>1.3</v>
      </c>
      <c r="E5758" s="4">
        <v>0.41</v>
      </c>
    </row>
    <row r="5759" spans="1:5" x14ac:dyDescent="0.25">
      <c r="A5759" s="4" t="s">
        <v>53</v>
      </c>
      <c r="B5759" s="4" t="s">
        <v>61</v>
      </c>
      <c r="C5759" s="5">
        <v>45321</v>
      </c>
      <c r="D5759" s="4">
        <v>1.6</v>
      </c>
      <c r="E5759" s="4">
        <v>0.5</v>
      </c>
    </row>
    <row r="5760" spans="1:5" x14ac:dyDescent="0.25">
      <c r="A5760" s="4" t="s">
        <v>53</v>
      </c>
      <c r="B5760" s="4" t="s">
        <v>61</v>
      </c>
      <c r="C5760" s="5">
        <v>45321</v>
      </c>
      <c r="D5760" s="4">
        <v>1.3</v>
      </c>
      <c r="E5760" s="4">
        <v>0.41</v>
      </c>
    </row>
    <row r="5761" spans="1:5" x14ac:dyDescent="0.25">
      <c r="A5761" s="4" t="s">
        <v>53</v>
      </c>
      <c r="B5761" s="4" t="s">
        <v>61</v>
      </c>
      <c r="C5761" s="5">
        <v>45321</v>
      </c>
      <c r="D5761" s="4">
        <v>1.6</v>
      </c>
      <c r="E5761" s="4">
        <v>0.5</v>
      </c>
    </row>
    <row r="5762" spans="1:5" x14ac:dyDescent="0.25">
      <c r="A5762" s="4" t="s">
        <v>53</v>
      </c>
      <c r="B5762" s="4" t="s">
        <v>61</v>
      </c>
      <c r="C5762" s="5">
        <v>45321</v>
      </c>
      <c r="D5762" s="4">
        <v>1.3</v>
      </c>
      <c r="E5762" s="4">
        <v>0.41</v>
      </c>
    </row>
    <row r="5763" spans="1:5" x14ac:dyDescent="0.25">
      <c r="A5763" s="4" t="s">
        <v>53</v>
      </c>
      <c r="B5763" s="4" t="s">
        <v>61</v>
      </c>
      <c r="C5763" s="5">
        <v>45321</v>
      </c>
      <c r="D5763" s="4">
        <v>1.6</v>
      </c>
      <c r="E5763" s="4">
        <v>0.5</v>
      </c>
    </row>
    <row r="5764" spans="1:5" x14ac:dyDescent="0.25">
      <c r="A5764" s="4" t="s">
        <v>53</v>
      </c>
      <c r="B5764" s="4" t="s">
        <v>61</v>
      </c>
      <c r="C5764" s="5">
        <v>45321</v>
      </c>
      <c r="D5764" s="4">
        <v>1.3</v>
      </c>
      <c r="E5764" s="4">
        <v>0.41</v>
      </c>
    </row>
    <row r="5765" spans="1:5" x14ac:dyDescent="0.25">
      <c r="A5765" s="4" t="s">
        <v>53</v>
      </c>
      <c r="B5765" s="4" t="s">
        <v>61</v>
      </c>
      <c r="C5765" s="5">
        <v>45321</v>
      </c>
      <c r="D5765" s="4">
        <v>1.6</v>
      </c>
      <c r="E5765" s="4">
        <v>0.5</v>
      </c>
    </row>
    <row r="5766" spans="1:5" x14ac:dyDescent="0.25">
      <c r="A5766" s="4" t="s">
        <v>53</v>
      </c>
      <c r="B5766" s="4" t="s">
        <v>61</v>
      </c>
      <c r="C5766" s="5">
        <v>45321</v>
      </c>
      <c r="D5766" s="4">
        <v>1.3</v>
      </c>
      <c r="E5766" s="4">
        <v>0.41</v>
      </c>
    </row>
    <row r="5767" spans="1:5" x14ac:dyDescent="0.25">
      <c r="A5767" s="4" t="s">
        <v>53</v>
      </c>
      <c r="B5767" s="4" t="s">
        <v>61</v>
      </c>
      <c r="C5767" s="5">
        <v>45321</v>
      </c>
      <c r="D5767" s="4">
        <v>1.6</v>
      </c>
      <c r="E5767" s="4">
        <v>0.5</v>
      </c>
    </row>
    <row r="5768" spans="1:5" x14ac:dyDescent="0.25">
      <c r="A5768" s="4" t="s">
        <v>53</v>
      </c>
      <c r="B5768" s="4" t="s">
        <v>61</v>
      </c>
      <c r="C5768" s="5">
        <v>45321</v>
      </c>
      <c r="D5768" s="4">
        <v>1.3</v>
      </c>
      <c r="E5768" s="4">
        <v>0.41</v>
      </c>
    </row>
    <row r="5769" spans="1:5" x14ac:dyDescent="0.25">
      <c r="A5769" s="4" t="s">
        <v>53</v>
      </c>
      <c r="B5769" s="4" t="s">
        <v>61</v>
      </c>
      <c r="C5769" s="5">
        <v>45321</v>
      </c>
      <c r="D5769" s="4">
        <v>1.6</v>
      </c>
      <c r="E5769" s="4">
        <v>0.5</v>
      </c>
    </row>
    <row r="5770" spans="1:5" x14ac:dyDescent="0.25">
      <c r="A5770" s="4" t="s">
        <v>53</v>
      </c>
      <c r="B5770" s="4" t="s">
        <v>61</v>
      </c>
      <c r="C5770" s="5">
        <v>45321</v>
      </c>
      <c r="D5770" s="4">
        <v>1.3</v>
      </c>
      <c r="E5770" s="4">
        <v>0.41</v>
      </c>
    </row>
    <row r="5771" spans="1:5" x14ac:dyDescent="0.25">
      <c r="A5771" s="4" t="s">
        <v>53</v>
      </c>
      <c r="B5771" s="4" t="s">
        <v>61</v>
      </c>
      <c r="C5771" s="5">
        <v>45321</v>
      </c>
      <c r="D5771" s="4">
        <v>3.9</v>
      </c>
      <c r="E5771" s="4">
        <v>1.25</v>
      </c>
    </row>
    <row r="5772" spans="1:5" x14ac:dyDescent="0.25">
      <c r="A5772" s="4" t="s">
        <v>53</v>
      </c>
      <c r="B5772" s="4" t="s">
        <v>61</v>
      </c>
      <c r="C5772" s="5">
        <v>45322</v>
      </c>
      <c r="D5772" s="4">
        <v>35.5</v>
      </c>
      <c r="E5772" s="4">
        <v>11.42</v>
      </c>
    </row>
    <row r="5773" spans="1:5" x14ac:dyDescent="0.25">
      <c r="A5773" s="4" t="s">
        <v>53</v>
      </c>
      <c r="B5773" s="4" t="s">
        <v>61</v>
      </c>
      <c r="C5773" s="5">
        <v>45322</v>
      </c>
      <c r="D5773" s="4">
        <v>22.3</v>
      </c>
      <c r="E5773" s="4">
        <v>7.15</v>
      </c>
    </row>
    <row r="5774" spans="1:5" x14ac:dyDescent="0.25">
      <c r="A5774" s="4" t="s">
        <v>53</v>
      </c>
      <c r="B5774" s="4" t="s">
        <v>61</v>
      </c>
      <c r="C5774" s="5">
        <v>45322</v>
      </c>
      <c r="D5774" s="4">
        <v>4.4000000000000004</v>
      </c>
      <c r="E5774" s="4">
        <v>1.43</v>
      </c>
    </row>
    <row r="5775" spans="1:5" x14ac:dyDescent="0.25">
      <c r="A5775" s="4" t="s">
        <v>53</v>
      </c>
      <c r="B5775" s="4" t="s">
        <v>61</v>
      </c>
      <c r="C5775" s="5">
        <v>45322</v>
      </c>
      <c r="D5775" s="4">
        <v>16.399999999999999</v>
      </c>
      <c r="E5775" s="4">
        <v>5.32</v>
      </c>
    </row>
    <row r="5776" spans="1:5" x14ac:dyDescent="0.25">
      <c r="A5776" s="4" t="s">
        <v>53</v>
      </c>
      <c r="B5776" s="4" t="s">
        <v>61</v>
      </c>
      <c r="C5776" s="5">
        <v>45322</v>
      </c>
      <c r="D5776" s="4">
        <v>13.7</v>
      </c>
      <c r="E5776" s="4">
        <v>4.4400000000000004</v>
      </c>
    </row>
    <row r="5777" spans="1:5" x14ac:dyDescent="0.25">
      <c r="A5777" s="4" t="s">
        <v>53</v>
      </c>
      <c r="B5777" s="4" t="s">
        <v>61</v>
      </c>
      <c r="C5777" s="5">
        <v>45322</v>
      </c>
      <c r="D5777" s="4">
        <v>13</v>
      </c>
      <c r="E5777" s="4">
        <v>4.16</v>
      </c>
    </row>
    <row r="5778" spans="1:5" x14ac:dyDescent="0.25">
      <c r="A5778" s="4" t="s">
        <v>53</v>
      </c>
      <c r="B5778" s="4" t="s">
        <v>61</v>
      </c>
      <c r="C5778" s="5">
        <v>45322</v>
      </c>
      <c r="D5778" s="4">
        <v>11.5</v>
      </c>
      <c r="E5778" s="4">
        <v>3.68</v>
      </c>
    </row>
    <row r="5779" spans="1:5" x14ac:dyDescent="0.25">
      <c r="A5779" s="4" t="s">
        <v>53</v>
      </c>
      <c r="B5779" s="4" t="s">
        <v>61</v>
      </c>
      <c r="C5779" s="5">
        <v>45322</v>
      </c>
      <c r="D5779" s="4">
        <v>1.3</v>
      </c>
      <c r="E5779" s="4">
        <v>0.42</v>
      </c>
    </row>
    <row r="5780" spans="1:5" x14ac:dyDescent="0.25">
      <c r="A5780" s="4" t="s">
        <v>53</v>
      </c>
      <c r="B5780" s="4" t="s">
        <v>61</v>
      </c>
      <c r="C5780" s="5">
        <v>45322</v>
      </c>
      <c r="D5780" s="4">
        <v>13</v>
      </c>
      <c r="E5780" s="4">
        <v>4.16</v>
      </c>
    </row>
    <row r="5781" spans="1:5" x14ac:dyDescent="0.25">
      <c r="A5781" s="4" t="s">
        <v>53</v>
      </c>
      <c r="B5781" s="4" t="s">
        <v>61</v>
      </c>
      <c r="C5781" s="5">
        <v>45322</v>
      </c>
      <c r="D5781" s="4">
        <v>13</v>
      </c>
      <c r="E5781" s="4">
        <v>4.16</v>
      </c>
    </row>
    <row r="5782" spans="1:5" x14ac:dyDescent="0.25">
      <c r="A5782" s="4" t="s">
        <v>53</v>
      </c>
      <c r="B5782" s="4" t="s">
        <v>61</v>
      </c>
      <c r="C5782" s="5">
        <v>45322</v>
      </c>
      <c r="D5782" s="4">
        <v>43</v>
      </c>
      <c r="E5782" s="4">
        <v>13.93</v>
      </c>
    </row>
    <row r="5783" spans="1:5" x14ac:dyDescent="0.25">
      <c r="A5783" s="4" t="s">
        <v>53</v>
      </c>
      <c r="B5783" s="4" t="s">
        <v>61</v>
      </c>
      <c r="C5783" s="5">
        <v>45323</v>
      </c>
      <c r="D5783" s="4">
        <v>2.4</v>
      </c>
      <c r="E5783" s="4">
        <v>0.75</v>
      </c>
    </row>
    <row r="5784" spans="1:5" x14ac:dyDescent="0.25">
      <c r="A5784" s="4" t="s">
        <v>53</v>
      </c>
      <c r="B5784" s="4" t="s">
        <v>61</v>
      </c>
      <c r="C5784" s="5">
        <v>45323</v>
      </c>
      <c r="D5784" s="4">
        <v>1.3</v>
      </c>
      <c r="E5784" s="4">
        <v>0.41</v>
      </c>
    </row>
    <row r="5785" spans="1:5" x14ac:dyDescent="0.25">
      <c r="A5785" s="4" t="s">
        <v>53</v>
      </c>
      <c r="B5785" s="4" t="s">
        <v>61</v>
      </c>
      <c r="C5785" s="5">
        <v>45323</v>
      </c>
      <c r="D5785" s="4">
        <v>1.6</v>
      </c>
      <c r="E5785" s="4">
        <v>0.5</v>
      </c>
    </row>
    <row r="5786" spans="1:5" x14ac:dyDescent="0.25">
      <c r="A5786" s="4" t="s">
        <v>53</v>
      </c>
      <c r="B5786" s="4" t="s">
        <v>61</v>
      </c>
      <c r="C5786" s="5">
        <v>45323</v>
      </c>
      <c r="D5786" s="4">
        <v>1.3</v>
      </c>
      <c r="E5786" s="4">
        <v>0.41</v>
      </c>
    </row>
    <row r="5787" spans="1:5" x14ac:dyDescent="0.25">
      <c r="A5787" s="4" t="s">
        <v>53</v>
      </c>
      <c r="B5787" s="4" t="s">
        <v>61</v>
      </c>
      <c r="C5787" s="5">
        <v>45323</v>
      </c>
      <c r="D5787" s="4">
        <v>1.6</v>
      </c>
      <c r="E5787" s="4">
        <v>0.5</v>
      </c>
    </row>
    <row r="5788" spans="1:5" x14ac:dyDescent="0.25">
      <c r="A5788" s="4" t="s">
        <v>53</v>
      </c>
      <c r="B5788" s="4" t="s">
        <v>61</v>
      </c>
      <c r="C5788" s="5">
        <v>45323</v>
      </c>
      <c r="D5788" s="4">
        <v>1.3</v>
      </c>
      <c r="E5788" s="4">
        <v>0.41</v>
      </c>
    </row>
    <row r="5789" spans="1:5" x14ac:dyDescent="0.25">
      <c r="A5789" s="4" t="s">
        <v>53</v>
      </c>
      <c r="B5789" s="4" t="s">
        <v>61</v>
      </c>
      <c r="C5789" s="5">
        <v>45323</v>
      </c>
      <c r="D5789" s="4">
        <v>1.6</v>
      </c>
      <c r="E5789" s="4">
        <v>0.5</v>
      </c>
    </row>
    <row r="5790" spans="1:5" x14ac:dyDescent="0.25">
      <c r="A5790" s="4" t="s">
        <v>53</v>
      </c>
      <c r="B5790" s="4" t="s">
        <v>61</v>
      </c>
      <c r="C5790" s="5">
        <v>45323</v>
      </c>
      <c r="D5790" s="4">
        <v>1.3</v>
      </c>
      <c r="E5790" s="4">
        <v>0.41</v>
      </c>
    </row>
    <row r="5791" spans="1:5" x14ac:dyDescent="0.25">
      <c r="A5791" s="4" t="s">
        <v>53</v>
      </c>
      <c r="B5791" s="4" t="s">
        <v>61</v>
      </c>
      <c r="C5791" s="5">
        <v>45323</v>
      </c>
      <c r="D5791" s="4">
        <v>1.2</v>
      </c>
      <c r="E5791" s="4">
        <v>0.38</v>
      </c>
    </row>
    <row r="5792" spans="1:5" x14ac:dyDescent="0.25">
      <c r="A5792" s="4" t="s">
        <v>53</v>
      </c>
      <c r="B5792" s="4" t="s">
        <v>61</v>
      </c>
      <c r="C5792" s="5">
        <v>45323</v>
      </c>
      <c r="D5792" s="4">
        <v>1.3</v>
      </c>
      <c r="E5792" s="4">
        <v>0.41</v>
      </c>
    </row>
    <row r="5793" spans="1:5" x14ac:dyDescent="0.25">
      <c r="A5793" s="4" t="s">
        <v>53</v>
      </c>
      <c r="B5793" s="4" t="s">
        <v>61</v>
      </c>
      <c r="C5793" s="5">
        <v>45323</v>
      </c>
      <c r="D5793" s="4">
        <v>1.6</v>
      </c>
      <c r="E5793" s="4">
        <v>0.5</v>
      </c>
    </row>
    <row r="5794" spans="1:5" x14ac:dyDescent="0.25">
      <c r="A5794" s="4" t="s">
        <v>53</v>
      </c>
      <c r="B5794" s="4" t="s">
        <v>61</v>
      </c>
      <c r="C5794" s="5">
        <v>45323</v>
      </c>
      <c r="D5794" s="4">
        <v>1.3</v>
      </c>
      <c r="E5794" s="4">
        <v>0.41</v>
      </c>
    </row>
    <row r="5795" spans="1:5" x14ac:dyDescent="0.25">
      <c r="A5795" s="4" t="s">
        <v>53</v>
      </c>
      <c r="B5795" s="4" t="s">
        <v>61</v>
      </c>
      <c r="C5795" s="5">
        <v>45323</v>
      </c>
      <c r="D5795" s="4">
        <v>1.6</v>
      </c>
      <c r="E5795" s="4">
        <v>0.5</v>
      </c>
    </row>
    <row r="5796" spans="1:5" x14ac:dyDescent="0.25">
      <c r="A5796" s="4" t="s">
        <v>53</v>
      </c>
      <c r="B5796" s="4" t="s">
        <v>61</v>
      </c>
      <c r="C5796" s="5">
        <v>45323</v>
      </c>
      <c r="D5796" s="4">
        <v>1.3</v>
      </c>
      <c r="E5796" s="4">
        <v>0.41</v>
      </c>
    </row>
    <row r="5797" spans="1:5" x14ac:dyDescent="0.25">
      <c r="A5797" s="4" t="s">
        <v>53</v>
      </c>
      <c r="B5797" s="4" t="s">
        <v>61</v>
      </c>
      <c r="C5797" s="5">
        <v>45323</v>
      </c>
      <c r="D5797" s="4">
        <v>1.6</v>
      </c>
      <c r="E5797" s="4">
        <v>0.5</v>
      </c>
    </row>
    <row r="5798" spans="1:5" x14ac:dyDescent="0.25">
      <c r="A5798" s="4" t="s">
        <v>53</v>
      </c>
      <c r="B5798" s="4" t="s">
        <v>61</v>
      </c>
      <c r="C5798" s="5">
        <v>45323</v>
      </c>
      <c r="D5798" s="4">
        <v>1.3</v>
      </c>
      <c r="E5798" s="4">
        <v>0.41</v>
      </c>
    </row>
    <row r="5799" spans="1:5" x14ac:dyDescent="0.25">
      <c r="A5799" s="4" t="s">
        <v>53</v>
      </c>
      <c r="B5799" s="4" t="s">
        <v>61</v>
      </c>
      <c r="C5799" s="5">
        <v>45323</v>
      </c>
      <c r="D5799" s="4">
        <v>1.6</v>
      </c>
      <c r="E5799" s="4">
        <v>0.5</v>
      </c>
    </row>
    <row r="5800" spans="1:5" x14ac:dyDescent="0.25">
      <c r="A5800" s="4" t="s">
        <v>53</v>
      </c>
      <c r="B5800" s="4" t="s">
        <v>61</v>
      </c>
      <c r="C5800" s="5">
        <v>45323</v>
      </c>
      <c r="D5800" s="4">
        <v>1.3</v>
      </c>
      <c r="E5800" s="4">
        <v>0.41</v>
      </c>
    </row>
    <row r="5801" spans="1:5" x14ac:dyDescent="0.25">
      <c r="A5801" s="4" t="s">
        <v>53</v>
      </c>
      <c r="B5801" s="4" t="s">
        <v>61</v>
      </c>
      <c r="C5801" s="5">
        <v>45323</v>
      </c>
      <c r="D5801" s="4">
        <v>1.6</v>
      </c>
      <c r="E5801" s="4">
        <v>0.5</v>
      </c>
    </row>
    <row r="5802" spans="1:5" x14ac:dyDescent="0.25">
      <c r="A5802" s="4" t="s">
        <v>53</v>
      </c>
      <c r="B5802" s="4" t="s">
        <v>61</v>
      </c>
      <c r="C5802" s="5">
        <v>45323</v>
      </c>
      <c r="D5802" s="4">
        <v>1.3</v>
      </c>
      <c r="E5802" s="4">
        <v>0.41</v>
      </c>
    </row>
    <row r="5803" spans="1:5" x14ac:dyDescent="0.25">
      <c r="A5803" s="4" t="s">
        <v>53</v>
      </c>
      <c r="B5803" s="4" t="s">
        <v>61</v>
      </c>
      <c r="C5803" s="5">
        <v>45323</v>
      </c>
      <c r="D5803" s="4">
        <v>1.6</v>
      </c>
      <c r="E5803" s="4">
        <v>0.5</v>
      </c>
    </row>
    <row r="5804" spans="1:5" x14ac:dyDescent="0.25">
      <c r="A5804" s="4" t="s">
        <v>53</v>
      </c>
      <c r="B5804" s="4" t="s">
        <v>61</v>
      </c>
      <c r="C5804" s="5">
        <v>45323</v>
      </c>
      <c r="D5804" s="4">
        <v>1.3</v>
      </c>
      <c r="E5804" s="4">
        <v>0.41</v>
      </c>
    </row>
    <row r="5805" spans="1:5" x14ac:dyDescent="0.25">
      <c r="A5805" s="4" t="s">
        <v>53</v>
      </c>
      <c r="B5805" s="4" t="s">
        <v>61</v>
      </c>
      <c r="C5805" s="5">
        <v>45323</v>
      </c>
      <c r="D5805" s="4">
        <v>1.6</v>
      </c>
      <c r="E5805" s="4">
        <v>0.5</v>
      </c>
    </row>
    <row r="5806" spans="1:5" x14ac:dyDescent="0.25">
      <c r="A5806" s="4" t="s">
        <v>53</v>
      </c>
      <c r="B5806" s="4" t="s">
        <v>61</v>
      </c>
      <c r="C5806" s="5">
        <v>45323</v>
      </c>
      <c r="D5806" s="4">
        <v>1.3</v>
      </c>
      <c r="E5806" s="4">
        <v>0.41</v>
      </c>
    </row>
    <row r="5807" spans="1:5" x14ac:dyDescent="0.25">
      <c r="A5807" s="4" t="s">
        <v>53</v>
      </c>
      <c r="B5807" s="4" t="s">
        <v>61</v>
      </c>
      <c r="C5807" s="5">
        <v>45323</v>
      </c>
      <c r="D5807" s="4">
        <v>3.9</v>
      </c>
      <c r="E5807" s="4">
        <v>1.25</v>
      </c>
    </row>
    <row r="5808" spans="1:5" x14ac:dyDescent="0.25">
      <c r="A5808" s="4" t="s">
        <v>53</v>
      </c>
      <c r="B5808" s="4" t="s">
        <v>61</v>
      </c>
      <c r="C5808" s="5">
        <v>45324</v>
      </c>
      <c r="D5808" s="4">
        <v>2.4</v>
      </c>
      <c r="E5808" s="4">
        <v>0.75</v>
      </c>
    </row>
    <row r="5809" spans="1:5" x14ac:dyDescent="0.25">
      <c r="A5809" s="4" t="s">
        <v>53</v>
      </c>
      <c r="B5809" s="4" t="s">
        <v>61</v>
      </c>
      <c r="C5809" s="5">
        <v>45324</v>
      </c>
      <c r="D5809" s="4">
        <v>1.3</v>
      </c>
      <c r="E5809" s="4">
        <v>0.41</v>
      </c>
    </row>
    <row r="5810" spans="1:5" x14ac:dyDescent="0.25">
      <c r="A5810" s="4" t="s">
        <v>53</v>
      </c>
      <c r="B5810" s="4" t="s">
        <v>61</v>
      </c>
      <c r="C5810" s="5">
        <v>45324</v>
      </c>
      <c r="D5810" s="4">
        <v>1.6</v>
      </c>
      <c r="E5810" s="4">
        <v>0.5</v>
      </c>
    </row>
    <row r="5811" spans="1:5" x14ac:dyDescent="0.25">
      <c r="A5811" s="4" t="s">
        <v>53</v>
      </c>
      <c r="B5811" s="4" t="s">
        <v>61</v>
      </c>
      <c r="C5811" s="5">
        <v>45324</v>
      </c>
      <c r="D5811" s="4">
        <v>16</v>
      </c>
      <c r="E5811" s="4">
        <v>5.15</v>
      </c>
    </row>
    <row r="5812" spans="1:5" x14ac:dyDescent="0.25">
      <c r="A5812" s="4" t="s">
        <v>53</v>
      </c>
      <c r="B5812" s="4" t="s">
        <v>61</v>
      </c>
      <c r="C5812" s="5">
        <v>45324</v>
      </c>
      <c r="D5812" s="4">
        <v>7.4</v>
      </c>
      <c r="E5812" s="4">
        <v>2.35</v>
      </c>
    </row>
    <row r="5813" spans="1:5" x14ac:dyDescent="0.25">
      <c r="A5813" s="4" t="s">
        <v>53</v>
      </c>
      <c r="B5813" s="4" t="s">
        <v>61</v>
      </c>
      <c r="C5813" s="5">
        <v>45324</v>
      </c>
      <c r="D5813" s="4">
        <v>7.4</v>
      </c>
      <c r="E5813" s="4">
        <v>2.35</v>
      </c>
    </row>
    <row r="5814" spans="1:5" x14ac:dyDescent="0.25">
      <c r="A5814" s="4" t="s">
        <v>53</v>
      </c>
      <c r="B5814" s="4" t="s">
        <v>61</v>
      </c>
      <c r="C5814" s="5">
        <v>45324</v>
      </c>
      <c r="D5814" s="4">
        <v>0.3</v>
      </c>
      <c r="E5814" s="4">
        <v>0.1</v>
      </c>
    </row>
    <row r="5815" spans="1:5" x14ac:dyDescent="0.25">
      <c r="A5815" s="4" t="s">
        <v>53</v>
      </c>
      <c r="B5815" s="4" t="s">
        <v>61</v>
      </c>
      <c r="C5815" s="5">
        <v>45324</v>
      </c>
      <c r="D5815" s="4">
        <v>0.3</v>
      </c>
      <c r="E5815" s="4">
        <v>0.1</v>
      </c>
    </row>
    <row r="5816" spans="1:5" x14ac:dyDescent="0.25">
      <c r="A5816" s="4" t="s">
        <v>53</v>
      </c>
      <c r="B5816" s="4" t="s">
        <v>61</v>
      </c>
      <c r="C5816" s="5">
        <v>45324</v>
      </c>
      <c r="D5816" s="4">
        <v>9.9</v>
      </c>
      <c r="E5816" s="4">
        <v>3.16</v>
      </c>
    </row>
    <row r="5817" spans="1:5" x14ac:dyDescent="0.25">
      <c r="A5817" s="4" t="s">
        <v>53</v>
      </c>
      <c r="B5817" s="4" t="s">
        <v>61</v>
      </c>
      <c r="C5817" s="5">
        <v>45328</v>
      </c>
      <c r="D5817" s="4">
        <v>15.4</v>
      </c>
      <c r="E5817" s="4">
        <v>5</v>
      </c>
    </row>
    <row r="5818" spans="1:5" x14ac:dyDescent="0.25">
      <c r="A5818" s="4" t="s">
        <v>53</v>
      </c>
      <c r="B5818" s="4" t="s">
        <v>61</v>
      </c>
      <c r="C5818" s="5">
        <v>45328</v>
      </c>
      <c r="D5818" s="4">
        <v>27.5</v>
      </c>
      <c r="E5818" s="4">
        <v>8.92</v>
      </c>
    </row>
    <row r="5819" spans="1:5" x14ac:dyDescent="0.25">
      <c r="A5819" s="4" t="s">
        <v>53</v>
      </c>
      <c r="B5819" s="4" t="s">
        <v>61</v>
      </c>
      <c r="C5819" s="5">
        <v>45328</v>
      </c>
      <c r="D5819" s="4">
        <v>23.8</v>
      </c>
      <c r="E5819" s="4">
        <v>7.67</v>
      </c>
    </row>
    <row r="5820" spans="1:5" x14ac:dyDescent="0.25">
      <c r="A5820" s="4" t="s">
        <v>53</v>
      </c>
      <c r="B5820" s="4" t="s">
        <v>61</v>
      </c>
      <c r="C5820" s="5">
        <v>45328</v>
      </c>
      <c r="D5820" s="4">
        <v>24.4</v>
      </c>
      <c r="E5820" s="4">
        <v>7.85</v>
      </c>
    </row>
    <row r="5821" spans="1:5" x14ac:dyDescent="0.25">
      <c r="A5821" s="4" t="s">
        <v>53</v>
      </c>
      <c r="B5821" s="4" t="s">
        <v>61</v>
      </c>
      <c r="C5821" s="5">
        <v>45328</v>
      </c>
      <c r="D5821" s="4">
        <v>23.8</v>
      </c>
      <c r="E5821" s="4">
        <v>7.67</v>
      </c>
    </row>
    <row r="5822" spans="1:5" x14ac:dyDescent="0.25">
      <c r="A5822" s="4" t="s">
        <v>53</v>
      </c>
      <c r="B5822" s="4" t="s">
        <v>61</v>
      </c>
      <c r="C5822" s="5">
        <v>45328</v>
      </c>
      <c r="D5822" s="4">
        <v>24.4</v>
      </c>
      <c r="E5822" s="4">
        <v>7.85</v>
      </c>
    </row>
    <row r="5823" spans="1:5" x14ac:dyDescent="0.25">
      <c r="A5823" s="4" t="s">
        <v>53</v>
      </c>
      <c r="B5823" s="4" t="s">
        <v>61</v>
      </c>
      <c r="C5823" s="5">
        <v>45328</v>
      </c>
      <c r="D5823" s="4">
        <v>23.8</v>
      </c>
      <c r="E5823" s="4">
        <v>7.67</v>
      </c>
    </row>
    <row r="5824" spans="1:5" x14ac:dyDescent="0.25">
      <c r="A5824" s="4" t="s">
        <v>53</v>
      </c>
      <c r="B5824" s="4" t="s">
        <v>61</v>
      </c>
      <c r="C5824" s="5">
        <v>45328</v>
      </c>
      <c r="D5824" s="4">
        <v>24.4</v>
      </c>
      <c r="E5824" s="4">
        <v>7.85</v>
      </c>
    </row>
    <row r="5825" spans="1:5" x14ac:dyDescent="0.25">
      <c r="A5825" s="4" t="s">
        <v>53</v>
      </c>
      <c r="B5825" s="4" t="s">
        <v>61</v>
      </c>
      <c r="C5825" s="5">
        <v>45328</v>
      </c>
      <c r="D5825" s="4">
        <v>0.4</v>
      </c>
      <c r="E5825" s="4">
        <v>0.12</v>
      </c>
    </row>
    <row r="5826" spans="1:5" x14ac:dyDescent="0.25">
      <c r="A5826" s="4" t="s">
        <v>53</v>
      </c>
      <c r="B5826" s="4" t="s">
        <v>61</v>
      </c>
      <c r="C5826" s="5">
        <v>45328</v>
      </c>
      <c r="D5826" s="4">
        <v>13.8</v>
      </c>
      <c r="E5826" s="4">
        <v>4.47</v>
      </c>
    </row>
    <row r="5827" spans="1:5" x14ac:dyDescent="0.25">
      <c r="A5827" s="4" t="s">
        <v>53</v>
      </c>
      <c r="B5827" s="4" t="s">
        <v>61</v>
      </c>
      <c r="C5827" s="5">
        <v>45329</v>
      </c>
      <c r="D5827" s="4">
        <v>26.2</v>
      </c>
      <c r="E5827" s="4">
        <v>8.49</v>
      </c>
    </row>
    <row r="5828" spans="1:5" x14ac:dyDescent="0.25">
      <c r="A5828" s="4" t="s">
        <v>53</v>
      </c>
      <c r="B5828" s="4" t="s">
        <v>61</v>
      </c>
      <c r="C5828" s="5">
        <v>45329</v>
      </c>
      <c r="D5828" s="4">
        <v>44.4</v>
      </c>
      <c r="E5828" s="4">
        <v>14.38</v>
      </c>
    </row>
    <row r="5829" spans="1:5" x14ac:dyDescent="0.25">
      <c r="A5829" s="4" t="s">
        <v>53</v>
      </c>
      <c r="B5829" s="4" t="s">
        <v>61</v>
      </c>
      <c r="C5829" s="5">
        <v>45330</v>
      </c>
      <c r="D5829" s="4">
        <v>2.4</v>
      </c>
      <c r="E5829" s="4">
        <v>0.75</v>
      </c>
    </row>
    <row r="5830" spans="1:5" x14ac:dyDescent="0.25">
      <c r="A5830" s="4" t="s">
        <v>53</v>
      </c>
      <c r="B5830" s="4" t="s">
        <v>61</v>
      </c>
      <c r="C5830" s="5">
        <v>45330</v>
      </c>
      <c r="D5830" s="4">
        <v>0.8</v>
      </c>
      <c r="E5830" s="4">
        <v>0.26</v>
      </c>
    </row>
    <row r="5831" spans="1:5" x14ac:dyDescent="0.25">
      <c r="A5831" s="4" t="s">
        <v>53</v>
      </c>
      <c r="B5831" s="4" t="s">
        <v>61</v>
      </c>
      <c r="C5831" s="5">
        <v>45330</v>
      </c>
      <c r="D5831" s="4">
        <v>0.5</v>
      </c>
      <c r="E5831" s="4">
        <v>0.16</v>
      </c>
    </row>
    <row r="5832" spans="1:5" x14ac:dyDescent="0.25">
      <c r="A5832" s="4" t="s">
        <v>53</v>
      </c>
      <c r="B5832" s="4" t="s">
        <v>61</v>
      </c>
      <c r="C5832" s="5">
        <v>45330</v>
      </c>
      <c r="D5832" s="4">
        <v>2.5</v>
      </c>
      <c r="E5832" s="4">
        <v>0.81</v>
      </c>
    </row>
    <row r="5833" spans="1:5" x14ac:dyDescent="0.25">
      <c r="A5833" s="4" t="s">
        <v>53</v>
      </c>
      <c r="B5833" s="4" t="s">
        <v>61</v>
      </c>
      <c r="C5833" s="5">
        <v>45330</v>
      </c>
      <c r="D5833" s="4">
        <v>2</v>
      </c>
      <c r="E5833" s="4">
        <v>0.63</v>
      </c>
    </row>
    <row r="5834" spans="1:5" x14ac:dyDescent="0.25">
      <c r="A5834" s="4" t="s">
        <v>53</v>
      </c>
      <c r="B5834" s="4" t="s">
        <v>61</v>
      </c>
      <c r="C5834" s="5">
        <v>45330</v>
      </c>
      <c r="D5834" s="4">
        <v>0.4</v>
      </c>
      <c r="E5834" s="4">
        <v>0.12</v>
      </c>
    </row>
    <row r="5835" spans="1:5" x14ac:dyDescent="0.25">
      <c r="A5835" s="4" t="s">
        <v>53</v>
      </c>
      <c r="B5835" s="4" t="s">
        <v>61</v>
      </c>
      <c r="C5835" s="5">
        <v>45330</v>
      </c>
      <c r="D5835" s="4">
        <v>0.8</v>
      </c>
      <c r="E5835" s="4">
        <v>0.26</v>
      </c>
    </row>
    <row r="5836" spans="1:5" x14ac:dyDescent="0.25">
      <c r="A5836" s="4" t="s">
        <v>53</v>
      </c>
      <c r="B5836" s="4" t="s">
        <v>61</v>
      </c>
      <c r="C5836" s="5">
        <v>45330</v>
      </c>
      <c r="D5836" s="4">
        <v>0.5</v>
      </c>
      <c r="E5836" s="4">
        <v>0.16</v>
      </c>
    </row>
    <row r="5837" spans="1:5" x14ac:dyDescent="0.25">
      <c r="A5837" s="4" t="s">
        <v>53</v>
      </c>
      <c r="B5837" s="4" t="s">
        <v>61</v>
      </c>
      <c r="C5837" s="5">
        <v>45330</v>
      </c>
      <c r="D5837" s="4">
        <v>10.5</v>
      </c>
      <c r="E5837" s="4">
        <v>3.4</v>
      </c>
    </row>
    <row r="5838" spans="1:5" x14ac:dyDescent="0.25">
      <c r="A5838" s="4" t="s">
        <v>53</v>
      </c>
      <c r="B5838" s="4" t="s">
        <v>61</v>
      </c>
      <c r="C5838" s="5">
        <v>45330</v>
      </c>
      <c r="D5838" s="4">
        <v>10.9</v>
      </c>
      <c r="E5838" s="4">
        <v>3.53</v>
      </c>
    </row>
    <row r="5839" spans="1:5" x14ac:dyDescent="0.25">
      <c r="A5839" s="4" t="s">
        <v>53</v>
      </c>
      <c r="B5839" s="4" t="s">
        <v>61</v>
      </c>
      <c r="C5839" s="5">
        <v>45330</v>
      </c>
      <c r="D5839" s="4">
        <v>0.7</v>
      </c>
      <c r="E5839" s="4">
        <v>0.23</v>
      </c>
    </row>
    <row r="5840" spans="1:5" x14ac:dyDescent="0.25">
      <c r="A5840" s="4" t="s">
        <v>53</v>
      </c>
      <c r="B5840" s="4" t="s">
        <v>61</v>
      </c>
      <c r="C5840" s="5">
        <v>45330</v>
      </c>
      <c r="D5840" s="4">
        <v>0.5</v>
      </c>
      <c r="E5840" s="4">
        <v>0.16</v>
      </c>
    </row>
    <row r="5841" spans="1:5" x14ac:dyDescent="0.25">
      <c r="A5841" s="4" t="s">
        <v>53</v>
      </c>
      <c r="B5841" s="4" t="s">
        <v>61</v>
      </c>
      <c r="C5841" s="5">
        <v>45330</v>
      </c>
      <c r="D5841" s="4">
        <v>11.7</v>
      </c>
      <c r="E5841" s="4">
        <v>3.79</v>
      </c>
    </row>
    <row r="5842" spans="1:5" x14ac:dyDescent="0.25">
      <c r="A5842" s="4" t="s">
        <v>53</v>
      </c>
      <c r="B5842" s="4" t="s">
        <v>61</v>
      </c>
      <c r="C5842" s="5">
        <v>45330</v>
      </c>
      <c r="D5842" s="4">
        <v>10.9</v>
      </c>
      <c r="E5842" s="4">
        <v>3.53</v>
      </c>
    </row>
    <row r="5843" spans="1:5" x14ac:dyDescent="0.25">
      <c r="A5843" s="4" t="s">
        <v>53</v>
      </c>
      <c r="B5843" s="4" t="s">
        <v>61</v>
      </c>
      <c r="C5843" s="5">
        <v>45330</v>
      </c>
      <c r="D5843" s="4">
        <v>0.7</v>
      </c>
      <c r="E5843" s="4">
        <v>0.23</v>
      </c>
    </row>
    <row r="5844" spans="1:5" x14ac:dyDescent="0.25">
      <c r="A5844" s="4" t="s">
        <v>53</v>
      </c>
      <c r="B5844" s="4" t="s">
        <v>61</v>
      </c>
      <c r="C5844" s="5">
        <v>45330</v>
      </c>
      <c r="D5844" s="4">
        <v>0.5</v>
      </c>
      <c r="E5844" s="4">
        <v>0.16</v>
      </c>
    </row>
    <row r="5845" spans="1:5" x14ac:dyDescent="0.25">
      <c r="A5845" s="4" t="s">
        <v>53</v>
      </c>
      <c r="B5845" s="4" t="s">
        <v>61</v>
      </c>
      <c r="C5845" s="5">
        <v>45330</v>
      </c>
      <c r="D5845" s="4">
        <v>11.7</v>
      </c>
      <c r="E5845" s="4">
        <v>3.79</v>
      </c>
    </row>
    <row r="5846" spans="1:5" x14ac:dyDescent="0.25">
      <c r="A5846" s="4" t="s">
        <v>53</v>
      </c>
      <c r="B5846" s="4" t="s">
        <v>61</v>
      </c>
      <c r="C5846" s="5">
        <v>45330</v>
      </c>
      <c r="D5846" s="4">
        <v>10.9</v>
      </c>
      <c r="E5846" s="4">
        <v>3.53</v>
      </c>
    </row>
    <row r="5847" spans="1:5" x14ac:dyDescent="0.25">
      <c r="A5847" s="4" t="s">
        <v>53</v>
      </c>
      <c r="B5847" s="4" t="s">
        <v>61</v>
      </c>
      <c r="C5847" s="5">
        <v>45330</v>
      </c>
      <c r="D5847" s="4">
        <v>0.7</v>
      </c>
      <c r="E5847" s="4">
        <v>0.23</v>
      </c>
    </row>
    <row r="5848" spans="1:5" x14ac:dyDescent="0.25">
      <c r="A5848" s="4" t="s">
        <v>53</v>
      </c>
      <c r="B5848" s="4" t="s">
        <v>61</v>
      </c>
      <c r="C5848" s="5">
        <v>45330</v>
      </c>
      <c r="D5848" s="4">
        <v>0.5</v>
      </c>
      <c r="E5848" s="4">
        <v>0.16</v>
      </c>
    </row>
    <row r="5849" spans="1:5" x14ac:dyDescent="0.25">
      <c r="A5849" s="4" t="s">
        <v>53</v>
      </c>
      <c r="B5849" s="4" t="s">
        <v>61</v>
      </c>
      <c r="C5849" s="5">
        <v>45330</v>
      </c>
      <c r="D5849" s="4">
        <v>2.5</v>
      </c>
      <c r="E5849" s="4">
        <v>0.81</v>
      </c>
    </row>
    <row r="5850" spans="1:5" x14ac:dyDescent="0.25">
      <c r="A5850" s="4" t="s">
        <v>53</v>
      </c>
      <c r="B5850" s="4" t="s">
        <v>61</v>
      </c>
      <c r="C5850" s="5">
        <v>45331</v>
      </c>
      <c r="D5850" s="4">
        <v>2.4</v>
      </c>
      <c r="E5850" s="4">
        <v>0.75</v>
      </c>
    </row>
    <row r="5851" spans="1:5" x14ac:dyDescent="0.25">
      <c r="A5851" s="4" t="s">
        <v>53</v>
      </c>
      <c r="B5851" s="4" t="s">
        <v>61</v>
      </c>
      <c r="C5851" s="5">
        <v>45331</v>
      </c>
      <c r="D5851" s="4">
        <v>0.8</v>
      </c>
      <c r="E5851" s="4">
        <v>0.26</v>
      </c>
    </row>
    <row r="5852" spans="1:5" x14ac:dyDescent="0.25">
      <c r="A5852" s="4" t="s">
        <v>53</v>
      </c>
      <c r="B5852" s="4" t="s">
        <v>61</v>
      </c>
      <c r="C5852" s="5">
        <v>45331</v>
      </c>
      <c r="D5852" s="4">
        <v>0.5</v>
      </c>
      <c r="E5852" s="4">
        <v>0.16</v>
      </c>
    </row>
    <row r="5853" spans="1:5" x14ac:dyDescent="0.25">
      <c r="A5853" s="4" t="s">
        <v>53</v>
      </c>
      <c r="B5853" s="4" t="s">
        <v>61</v>
      </c>
      <c r="C5853" s="5">
        <v>45331</v>
      </c>
      <c r="D5853" s="4">
        <v>11.7</v>
      </c>
      <c r="E5853" s="4">
        <v>3.79</v>
      </c>
    </row>
    <row r="5854" spans="1:5" x14ac:dyDescent="0.25">
      <c r="A5854" s="4" t="s">
        <v>53</v>
      </c>
      <c r="B5854" s="4" t="s">
        <v>61</v>
      </c>
      <c r="C5854" s="5">
        <v>45331</v>
      </c>
      <c r="D5854" s="4">
        <v>10.9</v>
      </c>
      <c r="E5854" s="4">
        <v>3.53</v>
      </c>
    </row>
    <row r="5855" spans="1:5" x14ac:dyDescent="0.25">
      <c r="A5855" s="4" t="s">
        <v>53</v>
      </c>
      <c r="B5855" s="4" t="s">
        <v>61</v>
      </c>
      <c r="C5855" s="5">
        <v>45331</v>
      </c>
      <c r="D5855" s="4">
        <v>0.7</v>
      </c>
      <c r="E5855" s="4">
        <v>0.23</v>
      </c>
    </row>
    <row r="5856" spans="1:5" x14ac:dyDescent="0.25">
      <c r="A5856" s="4" t="s">
        <v>53</v>
      </c>
      <c r="B5856" s="4" t="s">
        <v>61</v>
      </c>
      <c r="C5856" s="5">
        <v>45331</v>
      </c>
      <c r="D5856" s="4">
        <v>0.5</v>
      </c>
      <c r="E5856" s="4">
        <v>0.16</v>
      </c>
    </row>
    <row r="5857" spans="1:5" x14ac:dyDescent="0.25">
      <c r="A5857" s="4" t="s">
        <v>53</v>
      </c>
      <c r="B5857" s="4" t="s">
        <v>61</v>
      </c>
      <c r="C5857" s="5">
        <v>45331</v>
      </c>
      <c r="D5857" s="4">
        <v>11.7</v>
      </c>
      <c r="E5857" s="4">
        <v>3.79</v>
      </c>
    </row>
    <row r="5858" spans="1:5" x14ac:dyDescent="0.25">
      <c r="A5858" s="4" t="s">
        <v>53</v>
      </c>
      <c r="B5858" s="4" t="s">
        <v>61</v>
      </c>
      <c r="C5858" s="5">
        <v>45331</v>
      </c>
      <c r="D5858" s="4">
        <v>10.9</v>
      </c>
      <c r="E5858" s="4">
        <v>3.53</v>
      </c>
    </row>
    <row r="5859" spans="1:5" x14ac:dyDescent="0.25">
      <c r="A5859" s="4" t="s">
        <v>53</v>
      </c>
      <c r="B5859" s="4" t="s">
        <v>61</v>
      </c>
      <c r="C5859" s="5">
        <v>45331</v>
      </c>
      <c r="D5859" s="4">
        <v>0.7</v>
      </c>
      <c r="E5859" s="4">
        <v>0.23</v>
      </c>
    </row>
    <row r="5860" spans="1:5" x14ac:dyDescent="0.25">
      <c r="A5860" s="4" t="s">
        <v>53</v>
      </c>
      <c r="B5860" s="4" t="s">
        <v>61</v>
      </c>
      <c r="C5860" s="5">
        <v>45331</v>
      </c>
      <c r="D5860" s="4">
        <v>0.5</v>
      </c>
      <c r="E5860" s="4">
        <v>0.16</v>
      </c>
    </row>
    <row r="5861" spans="1:5" x14ac:dyDescent="0.25">
      <c r="A5861" s="4" t="s">
        <v>53</v>
      </c>
      <c r="B5861" s="4" t="s">
        <v>61</v>
      </c>
      <c r="C5861" s="5">
        <v>45331</v>
      </c>
      <c r="D5861" s="4">
        <v>11.7</v>
      </c>
      <c r="E5861" s="4">
        <v>3.79</v>
      </c>
    </row>
    <row r="5862" spans="1:5" x14ac:dyDescent="0.25">
      <c r="A5862" s="4" t="s">
        <v>53</v>
      </c>
      <c r="B5862" s="4" t="s">
        <v>61</v>
      </c>
      <c r="C5862" s="5">
        <v>45331</v>
      </c>
      <c r="D5862" s="4">
        <v>8.6999999999999993</v>
      </c>
      <c r="E5862" s="4">
        <v>2.82</v>
      </c>
    </row>
    <row r="5863" spans="1:5" x14ac:dyDescent="0.25">
      <c r="A5863" s="4" t="s">
        <v>53</v>
      </c>
      <c r="B5863" s="4" t="s">
        <v>38</v>
      </c>
      <c r="C5863" s="5">
        <v>45307</v>
      </c>
      <c r="D5863" s="4">
        <v>15.4</v>
      </c>
      <c r="E5863" s="4">
        <v>5.35</v>
      </c>
    </row>
    <row r="5864" spans="1:5" x14ac:dyDescent="0.25">
      <c r="A5864" s="4" t="s">
        <v>53</v>
      </c>
      <c r="B5864" s="4" t="s">
        <v>38</v>
      </c>
      <c r="C5864" s="5">
        <v>45307</v>
      </c>
      <c r="D5864" s="4">
        <v>40.5</v>
      </c>
      <c r="E5864" s="4">
        <v>14.09</v>
      </c>
    </row>
    <row r="5865" spans="1:5" x14ac:dyDescent="0.25">
      <c r="A5865" s="4" t="s">
        <v>53</v>
      </c>
      <c r="B5865" s="4" t="s">
        <v>38</v>
      </c>
      <c r="C5865" s="5">
        <v>45307</v>
      </c>
      <c r="D5865" s="4">
        <v>0.6</v>
      </c>
      <c r="E5865" s="4">
        <v>0.2</v>
      </c>
    </row>
    <row r="5866" spans="1:5" x14ac:dyDescent="0.25">
      <c r="A5866" s="4" t="s">
        <v>53</v>
      </c>
      <c r="B5866" s="4" t="s">
        <v>38</v>
      </c>
      <c r="C5866" s="5">
        <v>45307</v>
      </c>
      <c r="D5866" s="4">
        <v>53.9</v>
      </c>
      <c r="E5866" s="4">
        <v>18.75</v>
      </c>
    </row>
    <row r="5867" spans="1:5" x14ac:dyDescent="0.25">
      <c r="A5867" s="4" t="s">
        <v>53</v>
      </c>
      <c r="B5867" s="4" t="s">
        <v>38</v>
      </c>
      <c r="C5867" s="5">
        <v>45307</v>
      </c>
      <c r="D5867" s="4">
        <v>40.5</v>
      </c>
      <c r="E5867" s="4">
        <v>14.09</v>
      </c>
    </row>
    <row r="5868" spans="1:5" x14ac:dyDescent="0.25">
      <c r="A5868" s="4" t="s">
        <v>53</v>
      </c>
      <c r="B5868" s="4" t="s">
        <v>38</v>
      </c>
      <c r="C5868" s="5">
        <v>45307</v>
      </c>
      <c r="D5868" s="4">
        <v>0.6</v>
      </c>
      <c r="E5868" s="4">
        <v>0.2</v>
      </c>
    </row>
    <row r="5869" spans="1:5" x14ac:dyDescent="0.25">
      <c r="A5869" s="4" t="s">
        <v>53</v>
      </c>
      <c r="B5869" s="4" t="s">
        <v>38</v>
      </c>
      <c r="C5869" s="5">
        <v>45307</v>
      </c>
      <c r="D5869" s="4">
        <v>53.9</v>
      </c>
      <c r="E5869" s="4">
        <v>18.75</v>
      </c>
    </row>
    <row r="5870" spans="1:5" x14ac:dyDescent="0.25">
      <c r="A5870" s="4" t="s">
        <v>53</v>
      </c>
      <c r="B5870" s="4" t="s">
        <v>38</v>
      </c>
      <c r="C5870" s="5">
        <v>45307</v>
      </c>
      <c r="D5870" s="4">
        <v>40.5</v>
      </c>
      <c r="E5870" s="4">
        <v>14.09</v>
      </c>
    </row>
    <row r="5871" spans="1:5" x14ac:dyDescent="0.25">
      <c r="A5871" s="4" t="s">
        <v>53</v>
      </c>
      <c r="B5871" s="4" t="s">
        <v>38</v>
      </c>
      <c r="C5871" s="5">
        <v>45307</v>
      </c>
      <c r="D5871" s="4">
        <v>0.6</v>
      </c>
      <c r="E5871" s="4">
        <v>0.2</v>
      </c>
    </row>
    <row r="5872" spans="1:5" x14ac:dyDescent="0.25">
      <c r="A5872" s="4" t="s">
        <v>53</v>
      </c>
      <c r="B5872" s="4" t="s">
        <v>38</v>
      </c>
      <c r="C5872" s="5">
        <v>45307</v>
      </c>
      <c r="D5872" s="4">
        <v>53.9</v>
      </c>
      <c r="E5872" s="4">
        <v>18.75</v>
      </c>
    </row>
    <row r="5873" spans="1:5" x14ac:dyDescent="0.25">
      <c r="A5873" s="4" t="s">
        <v>53</v>
      </c>
      <c r="B5873" s="4" t="s">
        <v>38</v>
      </c>
      <c r="C5873" s="5">
        <v>45307</v>
      </c>
      <c r="D5873" s="4">
        <v>40.5</v>
      </c>
      <c r="E5873" s="4">
        <v>14.09</v>
      </c>
    </row>
    <row r="5874" spans="1:5" x14ac:dyDescent="0.25">
      <c r="A5874" s="4" t="s">
        <v>53</v>
      </c>
      <c r="B5874" s="4" t="s">
        <v>38</v>
      </c>
      <c r="C5874" s="5">
        <v>45307</v>
      </c>
      <c r="D5874" s="4">
        <v>0.6</v>
      </c>
      <c r="E5874" s="4">
        <v>0.2</v>
      </c>
    </row>
    <row r="5875" spans="1:5" x14ac:dyDescent="0.25">
      <c r="A5875" s="4" t="s">
        <v>53</v>
      </c>
      <c r="B5875" s="4" t="s">
        <v>38</v>
      </c>
      <c r="C5875" s="5">
        <v>45307</v>
      </c>
      <c r="D5875" s="4">
        <v>38.5</v>
      </c>
      <c r="E5875" s="4">
        <v>13.4</v>
      </c>
    </row>
    <row r="5876" spans="1:5" x14ac:dyDescent="0.25">
      <c r="A5876" s="4" t="s">
        <v>53</v>
      </c>
      <c r="B5876" s="4" t="s">
        <v>38</v>
      </c>
      <c r="C5876" s="5">
        <v>45308</v>
      </c>
      <c r="D5876" s="4">
        <v>15.4</v>
      </c>
      <c r="E5876" s="4">
        <v>5.35</v>
      </c>
    </row>
    <row r="5877" spans="1:5" x14ac:dyDescent="0.25">
      <c r="A5877" s="4" t="s">
        <v>53</v>
      </c>
      <c r="B5877" s="4" t="s">
        <v>38</v>
      </c>
      <c r="C5877" s="5">
        <v>45308</v>
      </c>
      <c r="D5877" s="4">
        <v>40.5</v>
      </c>
      <c r="E5877" s="4">
        <v>14.09</v>
      </c>
    </row>
    <row r="5878" spans="1:5" x14ac:dyDescent="0.25">
      <c r="A5878" s="4" t="s">
        <v>53</v>
      </c>
      <c r="B5878" s="4" t="s">
        <v>38</v>
      </c>
      <c r="C5878" s="5">
        <v>45308</v>
      </c>
      <c r="D5878" s="4">
        <v>0.6</v>
      </c>
      <c r="E5878" s="4">
        <v>0.2</v>
      </c>
    </row>
    <row r="5879" spans="1:5" x14ac:dyDescent="0.25">
      <c r="A5879" s="4" t="s">
        <v>53</v>
      </c>
      <c r="B5879" s="4" t="s">
        <v>38</v>
      </c>
      <c r="C5879" s="5">
        <v>45308</v>
      </c>
      <c r="D5879" s="4">
        <v>40.200000000000003</v>
      </c>
      <c r="E5879" s="4">
        <v>13.95</v>
      </c>
    </row>
    <row r="5880" spans="1:5" x14ac:dyDescent="0.25">
      <c r="A5880" s="4" t="s">
        <v>53</v>
      </c>
      <c r="B5880" s="4" t="s">
        <v>38</v>
      </c>
      <c r="C5880" s="5">
        <v>45308</v>
      </c>
      <c r="D5880" s="4">
        <v>40.5</v>
      </c>
      <c r="E5880" s="4">
        <v>14.09</v>
      </c>
    </row>
    <row r="5881" spans="1:5" x14ac:dyDescent="0.25">
      <c r="A5881" s="4" t="s">
        <v>53</v>
      </c>
      <c r="B5881" s="4" t="s">
        <v>38</v>
      </c>
      <c r="C5881" s="5">
        <v>45308</v>
      </c>
      <c r="D5881" s="4">
        <v>0.6</v>
      </c>
      <c r="E5881" s="4">
        <v>0.2</v>
      </c>
    </row>
    <row r="5882" spans="1:5" x14ac:dyDescent="0.25">
      <c r="A5882" s="4" t="s">
        <v>53</v>
      </c>
      <c r="B5882" s="4" t="s">
        <v>38</v>
      </c>
      <c r="C5882" s="5">
        <v>45308</v>
      </c>
      <c r="D5882" s="4">
        <v>53.9</v>
      </c>
      <c r="E5882" s="4">
        <v>18.75</v>
      </c>
    </row>
    <row r="5883" spans="1:5" x14ac:dyDescent="0.25">
      <c r="A5883" s="4" t="s">
        <v>53</v>
      </c>
      <c r="B5883" s="4" t="s">
        <v>38</v>
      </c>
      <c r="C5883" s="5">
        <v>45308</v>
      </c>
      <c r="D5883" s="4">
        <v>40.5</v>
      </c>
      <c r="E5883" s="4">
        <v>14.09</v>
      </c>
    </row>
    <row r="5884" spans="1:5" x14ac:dyDescent="0.25">
      <c r="A5884" s="4" t="s">
        <v>53</v>
      </c>
      <c r="B5884" s="4" t="s">
        <v>38</v>
      </c>
      <c r="C5884" s="5">
        <v>45308</v>
      </c>
      <c r="D5884" s="4">
        <v>0.6</v>
      </c>
      <c r="E5884" s="4">
        <v>0.2</v>
      </c>
    </row>
    <row r="5885" spans="1:5" x14ac:dyDescent="0.25">
      <c r="A5885" s="4" t="s">
        <v>53</v>
      </c>
      <c r="B5885" s="4" t="s">
        <v>38</v>
      </c>
      <c r="C5885" s="5">
        <v>45308</v>
      </c>
      <c r="D5885" s="4">
        <v>53.9</v>
      </c>
      <c r="E5885" s="4">
        <v>18.75</v>
      </c>
    </row>
    <row r="5886" spans="1:5" x14ac:dyDescent="0.25">
      <c r="A5886" s="4" t="s">
        <v>53</v>
      </c>
      <c r="B5886" s="4" t="s">
        <v>38</v>
      </c>
      <c r="C5886" s="5">
        <v>45308</v>
      </c>
      <c r="D5886" s="4">
        <v>40.5</v>
      </c>
      <c r="E5886" s="4">
        <v>14.09</v>
      </c>
    </row>
    <row r="5887" spans="1:5" x14ac:dyDescent="0.25">
      <c r="A5887" s="4" t="s">
        <v>53</v>
      </c>
      <c r="B5887" s="4" t="s">
        <v>38</v>
      </c>
      <c r="C5887" s="5">
        <v>45308</v>
      </c>
      <c r="D5887" s="4">
        <v>0.6</v>
      </c>
      <c r="E5887" s="4">
        <v>0.2</v>
      </c>
    </row>
    <row r="5888" spans="1:5" x14ac:dyDescent="0.25">
      <c r="A5888" s="4" t="s">
        <v>53</v>
      </c>
      <c r="B5888" s="4" t="s">
        <v>38</v>
      </c>
      <c r="C5888" s="5">
        <v>45308</v>
      </c>
      <c r="D5888" s="4">
        <v>38.5</v>
      </c>
      <c r="E5888" s="4">
        <v>13.4</v>
      </c>
    </row>
    <row r="5889" spans="1:5" x14ac:dyDescent="0.25">
      <c r="A5889" s="4" t="s">
        <v>53</v>
      </c>
      <c r="B5889" s="4" t="s">
        <v>38</v>
      </c>
      <c r="C5889" s="5">
        <v>45309</v>
      </c>
      <c r="D5889" s="4">
        <v>15.9</v>
      </c>
      <c r="E5889" s="4">
        <v>5.51</v>
      </c>
    </row>
    <row r="5890" spans="1:5" x14ac:dyDescent="0.25">
      <c r="A5890" s="4" t="s">
        <v>53</v>
      </c>
      <c r="B5890" s="4" t="s">
        <v>38</v>
      </c>
      <c r="C5890" s="5">
        <v>45309</v>
      </c>
      <c r="D5890" s="4">
        <v>11.2</v>
      </c>
      <c r="E5890" s="4">
        <v>3.89</v>
      </c>
    </row>
    <row r="5891" spans="1:5" x14ac:dyDescent="0.25">
      <c r="A5891" s="4" t="s">
        <v>53</v>
      </c>
      <c r="B5891" s="4" t="s">
        <v>38</v>
      </c>
      <c r="C5891" s="5">
        <v>45309</v>
      </c>
      <c r="D5891" s="4">
        <v>13</v>
      </c>
      <c r="E5891" s="4">
        <v>4.5</v>
      </c>
    </row>
    <row r="5892" spans="1:5" x14ac:dyDescent="0.25">
      <c r="A5892" s="4" t="s">
        <v>53</v>
      </c>
      <c r="B5892" s="4" t="s">
        <v>38</v>
      </c>
      <c r="C5892" s="5">
        <v>45309</v>
      </c>
      <c r="D5892" s="4">
        <v>12.7</v>
      </c>
      <c r="E5892" s="4">
        <v>4.41</v>
      </c>
    </row>
    <row r="5893" spans="1:5" x14ac:dyDescent="0.25">
      <c r="A5893" s="4" t="s">
        <v>53</v>
      </c>
      <c r="B5893" s="4" t="s">
        <v>38</v>
      </c>
      <c r="C5893" s="5">
        <v>45309</v>
      </c>
      <c r="D5893" s="4">
        <v>13</v>
      </c>
      <c r="E5893" s="4">
        <v>4.5</v>
      </c>
    </row>
    <row r="5894" spans="1:5" x14ac:dyDescent="0.25">
      <c r="A5894" s="4" t="s">
        <v>53</v>
      </c>
      <c r="B5894" s="4" t="s">
        <v>38</v>
      </c>
      <c r="C5894" s="5">
        <v>45309</v>
      </c>
      <c r="D5894" s="4">
        <v>30.5</v>
      </c>
      <c r="E5894" s="4">
        <v>10.59</v>
      </c>
    </row>
    <row r="5895" spans="1:5" x14ac:dyDescent="0.25">
      <c r="A5895" s="4" t="s">
        <v>53</v>
      </c>
      <c r="B5895" s="4" t="s">
        <v>38</v>
      </c>
      <c r="C5895" s="5">
        <v>45309</v>
      </c>
      <c r="D5895" s="4">
        <v>44.4</v>
      </c>
      <c r="E5895" s="4">
        <v>15.46</v>
      </c>
    </row>
    <row r="5896" spans="1:5" x14ac:dyDescent="0.25">
      <c r="A5896" s="4" t="s">
        <v>53</v>
      </c>
      <c r="B5896" s="4" t="s">
        <v>38</v>
      </c>
      <c r="C5896" s="5">
        <v>45310</v>
      </c>
      <c r="D5896" s="4">
        <v>15.4</v>
      </c>
      <c r="E5896" s="4">
        <v>5.35</v>
      </c>
    </row>
    <row r="5897" spans="1:5" x14ac:dyDescent="0.25">
      <c r="A5897" s="4" t="s">
        <v>53</v>
      </c>
      <c r="B5897" s="4" t="s">
        <v>38</v>
      </c>
      <c r="C5897" s="5">
        <v>45310</v>
      </c>
      <c r="D5897" s="4">
        <v>31.3</v>
      </c>
      <c r="E5897" s="4">
        <v>10.86</v>
      </c>
    </row>
    <row r="5898" spans="1:5" x14ac:dyDescent="0.25">
      <c r="A5898" s="4" t="s">
        <v>53</v>
      </c>
      <c r="B5898" s="4" t="s">
        <v>38</v>
      </c>
      <c r="C5898" s="5">
        <v>45310</v>
      </c>
      <c r="D5898" s="4">
        <v>31.3</v>
      </c>
      <c r="E5898" s="4">
        <v>10.86</v>
      </c>
    </row>
    <row r="5899" spans="1:5" x14ac:dyDescent="0.25">
      <c r="A5899" s="4" t="s">
        <v>53</v>
      </c>
      <c r="B5899" s="4" t="s">
        <v>38</v>
      </c>
      <c r="C5899" s="5">
        <v>45310</v>
      </c>
      <c r="D5899" s="4">
        <v>31.3</v>
      </c>
      <c r="E5899" s="4">
        <v>10.86</v>
      </c>
    </row>
    <row r="5900" spans="1:5" x14ac:dyDescent="0.25">
      <c r="A5900" s="4" t="s">
        <v>53</v>
      </c>
      <c r="B5900" s="4" t="s">
        <v>38</v>
      </c>
      <c r="C5900" s="5">
        <v>45310</v>
      </c>
      <c r="D5900" s="4">
        <v>31.3</v>
      </c>
      <c r="E5900" s="4">
        <v>10.86</v>
      </c>
    </row>
    <row r="5901" spans="1:5" x14ac:dyDescent="0.25">
      <c r="A5901" s="4" t="s">
        <v>53</v>
      </c>
      <c r="B5901" s="4" t="s">
        <v>38</v>
      </c>
      <c r="C5901" s="5">
        <v>45310</v>
      </c>
      <c r="D5901" s="4">
        <v>31.3</v>
      </c>
      <c r="E5901" s="4">
        <v>10.86</v>
      </c>
    </row>
    <row r="5902" spans="1:5" x14ac:dyDescent="0.25">
      <c r="A5902" s="4" t="s">
        <v>53</v>
      </c>
      <c r="B5902" s="4" t="s">
        <v>38</v>
      </c>
      <c r="C5902" s="5">
        <v>45310</v>
      </c>
      <c r="D5902" s="4">
        <v>31.3</v>
      </c>
      <c r="E5902" s="4">
        <v>10.86</v>
      </c>
    </row>
    <row r="5903" spans="1:5" x14ac:dyDescent="0.25">
      <c r="A5903" s="4" t="s">
        <v>53</v>
      </c>
      <c r="B5903" s="4" t="s">
        <v>38</v>
      </c>
      <c r="C5903" s="5">
        <v>45310</v>
      </c>
      <c r="D5903" s="4">
        <v>31.3</v>
      </c>
      <c r="E5903" s="4">
        <v>10.86</v>
      </c>
    </row>
    <row r="5904" spans="1:5" x14ac:dyDescent="0.25">
      <c r="A5904" s="4" t="s">
        <v>53</v>
      </c>
      <c r="B5904" s="4" t="s">
        <v>38</v>
      </c>
      <c r="C5904" s="5">
        <v>45310</v>
      </c>
      <c r="D5904" s="4">
        <v>1.2</v>
      </c>
      <c r="E5904" s="4">
        <v>0.41</v>
      </c>
    </row>
    <row r="5905" spans="1:5" x14ac:dyDescent="0.25">
      <c r="A5905" s="4" t="s">
        <v>53</v>
      </c>
      <c r="B5905" s="4" t="s">
        <v>38</v>
      </c>
      <c r="C5905" s="5">
        <v>45310</v>
      </c>
      <c r="D5905" s="4">
        <v>15.4</v>
      </c>
      <c r="E5905" s="4">
        <v>5.35</v>
      </c>
    </row>
    <row r="5906" spans="1:5" x14ac:dyDescent="0.25">
      <c r="A5906" s="4" t="s">
        <v>53</v>
      </c>
      <c r="B5906" s="4" t="s">
        <v>38</v>
      </c>
      <c r="C5906" s="5">
        <v>45310</v>
      </c>
      <c r="D5906" s="4">
        <v>31.3</v>
      </c>
      <c r="E5906" s="4">
        <v>10.86</v>
      </c>
    </row>
    <row r="5907" spans="1:5" x14ac:dyDescent="0.25">
      <c r="A5907" s="4" t="s">
        <v>53</v>
      </c>
      <c r="B5907" s="4" t="s">
        <v>38</v>
      </c>
      <c r="C5907" s="5">
        <v>45310</v>
      </c>
      <c r="D5907" s="4">
        <v>1.2</v>
      </c>
      <c r="E5907" s="4">
        <v>0.41</v>
      </c>
    </row>
    <row r="5908" spans="1:5" x14ac:dyDescent="0.25">
      <c r="A5908" s="4" t="s">
        <v>53</v>
      </c>
      <c r="B5908" s="4" t="s">
        <v>38</v>
      </c>
      <c r="C5908" s="5">
        <v>45313</v>
      </c>
      <c r="D5908" s="4">
        <v>15.4</v>
      </c>
      <c r="E5908" s="4">
        <v>5.35</v>
      </c>
    </row>
    <row r="5909" spans="1:5" x14ac:dyDescent="0.25">
      <c r="A5909" s="4" t="s">
        <v>53</v>
      </c>
      <c r="B5909" s="4" t="s">
        <v>38</v>
      </c>
      <c r="C5909" s="5">
        <v>45313</v>
      </c>
      <c r="D5909" s="4">
        <v>28.8</v>
      </c>
      <c r="E5909" s="4">
        <v>10.039999999999999</v>
      </c>
    </row>
    <row r="5910" spans="1:5" x14ac:dyDescent="0.25">
      <c r="A5910" s="4" t="s">
        <v>53</v>
      </c>
      <c r="B5910" s="4" t="s">
        <v>38</v>
      </c>
      <c r="C5910" s="5">
        <v>45313</v>
      </c>
      <c r="D5910" s="4">
        <v>28.8</v>
      </c>
      <c r="E5910" s="4">
        <v>10.039999999999999</v>
      </c>
    </row>
    <row r="5911" spans="1:5" x14ac:dyDescent="0.25">
      <c r="A5911" s="4" t="s">
        <v>53</v>
      </c>
      <c r="B5911" s="4" t="s">
        <v>38</v>
      </c>
      <c r="C5911" s="5">
        <v>45313</v>
      </c>
      <c r="D5911" s="4">
        <v>28.8</v>
      </c>
      <c r="E5911" s="4">
        <v>10.039999999999999</v>
      </c>
    </row>
    <row r="5912" spans="1:5" x14ac:dyDescent="0.25">
      <c r="A5912" s="4" t="s">
        <v>53</v>
      </c>
      <c r="B5912" s="4" t="s">
        <v>38</v>
      </c>
      <c r="C5912" s="5">
        <v>45313</v>
      </c>
      <c r="D5912" s="4">
        <v>14.5</v>
      </c>
      <c r="E5912" s="4">
        <v>4.99</v>
      </c>
    </row>
    <row r="5913" spans="1:5" x14ac:dyDescent="0.25">
      <c r="A5913" s="4" t="s">
        <v>53</v>
      </c>
      <c r="B5913" s="4" t="s">
        <v>38</v>
      </c>
      <c r="C5913" s="5">
        <v>45313</v>
      </c>
      <c r="D5913" s="4">
        <v>30.4</v>
      </c>
      <c r="E5913" s="4">
        <v>10.56</v>
      </c>
    </row>
    <row r="5914" spans="1:5" x14ac:dyDescent="0.25">
      <c r="A5914" s="4" t="s">
        <v>53</v>
      </c>
      <c r="B5914" s="4" t="s">
        <v>38</v>
      </c>
      <c r="C5914" s="5">
        <v>45313</v>
      </c>
      <c r="D5914" s="4">
        <v>47.3</v>
      </c>
      <c r="E5914" s="4">
        <v>16.43</v>
      </c>
    </row>
    <row r="5915" spans="1:5" x14ac:dyDescent="0.25">
      <c r="A5915" s="4" t="s">
        <v>53</v>
      </c>
      <c r="B5915" s="4" t="s">
        <v>38</v>
      </c>
      <c r="C5915" s="5">
        <v>45313</v>
      </c>
      <c r="D5915" s="4">
        <v>2.1</v>
      </c>
      <c r="E5915" s="4">
        <v>0.7</v>
      </c>
    </row>
    <row r="5916" spans="1:5" x14ac:dyDescent="0.25">
      <c r="A5916" s="4" t="s">
        <v>53</v>
      </c>
      <c r="B5916" s="4" t="s">
        <v>38</v>
      </c>
      <c r="C5916" s="5">
        <v>45313</v>
      </c>
      <c r="D5916" s="4">
        <v>16.399999999999999</v>
      </c>
      <c r="E5916" s="4">
        <v>5.71</v>
      </c>
    </row>
    <row r="5917" spans="1:5" x14ac:dyDescent="0.25">
      <c r="A5917" s="4" t="s">
        <v>53</v>
      </c>
      <c r="B5917" s="4" t="s">
        <v>38</v>
      </c>
      <c r="C5917" s="5">
        <v>45320</v>
      </c>
      <c r="D5917" s="4">
        <v>22.6</v>
      </c>
      <c r="E5917" s="4">
        <v>7.88</v>
      </c>
    </row>
    <row r="5918" spans="1:5" x14ac:dyDescent="0.25">
      <c r="A5918" s="4" t="s">
        <v>53</v>
      </c>
      <c r="B5918" s="4" t="s">
        <v>38</v>
      </c>
      <c r="C5918" s="5">
        <v>45320</v>
      </c>
      <c r="D5918" s="4">
        <v>22.6</v>
      </c>
      <c r="E5918" s="4">
        <v>7.88</v>
      </c>
    </row>
    <row r="5919" spans="1:5" x14ac:dyDescent="0.25">
      <c r="A5919" s="4" t="s">
        <v>53</v>
      </c>
      <c r="B5919" s="4" t="s">
        <v>38</v>
      </c>
      <c r="C5919" s="5">
        <v>45320</v>
      </c>
      <c r="D5919" s="4">
        <v>22.6</v>
      </c>
      <c r="E5919" s="4">
        <v>7.88</v>
      </c>
    </row>
    <row r="5920" spans="1:5" x14ac:dyDescent="0.25">
      <c r="A5920" s="4" t="s">
        <v>53</v>
      </c>
      <c r="B5920" s="4" t="s">
        <v>38</v>
      </c>
      <c r="C5920" s="5">
        <v>45320</v>
      </c>
      <c r="D5920" s="4">
        <v>22.6</v>
      </c>
      <c r="E5920" s="4">
        <v>7.88</v>
      </c>
    </row>
    <row r="5921" spans="1:5" x14ac:dyDescent="0.25">
      <c r="A5921" s="4" t="s">
        <v>53</v>
      </c>
      <c r="B5921" s="4" t="s">
        <v>38</v>
      </c>
      <c r="C5921" s="5">
        <v>45320</v>
      </c>
      <c r="D5921" s="4">
        <v>22.6</v>
      </c>
      <c r="E5921" s="4">
        <v>7.88</v>
      </c>
    </row>
    <row r="5922" spans="1:5" x14ac:dyDescent="0.25">
      <c r="A5922" s="4" t="s">
        <v>53</v>
      </c>
      <c r="B5922" s="4" t="s">
        <v>38</v>
      </c>
      <c r="C5922" s="5">
        <v>45320</v>
      </c>
      <c r="D5922" s="4">
        <v>5.0999999999999996</v>
      </c>
      <c r="E5922" s="4">
        <v>1.78</v>
      </c>
    </row>
    <row r="5923" spans="1:5" x14ac:dyDescent="0.25">
      <c r="A5923" s="4" t="s">
        <v>53</v>
      </c>
      <c r="B5923" s="4" t="s">
        <v>38</v>
      </c>
      <c r="C5923" s="5">
        <v>45320</v>
      </c>
      <c r="D5923" s="4">
        <v>5.0999999999999996</v>
      </c>
      <c r="E5923" s="4">
        <v>1.78</v>
      </c>
    </row>
    <row r="5924" spans="1:5" x14ac:dyDescent="0.25">
      <c r="A5924" s="4" t="s">
        <v>53</v>
      </c>
      <c r="B5924" s="4" t="s">
        <v>38</v>
      </c>
      <c r="C5924" s="5">
        <v>45320</v>
      </c>
      <c r="D5924" s="4">
        <v>5.0999999999999996</v>
      </c>
      <c r="E5924" s="4">
        <v>1.78</v>
      </c>
    </row>
    <row r="5925" spans="1:5" x14ac:dyDescent="0.25">
      <c r="A5925" s="4" t="s">
        <v>53</v>
      </c>
      <c r="B5925" s="4" t="s">
        <v>38</v>
      </c>
      <c r="C5925" s="5">
        <v>45320</v>
      </c>
      <c r="D5925" s="4">
        <v>5.0999999999999996</v>
      </c>
      <c r="E5925" s="4">
        <v>1.78</v>
      </c>
    </row>
    <row r="5926" spans="1:5" x14ac:dyDescent="0.25">
      <c r="A5926" s="4" t="s">
        <v>53</v>
      </c>
      <c r="B5926" s="4" t="s">
        <v>38</v>
      </c>
      <c r="C5926" s="5">
        <v>45320</v>
      </c>
      <c r="D5926" s="4">
        <v>5.0999999999999996</v>
      </c>
      <c r="E5926" s="4">
        <v>1.78</v>
      </c>
    </row>
    <row r="5927" spans="1:5" x14ac:dyDescent="0.25">
      <c r="A5927" s="4" t="s">
        <v>53</v>
      </c>
      <c r="B5927" s="4" t="s">
        <v>38</v>
      </c>
      <c r="C5927" s="5">
        <v>45320</v>
      </c>
      <c r="D5927" s="4">
        <v>5.0999999999999996</v>
      </c>
      <c r="E5927" s="4">
        <v>1.78</v>
      </c>
    </row>
    <row r="5928" spans="1:5" x14ac:dyDescent="0.25">
      <c r="A5928" s="4" t="s">
        <v>53</v>
      </c>
      <c r="B5928" s="4" t="s">
        <v>38</v>
      </c>
      <c r="C5928" s="5">
        <v>45320</v>
      </c>
      <c r="D5928" s="4">
        <v>5.0999999999999996</v>
      </c>
      <c r="E5928" s="4">
        <v>1.78</v>
      </c>
    </row>
    <row r="5929" spans="1:5" x14ac:dyDescent="0.25">
      <c r="A5929" s="4" t="s">
        <v>53</v>
      </c>
      <c r="B5929" s="4" t="s">
        <v>38</v>
      </c>
      <c r="C5929" s="5">
        <v>45320</v>
      </c>
      <c r="D5929" s="4">
        <v>5.0999999999999996</v>
      </c>
      <c r="E5929" s="4">
        <v>1.78</v>
      </c>
    </row>
    <row r="5930" spans="1:5" x14ac:dyDescent="0.25">
      <c r="A5930" s="4" t="s">
        <v>53</v>
      </c>
      <c r="B5930" s="4" t="s">
        <v>38</v>
      </c>
      <c r="C5930" s="5">
        <v>45320</v>
      </c>
      <c r="D5930" s="4">
        <v>5.0999999999999996</v>
      </c>
      <c r="E5930" s="4">
        <v>1.78</v>
      </c>
    </row>
    <row r="5931" spans="1:5" x14ac:dyDescent="0.25">
      <c r="A5931" s="4" t="s">
        <v>53</v>
      </c>
      <c r="B5931" s="4" t="s">
        <v>38</v>
      </c>
      <c r="C5931" s="5">
        <v>45320</v>
      </c>
      <c r="D5931" s="4">
        <v>5.0999999999999996</v>
      </c>
      <c r="E5931" s="4">
        <v>1.78</v>
      </c>
    </row>
    <row r="5932" spans="1:5" x14ac:dyDescent="0.25">
      <c r="A5932" s="4" t="s">
        <v>53</v>
      </c>
      <c r="B5932" s="4" t="s">
        <v>38</v>
      </c>
      <c r="C5932" s="5">
        <v>45320</v>
      </c>
      <c r="D5932" s="4">
        <v>5.0999999999999996</v>
      </c>
      <c r="E5932" s="4">
        <v>1.78</v>
      </c>
    </row>
    <row r="5933" spans="1:5" x14ac:dyDescent="0.25">
      <c r="A5933" s="4" t="s">
        <v>53</v>
      </c>
      <c r="B5933" s="4" t="s">
        <v>38</v>
      </c>
      <c r="C5933" s="5">
        <v>45320</v>
      </c>
      <c r="D5933" s="4">
        <v>5.0999999999999996</v>
      </c>
      <c r="E5933" s="4">
        <v>1.78</v>
      </c>
    </row>
    <row r="5934" spans="1:5" x14ac:dyDescent="0.25">
      <c r="A5934" s="4" t="s">
        <v>53</v>
      </c>
      <c r="B5934" s="4" t="s">
        <v>38</v>
      </c>
      <c r="C5934" s="5">
        <v>45320</v>
      </c>
      <c r="D5934" s="4">
        <v>22.6</v>
      </c>
      <c r="E5934" s="4">
        <v>7.88</v>
      </c>
    </row>
    <row r="5935" spans="1:5" x14ac:dyDescent="0.25">
      <c r="A5935" s="4" t="s">
        <v>53</v>
      </c>
      <c r="B5935" s="4" t="s">
        <v>38</v>
      </c>
      <c r="C5935" s="5">
        <v>45321</v>
      </c>
      <c r="D5935" s="4">
        <v>38.5</v>
      </c>
      <c r="E5935" s="4">
        <v>13.4</v>
      </c>
    </row>
    <row r="5936" spans="1:5" x14ac:dyDescent="0.25">
      <c r="A5936" s="4" t="s">
        <v>53</v>
      </c>
      <c r="B5936" s="4" t="s">
        <v>38</v>
      </c>
      <c r="C5936" s="5">
        <v>45321</v>
      </c>
      <c r="D5936" s="4">
        <v>35.299999999999997</v>
      </c>
      <c r="E5936" s="4">
        <v>12.27</v>
      </c>
    </row>
    <row r="5937" spans="1:5" x14ac:dyDescent="0.25">
      <c r="A5937" s="4" t="s">
        <v>53</v>
      </c>
      <c r="B5937" s="4" t="s">
        <v>38</v>
      </c>
      <c r="C5937" s="5">
        <v>45321</v>
      </c>
      <c r="D5937" s="4">
        <v>51.2</v>
      </c>
      <c r="E5937" s="4">
        <v>17.78</v>
      </c>
    </row>
    <row r="5938" spans="1:5" x14ac:dyDescent="0.25">
      <c r="A5938" s="4" t="s">
        <v>53</v>
      </c>
      <c r="B5938" s="4" t="s">
        <v>38</v>
      </c>
      <c r="C5938" s="5">
        <v>45321</v>
      </c>
      <c r="D5938" s="4">
        <v>23.1</v>
      </c>
      <c r="E5938" s="4">
        <v>8.0299999999999994</v>
      </c>
    </row>
    <row r="5939" spans="1:5" x14ac:dyDescent="0.25">
      <c r="A5939" s="4" t="s">
        <v>53</v>
      </c>
      <c r="B5939" s="4" t="s">
        <v>38</v>
      </c>
      <c r="C5939" s="5">
        <v>45321</v>
      </c>
      <c r="D5939" s="4">
        <v>10</v>
      </c>
      <c r="E5939" s="4">
        <v>3.44</v>
      </c>
    </row>
    <row r="5940" spans="1:5" x14ac:dyDescent="0.25">
      <c r="A5940" s="4" t="s">
        <v>53</v>
      </c>
      <c r="B5940" s="4" t="s">
        <v>38</v>
      </c>
      <c r="C5940" s="5">
        <v>45321</v>
      </c>
      <c r="D5940" s="4">
        <v>2.2999999999999998</v>
      </c>
      <c r="E5940" s="4">
        <v>0.8</v>
      </c>
    </row>
    <row r="5941" spans="1:5" x14ac:dyDescent="0.25">
      <c r="A5941" s="4" t="s">
        <v>53</v>
      </c>
      <c r="B5941" s="4" t="s">
        <v>38</v>
      </c>
      <c r="C5941" s="5">
        <v>45321</v>
      </c>
      <c r="D5941" s="4">
        <v>13</v>
      </c>
      <c r="E5941" s="4">
        <v>4.5</v>
      </c>
    </row>
    <row r="5942" spans="1:5" x14ac:dyDescent="0.25">
      <c r="A5942" s="4" t="s">
        <v>53</v>
      </c>
      <c r="B5942" s="4" t="s">
        <v>38</v>
      </c>
      <c r="C5942" s="5">
        <v>45321</v>
      </c>
      <c r="D5942" s="4">
        <v>13</v>
      </c>
      <c r="E5942" s="4">
        <v>4.5</v>
      </c>
    </row>
    <row r="5943" spans="1:5" x14ac:dyDescent="0.25">
      <c r="A5943" s="4" t="s">
        <v>53</v>
      </c>
      <c r="B5943" s="4" t="s">
        <v>38</v>
      </c>
      <c r="C5943" s="5">
        <v>45321</v>
      </c>
      <c r="D5943" s="4">
        <v>13</v>
      </c>
      <c r="E5943" s="4">
        <v>4.5</v>
      </c>
    </row>
    <row r="5944" spans="1:5" x14ac:dyDescent="0.25">
      <c r="A5944" s="4" t="s">
        <v>53</v>
      </c>
      <c r="B5944" s="4" t="s">
        <v>38</v>
      </c>
      <c r="C5944" s="5">
        <v>45321</v>
      </c>
      <c r="D5944" s="4">
        <v>43</v>
      </c>
      <c r="E5944" s="4">
        <v>14.96</v>
      </c>
    </row>
    <row r="5945" spans="1:5" x14ac:dyDescent="0.25">
      <c r="A5945" s="4" t="s">
        <v>53</v>
      </c>
      <c r="B5945" s="4" t="s">
        <v>38</v>
      </c>
      <c r="C5945" s="5">
        <v>45323</v>
      </c>
      <c r="D5945" s="4">
        <v>15.4</v>
      </c>
      <c r="E5945" s="4">
        <v>5.35</v>
      </c>
    </row>
    <row r="5946" spans="1:5" x14ac:dyDescent="0.25">
      <c r="A5946" s="4" t="s">
        <v>53</v>
      </c>
      <c r="B5946" s="4" t="s">
        <v>38</v>
      </c>
      <c r="C5946" s="5">
        <v>45323</v>
      </c>
      <c r="D5946" s="4">
        <v>28.8</v>
      </c>
      <c r="E5946" s="4">
        <v>10.039999999999999</v>
      </c>
    </row>
    <row r="5947" spans="1:5" x14ac:dyDescent="0.25">
      <c r="A5947" s="4" t="s">
        <v>53</v>
      </c>
      <c r="B5947" s="4" t="s">
        <v>38</v>
      </c>
      <c r="C5947" s="5">
        <v>45323</v>
      </c>
      <c r="D5947" s="4">
        <v>2.4</v>
      </c>
      <c r="E5947" s="4">
        <v>0.84</v>
      </c>
    </row>
    <row r="5948" spans="1:5" x14ac:dyDescent="0.25">
      <c r="A5948" s="4" t="s">
        <v>53</v>
      </c>
      <c r="B5948" s="4" t="s">
        <v>38</v>
      </c>
      <c r="C5948" s="5">
        <v>45323</v>
      </c>
      <c r="D5948" s="4">
        <v>53</v>
      </c>
      <c r="E5948" s="4">
        <v>18.46</v>
      </c>
    </row>
    <row r="5949" spans="1:5" x14ac:dyDescent="0.25">
      <c r="A5949" s="4" t="s">
        <v>53</v>
      </c>
      <c r="B5949" s="4" t="s">
        <v>38</v>
      </c>
      <c r="C5949" s="5">
        <v>45323</v>
      </c>
      <c r="D5949" s="4">
        <v>28.8</v>
      </c>
      <c r="E5949" s="4">
        <v>10.039999999999999</v>
      </c>
    </row>
    <row r="5950" spans="1:5" x14ac:dyDescent="0.25">
      <c r="A5950" s="4" t="s">
        <v>53</v>
      </c>
      <c r="B5950" s="4" t="s">
        <v>38</v>
      </c>
      <c r="C5950" s="5">
        <v>45323</v>
      </c>
      <c r="D5950" s="4">
        <v>2.4</v>
      </c>
      <c r="E5950" s="4">
        <v>0.84</v>
      </c>
    </row>
    <row r="5951" spans="1:5" x14ac:dyDescent="0.25">
      <c r="A5951" s="4" t="s">
        <v>53</v>
      </c>
      <c r="B5951" s="4" t="s">
        <v>38</v>
      </c>
      <c r="C5951" s="5">
        <v>45323</v>
      </c>
      <c r="D5951" s="4">
        <v>2.9</v>
      </c>
      <c r="E5951" s="4">
        <v>1.01</v>
      </c>
    </row>
    <row r="5952" spans="1:5" x14ac:dyDescent="0.25">
      <c r="A5952" s="4" t="s">
        <v>53</v>
      </c>
      <c r="B5952" s="4" t="s">
        <v>38</v>
      </c>
      <c r="C5952" s="5">
        <v>45323</v>
      </c>
      <c r="D5952" s="4">
        <v>2.9</v>
      </c>
      <c r="E5952" s="4">
        <v>1.01</v>
      </c>
    </row>
    <row r="5953" spans="1:5" x14ac:dyDescent="0.25">
      <c r="A5953" s="4" t="s">
        <v>53</v>
      </c>
      <c r="B5953" s="4" t="s">
        <v>38</v>
      </c>
      <c r="C5953" s="5">
        <v>45323</v>
      </c>
      <c r="D5953" s="4">
        <v>2.4</v>
      </c>
      <c r="E5953" s="4">
        <v>0.84</v>
      </c>
    </row>
    <row r="5954" spans="1:5" x14ac:dyDescent="0.25">
      <c r="A5954" s="4" t="s">
        <v>53</v>
      </c>
      <c r="B5954" s="4" t="s">
        <v>38</v>
      </c>
      <c r="C5954" s="5">
        <v>45323</v>
      </c>
      <c r="D5954" s="4">
        <v>28.8</v>
      </c>
      <c r="E5954" s="4">
        <v>10.039999999999999</v>
      </c>
    </row>
    <row r="5955" spans="1:5" x14ac:dyDescent="0.25">
      <c r="A5955" s="4" t="s">
        <v>53</v>
      </c>
      <c r="B5955" s="4" t="s">
        <v>38</v>
      </c>
      <c r="C5955" s="5">
        <v>45323</v>
      </c>
      <c r="D5955" s="4">
        <v>28.8</v>
      </c>
      <c r="E5955" s="4">
        <v>10.039999999999999</v>
      </c>
    </row>
    <row r="5956" spans="1:5" x14ac:dyDescent="0.25">
      <c r="A5956" s="4" t="s">
        <v>53</v>
      </c>
      <c r="B5956" s="4" t="s">
        <v>38</v>
      </c>
      <c r="C5956" s="5">
        <v>45323</v>
      </c>
      <c r="D5956" s="4">
        <v>2.4</v>
      </c>
      <c r="E5956" s="4">
        <v>0.84</v>
      </c>
    </row>
    <row r="5957" spans="1:5" x14ac:dyDescent="0.25">
      <c r="A5957" s="4" t="s">
        <v>53</v>
      </c>
      <c r="B5957" s="4" t="s">
        <v>38</v>
      </c>
      <c r="C5957" s="5">
        <v>45323</v>
      </c>
      <c r="D5957" s="4">
        <v>2.9</v>
      </c>
      <c r="E5957" s="4">
        <v>1.01</v>
      </c>
    </row>
    <row r="5958" spans="1:5" x14ac:dyDescent="0.25">
      <c r="A5958" s="4" t="s">
        <v>53</v>
      </c>
      <c r="B5958" s="4" t="s">
        <v>38</v>
      </c>
      <c r="C5958" s="5">
        <v>45323</v>
      </c>
      <c r="D5958" s="4">
        <v>2.9</v>
      </c>
      <c r="E5958" s="4">
        <v>1.01</v>
      </c>
    </row>
    <row r="5959" spans="1:5" x14ac:dyDescent="0.25">
      <c r="A5959" s="4" t="s">
        <v>53</v>
      </c>
      <c r="B5959" s="4" t="s">
        <v>38</v>
      </c>
      <c r="C5959" s="5">
        <v>45323</v>
      </c>
      <c r="D5959" s="4">
        <v>2.4</v>
      </c>
      <c r="E5959" s="4">
        <v>0.84</v>
      </c>
    </row>
    <row r="5960" spans="1:5" x14ac:dyDescent="0.25">
      <c r="A5960" s="4" t="s">
        <v>53</v>
      </c>
      <c r="B5960" s="4" t="s">
        <v>38</v>
      </c>
      <c r="C5960" s="5">
        <v>45323</v>
      </c>
      <c r="D5960" s="4">
        <v>28.8</v>
      </c>
      <c r="E5960" s="4">
        <v>10.039999999999999</v>
      </c>
    </row>
    <row r="5961" spans="1:5" x14ac:dyDescent="0.25">
      <c r="A5961" s="4" t="s">
        <v>53</v>
      </c>
      <c r="B5961" s="4" t="s">
        <v>38</v>
      </c>
      <c r="C5961" s="5">
        <v>45323</v>
      </c>
      <c r="D5961" s="4">
        <v>28.8</v>
      </c>
      <c r="E5961" s="4">
        <v>10.039999999999999</v>
      </c>
    </row>
    <row r="5962" spans="1:5" x14ac:dyDescent="0.25">
      <c r="A5962" s="4" t="s">
        <v>53</v>
      </c>
      <c r="B5962" s="4" t="s">
        <v>38</v>
      </c>
      <c r="C5962" s="5">
        <v>45323</v>
      </c>
      <c r="D5962" s="4">
        <v>2.4</v>
      </c>
      <c r="E5962" s="4">
        <v>0.84</v>
      </c>
    </row>
    <row r="5963" spans="1:5" x14ac:dyDescent="0.25">
      <c r="A5963" s="4" t="s">
        <v>53</v>
      </c>
      <c r="B5963" s="4" t="s">
        <v>38</v>
      </c>
      <c r="C5963" s="5">
        <v>45323</v>
      </c>
      <c r="D5963" s="4">
        <v>2.9</v>
      </c>
      <c r="E5963" s="4">
        <v>1.01</v>
      </c>
    </row>
    <row r="5964" spans="1:5" x14ac:dyDescent="0.25">
      <c r="A5964" s="4" t="s">
        <v>53</v>
      </c>
      <c r="B5964" s="4" t="s">
        <v>38</v>
      </c>
      <c r="C5964" s="5">
        <v>45323</v>
      </c>
      <c r="D5964" s="4">
        <v>2.9</v>
      </c>
      <c r="E5964" s="4">
        <v>1.01</v>
      </c>
    </row>
    <row r="5965" spans="1:5" x14ac:dyDescent="0.25">
      <c r="A5965" s="4" t="s">
        <v>53</v>
      </c>
      <c r="B5965" s="4" t="s">
        <v>38</v>
      </c>
      <c r="C5965" s="5">
        <v>45323</v>
      </c>
      <c r="D5965" s="4">
        <v>2.4</v>
      </c>
      <c r="E5965" s="4">
        <v>0.84</v>
      </c>
    </row>
    <row r="5966" spans="1:5" x14ac:dyDescent="0.25">
      <c r="A5966" s="4" t="s">
        <v>53</v>
      </c>
      <c r="B5966" s="4" t="s">
        <v>38</v>
      </c>
      <c r="C5966" s="5">
        <v>45323</v>
      </c>
      <c r="D5966" s="4">
        <v>30.6</v>
      </c>
      <c r="E5966" s="4">
        <v>10.67</v>
      </c>
    </row>
    <row r="5967" spans="1:5" x14ac:dyDescent="0.25">
      <c r="A5967" s="4" t="s">
        <v>53</v>
      </c>
      <c r="B5967" s="4" t="s">
        <v>38</v>
      </c>
      <c r="C5967" s="5">
        <v>45324</v>
      </c>
      <c r="D5967" s="4">
        <v>15.4</v>
      </c>
      <c r="E5967" s="4">
        <v>5.35</v>
      </c>
    </row>
    <row r="5968" spans="1:5" x14ac:dyDescent="0.25">
      <c r="A5968" s="4" t="s">
        <v>53</v>
      </c>
      <c r="B5968" s="4" t="s">
        <v>38</v>
      </c>
      <c r="C5968" s="5">
        <v>45324</v>
      </c>
      <c r="D5968" s="4">
        <v>24.9</v>
      </c>
      <c r="E5968" s="4">
        <v>8.66</v>
      </c>
    </row>
    <row r="5969" spans="1:5" x14ac:dyDescent="0.25">
      <c r="A5969" s="4" t="s">
        <v>53</v>
      </c>
      <c r="B5969" s="4" t="s">
        <v>38</v>
      </c>
      <c r="C5969" s="5">
        <v>45324</v>
      </c>
      <c r="D5969" s="4">
        <v>24.1</v>
      </c>
      <c r="E5969" s="4">
        <v>8.3800000000000008</v>
      </c>
    </row>
    <row r="5970" spans="1:5" x14ac:dyDescent="0.25">
      <c r="A5970" s="4" t="s">
        <v>53</v>
      </c>
      <c r="B5970" s="4" t="s">
        <v>38</v>
      </c>
      <c r="C5970" s="5">
        <v>45324</v>
      </c>
      <c r="D5970" s="4">
        <v>31.3</v>
      </c>
      <c r="E5970" s="4">
        <v>10.86</v>
      </c>
    </row>
    <row r="5971" spans="1:5" x14ac:dyDescent="0.25">
      <c r="A5971" s="4" t="s">
        <v>53</v>
      </c>
      <c r="B5971" s="4" t="s">
        <v>38</v>
      </c>
      <c r="C5971" s="5">
        <v>45324</v>
      </c>
      <c r="D5971" s="4">
        <v>31.3</v>
      </c>
      <c r="E5971" s="4">
        <v>10.86</v>
      </c>
    </row>
    <row r="5972" spans="1:5" x14ac:dyDescent="0.25">
      <c r="A5972" s="4" t="s">
        <v>53</v>
      </c>
      <c r="B5972" s="4" t="s">
        <v>38</v>
      </c>
      <c r="C5972" s="5">
        <v>45324</v>
      </c>
      <c r="D5972" s="4">
        <v>31.3</v>
      </c>
      <c r="E5972" s="4">
        <v>10.86</v>
      </c>
    </row>
    <row r="5973" spans="1:5" x14ac:dyDescent="0.25">
      <c r="A5973" s="4" t="s">
        <v>53</v>
      </c>
      <c r="B5973" s="4" t="s">
        <v>38</v>
      </c>
      <c r="C5973" s="5">
        <v>45324</v>
      </c>
      <c r="D5973" s="4">
        <v>31.3</v>
      </c>
      <c r="E5973" s="4">
        <v>10.86</v>
      </c>
    </row>
    <row r="5974" spans="1:5" x14ac:dyDescent="0.25">
      <c r="A5974" s="4" t="s">
        <v>53</v>
      </c>
      <c r="B5974" s="4" t="s">
        <v>38</v>
      </c>
      <c r="C5974" s="5">
        <v>45324</v>
      </c>
      <c r="D5974" s="4">
        <v>31.3</v>
      </c>
      <c r="E5974" s="4">
        <v>10.86</v>
      </c>
    </row>
    <row r="5975" spans="1:5" x14ac:dyDescent="0.25">
      <c r="A5975" s="4" t="s">
        <v>53</v>
      </c>
      <c r="B5975" s="4" t="s">
        <v>38</v>
      </c>
      <c r="C5975" s="5">
        <v>45324</v>
      </c>
      <c r="D5975" s="4">
        <v>31.3</v>
      </c>
      <c r="E5975" s="4">
        <v>10.86</v>
      </c>
    </row>
    <row r="5976" spans="1:5" x14ac:dyDescent="0.25">
      <c r="A5976" s="4" t="s">
        <v>53</v>
      </c>
      <c r="B5976" s="4" t="s">
        <v>38</v>
      </c>
      <c r="C5976" s="5">
        <v>45324</v>
      </c>
      <c r="D5976" s="4">
        <v>31.3</v>
      </c>
      <c r="E5976" s="4">
        <v>10.86</v>
      </c>
    </row>
    <row r="5977" spans="1:5" x14ac:dyDescent="0.25">
      <c r="A5977" s="4" t="s">
        <v>53</v>
      </c>
      <c r="B5977" s="4" t="s">
        <v>38</v>
      </c>
      <c r="C5977" s="5">
        <v>45324</v>
      </c>
      <c r="D5977" s="4">
        <v>15.9</v>
      </c>
      <c r="E5977" s="4">
        <v>5.51</v>
      </c>
    </row>
    <row r="5978" spans="1:5" x14ac:dyDescent="0.25">
      <c r="A5978" s="4" t="s">
        <v>53</v>
      </c>
      <c r="B5978" s="4" t="s">
        <v>38</v>
      </c>
      <c r="C5978" s="5">
        <v>45327</v>
      </c>
      <c r="D5978" s="4">
        <v>15.4</v>
      </c>
      <c r="E5978" s="4">
        <v>5.35</v>
      </c>
    </row>
    <row r="5979" spans="1:5" x14ac:dyDescent="0.25">
      <c r="A5979" s="4" t="s">
        <v>53</v>
      </c>
      <c r="B5979" s="4" t="s">
        <v>38</v>
      </c>
      <c r="C5979" s="5">
        <v>45327</v>
      </c>
      <c r="D5979" s="4">
        <v>28.9</v>
      </c>
      <c r="E5979" s="4">
        <v>10.02</v>
      </c>
    </row>
    <row r="5980" spans="1:5" x14ac:dyDescent="0.25">
      <c r="A5980" s="4" t="s">
        <v>53</v>
      </c>
      <c r="B5980" s="4" t="s">
        <v>38</v>
      </c>
      <c r="C5980" s="5">
        <v>45327</v>
      </c>
      <c r="D5980" s="4">
        <v>2.9</v>
      </c>
      <c r="E5980" s="4">
        <v>1.01</v>
      </c>
    </row>
    <row r="5981" spans="1:5" x14ac:dyDescent="0.25">
      <c r="A5981" s="4" t="s">
        <v>53</v>
      </c>
      <c r="B5981" s="4" t="s">
        <v>38</v>
      </c>
      <c r="C5981" s="5">
        <v>45327</v>
      </c>
      <c r="D5981" s="4">
        <v>2.4</v>
      </c>
      <c r="E5981" s="4">
        <v>0.84</v>
      </c>
    </row>
    <row r="5982" spans="1:5" x14ac:dyDescent="0.25">
      <c r="A5982" s="4" t="s">
        <v>53</v>
      </c>
      <c r="B5982" s="4" t="s">
        <v>38</v>
      </c>
      <c r="C5982" s="5">
        <v>45327</v>
      </c>
      <c r="D5982" s="4">
        <v>28.8</v>
      </c>
      <c r="E5982" s="4">
        <v>10.039999999999999</v>
      </c>
    </row>
    <row r="5983" spans="1:5" x14ac:dyDescent="0.25">
      <c r="A5983" s="4" t="s">
        <v>53</v>
      </c>
      <c r="B5983" s="4" t="s">
        <v>38</v>
      </c>
      <c r="C5983" s="5">
        <v>45327</v>
      </c>
      <c r="D5983" s="4">
        <v>28.8</v>
      </c>
      <c r="E5983" s="4">
        <v>10.039999999999999</v>
      </c>
    </row>
    <row r="5984" spans="1:5" x14ac:dyDescent="0.25">
      <c r="A5984" s="4" t="s">
        <v>53</v>
      </c>
      <c r="B5984" s="4" t="s">
        <v>38</v>
      </c>
      <c r="C5984" s="5">
        <v>45327</v>
      </c>
      <c r="D5984" s="4">
        <v>2.4</v>
      </c>
      <c r="E5984" s="4">
        <v>0.84</v>
      </c>
    </row>
    <row r="5985" spans="1:5" x14ac:dyDescent="0.25">
      <c r="A5985" s="4" t="s">
        <v>53</v>
      </c>
      <c r="B5985" s="4" t="s">
        <v>38</v>
      </c>
      <c r="C5985" s="5">
        <v>45327</v>
      </c>
      <c r="D5985" s="4">
        <v>2.9</v>
      </c>
      <c r="E5985" s="4">
        <v>1.01</v>
      </c>
    </row>
    <row r="5986" spans="1:5" x14ac:dyDescent="0.25">
      <c r="A5986" s="4" t="s">
        <v>53</v>
      </c>
      <c r="B5986" s="4" t="s">
        <v>38</v>
      </c>
      <c r="C5986" s="5">
        <v>45327</v>
      </c>
      <c r="D5986" s="4">
        <v>11.5</v>
      </c>
      <c r="E5986" s="4">
        <v>4</v>
      </c>
    </row>
    <row r="5987" spans="1:5" x14ac:dyDescent="0.25">
      <c r="A5987" s="4" t="s">
        <v>53</v>
      </c>
      <c r="B5987" s="4" t="s">
        <v>38</v>
      </c>
      <c r="C5987" s="5">
        <v>45327</v>
      </c>
      <c r="D5987" s="4">
        <v>11.6</v>
      </c>
      <c r="E5987" s="4">
        <v>4</v>
      </c>
    </row>
    <row r="5988" spans="1:5" x14ac:dyDescent="0.25">
      <c r="A5988" s="4" t="s">
        <v>53</v>
      </c>
      <c r="B5988" s="4" t="s">
        <v>38</v>
      </c>
      <c r="C5988" s="5">
        <v>45327</v>
      </c>
      <c r="D5988" s="4">
        <v>29.2</v>
      </c>
      <c r="E5988" s="4">
        <v>10.119999999999999</v>
      </c>
    </row>
    <row r="5989" spans="1:5" x14ac:dyDescent="0.25">
      <c r="A5989" s="4" t="s">
        <v>53</v>
      </c>
      <c r="B5989" s="4" t="s">
        <v>38</v>
      </c>
      <c r="C5989" s="5">
        <v>45327</v>
      </c>
      <c r="D5989" s="4">
        <v>33.5</v>
      </c>
      <c r="E5989" s="4">
        <v>11.61</v>
      </c>
    </row>
    <row r="5990" spans="1:5" x14ac:dyDescent="0.25">
      <c r="A5990" s="4" t="s">
        <v>53</v>
      </c>
      <c r="B5990" s="4" t="s">
        <v>38</v>
      </c>
      <c r="C5990" s="5">
        <v>45327</v>
      </c>
      <c r="D5990" s="4">
        <v>2.4</v>
      </c>
      <c r="E5990" s="4">
        <v>0.84</v>
      </c>
    </row>
    <row r="5991" spans="1:5" x14ac:dyDescent="0.25">
      <c r="A5991" s="4" t="s">
        <v>53</v>
      </c>
      <c r="B5991" s="4" t="s">
        <v>38</v>
      </c>
      <c r="C5991" s="5">
        <v>45327</v>
      </c>
      <c r="D5991" s="4">
        <v>30.6</v>
      </c>
      <c r="E5991" s="4">
        <v>10.67</v>
      </c>
    </row>
    <row r="5992" spans="1:5" x14ac:dyDescent="0.25">
      <c r="A5992" s="4" t="s">
        <v>53</v>
      </c>
      <c r="B5992" s="4" t="s">
        <v>38</v>
      </c>
      <c r="C5992" s="5">
        <v>45328</v>
      </c>
      <c r="D5992" s="4">
        <v>16.399999999999999</v>
      </c>
      <c r="E5992" s="4">
        <v>5.71</v>
      </c>
    </row>
    <row r="5993" spans="1:5" x14ac:dyDescent="0.25">
      <c r="A5993" s="4" t="s">
        <v>53</v>
      </c>
      <c r="B5993" s="4" t="s">
        <v>38</v>
      </c>
      <c r="C5993" s="5">
        <v>45328</v>
      </c>
      <c r="D5993" s="4">
        <v>1.1000000000000001</v>
      </c>
      <c r="E5993" s="4">
        <v>0.38</v>
      </c>
    </row>
    <row r="5994" spans="1:5" x14ac:dyDescent="0.25">
      <c r="A5994" s="4" t="s">
        <v>53</v>
      </c>
      <c r="B5994" s="4" t="s">
        <v>38</v>
      </c>
      <c r="C5994" s="5">
        <v>45328</v>
      </c>
      <c r="D5994" s="4">
        <v>3.1</v>
      </c>
      <c r="E5994" s="4">
        <v>1.07</v>
      </c>
    </row>
    <row r="5995" spans="1:5" x14ac:dyDescent="0.25">
      <c r="A5995" s="4" t="s">
        <v>53</v>
      </c>
      <c r="B5995" s="4" t="s">
        <v>38</v>
      </c>
      <c r="C5995" s="5">
        <v>45328</v>
      </c>
      <c r="D5995" s="4">
        <v>3.1</v>
      </c>
      <c r="E5995" s="4">
        <v>1.07</v>
      </c>
    </row>
    <row r="5996" spans="1:5" x14ac:dyDescent="0.25">
      <c r="A5996" s="4" t="s">
        <v>53</v>
      </c>
      <c r="B5996" s="4" t="s">
        <v>38</v>
      </c>
      <c r="C5996" s="5">
        <v>45328</v>
      </c>
      <c r="D5996" s="4">
        <v>3.1</v>
      </c>
      <c r="E5996" s="4">
        <v>1.07</v>
      </c>
    </row>
    <row r="5997" spans="1:5" x14ac:dyDescent="0.25">
      <c r="A5997" s="4" t="s">
        <v>53</v>
      </c>
      <c r="B5997" s="4" t="s">
        <v>38</v>
      </c>
      <c r="C5997" s="5">
        <v>45328</v>
      </c>
      <c r="D5997" s="4">
        <v>3.1</v>
      </c>
      <c r="E5997" s="4">
        <v>1.07</v>
      </c>
    </row>
    <row r="5998" spans="1:5" x14ac:dyDescent="0.25">
      <c r="A5998" s="4" t="s">
        <v>53</v>
      </c>
      <c r="B5998" s="4" t="s">
        <v>38</v>
      </c>
      <c r="C5998" s="5">
        <v>45328</v>
      </c>
      <c r="D5998" s="4">
        <v>3.1</v>
      </c>
      <c r="E5998" s="4">
        <v>1.07</v>
      </c>
    </row>
    <row r="5999" spans="1:5" x14ac:dyDescent="0.25">
      <c r="A5999" s="4" t="s">
        <v>53</v>
      </c>
      <c r="B5999" s="4" t="s">
        <v>38</v>
      </c>
      <c r="C5999" s="5">
        <v>45328</v>
      </c>
      <c r="D5999" s="4">
        <v>3.1</v>
      </c>
      <c r="E5999" s="4">
        <v>1.07</v>
      </c>
    </row>
    <row r="6000" spans="1:5" x14ac:dyDescent="0.25">
      <c r="A6000" s="4" t="s">
        <v>53</v>
      </c>
      <c r="B6000" s="4" t="s">
        <v>38</v>
      </c>
      <c r="C6000" s="5">
        <v>45328</v>
      </c>
      <c r="D6000" s="4">
        <v>3.1</v>
      </c>
      <c r="E6000" s="4">
        <v>1.07</v>
      </c>
    </row>
    <row r="6001" spans="1:5" x14ac:dyDescent="0.25">
      <c r="A6001" s="4" t="s">
        <v>53</v>
      </c>
      <c r="B6001" s="4" t="s">
        <v>38</v>
      </c>
      <c r="C6001" s="5">
        <v>45328</v>
      </c>
      <c r="D6001" s="4">
        <v>2.2999999999999998</v>
      </c>
      <c r="E6001" s="4">
        <v>0.8</v>
      </c>
    </row>
    <row r="6002" spans="1:5" x14ac:dyDescent="0.25">
      <c r="A6002" s="4" t="s">
        <v>53</v>
      </c>
      <c r="B6002" s="4" t="s">
        <v>38</v>
      </c>
      <c r="C6002" s="5">
        <v>45328</v>
      </c>
      <c r="D6002" s="4">
        <v>30.7</v>
      </c>
      <c r="E6002" s="4">
        <v>10.68</v>
      </c>
    </row>
    <row r="6003" spans="1:5" x14ac:dyDescent="0.25">
      <c r="A6003" s="4" t="s">
        <v>53</v>
      </c>
      <c r="B6003" s="4" t="s">
        <v>38</v>
      </c>
      <c r="C6003" s="5">
        <v>45328</v>
      </c>
      <c r="D6003" s="4">
        <v>8.6</v>
      </c>
      <c r="E6003" s="4">
        <v>2.99</v>
      </c>
    </row>
    <row r="6004" spans="1:5" x14ac:dyDescent="0.25">
      <c r="A6004" s="4" t="s">
        <v>53</v>
      </c>
      <c r="B6004" s="4" t="s">
        <v>38</v>
      </c>
      <c r="C6004" s="5">
        <v>45328</v>
      </c>
      <c r="D6004" s="4">
        <v>2.8</v>
      </c>
      <c r="E6004" s="4">
        <v>0.98</v>
      </c>
    </row>
    <row r="6005" spans="1:5" x14ac:dyDescent="0.25">
      <c r="A6005" s="4" t="s">
        <v>53</v>
      </c>
      <c r="B6005" s="4" t="s">
        <v>38</v>
      </c>
      <c r="C6005" s="5">
        <v>45328</v>
      </c>
      <c r="D6005" s="4">
        <v>2.8</v>
      </c>
      <c r="E6005" s="4">
        <v>0.98</v>
      </c>
    </row>
    <row r="6006" spans="1:5" x14ac:dyDescent="0.25">
      <c r="A6006" s="4" t="s">
        <v>53</v>
      </c>
      <c r="B6006" s="4" t="s">
        <v>38</v>
      </c>
      <c r="C6006" s="5">
        <v>45328</v>
      </c>
      <c r="D6006" s="4">
        <v>3.2</v>
      </c>
      <c r="E6006" s="4">
        <v>1.1100000000000001</v>
      </c>
    </row>
    <row r="6007" spans="1:5" x14ac:dyDescent="0.25">
      <c r="A6007" s="4" t="s">
        <v>53</v>
      </c>
      <c r="B6007" s="4" t="s">
        <v>38</v>
      </c>
      <c r="C6007" s="5">
        <v>45328</v>
      </c>
      <c r="D6007" s="4">
        <v>8.6</v>
      </c>
      <c r="E6007" s="4">
        <v>2.99</v>
      </c>
    </row>
    <row r="6008" spans="1:5" x14ac:dyDescent="0.25">
      <c r="A6008" s="4" t="s">
        <v>53</v>
      </c>
      <c r="B6008" s="4" t="s">
        <v>38</v>
      </c>
      <c r="C6008" s="5">
        <v>45328</v>
      </c>
      <c r="D6008" s="4">
        <v>2.8</v>
      </c>
      <c r="E6008" s="4">
        <v>0.98</v>
      </c>
    </row>
    <row r="6009" spans="1:5" x14ac:dyDescent="0.25">
      <c r="A6009" s="4" t="s">
        <v>53</v>
      </c>
      <c r="B6009" s="4" t="s">
        <v>38</v>
      </c>
      <c r="C6009" s="5">
        <v>45328</v>
      </c>
      <c r="D6009" s="4">
        <v>2.8</v>
      </c>
      <c r="E6009" s="4">
        <v>0.98</v>
      </c>
    </row>
    <row r="6010" spans="1:5" x14ac:dyDescent="0.25">
      <c r="A6010" s="4" t="s">
        <v>53</v>
      </c>
      <c r="B6010" s="4" t="s">
        <v>38</v>
      </c>
      <c r="C6010" s="5">
        <v>45328</v>
      </c>
      <c r="D6010" s="4">
        <v>8.6</v>
      </c>
      <c r="E6010" s="4">
        <v>2.99</v>
      </c>
    </row>
    <row r="6011" spans="1:5" x14ac:dyDescent="0.25">
      <c r="A6011" s="4" t="s">
        <v>53</v>
      </c>
      <c r="B6011" s="4" t="s">
        <v>38</v>
      </c>
      <c r="C6011" s="5">
        <v>45328</v>
      </c>
      <c r="D6011" s="4">
        <v>8.6</v>
      </c>
      <c r="E6011" s="4">
        <v>2.99</v>
      </c>
    </row>
    <row r="6012" spans="1:5" x14ac:dyDescent="0.25">
      <c r="A6012" s="4" t="s">
        <v>53</v>
      </c>
      <c r="B6012" s="4" t="s">
        <v>38</v>
      </c>
      <c r="C6012" s="5">
        <v>45328</v>
      </c>
      <c r="D6012" s="4">
        <v>2.8</v>
      </c>
      <c r="E6012" s="4">
        <v>0.98</v>
      </c>
    </row>
    <row r="6013" spans="1:5" x14ac:dyDescent="0.25">
      <c r="A6013" s="4" t="s">
        <v>53</v>
      </c>
      <c r="B6013" s="4" t="s">
        <v>38</v>
      </c>
      <c r="C6013" s="5">
        <v>45328</v>
      </c>
      <c r="D6013" s="4">
        <v>36.6</v>
      </c>
      <c r="E6013" s="4">
        <v>12.67</v>
      </c>
    </row>
    <row r="6014" spans="1:5" x14ac:dyDescent="0.25">
      <c r="A6014" s="4" t="s">
        <v>53</v>
      </c>
      <c r="B6014" s="4" t="s">
        <v>38</v>
      </c>
      <c r="C6014" s="5">
        <v>45329</v>
      </c>
      <c r="D6014" s="4">
        <v>11.9</v>
      </c>
      <c r="E6014" s="4">
        <v>4.1399999999999997</v>
      </c>
    </row>
    <row r="6015" spans="1:5" x14ac:dyDescent="0.25">
      <c r="A6015" s="4" t="s">
        <v>53</v>
      </c>
      <c r="B6015" s="4" t="s">
        <v>38</v>
      </c>
      <c r="C6015" s="5">
        <v>45329</v>
      </c>
      <c r="D6015" s="4">
        <v>1.3</v>
      </c>
      <c r="E6015" s="4">
        <v>0.45</v>
      </c>
    </row>
    <row r="6016" spans="1:5" x14ac:dyDescent="0.25">
      <c r="A6016" s="4" t="s">
        <v>53</v>
      </c>
      <c r="B6016" s="4" t="s">
        <v>38</v>
      </c>
      <c r="C6016" s="5">
        <v>45329</v>
      </c>
      <c r="D6016" s="4">
        <v>1.3</v>
      </c>
      <c r="E6016" s="4">
        <v>0.45</v>
      </c>
    </row>
    <row r="6017" spans="1:5" x14ac:dyDescent="0.25">
      <c r="A6017" s="4" t="s">
        <v>53</v>
      </c>
      <c r="B6017" s="4" t="s">
        <v>38</v>
      </c>
      <c r="C6017" s="5">
        <v>45329</v>
      </c>
      <c r="D6017" s="4">
        <v>1.3</v>
      </c>
      <c r="E6017" s="4">
        <v>0.45</v>
      </c>
    </row>
    <row r="6018" spans="1:5" x14ac:dyDescent="0.25">
      <c r="A6018" s="4" t="s">
        <v>53</v>
      </c>
      <c r="B6018" s="4" t="s">
        <v>38</v>
      </c>
      <c r="C6018" s="5">
        <v>45329</v>
      </c>
      <c r="D6018" s="4">
        <v>1.3</v>
      </c>
      <c r="E6018" s="4">
        <v>0.45</v>
      </c>
    </row>
    <row r="6019" spans="1:5" x14ac:dyDescent="0.25">
      <c r="A6019" s="4" t="s">
        <v>53</v>
      </c>
      <c r="B6019" s="4" t="s">
        <v>38</v>
      </c>
      <c r="C6019" s="5">
        <v>45329</v>
      </c>
      <c r="D6019" s="4">
        <v>1.3</v>
      </c>
      <c r="E6019" s="4">
        <v>0.45</v>
      </c>
    </row>
    <row r="6020" spans="1:5" x14ac:dyDescent="0.25">
      <c r="A6020" s="4" t="s">
        <v>53</v>
      </c>
      <c r="B6020" s="4" t="s">
        <v>38</v>
      </c>
      <c r="C6020" s="5">
        <v>45329</v>
      </c>
      <c r="D6020" s="4">
        <v>24.1</v>
      </c>
      <c r="E6020" s="4">
        <v>8.3800000000000008</v>
      </c>
    </row>
    <row r="6021" spans="1:5" x14ac:dyDescent="0.25">
      <c r="A6021" s="4" t="s">
        <v>53</v>
      </c>
      <c r="B6021" s="4" t="s">
        <v>38</v>
      </c>
      <c r="C6021" s="5">
        <v>45329</v>
      </c>
      <c r="D6021" s="4">
        <v>28.8</v>
      </c>
      <c r="E6021" s="4">
        <v>10.039999999999999</v>
      </c>
    </row>
    <row r="6022" spans="1:5" x14ac:dyDescent="0.25">
      <c r="A6022" s="4" t="s">
        <v>53</v>
      </c>
      <c r="B6022" s="4" t="s">
        <v>38</v>
      </c>
      <c r="C6022" s="5">
        <v>45329</v>
      </c>
      <c r="D6022" s="4">
        <v>2.4</v>
      </c>
      <c r="E6022" s="4">
        <v>0.84</v>
      </c>
    </row>
    <row r="6023" spans="1:5" x14ac:dyDescent="0.25">
      <c r="A6023" s="4" t="s">
        <v>53</v>
      </c>
      <c r="B6023" s="4" t="s">
        <v>38</v>
      </c>
      <c r="C6023" s="5">
        <v>45329</v>
      </c>
      <c r="D6023" s="4">
        <v>5.8</v>
      </c>
      <c r="E6023" s="4">
        <v>2.02</v>
      </c>
    </row>
    <row r="6024" spans="1:5" x14ac:dyDescent="0.25">
      <c r="A6024" s="4" t="s">
        <v>53</v>
      </c>
      <c r="B6024" s="4" t="s">
        <v>38</v>
      </c>
      <c r="C6024" s="5">
        <v>45329</v>
      </c>
      <c r="D6024" s="4">
        <v>9.4</v>
      </c>
      <c r="E6024" s="4">
        <v>3.27</v>
      </c>
    </row>
    <row r="6025" spans="1:5" x14ac:dyDescent="0.25">
      <c r="A6025" s="4" t="s">
        <v>53</v>
      </c>
      <c r="B6025" s="4" t="s">
        <v>38</v>
      </c>
      <c r="C6025" s="5">
        <v>45329</v>
      </c>
      <c r="D6025" s="4">
        <v>29.1</v>
      </c>
      <c r="E6025" s="4">
        <v>10.14</v>
      </c>
    </row>
    <row r="6026" spans="1:5" x14ac:dyDescent="0.25">
      <c r="A6026" s="4" t="s">
        <v>53</v>
      </c>
      <c r="B6026" s="4" t="s">
        <v>38</v>
      </c>
      <c r="C6026" s="5">
        <v>45330</v>
      </c>
      <c r="D6026" s="4">
        <v>15.4</v>
      </c>
      <c r="E6026" s="4">
        <v>5.35</v>
      </c>
    </row>
    <row r="6027" spans="1:5" x14ac:dyDescent="0.25">
      <c r="A6027" s="4" t="s">
        <v>53</v>
      </c>
      <c r="B6027" s="4" t="s">
        <v>38</v>
      </c>
      <c r="C6027" s="5">
        <v>45330</v>
      </c>
      <c r="D6027" s="4">
        <v>16.899999999999999</v>
      </c>
      <c r="E6027" s="4">
        <v>5.89</v>
      </c>
    </row>
    <row r="6028" spans="1:5" x14ac:dyDescent="0.25">
      <c r="A6028" s="4" t="s">
        <v>53</v>
      </c>
      <c r="B6028" s="4" t="s">
        <v>38</v>
      </c>
      <c r="C6028" s="5">
        <v>45330</v>
      </c>
      <c r="D6028" s="4">
        <v>17.600000000000001</v>
      </c>
      <c r="E6028" s="4">
        <v>6.13</v>
      </c>
    </row>
    <row r="6029" spans="1:5" x14ac:dyDescent="0.25">
      <c r="A6029" s="4" t="s">
        <v>53</v>
      </c>
      <c r="B6029" s="4" t="s">
        <v>38</v>
      </c>
      <c r="C6029" s="5">
        <v>45330</v>
      </c>
      <c r="D6029" s="4">
        <v>17.600000000000001</v>
      </c>
      <c r="E6029" s="4">
        <v>6.13</v>
      </c>
    </row>
    <row r="6030" spans="1:5" x14ac:dyDescent="0.25">
      <c r="A6030" s="4" t="s">
        <v>53</v>
      </c>
      <c r="B6030" s="4" t="s">
        <v>38</v>
      </c>
      <c r="C6030" s="5">
        <v>45330</v>
      </c>
      <c r="D6030" s="4">
        <v>17.600000000000001</v>
      </c>
      <c r="E6030" s="4">
        <v>6.13</v>
      </c>
    </row>
    <row r="6031" spans="1:5" x14ac:dyDescent="0.25">
      <c r="A6031" s="4" t="s">
        <v>53</v>
      </c>
      <c r="B6031" s="4" t="s">
        <v>38</v>
      </c>
      <c r="C6031" s="5">
        <v>45330</v>
      </c>
      <c r="D6031" s="4">
        <v>28.8</v>
      </c>
      <c r="E6031" s="4">
        <v>10.039999999999999</v>
      </c>
    </row>
    <row r="6032" spans="1:5" x14ac:dyDescent="0.25">
      <c r="A6032" s="4" t="s">
        <v>53</v>
      </c>
      <c r="B6032" s="4" t="s">
        <v>38</v>
      </c>
      <c r="C6032" s="5">
        <v>45330</v>
      </c>
      <c r="D6032" s="4">
        <v>2.4</v>
      </c>
      <c r="E6032" s="4">
        <v>0.84</v>
      </c>
    </row>
    <row r="6033" spans="1:5" x14ac:dyDescent="0.25">
      <c r="A6033" s="4" t="s">
        <v>53</v>
      </c>
      <c r="B6033" s="4" t="s">
        <v>38</v>
      </c>
      <c r="C6033" s="5">
        <v>45330</v>
      </c>
      <c r="D6033" s="4">
        <v>5.8</v>
      </c>
      <c r="E6033" s="4">
        <v>2.02</v>
      </c>
    </row>
    <row r="6034" spans="1:5" x14ac:dyDescent="0.25">
      <c r="A6034" s="4" t="s">
        <v>53</v>
      </c>
      <c r="B6034" s="4" t="s">
        <v>38</v>
      </c>
      <c r="C6034" s="5">
        <v>45330</v>
      </c>
      <c r="D6034" s="4">
        <v>2.4</v>
      </c>
      <c r="E6034" s="4">
        <v>0.84</v>
      </c>
    </row>
    <row r="6035" spans="1:5" x14ac:dyDescent="0.25">
      <c r="A6035" s="4" t="s">
        <v>53</v>
      </c>
      <c r="B6035" s="4" t="s">
        <v>38</v>
      </c>
      <c r="C6035" s="5">
        <v>45330</v>
      </c>
      <c r="D6035" s="4">
        <v>28.8</v>
      </c>
      <c r="E6035" s="4">
        <v>10.039999999999999</v>
      </c>
    </row>
    <row r="6036" spans="1:5" x14ac:dyDescent="0.25">
      <c r="A6036" s="4" t="s">
        <v>53</v>
      </c>
      <c r="B6036" s="4" t="s">
        <v>38</v>
      </c>
      <c r="C6036" s="5">
        <v>45330</v>
      </c>
      <c r="D6036" s="4">
        <v>28.8</v>
      </c>
      <c r="E6036" s="4">
        <v>10.039999999999999</v>
      </c>
    </row>
    <row r="6037" spans="1:5" x14ac:dyDescent="0.25">
      <c r="A6037" s="4" t="s">
        <v>53</v>
      </c>
      <c r="B6037" s="4" t="s">
        <v>38</v>
      </c>
      <c r="C6037" s="5">
        <v>45330</v>
      </c>
      <c r="D6037" s="4">
        <v>2.4</v>
      </c>
      <c r="E6037" s="4">
        <v>0.84</v>
      </c>
    </row>
    <row r="6038" spans="1:5" x14ac:dyDescent="0.25">
      <c r="A6038" s="4" t="s">
        <v>53</v>
      </c>
      <c r="B6038" s="4" t="s">
        <v>38</v>
      </c>
      <c r="C6038" s="5">
        <v>45330</v>
      </c>
      <c r="D6038" s="4">
        <v>5.8</v>
      </c>
      <c r="E6038" s="4">
        <v>2.02</v>
      </c>
    </row>
    <row r="6039" spans="1:5" x14ac:dyDescent="0.25">
      <c r="A6039" s="4" t="s">
        <v>53</v>
      </c>
      <c r="B6039" s="4" t="s">
        <v>38</v>
      </c>
      <c r="C6039" s="5">
        <v>45330</v>
      </c>
      <c r="D6039" s="4">
        <v>2.4</v>
      </c>
      <c r="E6039" s="4">
        <v>0.84</v>
      </c>
    </row>
    <row r="6040" spans="1:5" x14ac:dyDescent="0.25">
      <c r="A6040" s="4" t="s">
        <v>53</v>
      </c>
      <c r="B6040" s="4" t="s">
        <v>38</v>
      </c>
      <c r="C6040" s="5">
        <v>45330</v>
      </c>
      <c r="D6040" s="4">
        <v>30.6</v>
      </c>
      <c r="E6040" s="4">
        <v>10.67</v>
      </c>
    </row>
    <row r="6041" spans="1:5" x14ac:dyDescent="0.25">
      <c r="A6041" s="4" t="s">
        <v>53</v>
      </c>
      <c r="B6041" s="4" t="s">
        <v>38</v>
      </c>
      <c r="C6041" s="5">
        <v>45331</v>
      </c>
      <c r="D6041" s="4">
        <v>28.9</v>
      </c>
      <c r="E6041" s="4">
        <v>10.02</v>
      </c>
    </row>
    <row r="6042" spans="1:5" x14ac:dyDescent="0.25">
      <c r="A6042" s="4" t="s">
        <v>53</v>
      </c>
      <c r="B6042" s="4" t="s">
        <v>38</v>
      </c>
      <c r="C6042" s="5">
        <v>45331</v>
      </c>
      <c r="D6042" s="4">
        <v>17.2</v>
      </c>
      <c r="E6042" s="4">
        <v>5.94</v>
      </c>
    </row>
    <row r="6043" spans="1:5" x14ac:dyDescent="0.25">
      <c r="A6043" s="4" t="s">
        <v>53</v>
      </c>
      <c r="B6043" s="4" t="s">
        <v>38</v>
      </c>
      <c r="C6043" s="5">
        <v>45331</v>
      </c>
      <c r="D6043" s="4">
        <v>17.2</v>
      </c>
      <c r="E6043" s="4">
        <v>5.94</v>
      </c>
    </row>
    <row r="6044" spans="1:5" x14ac:dyDescent="0.25">
      <c r="A6044" s="4" t="s">
        <v>53</v>
      </c>
      <c r="B6044" s="4" t="s">
        <v>38</v>
      </c>
      <c r="C6044" s="5">
        <v>45331</v>
      </c>
      <c r="D6044" s="4">
        <v>17.2</v>
      </c>
      <c r="E6044" s="4">
        <v>5.94</v>
      </c>
    </row>
    <row r="6045" spans="1:5" x14ac:dyDescent="0.25">
      <c r="A6045" s="4" t="s">
        <v>53</v>
      </c>
      <c r="B6045" s="4" t="s">
        <v>38</v>
      </c>
      <c r="C6045" s="5">
        <v>45331</v>
      </c>
      <c r="D6045" s="4">
        <v>43</v>
      </c>
      <c r="E6045" s="4">
        <v>14.96</v>
      </c>
    </row>
    <row r="6046" spans="1:5" x14ac:dyDescent="0.25">
      <c r="A6046" s="4" t="s">
        <v>53</v>
      </c>
      <c r="B6046" s="4" t="s">
        <v>38</v>
      </c>
      <c r="C6046" s="5">
        <v>45334</v>
      </c>
      <c r="D6046" s="4">
        <v>1.2</v>
      </c>
      <c r="E6046" s="4">
        <v>0.41</v>
      </c>
    </row>
    <row r="6047" spans="1:5" x14ac:dyDescent="0.25">
      <c r="A6047" s="4" t="s">
        <v>53</v>
      </c>
      <c r="B6047" s="4" t="s">
        <v>38</v>
      </c>
      <c r="C6047" s="5">
        <v>45334</v>
      </c>
      <c r="D6047" s="4">
        <v>0.4</v>
      </c>
      <c r="E6047" s="4">
        <v>0.14000000000000001</v>
      </c>
    </row>
    <row r="6048" spans="1:5" x14ac:dyDescent="0.25">
      <c r="A6048" s="4" t="s">
        <v>53</v>
      </c>
      <c r="B6048" s="4" t="s">
        <v>38</v>
      </c>
      <c r="C6048" s="5">
        <v>45334</v>
      </c>
      <c r="D6048" s="4">
        <v>16.399999999999999</v>
      </c>
      <c r="E6048" s="4">
        <v>5.71</v>
      </c>
    </row>
    <row r="6049" spans="1:5" x14ac:dyDescent="0.25">
      <c r="A6049" s="4" t="s">
        <v>53</v>
      </c>
      <c r="B6049" s="4" t="s">
        <v>38</v>
      </c>
      <c r="C6049" s="5">
        <v>45334</v>
      </c>
      <c r="D6049" s="4">
        <v>1.1000000000000001</v>
      </c>
      <c r="E6049" s="4">
        <v>0.38</v>
      </c>
    </row>
    <row r="6050" spans="1:5" x14ac:dyDescent="0.25">
      <c r="A6050" s="4" t="s">
        <v>53</v>
      </c>
      <c r="B6050" s="4" t="s">
        <v>38</v>
      </c>
      <c r="C6050" s="5">
        <v>45334</v>
      </c>
      <c r="D6050" s="4">
        <v>1</v>
      </c>
      <c r="E6050" s="4">
        <v>0.34</v>
      </c>
    </row>
    <row r="6051" spans="1:5" x14ac:dyDescent="0.25">
      <c r="A6051" s="4" t="s">
        <v>53</v>
      </c>
      <c r="B6051" s="4" t="s">
        <v>38</v>
      </c>
      <c r="C6051" s="5">
        <v>45334</v>
      </c>
      <c r="D6051" s="4">
        <v>0.4</v>
      </c>
      <c r="E6051" s="4">
        <v>0.14000000000000001</v>
      </c>
    </row>
    <row r="6052" spans="1:5" x14ac:dyDescent="0.25">
      <c r="A6052" s="4" t="s">
        <v>53</v>
      </c>
      <c r="B6052" s="4" t="s">
        <v>38</v>
      </c>
      <c r="C6052" s="5">
        <v>45334</v>
      </c>
      <c r="D6052" s="4">
        <v>1</v>
      </c>
      <c r="E6052" s="4">
        <v>0.34</v>
      </c>
    </row>
    <row r="6053" spans="1:5" x14ac:dyDescent="0.25">
      <c r="A6053" s="4" t="s">
        <v>53</v>
      </c>
      <c r="B6053" s="4" t="s">
        <v>38</v>
      </c>
      <c r="C6053" s="5">
        <v>45334</v>
      </c>
      <c r="D6053" s="4">
        <v>1</v>
      </c>
      <c r="E6053" s="4">
        <v>0.34</v>
      </c>
    </row>
    <row r="6054" spans="1:5" x14ac:dyDescent="0.25">
      <c r="A6054" s="4" t="s">
        <v>53</v>
      </c>
      <c r="B6054" s="4" t="s">
        <v>38</v>
      </c>
      <c r="C6054" s="5">
        <v>45334</v>
      </c>
      <c r="D6054" s="4">
        <v>0.4</v>
      </c>
      <c r="E6054" s="4">
        <v>0.14000000000000001</v>
      </c>
    </row>
    <row r="6055" spans="1:5" x14ac:dyDescent="0.25">
      <c r="A6055" s="4" t="s">
        <v>53</v>
      </c>
      <c r="B6055" s="4" t="s">
        <v>38</v>
      </c>
      <c r="C6055" s="5">
        <v>45334</v>
      </c>
      <c r="D6055" s="4">
        <v>1</v>
      </c>
      <c r="E6055" s="4">
        <v>0.34</v>
      </c>
    </row>
    <row r="6056" spans="1:5" x14ac:dyDescent="0.25">
      <c r="A6056" s="4" t="s">
        <v>53</v>
      </c>
      <c r="B6056" s="4" t="s">
        <v>38</v>
      </c>
      <c r="C6056" s="5">
        <v>45334</v>
      </c>
      <c r="D6056" s="4">
        <v>1</v>
      </c>
      <c r="E6056" s="4">
        <v>0.34</v>
      </c>
    </row>
    <row r="6057" spans="1:5" x14ac:dyDescent="0.25">
      <c r="A6057" s="4" t="s">
        <v>53</v>
      </c>
      <c r="B6057" s="4" t="s">
        <v>38</v>
      </c>
      <c r="C6057" s="5">
        <v>45334</v>
      </c>
      <c r="D6057" s="4">
        <v>0.4</v>
      </c>
      <c r="E6057" s="4">
        <v>0.14000000000000001</v>
      </c>
    </row>
    <row r="6058" spans="1:5" x14ac:dyDescent="0.25">
      <c r="A6058" s="4" t="s">
        <v>53</v>
      </c>
      <c r="B6058" s="4" t="s">
        <v>38</v>
      </c>
      <c r="C6058" s="5">
        <v>45334</v>
      </c>
      <c r="D6058" s="4">
        <v>1</v>
      </c>
      <c r="E6058" s="4">
        <v>0.34</v>
      </c>
    </row>
    <row r="6059" spans="1:5" x14ac:dyDescent="0.25">
      <c r="A6059" s="4" t="s">
        <v>53</v>
      </c>
      <c r="B6059" s="4" t="s">
        <v>38</v>
      </c>
      <c r="C6059" s="5">
        <v>45334</v>
      </c>
      <c r="D6059" s="4">
        <v>1</v>
      </c>
      <c r="E6059" s="4">
        <v>0.34</v>
      </c>
    </row>
    <row r="6060" spans="1:5" x14ac:dyDescent="0.25">
      <c r="A6060" s="4" t="s">
        <v>53</v>
      </c>
      <c r="B6060" s="4" t="s">
        <v>38</v>
      </c>
      <c r="C6060" s="5">
        <v>45334</v>
      </c>
      <c r="D6060" s="4">
        <v>0.9</v>
      </c>
      <c r="E6060" s="4">
        <v>0.31</v>
      </c>
    </row>
    <row r="6061" spans="1:5" x14ac:dyDescent="0.25">
      <c r="A6061" s="4" t="s">
        <v>53</v>
      </c>
      <c r="B6061" s="4" t="s">
        <v>38</v>
      </c>
      <c r="C6061" s="5">
        <v>45334</v>
      </c>
      <c r="D6061" s="4">
        <v>15.4</v>
      </c>
      <c r="E6061" s="4">
        <v>5.35</v>
      </c>
    </row>
    <row r="6062" spans="1:5" x14ac:dyDescent="0.25">
      <c r="A6062" s="4" t="s">
        <v>53</v>
      </c>
      <c r="B6062" s="4" t="s">
        <v>38</v>
      </c>
      <c r="C6062" s="5">
        <v>45334</v>
      </c>
      <c r="D6062" s="4">
        <v>15.4</v>
      </c>
      <c r="E6062" s="4">
        <v>5.35</v>
      </c>
    </row>
    <row r="6063" spans="1:5" x14ac:dyDescent="0.25">
      <c r="A6063" s="4" t="s">
        <v>53</v>
      </c>
      <c r="B6063" s="4" t="s">
        <v>38</v>
      </c>
      <c r="C6063" s="5">
        <v>45335</v>
      </c>
      <c r="D6063" s="4">
        <v>28.9</v>
      </c>
      <c r="E6063" s="4">
        <v>10.02</v>
      </c>
    </row>
    <row r="6064" spans="1:5" x14ac:dyDescent="0.25">
      <c r="A6064" s="4" t="s">
        <v>53</v>
      </c>
      <c r="B6064" s="4" t="s">
        <v>38</v>
      </c>
      <c r="C6064" s="5">
        <v>45335</v>
      </c>
      <c r="D6064" s="4">
        <v>15.9</v>
      </c>
      <c r="E6064" s="4">
        <v>5.49</v>
      </c>
    </row>
    <row r="6065" spans="1:5" x14ac:dyDescent="0.25">
      <c r="A6065" s="4" t="s">
        <v>53</v>
      </c>
      <c r="B6065" s="4" t="s">
        <v>38</v>
      </c>
      <c r="C6065" s="5">
        <v>45335</v>
      </c>
      <c r="D6065" s="4">
        <v>19.3</v>
      </c>
      <c r="E6065" s="4">
        <v>6.67</v>
      </c>
    </row>
    <row r="6066" spans="1:5" x14ac:dyDescent="0.25">
      <c r="A6066" s="4" t="s">
        <v>53</v>
      </c>
      <c r="B6066" s="4" t="s">
        <v>38</v>
      </c>
      <c r="C6066" s="5">
        <v>45335</v>
      </c>
      <c r="D6066" s="4">
        <v>19.3</v>
      </c>
      <c r="E6066" s="4">
        <v>6.66</v>
      </c>
    </row>
    <row r="6067" spans="1:5" x14ac:dyDescent="0.25">
      <c r="A6067" s="4" t="s">
        <v>53</v>
      </c>
      <c r="B6067" s="4" t="s">
        <v>38</v>
      </c>
      <c r="C6067" s="5">
        <v>45335</v>
      </c>
      <c r="D6067" s="4">
        <v>19.3</v>
      </c>
      <c r="E6067" s="4">
        <v>6.67</v>
      </c>
    </row>
    <row r="6068" spans="1:5" x14ac:dyDescent="0.25">
      <c r="A6068" s="4" t="s">
        <v>53</v>
      </c>
      <c r="B6068" s="4" t="s">
        <v>38</v>
      </c>
      <c r="C6068" s="5">
        <v>45335</v>
      </c>
      <c r="D6068" s="4">
        <v>12.8</v>
      </c>
      <c r="E6068" s="4">
        <v>4.46</v>
      </c>
    </row>
    <row r="6069" spans="1:5" x14ac:dyDescent="0.25">
      <c r="A6069" s="4" t="s">
        <v>53</v>
      </c>
      <c r="B6069" s="4" t="s">
        <v>38</v>
      </c>
      <c r="C6069" s="5">
        <v>45335</v>
      </c>
      <c r="D6069" s="4">
        <v>6.5</v>
      </c>
      <c r="E6069" s="4">
        <v>2.2000000000000002</v>
      </c>
    </row>
    <row r="6070" spans="1:5" x14ac:dyDescent="0.25">
      <c r="A6070" s="4" t="s">
        <v>53</v>
      </c>
      <c r="B6070" s="4" t="s">
        <v>38</v>
      </c>
      <c r="C6070" s="5">
        <v>45335</v>
      </c>
      <c r="D6070" s="4">
        <v>37.6</v>
      </c>
      <c r="E6070" s="4">
        <v>13.02</v>
      </c>
    </row>
    <row r="6071" spans="1:5" x14ac:dyDescent="0.25">
      <c r="A6071" s="4" t="s">
        <v>53</v>
      </c>
      <c r="B6071" s="4" t="s">
        <v>38</v>
      </c>
      <c r="C6071" s="5">
        <v>45336</v>
      </c>
      <c r="D6071" s="4">
        <v>20.8</v>
      </c>
      <c r="E6071" s="4">
        <v>7.21</v>
      </c>
    </row>
    <row r="6072" spans="1:5" x14ac:dyDescent="0.25">
      <c r="A6072" s="4" t="s">
        <v>53</v>
      </c>
      <c r="B6072" s="4" t="s">
        <v>38</v>
      </c>
      <c r="C6072" s="5">
        <v>45336</v>
      </c>
      <c r="D6072" s="4">
        <v>15.4</v>
      </c>
      <c r="E6072" s="4">
        <v>5.36</v>
      </c>
    </row>
    <row r="6073" spans="1:5" x14ac:dyDescent="0.25">
      <c r="A6073" s="4" t="s">
        <v>53</v>
      </c>
      <c r="B6073" s="4" t="s">
        <v>38</v>
      </c>
      <c r="C6073" s="5">
        <v>45336</v>
      </c>
      <c r="D6073" s="4">
        <v>16.100000000000001</v>
      </c>
      <c r="E6073" s="4">
        <v>5.6</v>
      </c>
    </row>
    <row r="6074" spans="1:5" x14ac:dyDescent="0.25">
      <c r="A6074" s="4" t="s">
        <v>53</v>
      </c>
      <c r="B6074" s="4" t="s">
        <v>38</v>
      </c>
      <c r="C6074" s="5">
        <v>45336</v>
      </c>
      <c r="D6074" s="4">
        <v>1.4</v>
      </c>
      <c r="E6074" s="4">
        <v>0.48</v>
      </c>
    </row>
    <row r="6075" spans="1:5" x14ac:dyDescent="0.25">
      <c r="A6075" s="4" t="s">
        <v>53</v>
      </c>
      <c r="B6075" s="4" t="s">
        <v>38</v>
      </c>
      <c r="C6075" s="5">
        <v>45336</v>
      </c>
      <c r="D6075" s="4">
        <v>1.4</v>
      </c>
      <c r="E6075" s="4">
        <v>0.48</v>
      </c>
    </row>
    <row r="6076" spans="1:5" x14ac:dyDescent="0.25">
      <c r="A6076" s="4" t="s">
        <v>53</v>
      </c>
      <c r="B6076" s="4" t="s">
        <v>38</v>
      </c>
      <c r="C6076" s="5">
        <v>45336</v>
      </c>
      <c r="D6076" s="4">
        <v>1.4</v>
      </c>
      <c r="E6076" s="4">
        <v>0.48</v>
      </c>
    </row>
    <row r="6077" spans="1:5" x14ac:dyDescent="0.25">
      <c r="A6077" s="4" t="s">
        <v>53</v>
      </c>
      <c r="B6077" s="4" t="s">
        <v>38</v>
      </c>
      <c r="C6077" s="5">
        <v>45336</v>
      </c>
      <c r="D6077" s="4">
        <v>1.4</v>
      </c>
      <c r="E6077" s="4">
        <v>0.48</v>
      </c>
    </row>
    <row r="6078" spans="1:5" x14ac:dyDescent="0.25">
      <c r="A6078" s="4" t="s">
        <v>53</v>
      </c>
      <c r="B6078" s="4" t="s">
        <v>38</v>
      </c>
      <c r="C6078" s="5">
        <v>45336</v>
      </c>
      <c r="D6078" s="4">
        <v>1.4</v>
      </c>
      <c r="E6078" s="4">
        <v>0.48</v>
      </c>
    </row>
    <row r="6079" spans="1:5" x14ac:dyDescent="0.25">
      <c r="A6079" s="4" t="s">
        <v>53</v>
      </c>
      <c r="B6079" s="4" t="s">
        <v>38</v>
      </c>
      <c r="C6079" s="5">
        <v>45336</v>
      </c>
      <c r="D6079" s="4">
        <v>1.4</v>
      </c>
      <c r="E6079" s="4">
        <v>0.48</v>
      </c>
    </row>
    <row r="6080" spans="1:5" x14ac:dyDescent="0.25">
      <c r="A6080" s="4" t="s">
        <v>53</v>
      </c>
      <c r="B6080" s="4" t="s">
        <v>38</v>
      </c>
      <c r="C6080" s="5">
        <v>45336</v>
      </c>
      <c r="D6080" s="4">
        <v>1.4</v>
      </c>
      <c r="E6080" s="4">
        <v>0.48</v>
      </c>
    </row>
    <row r="6081" spans="1:5" x14ac:dyDescent="0.25">
      <c r="A6081" s="4" t="s">
        <v>53</v>
      </c>
      <c r="B6081" s="4" t="s">
        <v>39</v>
      </c>
      <c r="C6081" s="5">
        <v>45307</v>
      </c>
      <c r="D6081" s="4">
        <v>24.8</v>
      </c>
      <c r="E6081" s="4">
        <v>8.6</v>
      </c>
    </row>
    <row r="6082" spans="1:5" x14ac:dyDescent="0.25">
      <c r="A6082" s="4" t="s">
        <v>53</v>
      </c>
      <c r="B6082" s="4" t="s">
        <v>39</v>
      </c>
      <c r="C6082" s="5">
        <v>45307</v>
      </c>
      <c r="D6082" s="4">
        <v>3.3</v>
      </c>
      <c r="E6082" s="4">
        <v>1.1499999999999999</v>
      </c>
    </row>
    <row r="6083" spans="1:5" x14ac:dyDescent="0.25">
      <c r="A6083" s="4" t="s">
        <v>53</v>
      </c>
      <c r="B6083" s="4" t="s">
        <v>39</v>
      </c>
      <c r="C6083" s="5">
        <v>45307</v>
      </c>
      <c r="D6083" s="4">
        <v>33.200000000000003</v>
      </c>
      <c r="E6083" s="4">
        <v>11.54</v>
      </c>
    </row>
    <row r="6084" spans="1:5" x14ac:dyDescent="0.25">
      <c r="A6084" s="4" t="s">
        <v>53</v>
      </c>
      <c r="B6084" s="4" t="s">
        <v>39</v>
      </c>
      <c r="C6084" s="5">
        <v>45307</v>
      </c>
      <c r="D6084" s="4">
        <v>2.5</v>
      </c>
      <c r="E6084" s="4">
        <v>0.86</v>
      </c>
    </row>
    <row r="6085" spans="1:5" x14ac:dyDescent="0.25">
      <c r="A6085" s="4" t="s">
        <v>53</v>
      </c>
      <c r="B6085" s="4" t="s">
        <v>39</v>
      </c>
      <c r="C6085" s="5">
        <v>45307</v>
      </c>
      <c r="D6085" s="4">
        <v>1</v>
      </c>
      <c r="E6085" s="4">
        <v>0.34</v>
      </c>
    </row>
    <row r="6086" spans="1:5" x14ac:dyDescent="0.25">
      <c r="A6086" s="4" t="s">
        <v>53</v>
      </c>
      <c r="B6086" s="4" t="s">
        <v>39</v>
      </c>
      <c r="C6086" s="5">
        <v>45307</v>
      </c>
      <c r="D6086" s="4">
        <v>1</v>
      </c>
      <c r="E6086" s="4">
        <v>0.34</v>
      </c>
    </row>
    <row r="6087" spans="1:5" x14ac:dyDescent="0.25">
      <c r="A6087" s="4" t="s">
        <v>53</v>
      </c>
      <c r="B6087" s="4" t="s">
        <v>39</v>
      </c>
      <c r="C6087" s="5">
        <v>45307</v>
      </c>
      <c r="D6087" s="4">
        <v>2.5</v>
      </c>
      <c r="E6087" s="4">
        <v>0.86</v>
      </c>
    </row>
    <row r="6088" spans="1:5" x14ac:dyDescent="0.25">
      <c r="A6088" s="4" t="s">
        <v>53</v>
      </c>
      <c r="B6088" s="4" t="s">
        <v>39</v>
      </c>
      <c r="C6088" s="5">
        <v>45307</v>
      </c>
      <c r="D6088" s="4">
        <v>2.5</v>
      </c>
      <c r="E6088" s="4">
        <v>0.86</v>
      </c>
    </row>
    <row r="6089" spans="1:5" x14ac:dyDescent="0.25">
      <c r="A6089" s="4" t="s">
        <v>53</v>
      </c>
      <c r="B6089" s="4" t="s">
        <v>39</v>
      </c>
      <c r="C6089" s="5">
        <v>45307</v>
      </c>
      <c r="D6089" s="4">
        <v>1</v>
      </c>
      <c r="E6089" s="4">
        <v>0.34</v>
      </c>
    </row>
    <row r="6090" spans="1:5" x14ac:dyDescent="0.25">
      <c r="A6090" s="4" t="s">
        <v>53</v>
      </c>
      <c r="B6090" s="4" t="s">
        <v>39</v>
      </c>
      <c r="C6090" s="5">
        <v>45307</v>
      </c>
      <c r="D6090" s="4">
        <v>0.2</v>
      </c>
      <c r="E6090" s="4">
        <v>7.0000000000000007E-2</v>
      </c>
    </row>
    <row r="6091" spans="1:5" x14ac:dyDescent="0.25">
      <c r="A6091" s="4" t="s">
        <v>53</v>
      </c>
      <c r="B6091" s="4" t="s">
        <v>39</v>
      </c>
      <c r="C6091" s="5">
        <v>45307</v>
      </c>
      <c r="D6091" s="4">
        <v>0.3</v>
      </c>
      <c r="E6091" s="4">
        <v>0.1</v>
      </c>
    </row>
    <row r="6092" spans="1:5" x14ac:dyDescent="0.25">
      <c r="A6092" s="4" t="s">
        <v>53</v>
      </c>
      <c r="B6092" s="4" t="s">
        <v>39</v>
      </c>
      <c r="C6092" s="5">
        <v>45307</v>
      </c>
      <c r="D6092" s="4">
        <v>0.4</v>
      </c>
      <c r="E6092" s="4">
        <v>0.14000000000000001</v>
      </c>
    </row>
    <row r="6093" spans="1:5" x14ac:dyDescent="0.25">
      <c r="A6093" s="4" t="s">
        <v>53</v>
      </c>
      <c r="B6093" s="4" t="s">
        <v>39</v>
      </c>
      <c r="C6093" s="5">
        <v>45307</v>
      </c>
      <c r="D6093" s="4">
        <v>30.2</v>
      </c>
      <c r="E6093" s="4">
        <v>10.49</v>
      </c>
    </row>
    <row r="6094" spans="1:5" x14ac:dyDescent="0.25">
      <c r="A6094" s="4" t="s">
        <v>53</v>
      </c>
      <c r="B6094" s="4" t="s">
        <v>39</v>
      </c>
      <c r="C6094" s="5">
        <v>45307</v>
      </c>
      <c r="D6094" s="4">
        <v>0.9</v>
      </c>
      <c r="E6094" s="4">
        <v>0.31</v>
      </c>
    </row>
    <row r="6095" spans="1:5" x14ac:dyDescent="0.25">
      <c r="A6095" s="4" t="s">
        <v>53</v>
      </c>
      <c r="B6095" s="4" t="s">
        <v>39</v>
      </c>
      <c r="C6095" s="5">
        <v>45308</v>
      </c>
      <c r="D6095" s="4">
        <v>13.2</v>
      </c>
      <c r="E6095" s="4">
        <v>4.59</v>
      </c>
    </row>
    <row r="6096" spans="1:5" x14ac:dyDescent="0.25">
      <c r="A6096" s="4" t="s">
        <v>53</v>
      </c>
      <c r="B6096" s="4" t="s">
        <v>39</v>
      </c>
      <c r="C6096" s="5">
        <v>45308</v>
      </c>
      <c r="D6096" s="4">
        <v>2.1</v>
      </c>
      <c r="E6096" s="4">
        <v>0.73</v>
      </c>
    </row>
    <row r="6097" spans="1:5" x14ac:dyDescent="0.25">
      <c r="A6097" s="4" t="s">
        <v>53</v>
      </c>
      <c r="B6097" s="4" t="s">
        <v>39</v>
      </c>
      <c r="C6097" s="5">
        <v>45308</v>
      </c>
      <c r="D6097" s="4">
        <v>2.1</v>
      </c>
      <c r="E6097" s="4">
        <v>0.73</v>
      </c>
    </row>
    <row r="6098" spans="1:5" x14ac:dyDescent="0.25">
      <c r="A6098" s="4" t="s">
        <v>53</v>
      </c>
      <c r="B6098" s="4" t="s">
        <v>39</v>
      </c>
      <c r="C6098" s="5">
        <v>45308</v>
      </c>
      <c r="D6098" s="4">
        <v>8.6999999999999993</v>
      </c>
      <c r="E6098" s="4">
        <v>3.03</v>
      </c>
    </row>
    <row r="6099" spans="1:5" x14ac:dyDescent="0.25">
      <c r="A6099" s="4" t="s">
        <v>53</v>
      </c>
      <c r="B6099" s="4" t="s">
        <v>39</v>
      </c>
      <c r="C6099" s="5">
        <v>45310</v>
      </c>
      <c r="D6099" s="4">
        <v>15.9</v>
      </c>
      <c r="E6099" s="4">
        <v>5.51</v>
      </c>
    </row>
    <row r="6100" spans="1:5" x14ac:dyDescent="0.25">
      <c r="A6100" s="4" t="s">
        <v>53</v>
      </c>
      <c r="B6100" s="4" t="s">
        <v>39</v>
      </c>
      <c r="C6100" s="5">
        <v>45310</v>
      </c>
      <c r="D6100" s="4">
        <v>30.5</v>
      </c>
      <c r="E6100" s="4">
        <v>10.59</v>
      </c>
    </row>
    <row r="6101" spans="1:5" x14ac:dyDescent="0.25">
      <c r="A6101" s="4" t="s">
        <v>53</v>
      </c>
      <c r="B6101" s="4" t="s">
        <v>39</v>
      </c>
      <c r="C6101" s="5">
        <v>45310</v>
      </c>
      <c r="D6101" s="4">
        <v>48.7</v>
      </c>
      <c r="E6101" s="4">
        <v>16.93</v>
      </c>
    </row>
    <row r="6102" spans="1:5" x14ac:dyDescent="0.25">
      <c r="A6102" s="4" t="s">
        <v>53</v>
      </c>
      <c r="B6102" s="4" t="s">
        <v>39</v>
      </c>
      <c r="C6102" s="5">
        <v>45310</v>
      </c>
      <c r="D6102" s="4">
        <v>5.3</v>
      </c>
      <c r="E6102" s="4">
        <v>1.82</v>
      </c>
    </row>
    <row r="6103" spans="1:5" x14ac:dyDescent="0.25">
      <c r="A6103" s="4" t="s">
        <v>53</v>
      </c>
      <c r="B6103" s="4" t="s">
        <v>39</v>
      </c>
      <c r="C6103" s="5">
        <v>45310</v>
      </c>
      <c r="D6103" s="4">
        <v>16.399999999999999</v>
      </c>
      <c r="E6103" s="4">
        <v>5.71</v>
      </c>
    </row>
    <row r="6104" spans="1:5" x14ac:dyDescent="0.25">
      <c r="A6104" s="4" t="s">
        <v>53</v>
      </c>
      <c r="B6104" s="4" t="s">
        <v>39</v>
      </c>
      <c r="C6104" s="5">
        <v>45313</v>
      </c>
      <c r="D6104" s="4">
        <v>0.4</v>
      </c>
      <c r="E6104" s="4">
        <v>0.14000000000000001</v>
      </c>
    </row>
    <row r="6105" spans="1:5" x14ac:dyDescent="0.25">
      <c r="A6105" s="4" t="s">
        <v>53</v>
      </c>
      <c r="B6105" s="4" t="s">
        <v>39</v>
      </c>
      <c r="C6105" s="5">
        <v>45313</v>
      </c>
      <c r="D6105" s="4">
        <v>10.1</v>
      </c>
      <c r="E6105" s="4">
        <v>3.52</v>
      </c>
    </row>
    <row r="6106" spans="1:5" x14ac:dyDescent="0.25">
      <c r="A6106" s="4" t="s">
        <v>53</v>
      </c>
      <c r="B6106" s="4" t="s">
        <v>39</v>
      </c>
      <c r="C6106" s="5">
        <v>45313</v>
      </c>
      <c r="D6106" s="4">
        <v>1.3</v>
      </c>
      <c r="E6106" s="4">
        <v>0.45</v>
      </c>
    </row>
    <row r="6107" spans="1:5" x14ac:dyDescent="0.25">
      <c r="A6107" s="4" t="s">
        <v>53</v>
      </c>
      <c r="B6107" s="4" t="s">
        <v>39</v>
      </c>
      <c r="C6107" s="5">
        <v>45313</v>
      </c>
      <c r="D6107" s="4">
        <v>8</v>
      </c>
      <c r="E6107" s="4">
        <v>2.79</v>
      </c>
    </row>
    <row r="6108" spans="1:5" x14ac:dyDescent="0.25">
      <c r="A6108" s="4" t="s">
        <v>53</v>
      </c>
      <c r="B6108" s="4" t="s">
        <v>39</v>
      </c>
      <c r="C6108" s="5">
        <v>45313</v>
      </c>
      <c r="D6108" s="4">
        <v>10.1</v>
      </c>
      <c r="E6108" s="4">
        <v>3.52</v>
      </c>
    </row>
    <row r="6109" spans="1:5" x14ac:dyDescent="0.25">
      <c r="A6109" s="4" t="s">
        <v>53</v>
      </c>
      <c r="B6109" s="4" t="s">
        <v>39</v>
      </c>
      <c r="C6109" s="5">
        <v>45313</v>
      </c>
      <c r="D6109" s="4">
        <v>1.3</v>
      </c>
      <c r="E6109" s="4">
        <v>0.45</v>
      </c>
    </row>
    <row r="6110" spans="1:5" x14ac:dyDescent="0.25">
      <c r="A6110" s="4" t="s">
        <v>53</v>
      </c>
      <c r="B6110" s="4" t="s">
        <v>39</v>
      </c>
      <c r="C6110" s="5">
        <v>45313</v>
      </c>
      <c r="D6110" s="4">
        <v>22.8</v>
      </c>
      <c r="E6110" s="4">
        <v>7.93</v>
      </c>
    </row>
    <row r="6111" spans="1:5" x14ac:dyDescent="0.25">
      <c r="A6111" s="4" t="s">
        <v>53</v>
      </c>
      <c r="B6111" s="4" t="s">
        <v>39</v>
      </c>
      <c r="C6111" s="5">
        <v>45313</v>
      </c>
      <c r="D6111" s="4">
        <v>15.4</v>
      </c>
      <c r="E6111" s="4">
        <v>5.35</v>
      </c>
    </row>
    <row r="6112" spans="1:5" x14ac:dyDescent="0.25">
      <c r="A6112" s="4" t="s">
        <v>53</v>
      </c>
      <c r="B6112" s="4" t="s">
        <v>39</v>
      </c>
      <c r="C6112" s="5">
        <v>45313</v>
      </c>
      <c r="D6112" s="4">
        <v>0.4</v>
      </c>
      <c r="E6112" s="4">
        <v>0.14000000000000001</v>
      </c>
    </row>
    <row r="6113" spans="1:5" x14ac:dyDescent="0.25">
      <c r="A6113" s="4" t="s">
        <v>53</v>
      </c>
      <c r="B6113" s="4" t="s">
        <v>39</v>
      </c>
      <c r="C6113" s="5">
        <v>45313</v>
      </c>
      <c r="D6113" s="4">
        <v>10.1</v>
      </c>
      <c r="E6113" s="4">
        <v>3.52</v>
      </c>
    </row>
    <row r="6114" spans="1:5" x14ac:dyDescent="0.25">
      <c r="A6114" s="4" t="s">
        <v>53</v>
      </c>
      <c r="B6114" s="4" t="s">
        <v>39</v>
      </c>
      <c r="C6114" s="5">
        <v>45313</v>
      </c>
      <c r="D6114" s="4">
        <v>1.3</v>
      </c>
      <c r="E6114" s="4">
        <v>0.45</v>
      </c>
    </row>
    <row r="6115" spans="1:5" x14ac:dyDescent="0.25">
      <c r="A6115" s="4" t="s">
        <v>53</v>
      </c>
      <c r="B6115" s="4" t="s">
        <v>39</v>
      </c>
      <c r="C6115" s="5">
        <v>45313</v>
      </c>
      <c r="D6115" s="4">
        <v>7.4</v>
      </c>
      <c r="E6115" s="4">
        <v>2.58</v>
      </c>
    </row>
    <row r="6116" spans="1:5" x14ac:dyDescent="0.25">
      <c r="A6116" s="4" t="s">
        <v>53</v>
      </c>
      <c r="B6116" s="4" t="s">
        <v>39</v>
      </c>
      <c r="C6116" s="5">
        <v>45313</v>
      </c>
      <c r="D6116" s="4">
        <v>0.4</v>
      </c>
      <c r="E6116" s="4">
        <v>0.14000000000000001</v>
      </c>
    </row>
    <row r="6117" spans="1:5" x14ac:dyDescent="0.25">
      <c r="A6117" s="4" t="s">
        <v>53</v>
      </c>
      <c r="B6117" s="4" t="s">
        <v>39</v>
      </c>
      <c r="C6117" s="5">
        <v>45313</v>
      </c>
      <c r="D6117" s="4">
        <v>1.3</v>
      </c>
      <c r="E6117" s="4">
        <v>0.45</v>
      </c>
    </row>
    <row r="6118" spans="1:5" x14ac:dyDescent="0.25">
      <c r="A6118" s="4" t="s">
        <v>53</v>
      </c>
      <c r="B6118" s="4" t="s">
        <v>39</v>
      </c>
      <c r="C6118" s="5">
        <v>45313</v>
      </c>
      <c r="D6118" s="4">
        <v>7.4</v>
      </c>
      <c r="E6118" s="4">
        <v>2.58</v>
      </c>
    </row>
    <row r="6119" spans="1:5" x14ac:dyDescent="0.25">
      <c r="A6119" s="4" t="s">
        <v>53</v>
      </c>
      <c r="B6119" s="4" t="s">
        <v>39</v>
      </c>
      <c r="C6119" s="5">
        <v>45317</v>
      </c>
      <c r="D6119" s="4">
        <v>56</v>
      </c>
      <c r="E6119" s="4">
        <v>19.510000000000002</v>
      </c>
    </row>
    <row r="6120" spans="1:5" x14ac:dyDescent="0.25">
      <c r="A6120" s="4" t="s">
        <v>53</v>
      </c>
      <c r="B6120" s="4" t="s">
        <v>39</v>
      </c>
      <c r="C6120" s="5">
        <v>45317</v>
      </c>
      <c r="D6120" s="4">
        <v>9.6</v>
      </c>
      <c r="E6120" s="4">
        <v>3.33</v>
      </c>
    </row>
    <row r="6121" spans="1:5" x14ac:dyDescent="0.25">
      <c r="A6121" s="4" t="s">
        <v>53</v>
      </c>
      <c r="B6121" s="4" t="s">
        <v>39</v>
      </c>
      <c r="C6121" s="5">
        <v>45317</v>
      </c>
      <c r="D6121" s="4">
        <v>6.8</v>
      </c>
      <c r="E6121" s="4">
        <v>2.36</v>
      </c>
    </row>
    <row r="6122" spans="1:5" x14ac:dyDescent="0.25">
      <c r="A6122" s="4" t="s">
        <v>53</v>
      </c>
      <c r="B6122" s="4" t="s">
        <v>39</v>
      </c>
      <c r="C6122" s="5">
        <v>45317</v>
      </c>
      <c r="D6122" s="4">
        <v>6.8</v>
      </c>
      <c r="E6122" s="4">
        <v>2.36</v>
      </c>
    </row>
    <row r="6123" spans="1:5" x14ac:dyDescent="0.25">
      <c r="A6123" s="4" t="s">
        <v>53</v>
      </c>
      <c r="B6123" s="4" t="s">
        <v>39</v>
      </c>
      <c r="C6123" s="5">
        <v>45317</v>
      </c>
      <c r="D6123" s="4">
        <v>48.8</v>
      </c>
      <c r="E6123" s="4">
        <v>17</v>
      </c>
    </row>
    <row r="6124" spans="1:5" x14ac:dyDescent="0.25">
      <c r="A6124" s="4" t="s">
        <v>53</v>
      </c>
      <c r="B6124" s="4" t="s">
        <v>39</v>
      </c>
      <c r="C6124" s="5">
        <v>45317</v>
      </c>
      <c r="D6124" s="4">
        <v>22.6</v>
      </c>
      <c r="E6124" s="4">
        <v>7.88</v>
      </c>
    </row>
    <row r="6125" spans="1:5" x14ac:dyDescent="0.25">
      <c r="A6125" s="4" t="s">
        <v>53</v>
      </c>
      <c r="B6125" s="4" t="s">
        <v>39</v>
      </c>
      <c r="C6125" s="5">
        <v>45317</v>
      </c>
      <c r="D6125" s="4">
        <v>22.6</v>
      </c>
      <c r="E6125" s="4">
        <v>7.88</v>
      </c>
    </row>
    <row r="6126" spans="1:5" x14ac:dyDescent="0.25">
      <c r="A6126" s="4" t="s">
        <v>53</v>
      </c>
      <c r="B6126" s="4" t="s">
        <v>39</v>
      </c>
      <c r="C6126" s="5">
        <v>45317</v>
      </c>
      <c r="D6126" s="4">
        <v>22.6</v>
      </c>
      <c r="E6126" s="4">
        <v>7.88</v>
      </c>
    </row>
    <row r="6127" spans="1:5" x14ac:dyDescent="0.25">
      <c r="A6127" s="4" t="s">
        <v>53</v>
      </c>
      <c r="B6127" s="4" t="s">
        <v>39</v>
      </c>
      <c r="C6127" s="5">
        <v>45317</v>
      </c>
      <c r="D6127" s="4">
        <v>22.6</v>
      </c>
      <c r="E6127" s="4">
        <v>7.88</v>
      </c>
    </row>
    <row r="6128" spans="1:5" x14ac:dyDescent="0.25">
      <c r="A6128" s="4" t="s">
        <v>53</v>
      </c>
      <c r="B6128" s="4" t="s">
        <v>39</v>
      </c>
      <c r="C6128" s="5">
        <v>45320</v>
      </c>
      <c r="D6128" s="4">
        <v>15.4</v>
      </c>
      <c r="E6128" s="4">
        <v>5.35</v>
      </c>
    </row>
    <row r="6129" spans="1:5" x14ac:dyDescent="0.25">
      <c r="A6129" s="4" t="s">
        <v>53</v>
      </c>
      <c r="B6129" s="4" t="s">
        <v>39</v>
      </c>
      <c r="C6129" s="5">
        <v>45320</v>
      </c>
      <c r="D6129" s="4">
        <v>32.5</v>
      </c>
      <c r="E6129" s="4">
        <v>11.33</v>
      </c>
    </row>
    <row r="6130" spans="1:5" x14ac:dyDescent="0.25">
      <c r="A6130" s="4" t="s">
        <v>53</v>
      </c>
      <c r="B6130" s="4" t="s">
        <v>39</v>
      </c>
      <c r="C6130" s="5">
        <v>45320</v>
      </c>
      <c r="D6130" s="4">
        <v>16.7</v>
      </c>
      <c r="E6130" s="4">
        <v>5.74</v>
      </c>
    </row>
    <row r="6131" spans="1:5" x14ac:dyDescent="0.25">
      <c r="A6131" s="4" t="s">
        <v>53</v>
      </c>
      <c r="B6131" s="4" t="s">
        <v>39</v>
      </c>
      <c r="C6131" s="5">
        <v>45320</v>
      </c>
      <c r="D6131" s="4">
        <v>3.1</v>
      </c>
      <c r="E6131" s="4">
        <v>1.07</v>
      </c>
    </row>
    <row r="6132" spans="1:5" x14ac:dyDescent="0.25">
      <c r="A6132" s="4" t="s">
        <v>53</v>
      </c>
      <c r="B6132" s="4" t="s">
        <v>39</v>
      </c>
      <c r="C6132" s="5">
        <v>45320</v>
      </c>
      <c r="D6132" s="4">
        <v>0.2</v>
      </c>
      <c r="E6132" s="4">
        <v>7.0000000000000007E-2</v>
      </c>
    </row>
    <row r="6133" spans="1:5" x14ac:dyDescent="0.25">
      <c r="A6133" s="4" t="s">
        <v>53</v>
      </c>
      <c r="B6133" s="4" t="s">
        <v>39</v>
      </c>
      <c r="C6133" s="5">
        <v>45320</v>
      </c>
      <c r="D6133" s="4">
        <v>3.1</v>
      </c>
      <c r="E6133" s="4">
        <v>1.07</v>
      </c>
    </row>
    <row r="6134" spans="1:5" x14ac:dyDescent="0.25">
      <c r="A6134" s="4" t="s">
        <v>53</v>
      </c>
      <c r="B6134" s="4" t="s">
        <v>39</v>
      </c>
      <c r="C6134" s="5">
        <v>45320</v>
      </c>
      <c r="D6134" s="4">
        <v>3.1</v>
      </c>
      <c r="E6134" s="4">
        <v>1.07</v>
      </c>
    </row>
    <row r="6135" spans="1:5" x14ac:dyDescent="0.25">
      <c r="A6135" s="4" t="s">
        <v>53</v>
      </c>
      <c r="B6135" s="4" t="s">
        <v>39</v>
      </c>
      <c r="C6135" s="5">
        <v>45320</v>
      </c>
      <c r="D6135" s="4">
        <v>3.1</v>
      </c>
      <c r="E6135" s="4">
        <v>1.07</v>
      </c>
    </row>
    <row r="6136" spans="1:5" x14ac:dyDescent="0.25">
      <c r="A6136" s="4" t="s">
        <v>53</v>
      </c>
      <c r="B6136" s="4" t="s">
        <v>39</v>
      </c>
      <c r="C6136" s="5">
        <v>45320</v>
      </c>
      <c r="D6136" s="4">
        <v>43.9</v>
      </c>
      <c r="E6136" s="4">
        <v>15.22</v>
      </c>
    </row>
    <row r="6137" spans="1:5" x14ac:dyDescent="0.25">
      <c r="A6137" s="4" t="s">
        <v>53</v>
      </c>
      <c r="B6137" s="4" t="s">
        <v>39</v>
      </c>
      <c r="C6137" s="5">
        <v>45320</v>
      </c>
      <c r="D6137" s="4">
        <v>16.7</v>
      </c>
      <c r="E6137" s="4">
        <v>5.74</v>
      </c>
    </row>
    <row r="6138" spans="1:5" x14ac:dyDescent="0.25">
      <c r="A6138" s="4" t="s">
        <v>53</v>
      </c>
      <c r="B6138" s="4" t="s">
        <v>39</v>
      </c>
      <c r="C6138" s="5">
        <v>45321</v>
      </c>
      <c r="D6138" s="4">
        <v>16</v>
      </c>
      <c r="E6138" s="4">
        <v>5.58</v>
      </c>
    </row>
    <row r="6139" spans="1:5" x14ac:dyDescent="0.25">
      <c r="A6139" s="4" t="s">
        <v>53</v>
      </c>
      <c r="B6139" s="4" t="s">
        <v>39</v>
      </c>
      <c r="C6139" s="5">
        <v>45321</v>
      </c>
      <c r="D6139" s="4">
        <v>16</v>
      </c>
      <c r="E6139" s="4">
        <v>5.58</v>
      </c>
    </row>
    <row r="6140" spans="1:5" x14ac:dyDescent="0.25">
      <c r="A6140" s="4" t="s">
        <v>53</v>
      </c>
      <c r="B6140" s="4" t="s">
        <v>39</v>
      </c>
      <c r="C6140" s="5">
        <v>45321</v>
      </c>
      <c r="D6140" s="4">
        <v>16</v>
      </c>
      <c r="E6140" s="4">
        <v>5.58</v>
      </c>
    </row>
    <row r="6141" spans="1:5" x14ac:dyDescent="0.25">
      <c r="A6141" s="4" t="s">
        <v>53</v>
      </c>
      <c r="B6141" s="4" t="s">
        <v>39</v>
      </c>
      <c r="C6141" s="5">
        <v>45321</v>
      </c>
      <c r="D6141" s="4">
        <v>16</v>
      </c>
      <c r="E6141" s="4">
        <v>5.58</v>
      </c>
    </row>
    <row r="6142" spans="1:5" x14ac:dyDescent="0.25">
      <c r="A6142" s="4" t="s">
        <v>53</v>
      </c>
      <c r="B6142" s="4" t="s">
        <v>39</v>
      </c>
      <c r="C6142" s="5">
        <v>45321</v>
      </c>
      <c r="D6142" s="4">
        <v>16</v>
      </c>
      <c r="E6142" s="4">
        <v>5.58</v>
      </c>
    </row>
    <row r="6143" spans="1:5" x14ac:dyDescent="0.25">
      <c r="A6143" s="4" t="s">
        <v>53</v>
      </c>
      <c r="B6143" s="4" t="s">
        <v>39</v>
      </c>
      <c r="C6143" s="5">
        <v>45321</v>
      </c>
      <c r="D6143" s="4">
        <v>16</v>
      </c>
      <c r="E6143" s="4">
        <v>5.58</v>
      </c>
    </row>
    <row r="6144" spans="1:5" x14ac:dyDescent="0.25">
      <c r="A6144" s="4" t="s">
        <v>53</v>
      </c>
      <c r="B6144" s="4" t="s">
        <v>39</v>
      </c>
      <c r="C6144" s="5">
        <v>45321</v>
      </c>
      <c r="D6144" s="4">
        <v>16</v>
      </c>
      <c r="E6144" s="4">
        <v>5.58</v>
      </c>
    </row>
    <row r="6145" spans="1:5" x14ac:dyDescent="0.25">
      <c r="A6145" s="4" t="s">
        <v>53</v>
      </c>
      <c r="B6145" s="4" t="s">
        <v>39</v>
      </c>
      <c r="C6145" s="5">
        <v>45321</v>
      </c>
      <c r="D6145" s="4">
        <v>16</v>
      </c>
      <c r="E6145" s="4">
        <v>5.58</v>
      </c>
    </row>
    <row r="6146" spans="1:5" x14ac:dyDescent="0.25">
      <c r="A6146" s="4" t="s">
        <v>53</v>
      </c>
      <c r="B6146" s="4" t="s">
        <v>39</v>
      </c>
      <c r="C6146" s="5">
        <v>45321</v>
      </c>
      <c r="D6146" s="4">
        <v>16</v>
      </c>
      <c r="E6146" s="4">
        <v>5.58</v>
      </c>
    </row>
    <row r="6147" spans="1:5" x14ac:dyDescent="0.25">
      <c r="A6147" s="4" t="s">
        <v>53</v>
      </c>
      <c r="B6147" s="4" t="s">
        <v>39</v>
      </c>
      <c r="C6147" s="5">
        <v>45321</v>
      </c>
      <c r="D6147" s="4">
        <v>29.1</v>
      </c>
      <c r="E6147" s="4">
        <v>10.14</v>
      </c>
    </row>
    <row r="6148" spans="1:5" x14ac:dyDescent="0.25">
      <c r="A6148" s="4" t="s">
        <v>53</v>
      </c>
      <c r="B6148" s="4" t="s">
        <v>39</v>
      </c>
      <c r="C6148" s="5">
        <v>45322</v>
      </c>
      <c r="D6148" s="4">
        <v>16</v>
      </c>
      <c r="E6148" s="4">
        <v>5.58</v>
      </c>
    </row>
    <row r="6149" spans="1:5" x14ac:dyDescent="0.25">
      <c r="A6149" s="4" t="s">
        <v>53</v>
      </c>
      <c r="B6149" s="4" t="s">
        <v>39</v>
      </c>
      <c r="C6149" s="5">
        <v>45322</v>
      </c>
      <c r="D6149" s="4">
        <v>16</v>
      </c>
      <c r="E6149" s="4">
        <v>5.58</v>
      </c>
    </row>
    <row r="6150" spans="1:5" x14ac:dyDescent="0.25">
      <c r="A6150" s="4" t="s">
        <v>53</v>
      </c>
      <c r="B6150" s="4" t="s">
        <v>39</v>
      </c>
      <c r="C6150" s="5">
        <v>45322</v>
      </c>
      <c r="D6150" s="4">
        <v>16</v>
      </c>
      <c r="E6150" s="4">
        <v>5.58</v>
      </c>
    </row>
    <row r="6151" spans="1:5" x14ac:dyDescent="0.25">
      <c r="A6151" s="4" t="s">
        <v>53</v>
      </c>
      <c r="B6151" s="4" t="s">
        <v>39</v>
      </c>
      <c r="C6151" s="5">
        <v>45322</v>
      </c>
      <c r="D6151" s="4">
        <v>16</v>
      </c>
      <c r="E6151" s="4">
        <v>5.58</v>
      </c>
    </row>
    <row r="6152" spans="1:5" x14ac:dyDescent="0.25">
      <c r="A6152" s="4" t="s">
        <v>53</v>
      </c>
      <c r="B6152" s="4" t="s">
        <v>39</v>
      </c>
      <c r="C6152" s="5">
        <v>45322</v>
      </c>
      <c r="D6152" s="4">
        <v>16</v>
      </c>
      <c r="E6152" s="4">
        <v>5.58</v>
      </c>
    </row>
    <row r="6153" spans="1:5" x14ac:dyDescent="0.25">
      <c r="A6153" s="4" t="s">
        <v>53</v>
      </c>
      <c r="B6153" s="4" t="s">
        <v>39</v>
      </c>
      <c r="C6153" s="5">
        <v>45322</v>
      </c>
      <c r="D6153" s="4">
        <v>16</v>
      </c>
      <c r="E6153" s="4">
        <v>5.58</v>
      </c>
    </row>
    <row r="6154" spans="1:5" x14ac:dyDescent="0.25">
      <c r="A6154" s="4" t="s">
        <v>53</v>
      </c>
      <c r="B6154" s="4" t="s">
        <v>39</v>
      </c>
      <c r="C6154" s="5">
        <v>45322</v>
      </c>
      <c r="D6154" s="4">
        <v>16</v>
      </c>
      <c r="E6154" s="4">
        <v>5.58</v>
      </c>
    </row>
    <row r="6155" spans="1:5" x14ac:dyDescent="0.25">
      <c r="A6155" s="4" t="s">
        <v>53</v>
      </c>
      <c r="B6155" s="4" t="s">
        <v>39</v>
      </c>
      <c r="C6155" s="5">
        <v>45322</v>
      </c>
      <c r="D6155" s="4">
        <v>16</v>
      </c>
      <c r="E6155" s="4">
        <v>5.58</v>
      </c>
    </row>
    <row r="6156" spans="1:5" x14ac:dyDescent="0.25">
      <c r="A6156" s="4" t="s">
        <v>53</v>
      </c>
      <c r="B6156" s="4" t="s">
        <v>39</v>
      </c>
      <c r="C6156" s="5">
        <v>45322</v>
      </c>
      <c r="D6156" s="4">
        <v>16</v>
      </c>
      <c r="E6156" s="4">
        <v>5.58</v>
      </c>
    </row>
    <row r="6157" spans="1:5" x14ac:dyDescent="0.25">
      <c r="A6157" s="4" t="s">
        <v>53</v>
      </c>
      <c r="B6157" s="4" t="s">
        <v>39</v>
      </c>
      <c r="C6157" s="5">
        <v>45322</v>
      </c>
      <c r="D6157" s="4">
        <v>29.1</v>
      </c>
      <c r="E6157" s="4">
        <v>10.14</v>
      </c>
    </row>
    <row r="6158" spans="1:5" x14ac:dyDescent="0.25">
      <c r="A6158" s="4" t="s">
        <v>53</v>
      </c>
      <c r="B6158" s="4" t="s">
        <v>39</v>
      </c>
      <c r="C6158" s="5">
        <v>45323</v>
      </c>
      <c r="D6158" s="4">
        <v>28.4</v>
      </c>
      <c r="E6158" s="4">
        <v>9.9</v>
      </c>
    </row>
    <row r="6159" spans="1:5" x14ac:dyDescent="0.25">
      <c r="A6159" s="4" t="s">
        <v>53</v>
      </c>
      <c r="B6159" s="4" t="s">
        <v>39</v>
      </c>
      <c r="C6159" s="5">
        <v>45323</v>
      </c>
      <c r="D6159" s="4">
        <v>7.5</v>
      </c>
      <c r="E6159" s="4">
        <v>2.6</v>
      </c>
    </row>
    <row r="6160" spans="1:5" x14ac:dyDescent="0.25">
      <c r="A6160" s="4" t="s">
        <v>53</v>
      </c>
      <c r="B6160" s="4" t="s">
        <v>39</v>
      </c>
      <c r="C6160" s="5">
        <v>45323</v>
      </c>
      <c r="D6160" s="4">
        <v>7.5</v>
      </c>
      <c r="E6160" s="4">
        <v>2.6</v>
      </c>
    </row>
    <row r="6161" spans="1:5" x14ac:dyDescent="0.25">
      <c r="A6161" s="4" t="s">
        <v>53</v>
      </c>
      <c r="B6161" s="4" t="s">
        <v>39</v>
      </c>
      <c r="C6161" s="5">
        <v>45323</v>
      </c>
      <c r="D6161" s="4">
        <v>7.5</v>
      </c>
      <c r="E6161" s="4">
        <v>2.6</v>
      </c>
    </row>
    <row r="6162" spans="1:5" x14ac:dyDescent="0.25">
      <c r="A6162" s="4" t="s">
        <v>53</v>
      </c>
      <c r="B6162" s="4" t="s">
        <v>39</v>
      </c>
      <c r="C6162" s="5">
        <v>45323</v>
      </c>
      <c r="D6162" s="4">
        <v>7.5</v>
      </c>
      <c r="E6162" s="4">
        <v>2.6</v>
      </c>
    </row>
    <row r="6163" spans="1:5" x14ac:dyDescent="0.25">
      <c r="A6163" s="4" t="s">
        <v>53</v>
      </c>
      <c r="B6163" s="4" t="s">
        <v>39</v>
      </c>
      <c r="C6163" s="5">
        <v>45323</v>
      </c>
      <c r="D6163" s="4">
        <v>7.5</v>
      </c>
      <c r="E6163" s="4">
        <v>2.6</v>
      </c>
    </row>
    <row r="6164" spans="1:5" x14ac:dyDescent="0.25">
      <c r="A6164" s="4" t="s">
        <v>53</v>
      </c>
      <c r="B6164" s="4" t="s">
        <v>39</v>
      </c>
      <c r="C6164" s="5">
        <v>45323</v>
      </c>
      <c r="D6164" s="4">
        <v>7.5</v>
      </c>
      <c r="E6164" s="4">
        <v>2.6</v>
      </c>
    </row>
    <row r="6165" spans="1:5" x14ac:dyDescent="0.25">
      <c r="A6165" s="4" t="s">
        <v>53</v>
      </c>
      <c r="B6165" s="4" t="s">
        <v>39</v>
      </c>
      <c r="C6165" s="5">
        <v>45323</v>
      </c>
      <c r="D6165" s="4">
        <v>7.5</v>
      </c>
      <c r="E6165" s="4">
        <v>2.6</v>
      </c>
    </row>
    <row r="6166" spans="1:5" x14ac:dyDescent="0.25">
      <c r="A6166" s="4" t="s">
        <v>53</v>
      </c>
      <c r="B6166" s="4" t="s">
        <v>39</v>
      </c>
      <c r="C6166" s="5">
        <v>45323</v>
      </c>
      <c r="D6166" s="4">
        <v>7.5</v>
      </c>
      <c r="E6166" s="4">
        <v>2.6</v>
      </c>
    </row>
    <row r="6167" spans="1:5" x14ac:dyDescent="0.25">
      <c r="A6167" s="4" t="s">
        <v>53</v>
      </c>
      <c r="B6167" s="4" t="s">
        <v>39</v>
      </c>
      <c r="C6167" s="5">
        <v>45323</v>
      </c>
      <c r="D6167" s="4">
        <v>2.1</v>
      </c>
      <c r="E6167" s="4">
        <v>0.72</v>
      </c>
    </row>
    <row r="6168" spans="1:5" x14ac:dyDescent="0.25">
      <c r="A6168" s="4" t="s">
        <v>53</v>
      </c>
      <c r="B6168" s="4" t="s">
        <v>39</v>
      </c>
      <c r="C6168" s="5">
        <v>45323</v>
      </c>
      <c r="D6168" s="4">
        <v>1</v>
      </c>
      <c r="E6168" s="4">
        <v>0.34</v>
      </c>
    </row>
    <row r="6169" spans="1:5" x14ac:dyDescent="0.25">
      <c r="A6169" s="4" t="s">
        <v>53</v>
      </c>
      <c r="B6169" s="4" t="s">
        <v>39</v>
      </c>
      <c r="C6169" s="5">
        <v>45323</v>
      </c>
      <c r="D6169" s="4">
        <v>0.2</v>
      </c>
      <c r="E6169" s="4">
        <v>7.0000000000000007E-2</v>
      </c>
    </row>
    <row r="6170" spans="1:5" x14ac:dyDescent="0.25">
      <c r="A6170" s="4" t="s">
        <v>53</v>
      </c>
      <c r="B6170" s="4" t="s">
        <v>39</v>
      </c>
      <c r="C6170" s="5">
        <v>45323</v>
      </c>
      <c r="D6170" s="4">
        <v>13.8</v>
      </c>
      <c r="E6170" s="4">
        <v>4.8099999999999996</v>
      </c>
    </row>
    <row r="6171" spans="1:5" x14ac:dyDescent="0.25">
      <c r="A6171" s="4" t="s">
        <v>53</v>
      </c>
      <c r="B6171" s="4" t="s">
        <v>39</v>
      </c>
      <c r="C6171" s="5">
        <v>45324</v>
      </c>
      <c r="D6171" s="4">
        <v>15.4</v>
      </c>
      <c r="E6171" s="4">
        <v>5.35</v>
      </c>
    </row>
    <row r="6172" spans="1:5" x14ac:dyDescent="0.25">
      <c r="A6172" s="4" t="s">
        <v>53</v>
      </c>
      <c r="B6172" s="4" t="s">
        <v>39</v>
      </c>
      <c r="C6172" s="5">
        <v>45324</v>
      </c>
      <c r="D6172" s="4">
        <v>39.200000000000003</v>
      </c>
      <c r="E6172" s="4">
        <v>13.65</v>
      </c>
    </row>
    <row r="6173" spans="1:5" x14ac:dyDescent="0.25">
      <c r="A6173" s="4" t="s">
        <v>53</v>
      </c>
      <c r="B6173" s="4" t="s">
        <v>39</v>
      </c>
      <c r="C6173" s="5">
        <v>45324</v>
      </c>
      <c r="D6173" s="4">
        <v>16</v>
      </c>
      <c r="E6173" s="4">
        <v>5.55</v>
      </c>
    </row>
    <row r="6174" spans="1:5" x14ac:dyDescent="0.25">
      <c r="A6174" s="4" t="s">
        <v>53</v>
      </c>
      <c r="B6174" s="4" t="s">
        <v>39</v>
      </c>
      <c r="C6174" s="5">
        <v>45324</v>
      </c>
      <c r="D6174" s="4">
        <v>16</v>
      </c>
      <c r="E6174" s="4">
        <v>5.55</v>
      </c>
    </row>
    <row r="6175" spans="1:5" x14ac:dyDescent="0.25">
      <c r="A6175" s="4" t="s">
        <v>53</v>
      </c>
      <c r="B6175" s="4" t="s">
        <v>39</v>
      </c>
      <c r="C6175" s="5">
        <v>45324</v>
      </c>
      <c r="D6175" s="4">
        <v>14.9</v>
      </c>
      <c r="E6175" s="4">
        <v>5.17</v>
      </c>
    </row>
    <row r="6176" spans="1:5" x14ac:dyDescent="0.25">
      <c r="A6176" s="4" t="s">
        <v>53</v>
      </c>
      <c r="B6176" s="4" t="s">
        <v>39</v>
      </c>
      <c r="C6176" s="5">
        <v>45324</v>
      </c>
      <c r="D6176" s="4">
        <v>16</v>
      </c>
      <c r="E6176" s="4">
        <v>5.55</v>
      </c>
    </row>
    <row r="6177" spans="1:5" x14ac:dyDescent="0.25">
      <c r="A6177" s="4" t="s">
        <v>53</v>
      </c>
      <c r="B6177" s="4" t="s">
        <v>39</v>
      </c>
      <c r="C6177" s="5">
        <v>45324</v>
      </c>
      <c r="D6177" s="4">
        <v>41</v>
      </c>
      <c r="E6177" s="4">
        <v>14.28</v>
      </c>
    </row>
    <row r="6178" spans="1:5" x14ac:dyDescent="0.25">
      <c r="A6178" s="4" t="s">
        <v>53</v>
      </c>
      <c r="B6178" s="4" t="s">
        <v>39</v>
      </c>
      <c r="C6178" s="5">
        <v>45327</v>
      </c>
      <c r="D6178" s="4">
        <v>1.2</v>
      </c>
      <c r="E6178" s="4">
        <v>0.41</v>
      </c>
    </row>
    <row r="6179" spans="1:5" x14ac:dyDescent="0.25">
      <c r="A6179" s="4" t="s">
        <v>53</v>
      </c>
      <c r="B6179" s="4" t="s">
        <v>39</v>
      </c>
      <c r="C6179" s="5">
        <v>45327</v>
      </c>
      <c r="D6179" s="4">
        <v>0.9</v>
      </c>
      <c r="E6179" s="4">
        <v>0.31</v>
      </c>
    </row>
    <row r="6180" spans="1:5" x14ac:dyDescent="0.25">
      <c r="A6180" s="4" t="s">
        <v>53</v>
      </c>
      <c r="B6180" s="4" t="s">
        <v>39</v>
      </c>
      <c r="C6180" s="5">
        <v>45327</v>
      </c>
      <c r="D6180" s="4">
        <v>1.2</v>
      </c>
      <c r="E6180" s="4">
        <v>0.41</v>
      </c>
    </row>
    <row r="6181" spans="1:5" x14ac:dyDescent="0.25">
      <c r="A6181" s="4" t="s">
        <v>53</v>
      </c>
      <c r="B6181" s="4" t="s">
        <v>39</v>
      </c>
      <c r="C6181" s="5">
        <v>45327</v>
      </c>
      <c r="D6181" s="4">
        <v>0.9</v>
      </c>
      <c r="E6181" s="4">
        <v>0.31</v>
      </c>
    </row>
    <row r="6182" spans="1:5" x14ac:dyDescent="0.25">
      <c r="A6182" s="4" t="s">
        <v>53</v>
      </c>
      <c r="B6182" s="4" t="s">
        <v>39</v>
      </c>
      <c r="C6182" s="5">
        <v>45327</v>
      </c>
      <c r="D6182" s="4">
        <v>15.4</v>
      </c>
      <c r="E6182" s="4">
        <v>5.35</v>
      </c>
    </row>
    <row r="6183" spans="1:5" x14ac:dyDescent="0.25">
      <c r="A6183" s="4" t="s">
        <v>53</v>
      </c>
      <c r="B6183" s="4" t="s">
        <v>39</v>
      </c>
      <c r="C6183" s="5">
        <v>45327</v>
      </c>
      <c r="D6183" s="4">
        <v>19</v>
      </c>
      <c r="E6183" s="4">
        <v>6.58</v>
      </c>
    </row>
    <row r="6184" spans="1:5" x14ac:dyDescent="0.25">
      <c r="A6184" s="4" t="s">
        <v>53</v>
      </c>
      <c r="B6184" s="4" t="s">
        <v>39</v>
      </c>
      <c r="C6184" s="5">
        <v>45327</v>
      </c>
      <c r="D6184" s="4">
        <v>16.3</v>
      </c>
      <c r="E6184" s="4">
        <v>5.67</v>
      </c>
    </row>
    <row r="6185" spans="1:5" x14ac:dyDescent="0.25">
      <c r="A6185" s="4" t="s">
        <v>53</v>
      </c>
      <c r="B6185" s="4" t="s">
        <v>39</v>
      </c>
      <c r="C6185" s="5">
        <v>45327</v>
      </c>
      <c r="D6185" s="4">
        <v>18.100000000000001</v>
      </c>
      <c r="E6185" s="4">
        <v>6.31</v>
      </c>
    </row>
    <row r="6186" spans="1:5" x14ac:dyDescent="0.25">
      <c r="A6186" s="4" t="s">
        <v>53</v>
      </c>
      <c r="B6186" s="4" t="s">
        <v>39</v>
      </c>
      <c r="C6186" s="5">
        <v>45327</v>
      </c>
      <c r="D6186" s="4">
        <v>9.1999999999999993</v>
      </c>
      <c r="E6186" s="4">
        <v>3.2</v>
      </c>
    </row>
    <row r="6187" spans="1:5" x14ac:dyDescent="0.25">
      <c r="A6187" s="4" t="s">
        <v>53</v>
      </c>
      <c r="B6187" s="4" t="s">
        <v>39</v>
      </c>
      <c r="C6187" s="5">
        <v>45327</v>
      </c>
      <c r="D6187" s="4">
        <v>15.4</v>
      </c>
      <c r="E6187" s="4">
        <v>5.35</v>
      </c>
    </row>
    <row r="6188" spans="1:5" x14ac:dyDescent="0.25">
      <c r="A6188" s="4" t="s">
        <v>53</v>
      </c>
      <c r="B6188" s="4" t="s">
        <v>39</v>
      </c>
      <c r="C6188" s="5">
        <v>45328</v>
      </c>
      <c r="D6188" s="4">
        <v>15.4</v>
      </c>
      <c r="E6188" s="4">
        <v>5.35</v>
      </c>
    </row>
    <row r="6189" spans="1:5" x14ac:dyDescent="0.25">
      <c r="A6189" s="4" t="s">
        <v>53</v>
      </c>
      <c r="B6189" s="4" t="s">
        <v>39</v>
      </c>
      <c r="C6189" s="5">
        <v>45328</v>
      </c>
      <c r="D6189" s="4">
        <v>32.5</v>
      </c>
      <c r="E6189" s="4">
        <v>11.33</v>
      </c>
    </row>
    <row r="6190" spans="1:5" x14ac:dyDescent="0.25">
      <c r="A6190" s="4" t="s">
        <v>53</v>
      </c>
      <c r="B6190" s="4" t="s">
        <v>39</v>
      </c>
      <c r="C6190" s="5">
        <v>45328</v>
      </c>
      <c r="D6190" s="4">
        <v>6.2</v>
      </c>
      <c r="E6190" s="4">
        <v>2.13</v>
      </c>
    </row>
    <row r="6191" spans="1:5" x14ac:dyDescent="0.25">
      <c r="A6191" s="4" t="s">
        <v>53</v>
      </c>
      <c r="B6191" s="4" t="s">
        <v>39</v>
      </c>
      <c r="C6191" s="5">
        <v>45328</v>
      </c>
      <c r="D6191" s="4">
        <v>44.3</v>
      </c>
      <c r="E6191" s="4">
        <v>15.37</v>
      </c>
    </row>
    <row r="6192" spans="1:5" x14ac:dyDescent="0.25">
      <c r="A6192" s="4" t="s">
        <v>53</v>
      </c>
      <c r="B6192" s="4" t="s">
        <v>39</v>
      </c>
      <c r="C6192" s="5">
        <v>45328</v>
      </c>
      <c r="D6192" s="4">
        <v>28.9</v>
      </c>
      <c r="E6192" s="4">
        <v>10.08</v>
      </c>
    </row>
    <row r="6193" spans="1:5" x14ac:dyDescent="0.25">
      <c r="A6193" s="4" t="s">
        <v>53</v>
      </c>
      <c r="B6193" s="4" t="s">
        <v>39</v>
      </c>
      <c r="C6193" s="5">
        <v>45328</v>
      </c>
      <c r="D6193" s="4">
        <v>6.2</v>
      </c>
      <c r="E6193" s="4">
        <v>2.13</v>
      </c>
    </row>
    <row r="6194" spans="1:5" x14ac:dyDescent="0.25">
      <c r="A6194" s="4" t="s">
        <v>53</v>
      </c>
      <c r="B6194" s="4" t="s">
        <v>39</v>
      </c>
      <c r="C6194" s="5">
        <v>45328</v>
      </c>
      <c r="D6194" s="4">
        <v>2.9</v>
      </c>
      <c r="E6194" s="4">
        <v>1.01</v>
      </c>
    </row>
    <row r="6195" spans="1:5" x14ac:dyDescent="0.25">
      <c r="A6195" s="4" t="s">
        <v>53</v>
      </c>
      <c r="B6195" s="4" t="s">
        <v>39</v>
      </c>
      <c r="C6195" s="5">
        <v>45328</v>
      </c>
      <c r="D6195" s="4">
        <v>2.4</v>
      </c>
      <c r="E6195" s="4">
        <v>0.84</v>
      </c>
    </row>
    <row r="6196" spans="1:5" x14ac:dyDescent="0.25">
      <c r="A6196" s="4" t="s">
        <v>53</v>
      </c>
      <c r="B6196" s="4" t="s">
        <v>39</v>
      </c>
      <c r="C6196" s="5">
        <v>45328</v>
      </c>
      <c r="D6196" s="4">
        <v>28.8</v>
      </c>
      <c r="E6196" s="4">
        <v>10.039999999999999</v>
      </c>
    </row>
    <row r="6197" spans="1:5" x14ac:dyDescent="0.25">
      <c r="A6197" s="4" t="s">
        <v>53</v>
      </c>
      <c r="B6197" s="4" t="s">
        <v>39</v>
      </c>
      <c r="C6197" s="5">
        <v>45328</v>
      </c>
      <c r="D6197" s="4">
        <v>28.8</v>
      </c>
      <c r="E6197" s="4">
        <v>10.039999999999999</v>
      </c>
    </row>
    <row r="6198" spans="1:5" x14ac:dyDescent="0.25">
      <c r="A6198" s="4" t="s">
        <v>53</v>
      </c>
      <c r="B6198" s="4" t="s">
        <v>39</v>
      </c>
      <c r="C6198" s="5">
        <v>45328</v>
      </c>
      <c r="D6198" s="4">
        <v>28.8</v>
      </c>
      <c r="E6198" s="4">
        <v>10.039999999999999</v>
      </c>
    </row>
    <row r="6199" spans="1:5" x14ac:dyDescent="0.25">
      <c r="A6199" s="4" t="s">
        <v>53</v>
      </c>
      <c r="B6199" s="4" t="s">
        <v>39</v>
      </c>
      <c r="C6199" s="5">
        <v>45328</v>
      </c>
      <c r="D6199" s="4">
        <v>28.8</v>
      </c>
      <c r="E6199" s="4">
        <v>10.039999999999999</v>
      </c>
    </row>
    <row r="6200" spans="1:5" x14ac:dyDescent="0.25">
      <c r="A6200" s="4" t="s">
        <v>53</v>
      </c>
      <c r="B6200" s="4" t="s">
        <v>39</v>
      </c>
      <c r="C6200" s="5">
        <v>45328</v>
      </c>
      <c r="D6200" s="4">
        <v>30.6</v>
      </c>
      <c r="E6200" s="4">
        <v>10.67</v>
      </c>
    </row>
    <row r="6201" spans="1:5" x14ac:dyDescent="0.25">
      <c r="A6201" s="4" t="s">
        <v>53</v>
      </c>
      <c r="B6201" s="4" t="s">
        <v>39</v>
      </c>
      <c r="C6201" s="5">
        <v>45329</v>
      </c>
      <c r="D6201" s="4">
        <v>1.2</v>
      </c>
      <c r="E6201" s="4">
        <v>0.41</v>
      </c>
    </row>
    <row r="6202" spans="1:5" x14ac:dyDescent="0.25">
      <c r="A6202" s="4" t="s">
        <v>53</v>
      </c>
      <c r="B6202" s="4" t="s">
        <v>39</v>
      </c>
      <c r="C6202" s="5">
        <v>45329</v>
      </c>
      <c r="D6202" s="4">
        <v>0.9</v>
      </c>
      <c r="E6202" s="4">
        <v>0.31</v>
      </c>
    </row>
    <row r="6203" spans="1:5" x14ac:dyDescent="0.25">
      <c r="A6203" s="4" t="s">
        <v>53</v>
      </c>
      <c r="B6203" s="4" t="s">
        <v>39</v>
      </c>
      <c r="C6203" s="5">
        <v>45329</v>
      </c>
      <c r="D6203" s="4">
        <v>1.2</v>
      </c>
      <c r="E6203" s="4">
        <v>0.41</v>
      </c>
    </row>
    <row r="6204" spans="1:5" x14ac:dyDescent="0.25">
      <c r="A6204" s="4" t="s">
        <v>53</v>
      </c>
      <c r="B6204" s="4" t="s">
        <v>39</v>
      </c>
      <c r="C6204" s="5">
        <v>45329</v>
      </c>
      <c r="D6204" s="4">
        <v>0.4</v>
      </c>
      <c r="E6204" s="4">
        <v>0.14000000000000001</v>
      </c>
    </row>
    <row r="6205" spans="1:5" x14ac:dyDescent="0.25">
      <c r="A6205" s="4" t="s">
        <v>53</v>
      </c>
      <c r="B6205" s="4" t="s">
        <v>39</v>
      </c>
      <c r="C6205" s="5">
        <v>45329</v>
      </c>
      <c r="D6205" s="4">
        <v>1</v>
      </c>
      <c r="E6205" s="4">
        <v>0.34</v>
      </c>
    </row>
    <row r="6206" spans="1:5" x14ac:dyDescent="0.25">
      <c r="A6206" s="4" t="s">
        <v>53</v>
      </c>
      <c r="B6206" s="4" t="s">
        <v>39</v>
      </c>
      <c r="C6206" s="5">
        <v>45329</v>
      </c>
      <c r="D6206" s="4">
        <v>1</v>
      </c>
      <c r="E6206" s="4">
        <v>0.34</v>
      </c>
    </row>
    <row r="6207" spans="1:5" x14ac:dyDescent="0.25">
      <c r="A6207" s="4" t="s">
        <v>53</v>
      </c>
      <c r="B6207" s="4" t="s">
        <v>39</v>
      </c>
      <c r="C6207" s="5">
        <v>45329</v>
      </c>
      <c r="D6207" s="4">
        <v>0.9</v>
      </c>
      <c r="E6207" s="4">
        <v>0.31</v>
      </c>
    </row>
    <row r="6208" spans="1:5" x14ac:dyDescent="0.25">
      <c r="A6208" s="4" t="s">
        <v>53</v>
      </c>
      <c r="B6208" s="4" t="s">
        <v>39</v>
      </c>
      <c r="C6208" s="5">
        <v>45329</v>
      </c>
      <c r="D6208" s="4">
        <v>32.5</v>
      </c>
      <c r="E6208" s="4">
        <v>11.33</v>
      </c>
    </row>
    <row r="6209" spans="1:5" x14ac:dyDescent="0.25">
      <c r="A6209" s="4" t="s">
        <v>53</v>
      </c>
      <c r="B6209" s="4" t="s">
        <v>39</v>
      </c>
      <c r="C6209" s="5">
        <v>45329</v>
      </c>
      <c r="D6209" s="4">
        <v>6.2</v>
      </c>
      <c r="E6209" s="4">
        <v>2.13</v>
      </c>
    </row>
    <row r="6210" spans="1:5" x14ac:dyDescent="0.25">
      <c r="A6210" s="4" t="s">
        <v>53</v>
      </c>
      <c r="B6210" s="4" t="s">
        <v>39</v>
      </c>
      <c r="C6210" s="5">
        <v>45329</v>
      </c>
      <c r="D6210" s="4">
        <v>1</v>
      </c>
      <c r="E6210" s="4">
        <v>0.34</v>
      </c>
    </row>
    <row r="6211" spans="1:5" x14ac:dyDescent="0.25">
      <c r="A6211" s="4" t="s">
        <v>53</v>
      </c>
      <c r="B6211" s="4" t="s">
        <v>39</v>
      </c>
      <c r="C6211" s="5">
        <v>45329</v>
      </c>
      <c r="D6211" s="4">
        <v>43.3</v>
      </c>
      <c r="E6211" s="4">
        <v>15.03</v>
      </c>
    </row>
    <row r="6212" spans="1:5" x14ac:dyDescent="0.25">
      <c r="A6212" s="4" t="s">
        <v>53</v>
      </c>
      <c r="B6212" s="4" t="s">
        <v>39</v>
      </c>
      <c r="C6212" s="5">
        <v>45329</v>
      </c>
      <c r="D6212" s="4">
        <v>32.5</v>
      </c>
      <c r="E6212" s="4">
        <v>11.33</v>
      </c>
    </row>
    <row r="6213" spans="1:5" x14ac:dyDescent="0.25">
      <c r="A6213" s="4" t="s">
        <v>53</v>
      </c>
      <c r="B6213" s="4" t="s">
        <v>39</v>
      </c>
      <c r="C6213" s="5">
        <v>45329</v>
      </c>
      <c r="D6213" s="4">
        <v>6.2</v>
      </c>
      <c r="E6213" s="4">
        <v>2.13</v>
      </c>
    </row>
    <row r="6214" spans="1:5" x14ac:dyDescent="0.25">
      <c r="A6214" s="4" t="s">
        <v>53</v>
      </c>
      <c r="B6214" s="4" t="s">
        <v>39</v>
      </c>
      <c r="C6214" s="5">
        <v>45329</v>
      </c>
      <c r="D6214" s="4">
        <v>28.9</v>
      </c>
      <c r="E6214" s="4">
        <v>10.02</v>
      </c>
    </row>
    <row r="6215" spans="1:5" x14ac:dyDescent="0.25">
      <c r="A6215" s="4" t="s">
        <v>53</v>
      </c>
      <c r="B6215" s="4" t="s">
        <v>39</v>
      </c>
      <c r="C6215" s="5">
        <v>45330</v>
      </c>
      <c r="D6215" s="4">
        <v>41.3</v>
      </c>
      <c r="E6215" s="4">
        <v>14.36</v>
      </c>
    </row>
    <row r="6216" spans="1:5" x14ac:dyDescent="0.25">
      <c r="A6216" s="4" t="s">
        <v>53</v>
      </c>
      <c r="B6216" s="4" t="s">
        <v>39</v>
      </c>
      <c r="C6216" s="5">
        <v>45330</v>
      </c>
      <c r="D6216" s="4">
        <v>17.3</v>
      </c>
      <c r="E6216" s="4">
        <v>6.03</v>
      </c>
    </row>
    <row r="6217" spans="1:5" x14ac:dyDescent="0.25">
      <c r="A6217" s="4" t="s">
        <v>53</v>
      </c>
      <c r="B6217" s="4" t="s">
        <v>39</v>
      </c>
      <c r="C6217" s="5">
        <v>45330</v>
      </c>
      <c r="D6217" s="4">
        <v>17.3</v>
      </c>
      <c r="E6217" s="4">
        <v>6.03</v>
      </c>
    </row>
    <row r="6218" spans="1:5" x14ac:dyDescent="0.25">
      <c r="A6218" s="4" t="s">
        <v>53</v>
      </c>
      <c r="B6218" s="4" t="s">
        <v>39</v>
      </c>
      <c r="C6218" s="5">
        <v>45330</v>
      </c>
      <c r="D6218" s="4">
        <v>67.5</v>
      </c>
      <c r="E6218" s="4">
        <v>23.48</v>
      </c>
    </row>
    <row r="6219" spans="1:5" x14ac:dyDescent="0.25">
      <c r="A6219" s="4" t="s">
        <v>53</v>
      </c>
      <c r="B6219" s="4" t="s">
        <v>39</v>
      </c>
      <c r="C6219" s="5">
        <v>45330</v>
      </c>
      <c r="D6219" s="4">
        <v>78.7</v>
      </c>
      <c r="E6219" s="4">
        <v>27.38</v>
      </c>
    </row>
    <row r="6220" spans="1:5" x14ac:dyDescent="0.25">
      <c r="A6220" s="4" t="s">
        <v>53</v>
      </c>
      <c r="B6220" s="4" t="s">
        <v>39</v>
      </c>
      <c r="C6220" s="5">
        <v>45330</v>
      </c>
      <c r="D6220" s="4">
        <v>17.3</v>
      </c>
      <c r="E6220" s="4">
        <v>6.03</v>
      </c>
    </row>
    <row r="6221" spans="1:5" x14ac:dyDescent="0.25">
      <c r="A6221" s="4" t="s">
        <v>53</v>
      </c>
      <c r="B6221" s="4" t="s">
        <v>39</v>
      </c>
      <c r="C6221" s="5">
        <v>45330</v>
      </c>
      <c r="D6221" s="4">
        <v>17.3</v>
      </c>
      <c r="E6221" s="4">
        <v>6.03</v>
      </c>
    </row>
    <row r="6222" spans="1:5" x14ac:dyDescent="0.25">
      <c r="A6222" s="4" t="s">
        <v>53</v>
      </c>
      <c r="B6222" s="4" t="s">
        <v>39</v>
      </c>
      <c r="C6222" s="5">
        <v>45330</v>
      </c>
      <c r="D6222" s="4">
        <v>67.5</v>
      </c>
      <c r="E6222" s="4">
        <v>23.48</v>
      </c>
    </row>
    <row r="6223" spans="1:5" x14ac:dyDescent="0.25">
      <c r="A6223" s="4" t="s">
        <v>53</v>
      </c>
      <c r="B6223" s="4" t="s">
        <v>39</v>
      </c>
      <c r="C6223" s="5">
        <v>45330</v>
      </c>
      <c r="D6223" s="4">
        <v>29.9</v>
      </c>
      <c r="E6223" s="4">
        <v>10.36</v>
      </c>
    </row>
    <row r="6224" spans="1:5" x14ac:dyDescent="0.25">
      <c r="A6224" s="4" t="s">
        <v>53</v>
      </c>
      <c r="B6224" s="4" t="s">
        <v>39</v>
      </c>
      <c r="C6224" s="5">
        <v>45331</v>
      </c>
      <c r="D6224" s="4">
        <v>28.9</v>
      </c>
      <c r="E6224" s="4">
        <v>10.02</v>
      </c>
    </row>
    <row r="6225" spans="1:5" x14ac:dyDescent="0.25">
      <c r="A6225" s="4" t="s">
        <v>53</v>
      </c>
      <c r="B6225" s="4" t="s">
        <v>39</v>
      </c>
      <c r="C6225" s="5">
        <v>45331</v>
      </c>
      <c r="D6225" s="4">
        <v>17.2</v>
      </c>
      <c r="E6225" s="4">
        <v>5.94</v>
      </c>
    </row>
    <row r="6226" spans="1:5" x14ac:dyDescent="0.25">
      <c r="A6226" s="4" t="s">
        <v>53</v>
      </c>
      <c r="B6226" s="4" t="s">
        <v>39</v>
      </c>
      <c r="C6226" s="5">
        <v>45331</v>
      </c>
      <c r="D6226" s="4">
        <v>17.2</v>
      </c>
      <c r="E6226" s="4">
        <v>5.94</v>
      </c>
    </row>
    <row r="6227" spans="1:5" x14ac:dyDescent="0.25">
      <c r="A6227" s="4" t="s">
        <v>53</v>
      </c>
      <c r="B6227" s="4" t="s">
        <v>39</v>
      </c>
      <c r="C6227" s="5">
        <v>45331</v>
      </c>
      <c r="D6227" s="4">
        <v>17.2</v>
      </c>
      <c r="E6227" s="4">
        <v>5.94</v>
      </c>
    </row>
    <row r="6228" spans="1:5" x14ac:dyDescent="0.25">
      <c r="A6228" s="4" t="s">
        <v>53</v>
      </c>
      <c r="B6228" s="4" t="s">
        <v>39</v>
      </c>
      <c r="C6228" s="5">
        <v>45331</v>
      </c>
      <c r="D6228" s="4">
        <v>43</v>
      </c>
      <c r="E6228" s="4">
        <v>14.96</v>
      </c>
    </row>
    <row r="6229" spans="1:5" x14ac:dyDescent="0.25">
      <c r="A6229" s="4" t="s">
        <v>53</v>
      </c>
      <c r="B6229" s="4" t="s">
        <v>39</v>
      </c>
      <c r="C6229" s="5">
        <v>45334</v>
      </c>
      <c r="D6229" s="4">
        <v>30.6</v>
      </c>
      <c r="E6229" s="4">
        <v>10.67</v>
      </c>
    </row>
    <row r="6230" spans="1:5" x14ac:dyDescent="0.25">
      <c r="A6230" s="4" t="s">
        <v>53</v>
      </c>
      <c r="B6230" s="4" t="s">
        <v>39</v>
      </c>
      <c r="C6230" s="5">
        <v>45334</v>
      </c>
      <c r="D6230" s="4">
        <v>12.4</v>
      </c>
      <c r="E6230" s="4">
        <v>4.28</v>
      </c>
    </row>
    <row r="6231" spans="1:5" x14ac:dyDescent="0.25">
      <c r="A6231" s="4" t="s">
        <v>53</v>
      </c>
      <c r="B6231" s="4" t="s">
        <v>39</v>
      </c>
      <c r="C6231" s="5">
        <v>45334</v>
      </c>
      <c r="D6231" s="4">
        <v>17.5</v>
      </c>
      <c r="E6231" s="4">
        <v>6.05</v>
      </c>
    </row>
    <row r="6232" spans="1:5" x14ac:dyDescent="0.25">
      <c r="A6232" s="4" t="s">
        <v>53</v>
      </c>
      <c r="B6232" s="4" t="s">
        <v>39</v>
      </c>
      <c r="C6232" s="5">
        <v>45334</v>
      </c>
      <c r="D6232" s="4">
        <v>17.5</v>
      </c>
      <c r="E6232" s="4">
        <v>6.05</v>
      </c>
    </row>
    <row r="6233" spans="1:5" x14ac:dyDescent="0.25">
      <c r="A6233" s="4" t="s">
        <v>53</v>
      </c>
      <c r="B6233" s="4" t="s">
        <v>39</v>
      </c>
      <c r="C6233" s="5">
        <v>45334</v>
      </c>
      <c r="D6233" s="4">
        <v>17.5</v>
      </c>
      <c r="E6233" s="4">
        <v>6.05</v>
      </c>
    </row>
    <row r="6234" spans="1:5" x14ac:dyDescent="0.25">
      <c r="A6234" s="4" t="s">
        <v>53</v>
      </c>
      <c r="B6234" s="4" t="s">
        <v>39</v>
      </c>
      <c r="C6234" s="5">
        <v>45334</v>
      </c>
      <c r="D6234" s="4">
        <v>17.5</v>
      </c>
      <c r="E6234" s="4">
        <v>6.05</v>
      </c>
    </row>
    <row r="6235" spans="1:5" x14ac:dyDescent="0.25">
      <c r="A6235" s="4" t="s">
        <v>53</v>
      </c>
      <c r="B6235" s="4" t="s">
        <v>39</v>
      </c>
      <c r="C6235" s="5">
        <v>45334</v>
      </c>
      <c r="D6235" s="4">
        <v>11.3</v>
      </c>
      <c r="E6235" s="4">
        <v>3.9</v>
      </c>
    </row>
    <row r="6236" spans="1:5" x14ac:dyDescent="0.25">
      <c r="A6236" s="4" t="s">
        <v>53</v>
      </c>
      <c r="B6236" s="4" t="s">
        <v>39</v>
      </c>
      <c r="C6236" s="5">
        <v>45334</v>
      </c>
      <c r="D6236" s="4">
        <v>6.2</v>
      </c>
      <c r="E6236" s="4">
        <v>2.15</v>
      </c>
    </row>
    <row r="6237" spans="1:5" x14ac:dyDescent="0.25">
      <c r="A6237" s="4" t="s">
        <v>53</v>
      </c>
      <c r="B6237" s="4" t="s">
        <v>39</v>
      </c>
      <c r="C6237" s="5">
        <v>45334</v>
      </c>
      <c r="D6237" s="4">
        <v>17.5</v>
      </c>
      <c r="E6237" s="4">
        <v>6.05</v>
      </c>
    </row>
    <row r="6238" spans="1:5" x14ac:dyDescent="0.25">
      <c r="A6238" s="4" t="s">
        <v>53</v>
      </c>
      <c r="B6238" s="4" t="s">
        <v>39</v>
      </c>
      <c r="C6238" s="5">
        <v>45334</v>
      </c>
      <c r="D6238" s="4">
        <v>17.5</v>
      </c>
      <c r="E6238" s="4">
        <v>6.05</v>
      </c>
    </row>
    <row r="6239" spans="1:5" x14ac:dyDescent="0.25">
      <c r="A6239" s="4" t="s">
        <v>53</v>
      </c>
      <c r="B6239" s="4" t="s">
        <v>39</v>
      </c>
      <c r="C6239" s="5">
        <v>45334</v>
      </c>
      <c r="D6239" s="4">
        <v>17.5</v>
      </c>
      <c r="E6239" s="4">
        <v>6.05</v>
      </c>
    </row>
    <row r="6240" spans="1:5" x14ac:dyDescent="0.25">
      <c r="A6240" s="4" t="s">
        <v>53</v>
      </c>
      <c r="B6240" s="4" t="s">
        <v>39</v>
      </c>
      <c r="C6240" s="5">
        <v>45334</v>
      </c>
      <c r="D6240" s="4">
        <v>17.5</v>
      </c>
      <c r="E6240" s="4">
        <v>6.05</v>
      </c>
    </row>
    <row r="6241" spans="1:5" x14ac:dyDescent="0.25">
      <c r="A6241" s="4" t="s">
        <v>53</v>
      </c>
      <c r="B6241" s="4" t="s">
        <v>39</v>
      </c>
      <c r="C6241" s="5">
        <v>45335</v>
      </c>
      <c r="D6241" s="4">
        <v>17.5</v>
      </c>
      <c r="E6241" s="4">
        <v>6.05</v>
      </c>
    </row>
    <row r="6242" spans="1:5" x14ac:dyDescent="0.25">
      <c r="A6242" s="4" t="s">
        <v>53</v>
      </c>
      <c r="B6242" s="4" t="s">
        <v>39</v>
      </c>
      <c r="C6242" s="5">
        <v>45335</v>
      </c>
      <c r="D6242" s="4">
        <v>17.5</v>
      </c>
      <c r="E6242" s="4">
        <v>6.05</v>
      </c>
    </row>
    <row r="6243" spans="1:5" x14ac:dyDescent="0.25">
      <c r="A6243" s="4" t="s">
        <v>53</v>
      </c>
      <c r="B6243" s="4" t="s">
        <v>39</v>
      </c>
      <c r="C6243" s="5">
        <v>45335</v>
      </c>
      <c r="D6243" s="4">
        <v>17.5</v>
      </c>
      <c r="E6243" s="4">
        <v>6.05</v>
      </c>
    </row>
    <row r="6244" spans="1:5" x14ac:dyDescent="0.25">
      <c r="A6244" s="4" t="s">
        <v>53</v>
      </c>
      <c r="B6244" s="4" t="s">
        <v>39</v>
      </c>
      <c r="C6244" s="5">
        <v>45335</v>
      </c>
      <c r="D6244" s="4">
        <v>17.5</v>
      </c>
      <c r="E6244" s="4">
        <v>6.05</v>
      </c>
    </row>
    <row r="6245" spans="1:5" x14ac:dyDescent="0.25">
      <c r="A6245" s="4" t="s">
        <v>53</v>
      </c>
      <c r="B6245" s="4" t="s">
        <v>39</v>
      </c>
      <c r="C6245" s="5">
        <v>45335</v>
      </c>
      <c r="D6245" s="4">
        <v>17.5</v>
      </c>
      <c r="E6245" s="4">
        <v>6.05</v>
      </c>
    </row>
    <row r="6246" spans="1:5" x14ac:dyDescent="0.25">
      <c r="A6246" s="4" t="s">
        <v>53</v>
      </c>
      <c r="B6246" s="4" t="s">
        <v>39</v>
      </c>
      <c r="C6246" s="5">
        <v>45335</v>
      </c>
      <c r="D6246" s="4">
        <v>17.5</v>
      </c>
      <c r="E6246" s="4">
        <v>6.05</v>
      </c>
    </row>
    <row r="6247" spans="1:5" x14ac:dyDescent="0.25">
      <c r="A6247" s="4" t="s">
        <v>53</v>
      </c>
      <c r="B6247" s="4" t="s">
        <v>39</v>
      </c>
      <c r="C6247" s="5">
        <v>45335</v>
      </c>
      <c r="D6247" s="4">
        <v>17.5</v>
      </c>
      <c r="E6247" s="4">
        <v>6.05</v>
      </c>
    </row>
    <row r="6248" spans="1:5" x14ac:dyDescent="0.25">
      <c r="A6248" s="4" t="s">
        <v>53</v>
      </c>
      <c r="B6248" s="4" t="s">
        <v>39</v>
      </c>
      <c r="C6248" s="5">
        <v>45335</v>
      </c>
      <c r="D6248" s="4">
        <v>17.5</v>
      </c>
      <c r="E6248" s="4">
        <v>6.05</v>
      </c>
    </row>
    <row r="6249" spans="1:5" x14ac:dyDescent="0.25">
      <c r="A6249" s="4" t="s">
        <v>53</v>
      </c>
      <c r="B6249" s="4" t="s">
        <v>39</v>
      </c>
      <c r="C6249" s="5">
        <v>45335</v>
      </c>
      <c r="D6249" s="4">
        <v>17.5</v>
      </c>
      <c r="E6249" s="4">
        <v>6.05</v>
      </c>
    </row>
    <row r="6250" spans="1:5" x14ac:dyDescent="0.25">
      <c r="A6250" s="4" t="s">
        <v>53</v>
      </c>
      <c r="B6250" s="4" t="s">
        <v>39</v>
      </c>
      <c r="C6250" s="5">
        <v>45335</v>
      </c>
      <c r="D6250" s="4">
        <v>17.5</v>
      </c>
      <c r="E6250" s="4">
        <v>6.05</v>
      </c>
    </row>
    <row r="6251" spans="1:5" x14ac:dyDescent="0.25">
      <c r="A6251" s="4" t="s">
        <v>53</v>
      </c>
      <c r="B6251" s="4" t="s">
        <v>39</v>
      </c>
      <c r="C6251" s="5">
        <v>45336</v>
      </c>
      <c r="D6251" s="4">
        <v>12.4</v>
      </c>
      <c r="E6251" s="4">
        <v>4.28</v>
      </c>
    </row>
    <row r="6252" spans="1:5" x14ac:dyDescent="0.25">
      <c r="A6252" s="4" t="s">
        <v>53</v>
      </c>
      <c r="B6252" s="4" t="s">
        <v>39</v>
      </c>
      <c r="C6252" s="5">
        <v>45336</v>
      </c>
      <c r="D6252" s="4">
        <v>17.5</v>
      </c>
      <c r="E6252" s="4">
        <v>6.05</v>
      </c>
    </row>
    <row r="6253" spans="1:5" x14ac:dyDescent="0.25">
      <c r="A6253" s="4" t="s">
        <v>53</v>
      </c>
      <c r="B6253" s="4" t="s">
        <v>39</v>
      </c>
      <c r="C6253" s="5">
        <v>45336</v>
      </c>
      <c r="D6253" s="4">
        <v>12.4</v>
      </c>
      <c r="E6253" s="4">
        <v>4.28</v>
      </c>
    </row>
    <row r="6254" spans="1:5" x14ac:dyDescent="0.25">
      <c r="A6254" s="4" t="s">
        <v>53</v>
      </c>
      <c r="B6254" s="4" t="s">
        <v>39</v>
      </c>
      <c r="C6254" s="5">
        <v>45336</v>
      </c>
      <c r="D6254" s="4">
        <v>3.3</v>
      </c>
      <c r="E6254" s="4">
        <v>1.1499999999999999</v>
      </c>
    </row>
    <row r="6255" spans="1:5" x14ac:dyDescent="0.25">
      <c r="A6255" s="4" t="s">
        <v>53</v>
      </c>
      <c r="B6255" s="4" t="s">
        <v>39</v>
      </c>
      <c r="C6255" s="5">
        <v>45336</v>
      </c>
      <c r="D6255" s="4">
        <v>21.3</v>
      </c>
      <c r="E6255" s="4">
        <v>7.41</v>
      </c>
    </row>
    <row r="6256" spans="1:5" x14ac:dyDescent="0.25">
      <c r="A6256" s="4" t="s">
        <v>53</v>
      </c>
      <c r="B6256" s="4" t="s">
        <v>39</v>
      </c>
      <c r="C6256" s="5">
        <v>45336</v>
      </c>
      <c r="D6256" s="4">
        <v>17.5</v>
      </c>
      <c r="E6256" s="4">
        <v>6.05</v>
      </c>
    </row>
    <row r="6257" spans="1:5" x14ac:dyDescent="0.25">
      <c r="A6257" s="4" t="s">
        <v>53</v>
      </c>
      <c r="B6257" s="4" t="s">
        <v>39</v>
      </c>
      <c r="C6257" s="5">
        <v>45336</v>
      </c>
      <c r="D6257" s="4">
        <v>17.5</v>
      </c>
      <c r="E6257" s="4">
        <v>6.05</v>
      </c>
    </row>
    <row r="6258" spans="1:5" x14ac:dyDescent="0.25">
      <c r="A6258" s="4" t="s">
        <v>53</v>
      </c>
      <c r="B6258" s="4" t="s">
        <v>39</v>
      </c>
      <c r="C6258" s="5">
        <v>45337</v>
      </c>
      <c r="D6258" s="4">
        <v>17.5</v>
      </c>
      <c r="E6258" s="4">
        <v>6.05</v>
      </c>
    </row>
    <row r="6259" spans="1:5" x14ac:dyDescent="0.25">
      <c r="A6259" s="4" t="s">
        <v>53</v>
      </c>
      <c r="B6259" s="4" t="s">
        <v>39</v>
      </c>
      <c r="C6259" s="5">
        <v>45337</v>
      </c>
      <c r="D6259" s="4">
        <v>17.5</v>
      </c>
      <c r="E6259" s="4">
        <v>6.05</v>
      </c>
    </row>
    <row r="6260" spans="1:5" x14ac:dyDescent="0.25">
      <c r="A6260" s="4" t="s">
        <v>53</v>
      </c>
      <c r="B6260" s="4" t="s">
        <v>39</v>
      </c>
      <c r="C6260" s="5">
        <v>45337</v>
      </c>
      <c r="D6260" s="4">
        <v>17.5</v>
      </c>
      <c r="E6260" s="4">
        <v>6.05</v>
      </c>
    </row>
    <row r="6261" spans="1:5" x14ac:dyDescent="0.25">
      <c r="A6261" s="4" t="s">
        <v>53</v>
      </c>
      <c r="B6261" s="4" t="s">
        <v>39</v>
      </c>
      <c r="C6261" s="5">
        <v>45337</v>
      </c>
      <c r="D6261" s="4">
        <v>17.5</v>
      </c>
      <c r="E6261" s="4">
        <v>6.05</v>
      </c>
    </row>
    <row r="6262" spans="1:5" x14ac:dyDescent="0.25">
      <c r="A6262" s="4" t="s">
        <v>53</v>
      </c>
      <c r="B6262" s="4" t="s">
        <v>39</v>
      </c>
      <c r="C6262" s="5">
        <v>45337</v>
      </c>
      <c r="D6262" s="4">
        <v>17.5</v>
      </c>
      <c r="E6262" s="4">
        <v>6.05</v>
      </c>
    </row>
    <row r="6263" spans="1:5" x14ac:dyDescent="0.25">
      <c r="A6263" s="4" t="s">
        <v>53</v>
      </c>
      <c r="B6263" s="4" t="s">
        <v>39</v>
      </c>
      <c r="C6263" s="5">
        <v>45337</v>
      </c>
      <c r="D6263" s="4">
        <v>17.5</v>
      </c>
      <c r="E6263" s="4">
        <v>6.05</v>
      </c>
    </row>
    <row r="6264" spans="1:5" x14ac:dyDescent="0.25">
      <c r="A6264" s="4" t="s">
        <v>53</v>
      </c>
      <c r="B6264" s="4" t="s">
        <v>39</v>
      </c>
      <c r="C6264" s="5">
        <v>45337</v>
      </c>
      <c r="D6264" s="4">
        <v>17.5</v>
      </c>
      <c r="E6264" s="4">
        <v>6.05</v>
      </c>
    </row>
    <row r="6265" spans="1:5" x14ac:dyDescent="0.25">
      <c r="A6265" s="4" t="s">
        <v>53</v>
      </c>
      <c r="B6265" s="4" t="s">
        <v>39</v>
      </c>
      <c r="C6265" s="5">
        <v>45337</v>
      </c>
      <c r="D6265" s="4">
        <v>17.5</v>
      </c>
      <c r="E6265" s="4">
        <v>6.05</v>
      </c>
    </row>
    <row r="6266" spans="1:5" x14ac:dyDescent="0.25">
      <c r="A6266" s="4" t="s">
        <v>53</v>
      </c>
      <c r="B6266" s="4" t="s">
        <v>40</v>
      </c>
      <c r="C6266" s="5">
        <v>45307</v>
      </c>
      <c r="D6266" s="4">
        <v>15.4</v>
      </c>
      <c r="E6266" s="4">
        <v>5.35</v>
      </c>
    </row>
    <row r="6267" spans="1:5" x14ac:dyDescent="0.25">
      <c r="A6267" s="4" t="s">
        <v>53</v>
      </c>
      <c r="B6267" s="4" t="s">
        <v>40</v>
      </c>
      <c r="C6267" s="5">
        <v>45307</v>
      </c>
      <c r="D6267" s="4">
        <v>31.3</v>
      </c>
      <c r="E6267" s="4">
        <v>10.86</v>
      </c>
    </row>
    <row r="6268" spans="1:5" x14ac:dyDescent="0.25">
      <c r="A6268" s="4" t="s">
        <v>53</v>
      </c>
      <c r="B6268" s="4" t="s">
        <v>40</v>
      </c>
      <c r="C6268" s="5">
        <v>45307</v>
      </c>
      <c r="D6268" s="4">
        <v>29.4</v>
      </c>
      <c r="E6268" s="4">
        <v>10.220000000000001</v>
      </c>
    </row>
    <row r="6269" spans="1:5" x14ac:dyDescent="0.25">
      <c r="A6269" s="4" t="s">
        <v>53</v>
      </c>
      <c r="B6269" s="4" t="s">
        <v>40</v>
      </c>
      <c r="C6269" s="5">
        <v>45307</v>
      </c>
      <c r="D6269" s="4">
        <v>48.7</v>
      </c>
      <c r="E6269" s="4">
        <v>16.93</v>
      </c>
    </row>
    <row r="6270" spans="1:5" x14ac:dyDescent="0.25">
      <c r="A6270" s="4" t="s">
        <v>53</v>
      </c>
      <c r="B6270" s="4" t="s">
        <v>40</v>
      </c>
      <c r="C6270" s="5">
        <v>45307</v>
      </c>
      <c r="D6270" s="4">
        <v>29.4</v>
      </c>
      <c r="E6270" s="4">
        <v>10.220000000000001</v>
      </c>
    </row>
    <row r="6271" spans="1:5" x14ac:dyDescent="0.25">
      <c r="A6271" s="4" t="s">
        <v>53</v>
      </c>
      <c r="B6271" s="4" t="s">
        <v>40</v>
      </c>
      <c r="C6271" s="5">
        <v>45307</v>
      </c>
      <c r="D6271" s="4">
        <v>48.7</v>
      </c>
      <c r="E6271" s="4">
        <v>16.93</v>
      </c>
    </row>
    <row r="6272" spans="1:5" x14ac:dyDescent="0.25">
      <c r="A6272" s="4" t="s">
        <v>53</v>
      </c>
      <c r="B6272" s="4" t="s">
        <v>40</v>
      </c>
      <c r="C6272" s="5">
        <v>45307</v>
      </c>
      <c r="D6272" s="4">
        <v>30.5</v>
      </c>
      <c r="E6272" s="4">
        <v>10.59</v>
      </c>
    </row>
    <row r="6273" spans="1:5" x14ac:dyDescent="0.25">
      <c r="A6273" s="4" t="s">
        <v>53</v>
      </c>
      <c r="B6273" s="4" t="s">
        <v>40</v>
      </c>
      <c r="C6273" s="5">
        <v>45307</v>
      </c>
      <c r="D6273" s="4">
        <v>44.4</v>
      </c>
      <c r="E6273" s="4">
        <v>15.46</v>
      </c>
    </row>
    <row r="6274" spans="1:5" x14ac:dyDescent="0.25">
      <c r="A6274" s="4" t="s">
        <v>53</v>
      </c>
      <c r="B6274" s="4" t="s">
        <v>40</v>
      </c>
      <c r="C6274" s="5">
        <v>45308</v>
      </c>
      <c r="D6274" s="4">
        <v>15.9</v>
      </c>
      <c r="E6274" s="4">
        <v>5.51</v>
      </c>
    </row>
    <row r="6275" spans="1:5" x14ac:dyDescent="0.25">
      <c r="A6275" s="4" t="s">
        <v>53</v>
      </c>
      <c r="B6275" s="4" t="s">
        <v>40</v>
      </c>
      <c r="C6275" s="5">
        <v>45308</v>
      </c>
      <c r="D6275" s="4">
        <v>30.5</v>
      </c>
      <c r="E6275" s="4">
        <v>10.59</v>
      </c>
    </row>
    <row r="6276" spans="1:5" x14ac:dyDescent="0.25">
      <c r="A6276" s="4" t="s">
        <v>53</v>
      </c>
      <c r="B6276" s="4" t="s">
        <v>40</v>
      </c>
      <c r="C6276" s="5">
        <v>45308</v>
      </c>
      <c r="D6276" s="4">
        <v>48.7</v>
      </c>
      <c r="E6276" s="4">
        <v>16.93</v>
      </c>
    </row>
    <row r="6277" spans="1:5" x14ac:dyDescent="0.25">
      <c r="A6277" s="4" t="s">
        <v>53</v>
      </c>
      <c r="B6277" s="4" t="s">
        <v>40</v>
      </c>
      <c r="C6277" s="5">
        <v>45308</v>
      </c>
      <c r="D6277" s="4">
        <v>29.4</v>
      </c>
      <c r="E6277" s="4">
        <v>10.220000000000001</v>
      </c>
    </row>
    <row r="6278" spans="1:5" x14ac:dyDescent="0.25">
      <c r="A6278" s="4" t="s">
        <v>53</v>
      </c>
      <c r="B6278" s="4" t="s">
        <v>40</v>
      </c>
      <c r="C6278" s="5">
        <v>45308</v>
      </c>
      <c r="D6278" s="4">
        <v>48.7</v>
      </c>
      <c r="E6278" s="4">
        <v>16.93</v>
      </c>
    </row>
    <row r="6279" spans="1:5" x14ac:dyDescent="0.25">
      <c r="A6279" s="4" t="s">
        <v>53</v>
      </c>
      <c r="B6279" s="4" t="s">
        <v>40</v>
      </c>
      <c r="C6279" s="5">
        <v>45308</v>
      </c>
      <c r="D6279" s="4">
        <v>30.5</v>
      </c>
      <c r="E6279" s="4">
        <v>10.59</v>
      </c>
    </row>
    <row r="6280" spans="1:5" x14ac:dyDescent="0.25">
      <c r="A6280" s="4" t="s">
        <v>53</v>
      </c>
      <c r="B6280" s="4" t="s">
        <v>40</v>
      </c>
      <c r="C6280" s="5">
        <v>45308</v>
      </c>
      <c r="D6280" s="4">
        <v>48.7</v>
      </c>
      <c r="E6280" s="4">
        <v>16.93</v>
      </c>
    </row>
    <row r="6281" spans="1:5" x14ac:dyDescent="0.25">
      <c r="A6281" s="4" t="s">
        <v>53</v>
      </c>
      <c r="B6281" s="4" t="s">
        <v>40</v>
      </c>
      <c r="C6281" s="5">
        <v>45308</v>
      </c>
      <c r="D6281" s="4">
        <v>30.5</v>
      </c>
      <c r="E6281" s="4">
        <v>10.59</v>
      </c>
    </row>
    <row r="6282" spans="1:5" x14ac:dyDescent="0.25">
      <c r="A6282" s="4" t="s">
        <v>53</v>
      </c>
      <c r="B6282" s="4" t="s">
        <v>40</v>
      </c>
      <c r="C6282" s="5">
        <v>45308</v>
      </c>
      <c r="D6282" s="4">
        <v>44.4</v>
      </c>
      <c r="E6282" s="4">
        <v>15.46</v>
      </c>
    </row>
    <row r="6283" spans="1:5" x14ac:dyDescent="0.25">
      <c r="A6283" s="4" t="s">
        <v>53</v>
      </c>
      <c r="B6283" s="4" t="s">
        <v>40</v>
      </c>
      <c r="C6283" s="5">
        <v>45313</v>
      </c>
      <c r="D6283" s="4">
        <v>15.9</v>
      </c>
      <c r="E6283" s="4">
        <v>5.51</v>
      </c>
    </row>
    <row r="6284" spans="1:5" x14ac:dyDescent="0.25">
      <c r="A6284" s="4" t="s">
        <v>53</v>
      </c>
      <c r="B6284" s="4" t="s">
        <v>40</v>
      </c>
      <c r="C6284" s="5">
        <v>45313</v>
      </c>
      <c r="D6284" s="4">
        <v>1.4</v>
      </c>
      <c r="E6284" s="4">
        <v>0.47</v>
      </c>
    </row>
    <row r="6285" spans="1:5" x14ac:dyDescent="0.25">
      <c r="A6285" s="4" t="s">
        <v>53</v>
      </c>
      <c r="B6285" s="4" t="s">
        <v>40</v>
      </c>
      <c r="C6285" s="5">
        <v>45313</v>
      </c>
      <c r="D6285" s="4">
        <v>5.3</v>
      </c>
      <c r="E6285" s="4">
        <v>1.82</v>
      </c>
    </row>
    <row r="6286" spans="1:5" x14ac:dyDescent="0.25">
      <c r="A6286" s="4" t="s">
        <v>53</v>
      </c>
      <c r="B6286" s="4" t="s">
        <v>40</v>
      </c>
      <c r="C6286" s="5">
        <v>45313</v>
      </c>
      <c r="D6286" s="4">
        <v>2.6</v>
      </c>
      <c r="E6286" s="4">
        <v>0.89</v>
      </c>
    </row>
    <row r="6287" spans="1:5" x14ac:dyDescent="0.25">
      <c r="A6287" s="4" t="s">
        <v>53</v>
      </c>
      <c r="B6287" s="4" t="s">
        <v>40</v>
      </c>
      <c r="C6287" s="5">
        <v>45313</v>
      </c>
      <c r="D6287" s="4">
        <v>1.4</v>
      </c>
      <c r="E6287" s="4">
        <v>0.47</v>
      </c>
    </row>
    <row r="6288" spans="1:5" x14ac:dyDescent="0.25">
      <c r="A6288" s="4" t="s">
        <v>53</v>
      </c>
      <c r="B6288" s="4" t="s">
        <v>40</v>
      </c>
      <c r="C6288" s="5">
        <v>45313</v>
      </c>
      <c r="D6288" s="4">
        <v>30.5</v>
      </c>
      <c r="E6288" s="4">
        <v>10.59</v>
      </c>
    </row>
    <row r="6289" spans="1:5" x14ac:dyDescent="0.25">
      <c r="A6289" s="4" t="s">
        <v>53</v>
      </c>
      <c r="B6289" s="4" t="s">
        <v>40</v>
      </c>
      <c r="C6289" s="5">
        <v>45313</v>
      </c>
      <c r="D6289" s="4">
        <v>48.7</v>
      </c>
      <c r="E6289" s="4">
        <v>16.93</v>
      </c>
    </row>
    <row r="6290" spans="1:5" x14ac:dyDescent="0.25">
      <c r="A6290" s="4" t="s">
        <v>53</v>
      </c>
      <c r="B6290" s="4" t="s">
        <v>40</v>
      </c>
      <c r="C6290" s="5">
        <v>45313</v>
      </c>
      <c r="D6290" s="4">
        <v>16.399999999999999</v>
      </c>
      <c r="E6290" s="4">
        <v>5.71</v>
      </c>
    </row>
    <row r="6291" spans="1:5" x14ac:dyDescent="0.25">
      <c r="A6291" s="4" t="s">
        <v>53</v>
      </c>
      <c r="B6291" s="4" t="s">
        <v>40</v>
      </c>
      <c r="C6291" s="5">
        <v>45314</v>
      </c>
      <c r="D6291" s="4">
        <v>15.8</v>
      </c>
      <c r="E6291" s="4">
        <v>5.48</v>
      </c>
    </row>
    <row r="6292" spans="1:5" x14ac:dyDescent="0.25">
      <c r="A6292" s="4" t="s">
        <v>53</v>
      </c>
      <c r="B6292" s="4" t="s">
        <v>40</v>
      </c>
      <c r="C6292" s="5">
        <v>45314</v>
      </c>
      <c r="D6292" s="4">
        <v>30.5</v>
      </c>
      <c r="E6292" s="4">
        <v>10.59</v>
      </c>
    </row>
    <row r="6293" spans="1:5" x14ac:dyDescent="0.25">
      <c r="A6293" s="4" t="s">
        <v>53</v>
      </c>
      <c r="B6293" s="4" t="s">
        <v>40</v>
      </c>
      <c r="C6293" s="5">
        <v>45314</v>
      </c>
      <c r="D6293" s="4">
        <v>48.7</v>
      </c>
      <c r="E6293" s="4">
        <v>16.93</v>
      </c>
    </row>
    <row r="6294" spans="1:5" x14ac:dyDescent="0.25">
      <c r="A6294" s="4" t="s">
        <v>53</v>
      </c>
      <c r="B6294" s="4" t="s">
        <v>40</v>
      </c>
      <c r="C6294" s="5">
        <v>45314</v>
      </c>
      <c r="D6294" s="4">
        <v>29.4</v>
      </c>
      <c r="E6294" s="4">
        <v>10.220000000000001</v>
      </c>
    </row>
    <row r="6295" spans="1:5" x14ac:dyDescent="0.25">
      <c r="A6295" s="4" t="s">
        <v>53</v>
      </c>
      <c r="B6295" s="4" t="s">
        <v>40</v>
      </c>
      <c r="C6295" s="5">
        <v>45314</v>
      </c>
      <c r="D6295" s="4">
        <v>48.7</v>
      </c>
      <c r="E6295" s="4">
        <v>16.93</v>
      </c>
    </row>
    <row r="6296" spans="1:5" x14ac:dyDescent="0.25">
      <c r="A6296" s="4" t="s">
        <v>53</v>
      </c>
      <c r="B6296" s="4" t="s">
        <v>40</v>
      </c>
      <c r="C6296" s="5">
        <v>45314</v>
      </c>
      <c r="D6296" s="4">
        <v>30.5</v>
      </c>
      <c r="E6296" s="4">
        <v>10.59</v>
      </c>
    </row>
    <row r="6297" spans="1:5" x14ac:dyDescent="0.25">
      <c r="A6297" s="4" t="s">
        <v>53</v>
      </c>
      <c r="B6297" s="4" t="s">
        <v>40</v>
      </c>
      <c r="C6297" s="5">
        <v>45314</v>
      </c>
      <c r="D6297" s="4">
        <v>48.7</v>
      </c>
      <c r="E6297" s="4">
        <v>16.93</v>
      </c>
    </row>
    <row r="6298" spans="1:5" x14ac:dyDescent="0.25">
      <c r="A6298" s="4" t="s">
        <v>53</v>
      </c>
      <c r="B6298" s="4" t="s">
        <v>40</v>
      </c>
      <c r="C6298" s="5">
        <v>45314</v>
      </c>
      <c r="D6298" s="4">
        <v>29.4</v>
      </c>
      <c r="E6298" s="4">
        <v>10.220000000000001</v>
      </c>
    </row>
    <row r="6299" spans="1:5" x14ac:dyDescent="0.25">
      <c r="A6299" s="4" t="s">
        <v>53</v>
      </c>
      <c r="B6299" s="4" t="s">
        <v>40</v>
      </c>
      <c r="C6299" s="5">
        <v>45314</v>
      </c>
      <c r="D6299" s="4">
        <v>44.4</v>
      </c>
      <c r="E6299" s="4">
        <v>15.46</v>
      </c>
    </row>
    <row r="6300" spans="1:5" x14ac:dyDescent="0.25">
      <c r="A6300" s="4" t="s">
        <v>53</v>
      </c>
      <c r="B6300" s="4" t="s">
        <v>40</v>
      </c>
      <c r="C6300" s="5">
        <v>45315</v>
      </c>
      <c r="D6300" s="4">
        <v>15.4</v>
      </c>
      <c r="E6300" s="4">
        <v>5.35</v>
      </c>
    </row>
    <row r="6301" spans="1:5" x14ac:dyDescent="0.25">
      <c r="A6301" s="4" t="s">
        <v>53</v>
      </c>
      <c r="B6301" s="4" t="s">
        <v>40</v>
      </c>
      <c r="C6301" s="5">
        <v>45315</v>
      </c>
      <c r="D6301" s="4">
        <v>31.3</v>
      </c>
      <c r="E6301" s="4">
        <v>10.86</v>
      </c>
    </row>
    <row r="6302" spans="1:5" x14ac:dyDescent="0.25">
      <c r="A6302" s="4" t="s">
        <v>53</v>
      </c>
      <c r="B6302" s="4" t="s">
        <v>40</v>
      </c>
      <c r="C6302" s="5">
        <v>45315</v>
      </c>
      <c r="D6302" s="4">
        <v>30.2</v>
      </c>
      <c r="E6302" s="4">
        <v>10.49</v>
      </c>
    </row>
    <row r="6303" spans="1:5" x14ac:dyDescent="0.25">
      <c r="A6303" s="4" t="s">
        <v>53</v>
      </c>
      <c r="B6303" s="4" t="s">
        <v>40</v>
      </c>
      <c r="C6303" s="5">
        <v>45315</v>
      </c>
      <c r="D6303" s="4">
        <v>31.3</v>
      </c>
      <c r="E6303" s="4">
        <v>10.86</v>
      </c>
    </row>
    <row r="6304" spans="1:5" x14ac:dyDescent="0.25">
      <c r="A6304" s="4" t="s">
        <v>53</v>
      </c>
      <c r="B6304" s="4" t="s">
        <v>40</v>
      </c>
      <c r="C6304" s="5">
        <v>45315</v>
      </c>
      <c r="D6304" s="4">
        <v>30.2</v>
      </c>
      <c r="E6304" s="4">
        <v>10.49</v>
      </c>
    </row>
    <row r="6305" spans="1:5" x14ac:dyDescent="0.25">
      <c r="A6305" s="4" t="s">
        <v>53</v>
      </c>
      <c r="B6305" s="4" t="s">
        <v>40</v>
      </c>
      <c r="C6305" s="5">
        <v>45315</v>
      </c>
      <c r="D6305" s="4">
        <v>31.3</v>
      </c>
      <c r="E6305" s="4">
        <v>10.86</v>
      </c>
    </row>
    <row r="6306" spans="1:5" x14ac:dyDescent="0.25">
      <c r="A6306" s="4" t="s">
        <v>53</v>
      </c>
      <c r="B6306" s="4" t="s">
        <v>40</v>
      </c>
      <c r="C6306" s="5">
        <v>45315</v>
      </c>
      <c r="D6306" s="4">
        <v>31.3</v>
      </c>
      <c r="E6306" s="4">
        <v>10.86</v>
      </c>
    </row>
    <row r="6307" spans="1:5" x14ac:dyDescent="0.25">
      <c r="A6307" s="4" t="s">
        <v>53</v>
      </c>
      <c r="B6307" s="4" t="s">
        <v>40</v>
      </c>
      <c r="C6307" s="5">
        <v>45315</v>
      </c>
      <c r="D6307" s="4">
        <v>31.3</v>
      </c>
      <c r="E6307" s="4">
        <v>10.86</v>
      </c>
    </row>
    <row r="6308" spans="1:5" x14ac:dyDescent="0.25">
      <c r="A6308" s="4" t="s">
        <v>53</v>
      </c>
      <c r="B6308" s="4" t="s">
        <v>40</v>
      </c>
      <c r="C6308" s="5">
        <v>45315</v>
      </c>
      <c r="D6308" s="4">
        <v>30.2</v>
      </c>
      <c r="E6308" s="4">
        <v>10.49</v>
      </c>
    </row>
    <row r="6309" spans="1:5" x14ac:dyDescent="0.25">
      <c r="A6309" s="4" t="s">
        <v>53</v>
      </c>
      <c r="B6309" s="4" t="s">
        <v>40</v>
      </c>
      <c r="C6309" s="5">
        <v>45315</v>
      </c>
      <c r="D6309" s="4">
        <v>31.3</v>
      </c>
      <c r="E6309" s="4">
        <v>10.86</v>
      </c>
    </row>
    <row r="6310" spans="1:5" x14ac:dyDescent="0.25">
      <c r="A6310" s="4" t="s">
        <v>53</v>
      </c>
      <c r="B6310" s="4" t="s">
        <v>40</v>
      </c>
      <c r="C6310" s="5">
        <v>45315</v>
      </c>
      <c r="D6310" s="4">
        <v>15.9</v>
      </c>
      <c r="E6310" s="4">
        <v>5.51</v>
      </c>
    </row>
    <row r="6311" spans="1:5" x14ac:dyDescent="0.25">
      <c r="A6311" s="4" t="s">
        <v>53</v>
      </c>
      <c r="B6311" s="4" t="s">
        <v>40</v>
      </c>
      <c r="C6311" s="5">
        <v>45316</v>
      </c>
      <c r="D6311" s="4">
        <v>9.5</v>
      </c>
      <c r="E6311" s="4">
        <v>3.31</v>
      </c>
    </row>
    <row r="6312" spans="1:5" x14ac:dyDescent="0.25">
      <c r="A6312" s="4" t="s">
        <v>53</v>
      </c>
      <c r="B6312" s="4" t="s">
        <v>40</v>
      </c>
      <c r="C6312" s="5">
        <v>45316</v>
      </c>
      <c r="D6312" s="4">
        <v>8.6999999999999993</v>
      </c>
      <c r="E6312" s="4">
        <v>3.03</v>
      </c>
    </row>
    <row r="6313" spans="1:5" x14ac:dyDescent="0.25">
      <c r="A6313" s="4" t="s">
        <v>53</v>
      </c>
      <c r="B6313" s="4" t="s">
        <v>40</v>
      </c>
      <c r="C6313" s="5">
        <v>45316</v>
      </c>
      <c r="D6313" s="4">
        <v>9.5</v>
      </c>
      <c r="E6313" s="4">
        <v>3.31</v>
      </c>
    </row>
    <row r="6314" spans="1:5" x14ac:dyDescent="0.25">
      <c r="A6314" s="4" t="s">
        <v>53</v>
      </c>
      <c r="B6314" s="4" t="s">
        <v>40</v>
      </c>
      <c r="C6314" s="5">
        <v>45316</v>
      </c>
      <c r="D6314" s="4">
        <v>8.6999999999999993</v>
      </c>
      <c r="E6314" s="4">
        <v>3.03</v>
      </c>
    </row>
    <row r="6315" spans="1:5" x14ac:dyDescent="0.25">
      <c r="A6315" s="4" t="s">
        <v>53</v>
      </c>
      <c r="B6315" s="4" t="s">
        <v>40</v>
      </c>
      <c r="C6315" s="5">
        <v>45316</v>
      </c>
      <c r="D6315" s="4">
        <v>9.5</v>
      </c>
      <c r="E6315" s="4">
        <v>3.31</v>
      </c>
    </row>
    <row r="6316" spans="1:5" x14ac:dyDescent="0.25">
      <c r="A6316" s="4" t="s">
        <v>53</v>
      </c>
      <c r="B6316" s="4" t="s">
        <v>40</v>
      </c>
      <c r="C6316" s="5">
        <v>45316</v>
      </c>
      <c r="D6316" s="4">
        <v>8.6999999999999993</v>
      </c>
      <c r="E6316" s="4">
        <v>3.03</v>
      </c>
    </row>
    <row r="6317" spans="1:5" x14ac:dyDescent="0.25">
      <c r="A6317" s="4" t="s">
        <v>53</v>
      </c>
      <c r="B6317" s="4" t="s">
        <v>40</v>
      </c>
      <c r="C6317" s="5">
        <v>45316</v>
      </c>
      <c r="D6317" s="4">
        <v>9.5</v>
      </c>
      <c r="E6317" s="4">
        <v>3.31</v>
      </c>
    </row>
    <row r="6318" spans="1:5" x14ac:dyDescent="0.25">
      <c r="A6318" s="4" t="s">
        <v>53</v>
      </c>
      <c r="B6318" s="4" t="s">
        <v>40</v>
      </c>
      <c r="C6318" s="5">
        <v>45316</v>
      </c>
      <c r="D6318" s="4">
        <v>8.6999999999999993</v>
      </c>
      <c r="E6318" s="4">
        <v>3.03</v>
      </c>
    </row>
    <row r="6319" spans="1:5" x14ac:dyDescent="0.25">
      <c r="A6319" s="4" t="s">
        <v>53</v>
      </c>
      <c r="B6319" s="4" t="s">
        <v>40</v>
      </c>
      <c r="C6319" s="5">
        <v>45316</v>
      </c>
      <c r="D6319" s="4">
        <v>9.5</v>
      </c>
      <c r="E6319" s="4">
        <v>3.31</v>
      </c>
    </row>
    <row r="6320" spans="1:5" x14ac:dyDescent="0.25">
      <c r="A6320" s="4" t="s">
        <v>53</v>
      </c>
      <c r="B6320" s="4" t="s">
        <v>40</v>
      </c>
      <c r="C6320" s="5">
        <v>45316</v>
      </c>
      <c r="D6320" s="4">
        <v>8.6999999999999993</v>
      </c>
      <c r="E6320" s="4">
        <v>3.03</v>
      </c>
    </row>
    <row r="6321" spans="1:5" x14ac:dyDescent="0.25">
      <c r="A6321" s="4" t="s">
        <v>53</v>
      </c>
      <c r="B6321" s="4" t="s">
        <v>40</v>
      </c>
      <c r="C6321" s="5">
        <v>45320</v>
      </c>
      <c r="D6321" s="4">
        <v>41.3</v>
      </c>
      <c r="E6321" s="4">
        <v>14.36</v>
      </c>
    </row>
    <row r="6322" spans="1:5" x14ac:dyDescent="0.25">
      <c r="A6322" s="4" t="s">
        <v>53</v>
      </c>
      <c r="B6322" s="4" t="s">
        <v>40</v>
      </c>
      <c r="C6322" s="5">
        <v>45320</v>
      </c>
      <c r="D6322" s="4">
        <v>17.3</v>
      </c>
      <c r="E6322" s="4">
        <v>6.03</v>
      </c>
    </row>
    <row r="6323" spans="1:5" x14ac:dyDescent="0.25">
      <c r="A6323" s="4" t="s">
        <v>53</v>
      </c>
      <c r="B6323" s="4" t="s">
        <v>40</v>
      </c>
      <c r="C6323" s="5">
        <v>45320</v>
      </c>
      <c r="D6323" s="4">
        <v>17.3</v>
      </c>
      <c r="E6323" s="4">
        <v>6.03</v>
      </c>
    </row>
    <row r="6324" spans="1:5" x14ac:dyDescent="0.25">
      <c r="A6324" s="4" t="s">
        <v>53</v>
      </c>
      <c r="B6324" s="4" t="s">
        <v>40</v>
      </c>
      <c r="C6324" s="5">
        <v>45320</v>
      </c>
      <c r="D6324" s="4">
        <v>67.5</v>
      </c>
      <c r="E6324" s="4">
        <v>23.48</v>
      </c>
    </row>
    <row r="6325" spans="1:5" x14ac:dyDescent="0.25">
      <c r="A6325" s="4" t="s">
        <v>53</v>
      </c>
      <c r="B6325" s="4" t="s">
        <v>40</v>
      </c>
      <c r="C6325" s="5">
        <v>45320</v>
      </c>
      <c r="D6325" s="4">
        <v>85.7</v>
      </c>
      <c r="E6325" s="4">
        <v>29.82</v>
      </c>
    </row>
    <row r="6326" spans="1:5" x14ac:dyDescent="0.25">
      <c r="A6326" s="4" t="s">
        <v>53</v>
      </c>
      <c r="B6326" s="4" t="s">
        <v>40</v>
      </c>
      <c r="C6326" s="5">
        <v>45320</v>
      </c>
      <c r="D6326" s="4">
        <v>17.3</v>
      </c>
      <c r="E6326" s="4">
        <v>6.03</v>
      </c>
    </row>
    <row r="6327" spans="1:5" x14ac:dyDescent="0.25">
      <c r="A6327" s="4" t="s">
        <v>53</v>
      </c>
      <c r="B6327" s="4" t="s">
        <v>40</v>
      </c>
      <c r="C6327" s="5">
        <v>45320</v>
      </c>
      <c r="D6327" s="4">
        <v>17.3</v>
      </c>
      <c r="E6327" s="4">
        <v>6.03</v>
      </c>
    </row>
    <row r="6328" spans="1:5" x14ac:dyDescent="0.25">
      <c r="A6328" s="4" t="s">
        <v>53</v>
      </c>
      <c r="B6328" s="4" t="s">
        <v>40</v>
      </c>
      <c r="C6328" s="5">
        <v>45320</v>
      </c>
      <c r="D6328" s="4">
        <v>67.5</v>
      </c>
      <c r="E6328" s="4">
        <v>23.48</v>
      </c>
    </row>
    <row r="6329" spans="1:5" x14ac:dyDescent="0.25">
      <c r="A6329" s="4" t="s">
        <v>53</v>
      </c>
      <c r="B6329" s="4" t="s">
        <v>40</v>
      </c>
      <c r="C6329" s="5">
        <v>45320</v>
      </c>
      <c r="D6329" s="4">
        <v>44.4</v>
      </c>
      <c r="E6329" s="4">
        <v>15.46</v>
      </c>
    </row>
    <row r="6330" spans="1:5" x14ac:dyDescent="0.25">
      <c r="A6330" s="4" t="s">
        <v>53</v>
      </c>
      <c r="B6330" s="4" t="s">
        <v>40</v>
      </c>
      <c r="C6330" s="5">
        <v>45321</v>
      </c>
      <c r="D6330" s="4">
        <v>41.3</v>
      </c>
      <c r="E6330" s="4">
        <v>14.36</v>
      </c>
    </row>
    <row r="6331" spans="1:5" x14ac:dyDescent="0.25">
      <c r="A6331" s="4" t="s">
        <v>53</v>
      </c>
      <c r="B6331" s="4" t="s">
        <v>40</v>
      </c>
      <c r="C6331" s="5">
        <v>45321</v>
      </c>
      <c r="D6331" s="4">
        <v>17.3</v>
      </c>
      <c r="E6331" s="4">
        <v>6.03</v>
      </c>
    </row>
    <row r="6332" spans="1:5" x14ac:dyDescent="0.25">
      <c r="A6332" s="4" t="s">
        <v>53</v>
      </c>
      <c r="B6332" s="4" t="s">
        <v>40</v>
      </c>
      <c r="C6332" s="5">
        <v>45321</v>
      </c>
      <c r="D6332" s="4">
        <v>17.3</v>
      </c>
      <c r="E6332" s="4">
        <v>6.03</v>
      </c>
    </row>
    <row r="6333" spans="1:5" x14ac:dyDescent="0.25">
      <c r="A6333" s="4" t="s">
        <v>53</v>
      </c>
      <c r="B6333" s="4" t="s">
        <v>40</v>
      </c>
      <c r="C6333" s="5">
        <v>45321</v>
      </c>
      <c r="D6333" s="4">
        <v>67.5</v>
      </c>
      <c r="E6333" s="4">
        <v>23.48</v>
      </c>
    </row>
    <row r="6334" spans="1:5" x14ac:dyDescent="0.25">
      <c r="A6334" s="4" t="s">
        <v>53</v>
      </c>
      <c r="B6334" s="4" t="s">
        <v>40</v>
      </c>
      <c r="C6334" s="5">
        <v>45321</v>
      </c>
      <c r="D6334" s="4">
        <v>85.7</v>
      </c>
      <c r="E6334" s="4">
        <v>29.82</v>
      </c>
    </row>
    <row r="6335" spans="1:5" x14ac:dyDescent="0.25">
      <c r="A6335" s="4" t="s">
        <v>53</v>
      </c>
      <c r="B6335" s="4" t="s">
        <v>40</v>
      </c>
      <c r="C6335" s="5">
        <v>45321</v>
      </c>
      <c r="D6335" s="4">
        <v>17.3</v>
      </c>
      <c r="E6335" s="4">
        <v>6.03</v>
      </c>
    </row>
    <row r="6336" spans="1:5" x14ac:dyDescent="0.25">
      <c r="A6336" s="4" t="s">
        <v>53</v>
      </c>
      <c r="B6336" s="4" t="s">
        <v>40</v>
      </c>
      <c r="C6336" s="5">
        <v>45321</v>
      </c>
      <c r="D6336" s="4">
        <v>17.3</v>
      </c>
      <c r="E6336" s="4">
        <v>6.03</v>
      </c>
    </row>
    <row r="6337" spans="1:5" x14ac:dyDescent="0.25">
      <c r="A6337" s="4" t="s">
        <v>53</v>
      </c>
      <c r="B6337" s="4" t="s">
        <v>40</v>
      </c>
      <c r="C6337" s="5">
        <v>45321</v>
      </c>
      <c r="D6337" s="4">
        <v>67.5</v>
      </c>
      <c r="E6337" s="4">
        <v>23.48</v>
      </c>
    </row>
    <row r="6338" spans="1:5" x14ac:dyDescent="0.25">
      <c r="A6338" s="4" t="s">
        <v>53</v>
      </c>
      <c r="B6338" s="4" t="s">
        <v>40</v>
      </c>
      <c r="C6338" s="5">
        <v>45321</v>
      </c>
      <c r="D6338" s="4">
        <v>44.4</v>
      </c>
      <c r="E6338" s="4">
        <v>15.46</v>
      </c>
    </row>
    <row r="6339" spans="1:5" x14ac:dyDescent="0.25">
      <c r="A6339" s="4" t="s">
        <v>53</v>
      </c>
      <c r="B6339" s="4" t="s">
        <v>40</v>
      </c>
      <c r="C6339" s="5">
        <v>45322</v>
      </c>
      <c r="D6339" s="4">
        <v>21.7</v>
      </c>
      <c r="E6339" s="4">
        <v>7.55</v>
      </c>
    </row>
    <row r="6340" spans="1:5" x14ac:dyDescent="0.25">
      <c r="A6340" s="4" t="s">
        <v>53</v>
      </c>
      <c r="B6340" s="4" t="s">
        <v>40</v>
      </c>
      <c r="C6340" s="5">
        <v>45322</v>
      </c>
      <c r="D6340" s="4">
        <v>1.4</v>
      </c>
      <c r="E6340" s="4">
        <v>0.48</v>
      </c>
    </row>
    <row r="6341" spans="1:5" x14ac:dyDescent="0.25">
      <c r="A6341" s="4" t="s">
        <v>53</v>
      </c>
      <c r="B6341" s="4" t="s">
        <v>40</v>
      </c>
      <c r="C6341" s="5">
        <v>45322</v>
      </c>
      <c r="D6341" s="4">
        <v>1.2</v>
      </c>
      <c r="E6341" s="4">
        <v>0.42</v>
      </c>
    </row>
    <row r="6342" spans="1:5" x14ac:dyDescent="0.25">
      <c r="A6342" s="4" t="s">
        <v>53</v>
      </c>
      <c r="B6342" s="4" t="s">
        <v>40</v>
      </c>
      <c r="C6342" s="5">
        <v>45322</v>
      </c>
      <c r="D6342" s="4">
        <v>55.1</v>
      </c>
      <c r="E6342" s="4">
        <v>19.2</v>
      </c>
    </row>
    <row r="6343" spans="1:5" x14ac:dyDescent="0.25">
      <c r="A6343" s="4" t="s">
        <v>53</v>
      </c>
      <c r="B6343" s="4" t="s">
        <v>40</v>
      </c>
      <c r="C6343" s="5">
        <v>45322</v>
      </c>
      <c r="D6343" s="4">
        <v>28.3</v>
      </c>
      <c r="E6343" s="4">
        <v>9.86</v>
      </c>
    </row>
    <row r="6344" spans="1:5" x14ac:dyDescent="0.25">
      <c r="A6344" s="4" t="s">
        <v>53</v>
      </c>
      <c r="B6344" s="4" t="s">
        <v>40</v>
      </c>
      <c r="C6344" s="5">
        <v>45322</v>
      </c>
      <c r="D6344" s="4">
        <v>26.8</v>
      </c>
      <c r="E6344" s="4">
        <v>9.34</v>
      </c>
    </row>
    <row r="6345" spans="1:5" x14ac:dyDescent="0.25">
      <c r="A6345" s="4" t="s">
        <v>53</v>
      </c>
      <c r="B6345" s="4" t="s">
        <v>40</v>
      </c>
      <c r="C6345" s="5">
        <v>45322</v>
      </c>
      <c r="D6345" s="4">
        <v>28.3</v>
      </c>
      <c r="E6345" s="4">
        <v>9.86</v>
      </c>
    </row>
    <row r="6346" spans="1:5" x14ac:dyDescent="0.25">
      <c r="A6346" s="4" t="s">
        <v>53</v>
      </c>
      <c r="B6346" s="4" t="s">
        <v>40</v>
      </c>
      <c r="C6346" s="5">
        <v>45322</v>
      </c>
      <c r="D6346" s="4">
        <v>26.8</v>
      </c>
      <c r="E6346" s="4">
        <v>9.34</v>
      </c>
    </row>
    <row r="6347" spans="1:5" x14ac:dyDescent="0.25">
      <c r="A6347" s="4" t="s">
        <v>53</v>
      </c>
      <c r="B6347" s="4" t="s">
        <v>40</v>
      </c>
      <c r="C6347" s="5">
        <v>45322</v>
      </c>
      <c r="D6347" s="4">
        <v>35.700000000000003</v>
      </c>
      <c r="E6347" s="4">
        <v>12.44</v>
      </c>
    </row>
    <row r="6348" spans="1:5" x14ac:dyDescent="0.25">
      <c r="A6348" s="4" t="s">
        <v>53</v>
      </c>
      <c r="B6348" s="4" t="s">
        <v>40</v>
      </c>
      <c r="C6348" s="5">
        <v>45323</v>
      </c>
      <c r="D6348" s="4">
        <v>9.6</v>
      </c>
      <c r="E6348" s="4">
        <v>3.34</v>
      </c>
    </row>
    <row r="6349" spans="1:5" x14ac:dyDescent="0.25">
      <c r="A6349" s="4" t="s">
        <v>53</v>
      </c>
      <c r="B6349" s="4" t="s">
        <v>40</v>
      </c>
      <c r="C6349" s="5">
        <v>45323</v>
      </c>
      <c r="D6349" s="4">
        <v>26.8</v>
      </c>
      <c r="E6349" s="4">
        <v>9.34</v>
      </c>
    </row>
    <row r="6350" spans="1:5" x14ac:dyDescent="0.25">
      <c r="A6350" s="4" t="s">
        <v>53</v>
      </c>
      <c r="B6350" s="4" t="s">
        <v>40</v>
      </c>
      <c r="C6350" s="5">
        <v>45323</v>
      </c>
      <c r="D6350" s="4">
        <v>28.3</v>
      </c>
      <c r="E6350" s="4">
        <v>9.86</v>
      </c>
    </row>
    <row r="6351" spans="1:5" x14ac:dyDescent="0.25">
      <c r="A6351" s="4" t="s">
        <v>53</v>
      </c>
      <c r="B6351" s="4" t="s">
        <v>40</v>
      </c>
      <c r="C6351" s="5">
        <v>45323</v>
      </c>
      <c r="D6351" s="4">
        <v>26.1</v>
      </c>
      <c r="E6351" s="4">
        <v>9.1</v>
      </c>
    </row>
    <row r="6352" spans="1:5" x14ac:dyDescent="0.25">
      <c r="A6352" s="4" t="s">
        <v>53</v>
      </c>
      <c r="B6352" s="4" t="s">
        <v>40</v>
      </c>
      <c r="C6352" s="5">
        <v>45323</v>
      </c>
      <c r="D6352" s="4">
        <v>28.3</v>
      </c>
      <c r="E6352" s="4">
        <v>9.86</v>
      </c>
    </row>
    <row r="6353" spans="1:5" x14ac:dyDescent="0.25">
      <c r="A6353" s="4" t="s">
        <v>53</v>
      </c>
      <c r="B6353" s="4" t="s">
        <v>40</v>
      </c>
      <c r="C6353" s="5">
        <v>45323</v>
      </c>
      <c r="D6353" s="4">
        <v>26.1</v>
      </c>
      <c r="E6353" s="4">
        <v>9.1</v>
      </c>
    </row>
    <row r="6354" spans="1:5" x14ac:dyDescent="0.25">
      <c r="A6354" s="4" t="s">
        <v>53</v>
      </c>
      <c r="B6354" s="4" t="s">
        <v>40</v>
      </c>
      <c r="C6354" s="5">
        <v>45323</v>
      </c>
      <c r="D6354" s="4">
        <v>28.3</v>
      </c>
      <c r="E6354" s="4">
        <v>9.86</v>
      </c>
    </row>
    <row r="6355" spans="1:5" x14ac:dyDescent="0.25">
      <c r="A6355" s="4" t="s">
        <v>53</v>
      </c>
      <c r="B6355" s="4" t="s">
        <v>40</v>
      </c>
      <c r="C6355" s="5">
        <v>45323</v>
      </c>
      <c r="D6355" s="4">
        <v>7.4</v>
      </c>
      <c r="E6355" s="4">
        <v>2.58</v>
      </c>
    </row>
    <row r="6356" spans="1:5" x14ac:dyDescent="0.25">
      <c r="A6356" s="4" t="s">
        <v>53</v>
      </c>
      <c r="B6356" s="4" t="s">
        <v>40</v>
      </c>
      <c r="C6356" s="5">
        <v>45324</v>
      </c>
      <c r="D6356" s="4">
        <v>30.5</v>
      </c>
      <c r="E6356" s="4">
        <v>10.62</v>
      </c>
    </row>
    <row r="6357" spans="1:5" x14ac:dyDescent="0.25">
      <c r="A6357" s="4" t="s">
        <v>53</v>
      </c>
      <c r="B6357" s="4" t="s">
        <v>40</v>
      </c>
      <c r="C6357" s="5">
        <v>45324</v>
      </c>
      <c r="D6357" s="4">
        <v>1.2</v>
      </c>
      <c r="E6357" s="4">
        <v>0.41</v>
      </c>
    </row>
    <row r="6358" spans="1:5" x14ac:dyDescent="0.25">
      <c r="A6358" s="4" t="s">
        <v>53</v>
      </c>
      <c r="B6358" s="4" t="s">
        <v>40</v>
      </c>
      <c r="C6358" s="5">
        <v>45324</v>
      </c>
      <c r="D6358" s="4">
        <v>1.2</v>
      </c>
      <c r="E6358" s="4">
        <v>0.41</v>
      </c>
    </row>
    <row r="6359" spans="1:5" x14ac:dyDescent="0.25">
      <c r="A6359" s="4" t="s">
        <v>53</v>
      </c>
      <c r="B6359" s="4" t="s">
        <v>40</v>
      </c>
      <c r="C6359" s="5">
        <v>45324</v>
      </c>
      <c r="D6359" s="4">
        <v>1.2</v>
      </c>
      <c r="E6359" s="4">
        <v>0.41</v>
      </c>
    </row>
    <row r="6360" spans="1:5" x14ac:dyDescent="0.25">
      <c r="A6360" s="4" t="s">
        <v>53</v>
      </c>
      <c r="B6360" s="4" t="s">
        <v>40</v>
      </c>
      <c r="C6360" s="5">
        <v>45324</v>
      </c>
      <c r="D6360" s="4">
        <v>1.2</v>
      </c>
      <c r="E6360" s="4">
        <v>0.41</v>
      </c>
    </row>
    <row r="6361" spans="1:5" x14ac:dyDescent="0.25">
      <c r="A6361" s="4" t="s">
        <v>53</v>
      </c>
      <c r="B6361" s="4" t="s">
        <v>40</v>
      </c>
      <c r="C6361" s="5">
        <v>45324</v>
      </c>
      <c r="D6361" s="4">
        <v>1.2</v>
      </c>
      <c r="E6361" s="4">
        <v>0.41</v>
      </c>
    </row>
    <row r="6362" spans="1:5" x14ac:dyDescent="0.25">
      <c r="A6362" s="4" t="s">
        <v>53</v>
      </c>
      <c r="B6362" s="4" t="s">
        <v>40</v>
      </c>
      <c r="C6362" s="5">
        <v>45324</v>
      </c>
      <c r="D6362" s="4">
        <v>1.2</v>
      </c>
      <c r="E6362" s="4">
        <v>0.41</v>
      </c>
    </row>
    <row r="6363" spans="1:5" x14ac:dyDescent="0.25">
      <c r="A6363" s="4" t="s">
        <v>53</v>
      </c>
      <c r="B6363" s="4" t="s">
        <v>40</v>
      </c>
      <c r="C6363" s="5">
        <v>45324</v>
      </c>
      <c r="D6363" s="4">
        <v>1.2</v>
      </c>
      <c r="E6363" s="4">
        <v>0.41</v>
      </c>
    </row>
    <row r="6364" spans="1:5" x14ac:dyDescent="0.25">
      <c r="A6364" s="4" t="s">
        <v>53</v>
      </c>
      <c r="B6364" s="4" t="s">
        <v>40</v>
      </c>
      <c r="C6364" s="5">
        <v>45324</v>
      </c>
      <c r="D6364" s="4">
        <v>30.6</v>
      </c>
      <c r="E6364" s="4">
        <v>10.67</v>
      </c>
    </row>
    <row r="6365" spans="1:5" x14ac:dyDescent="0.25">
      <c r="A6365" s="4" t="s">
        <v>53</v>
      </c>
      <c r="B6365" s="4" t="s">
        <v>40</v>
      </c>
      <c r="C6365" s="5">
        <v>45327</v>
      </c>
      <c r="D6365" s="4">
        <v>41.3</v>
      </c>
      <c r="E6365" s="4">
        <v>14.36</v>
      </c>
    </row>
    <row r="6366" spans="1:5" x14ac:dyDescent="0.25">
      <c r="A6366" s="4" t="s">
        <v>53</v>
      </c>
      <c r="B6366" s="4" t="s">
        <v>40</v>
      </c>
      <c r="C6366" s="5">
        <v>45327</v>
      </c>
      <c r="D6366" s="4">
        <v>17.3</v>
      </c>
      <c r="E6366" s="4">
        <v>6.03</v>
      </c>
    </row>
    <row r="6367" spans="1:5" x14ac:dyDescent="0.25">
      <c r="A6367" s="4" t="s">
        <v>53</v>
      </c>
      <c r="B6367" s="4" t="s">
        <v>40</v>
      </c>
      <c r="C6367" s="5">
        <v>45327</v>
      </c>
      <c r="D6367" s="4">
        <v>17.3</v>
      </c>
      <c r="E6367" s="4">
        <v>6.03</v>
      </c>
    </row>
    <row r="6368" spans="1:5" x14ac:dyDescent="0.25">
      <c r="A6368" s="4" t="s">
        <v>53</v>
      </c>
      <c r="B6368" s="4" t="s">
        <v>40</v>
      </c>
      <c r="C6368" s="5">
        <v>45327</v>
      </c>
      <c r="D6368" s="4">
        <v>67.5</v>
      </c>
      <c r="E6368" s="4">
        <v>23.48</v>
      </c>
    </row>
    <row r="6369" spans="1:5" x14ac:dyDescent="0.25">
      <c r="A6369" s="4" t="s">
        <v>53</v>
      </c>
      <c r="B6369" s="4" t="s">
        <v>40</v>
      </c>
      <c r="C6369" s="5">
        <v>45327</v>
      </c>
      <c r="D6369" s="4">
        <v>85.7</v>
      </c>
      <c r="E6369" s="4">
        <v>29.82</v>
      </c>
    </row>
    <row r="6370" spans="1:5" x14ac:dyDescent="0.25">
      <c r="A6370" s="4" t="s">
        <v>53</v>
      </c>
      <c r="B6370" s="4" t="s">
        <v>40</v>
      </c>
      <c r="C6370" s="5">
        <v>45327</v>
      </c>
      <c r="D6370" s="4">
        <v>17.3</v>
      </c>
      <c r="E6370" s="4">
        <v>6.03</v>
      </c>
    </row>
    <row r="6371" spans="1:5" x14ac:dyDescent="0.25">
      <c r="A6371" s="4" t="s">
        <v>53</v>
      </c>
      <c r="B6371" s="4" t="s">
        <v>40</v>
      </c>
      <c r="C6371" s="5">
        <v>45327</v>
      </c>
      <c r="D6371" s="4">
        <v>17.3</v>
      </c>
      <c r="E6371" s="4">
        <v>6.03</v>
      </c>
    </row>
    <row r="6372" spans="1:5" x14ac:dyDescent="0.25">
      <c r="A6372" s="4" t="s">
        <v>53</v>
      </c>
      <c r="B6372" s="4" t="s">
        <v>40</v>
      </c>
      <c r="C6372" s="5">
        <v>45327</v>
      </c>
      <c r="D6372" s="4">
        <v>67.5</v>
      </c>
      <c r="E6372" s="4">
        <v>23.48</v>
      </c>
    </row>
    <row r="6373" spans="1:5" x14ac:dyDescent="0.25">
      <c r="A6373" s="4" t="s">
        <v>53</v>
      </c>
      <c r="B6373" s="4" t="s">
        <v>40</v>
      </c>
      <c r="C6373" s="5">
        <v>45327</v>
      </c>
      <c r="D6373" s="4">
        <v>44.4</v>
      </c>
      <c r="E6373" s="4">
        <v>15.46</v>
      </c>
    </row>
    <row r="6374" spans="1:5" x14ac:dyDescent="0.25">
      <c r="A6374" s="4" t="s">
        <v>53</v>
      </c>
      <c r="B6374" s="4" t="s">
        <v>40</v>
      </c>
      <c r="C6374" s="5">
        <v>45328</v>
      </c>
      <c r="D6374" s="4">
        <v>41.3</v>
      </c>
      <c r="E6374" s="4">
        <v>14.36</v>
      </c>
    </row>
    <row r="6375" spans="1:5" x14ac:dyDescent="0.25">
      <c r="A6375" s="4" t="s">
        <v>53</v>
      </c>
      <c r="B6375" s="4" t="s">
        <v>40</v>
      </c>
      <c r="C6375" s="5">
        <v>45328</v>
      </c>
      <c r="D6375" s="4">
        <v>17.3</v>
      </c>
      <c r="E6375" s="4">
        <v>6.03</v>
      </c>
    </row>
    <row r="6376" spans="1:5" x14ac:dyDescent="0.25">
      <c r="A6376" s="4" t="s">
        <v>53</v>
      </c>
      <c r="B6376" s="4" t="s">
        <v>40</v>
      </c>
      <c r="C6376" s="5">
        <v>45328</v>
      </c>
      <c r="D6376" s="4">
        <v>17.3</v>
      </c>
      <c r="E6376" s="4">
        <v>6.03</v>
      </c>
    </row>
    <row r="6377" spans="1:5" x14ac:dyDescent="0.25">
      <c r="A6377" s="4" t="s">
        <v>53</v>
      </c>
      <c r="B6377" s="4" t="s">
        <v>40</v>
      </c>
      <c r="C6377" s="5">
        <v>45328</v>
      </c>
      <c r="D6377" s="4">
        <v>67.5</v>
      </c>
      <c r="E6377" s="4">
        <v>23.48</v>
      </c>
    </row>
    <row r="6378" spans="1:5" x14ac:dyDescent="0.25">
      <c r="A6378" s="4" t="s">
        <v>53</v>
      </c>
      <c r="B6378" s="4" t="s">
        <v>40</v>
      </c>
      <c r="C6378" s="5">
        <v>45328</v>
      </c>
      <c r="D6378" s="4">
        <v>59.8</v>
      </c>
      <c r="E6378" s="4">
        <v>20.81</v>
      </c>
    </row>
    <row r="6379" spans="1:5" x14ac:dyDescent="0.25">
      <c r="A6379" s="4" t="s">
        <v>53</v>
      </c>
      <c r="B6379" s="4" t="s">
        <v>40</v>
      </c>
      <c r="C6379" s="5">
        <v>45328</v>
      </c>
      <c r="D6379" s="4">
        <v>56</v>
      </c>
      <c r="E6379" s="4">
        <v>19.47</v>
      </c>
    </row>
    <row r="6380" spans="1:5" x14ac:dyDescent="0.25">
      <c r="A6380" s="4" t="s">
        <v>53</v>
      </c>
      <c r="B6380" s="4" t="s">
        <v>40</v>
      </c>
      <c r="C6380" s="5">
        <v>45328</v>
      </c>
      <c r="D6380" s="4">
        <v>1</v>
      </c>
      <c r="E6380" s="4">
        <v>0.35</v>
      </c>
    </row>
    <row r="6381" spans="1:5" x14ac:dyDescent="0.25">
      <c r="A6381" s="4" t="s">
        <v>53</v>
      </c>
      <c r="B6381" s="4" t="s">
        <v>40</v>
      </c>
      <c r="C6381" s="5">
        <v>45328</v>
      </c>
      <c r="D6381" s="4">
        <v>16.399999999999999</v>
      </c>
      <c r="E6381" s="4">
        <v>5.67</v>
      </c>
    </row>
    <row r="6382" spans="1:5" x14ac:dyDescent="0.25">
      <c r="A6382" s="4" t="s">
        <v>53</v>
      </c>
      <c r="B6382" s="4" t="s">
        <v>40</v>
      </c>
      <c r="C6382" s="5">
        <v>45328</v>
      </c>
      <c r="D6382" s="4">
        <v>24.8</v>
      </c>
      <c r="E6382" s="4">
        <v>8.6</v>
      </c>
    </row>
    <row r="6383" spans="1:5" x14ac:dyDescent="0.25">
      <c r="A6383" s="4" t="s">
        <v>53</v>
      </c>
      <c r="B6383" s="4" t="s">
        <v>40</v>
      </c>
      <c r="C6383" s="5">
        <v>45329</v>
      </c>
      <c r="D6383" s="4">
        <v>28.9</v>
      </c>
      <c r="E6383" s="4">
        <v>10.02</v>
      </c>
    </row>
    <row r="6384" spans="1:5" x14ac:dyDescent="0.25">
      <c r="A6384" s="4" t="s">
        <v>53</v>
      </c>
      <c r="B6384" s="4" t="s">
        <v>40</v>
      </c>
      <c r="C6384" s="5">
        <v>45329</v>
      </c>
      <c r="D6384" s="4">
        <v>31.6</v>
      </c>
      <c r="E6384" s="4">
        <v>10.98</v>
      </c>
    </row>
    <row r="6385" spans="1:5" x14ac:dyDescent="0.25">
      <c r="A6385" s="4" t="s">
        <v>53</v>
      </c>
      <c r="B6385" s="4" t="s">
        <v>40</v>
      </c>
      <c r="C6385" s="5">
        <v>45329</v>
      </c>
      <c r="D6385" s="4">
        <v>31.6</v>
      </c>
      <c r="E6385" s="4">
        <v>10.98</v>
      </c>
    </row>
    <row r="6386" spans="1:5" x14ac:dyDescent="0.25">
      <c r="A6386" s="4" t="s">
        <v>53</v>
      </c>
      <c r="B6386" s="4" t="s">
        <v>40</v>
      </c>
      <c r="C6386" s="5">
        <v>45329</v>
      </c>
      <c r="D6386" s="4">
        <v>31.6</v>
      </c>
      <c r="E6386" s="4">
        <v>10.98</v>
      </c>
    </row>
    <row r="6387" spans="1:5" x14ac:dyDescent="0.25">
      <c r="A6387" s="4" t="s">
        <v>53</v>
      </c>
      <c r="B6387" s="4" t="s">
        <v>40</v>
      </c>
      <c r="C6387" s="5">
        <v>45329</v>
      </c>
      <c r="D6387" s="4">
        <v>31.6</v>
      </c>
      <c r="E6387" s="4">
        <v>10.98</v>
      </c>
    </row>
    <row r="6388" spans="1:5" x14ac:dyDescent="0.25">
      <c r="A6388" s="4" t="s">
        <v>53</v>
      </c>
      <c r="B6388" s="4" t="s">
        <v>40</v>
      </c>
      <c r="C6388" s="5">
        <v>45329</v>
      </c>
      <c r="D6388" s="4">
        <v>31.6</v>
      </c>
      <c r="E6388" s="4">
        <v>10.98</v>
      </c>
    </row>
    <row r="6389" spans="1:5" x14ac:dyDescent="0.25">
      <c r="A6389" s="4" t="s">
        <v>53</v>
      </c>
      <c r="B6389" s="4" t="s">
        <v>40</v>
      </c>
      <c r="C6389" s="5">
        <v>45329</v>
      </c>
      <c r="D6389" s="4">
        <v>31.6</v>
      </c>
      <c r="E6389" s="4">
        <v>10.98</v>
      </c>
    </row>
    <row r="6390" spans="1:5" x14ac:dyDescent="0.25">
      <c r="A6390" s="4" t="s">
        <v>53</v>
      </c>
      <c r="B6390" s="4" t="s">
        <v>40</v>
      </c>
      <c r="C6390" s="5">
        <v>45329</v>
      </c>
      <c r="D6390" s="4">
        <v>31.6</v>
      </c>
      <c r="E6390" s="4">
        <v>10.98</v>
      </c>
    </row>
    <row r="6391" spans="1:5" x14ac:dyDescent="0.25">
      <c r="A6391" s="4" t="s">
        <v>53</v>
      </c>
      <c r="B6391" s="4" t="s">
        <v>40</v>
      </c>
      <c r="C6391" s="5">
        <v>45329</v>
      </c>
      <c r="D6391" s="4">
        <v>44.4</v>
      </c>
      <c r="E6391" s="4">
        <v>15.46</v>
      </c>
    </row>
    <row r="6392" spans="1:5" x14ac:dyDescent="0.25">
      <c r="A6392" s="4" t="s">
        <v>53</v>
      </c>
      <c r="B6392" s="4" t="s">
        <v>40</v>
      </c>
      <c r="C6392" s="5">
        <v>45330</v>
      </c>
      <c r="D6392" s="4">
        <v>41.3</v>
      </c>
      <c r="E6392" s="4">
        <v>14.36</v>
      </c>
    </row>
    <row r="6393" spans="1:5" x14ac:dyDescent="0.25">
      <c r="A6393" s="4" t="s">
        <v>53</v>
      </c>
      <c r="B6393" s="4" t="s">
        <v>40</v>
      </c>
      <c r="C6393" s="5">
        <v>45330</v>
      </c>
      <c r="D6393" s="4">
        <v>17.3</v>
      </c>
      <c r="E6393" s="4">
        <v>6.03</v>
      </c>
    </row>
    <row r="6394" spans="1:5" x14ac:dyDescent="0.25">
      <c r="A6394" s="4" t="s">
        <v>53</v>
      </c>
      <c r="B6394" s="4" t="s">
        <v>40</v>
      </c>
      <c r="C6394" s="5">
        <v>45330</v>
      </c>
      <c r="D6394" s="4">
        <v>17.3</v>
      </c>
      <c r="E6394" s="4">
        <v>6.03</v>
      </c>
    </row>
    <row r="6395" spans="1:5" x14ac:dyDescent="0.25">
      <c r="A6395" s="4" t="s">
        <v>53</v>
      </c>
      <c r="B6395" s="4" t="s">
        <v>40</v>
      </c>
      <c r="C6395" s="5">
        <v>45330</v>
      </c>
      <c r="D6395" s="4">
        <v>67.5</v>
      </c>
      <c r="E6395" s="4">
        <v>23.48</v>
      </c>
    </row>
    <row r="6396" spans="1:5" x14ac:dyDescent="0.25">
      <c r="A6396" s="4" t="s">
        <v>53</v>
      </c>
      <c r="B6396" s="4" t="s">
        <v>40</v>
      </c>
      <c r="C6396" s="5">
        <v>45330</v>
      </c>
      <c r="D6396" s="4">
        <v>85.7</v>
      </c>
      <c r="E6396" s="4">
        <v>29.82</v>
      </c>
    </row>
    <row r="6397" spans="1:5" x14ac:dyDescent="0.25">
      <c r="A6397" s="4" t="s">
        <v>53</v>
      </c>
      <c r="B6397" s="4" t="s">
        <v>40</v>
      </c>
      <c r="C6397" s="5">
        <v>45330</v>
      </c>
      <c r="D6397" s="4">
        <v>17.3</v>
      </c>
      <c r="E6397" s="4">
        <v>6.03</v>
      </c>
    </row>
    <row r="6398" spans="1:5" x14ac:dyDescent="0.25">
      <c r="A6398" s="4" t="s">
        <v>53</v>
      </c>
      <c r="B6398" s="4" t="s">
        <v>40</v>
      </c>
      <c r="C6398" s="5">
        <v>45330</v>
      </c>
      <c r="D6398" s="4">
        <v>17.3</v>
      </c>
      <c r="E6398" s="4">
        <v>6.03</v>
      </c>
    </row>
    <row r="6399" spans="1:5" x14ac:dyDescent="0.25">
      <c r="A6399" s="4" t="s">
        <v>53</v>
      </c>
      <c r="B6399" s="4" t="s">
        <v>40</v>
      </c>
      <c r="C6399" s="5">
        <v>45330</v>
      </c>
      <c r="D6399" s="4">
        <v>67.5</v>
      </c>
      <c r="E6399" s="4">
        <v>23.48</v>
      </c>
    </row>
    <row r="6400" spans="1:5" x14ac:dyDescent="0.25">
      <c r="A6400" s="4" t="s">
        <v>53</v>
      </c>
      <c r="B6400" s="4" t="s">
        <v>40</v>
      </c>
      <c r="C6400" s="5">
        <v>45330</v>
      </c>
      <c r="D6400" s="4">
        <v>44.4</v>
      </c>
      <c r="E6400" s="4">
        <v>15.46</v>
      </c>
    </row>
    <row r="6401" spans="1:5" x14ac:dyDescent="0.25">
      <c r="A6401" s="4" t="s">
        <v>53</v>
      </c>
      <c r="B6401" s="4" t="s">
        <v>40</v>
      </c>
      <c r="C6401" s="5">
        <v>45331</v>
      </c>
      <c r="D6401" s="4">
        <v>41.3</v>
      </c>
      <c r="E6401" s="4">
        <v>14.36</v>
      </c>
    </row>
    <row r="6402" spans="1:5" x14ac:dyDescent="0.25">
      <c r="A6402" s="4" t="s">
        <v>53</v>
      </c>
      <c r="B6402" s="4" t="s">
        <v>40</v>
      </c>
      <c r="C6402" s="5">
        <v>45331</v>
      </c>
      <c r="D6402" s="4">
        <v>17.3</v>
      </c>
      <c r="E6402" s="4">
        <v>6.03</v>
      </c>
    </row>
    <row r="6403" spans="1:5" x14ac:dyDescent="0.25">
      <c r="A6403" s="4" t="s">
        <v>53</v>
      </c>
      <c r="B6403" s="4" t="s">
        <v>40</v>
      </c>
      <c r="C6403" s="5">
        <v>45331</v>
      </c>
      <c r="D6403" s="4">
        <v>17.3</v>
      </c>
      <c r="E6403" s="4">
        <v>6.03</v>
      </c>
    </row>
    <row r="6404" spans="1:5" x14ac:dyDescent="0.25">
      <c r="A6404" s="4" t="s">
        <v>53</v>
      </c>
      <c r="B6404" s="4" t="s">
        <v>40</v>
      </c>
      <c r="C6404" s="5">
        <v>45331</v>
      </c>
      <c r="D6404" s="4">
        <v>67.5</v>
      </c>
      <c r="E6404" s="4">
        <v>23.48</v>
      </c>
    </row>
    <row r="6405" spans="1:5" x14ac:dyDescent="0.25">
      <c r="A6405" s="4" t="s">
        <v>53</v>
      </c>
      <c r="B6405" s="4" t="s">
        <v>40</v>
      </c>
      <c r="C6405" s="5">
        <v>45331</v>
      </c>
      <c r="D6405" s="4">
        <v>85.7</v>
      </c>
      <c r="E6405" s="4">
        <v>29.82</v>
      </c>
    </row>
    <row r="6406" spans="1:5" x14ac:dyDescent="0.25">
      <c r="A6406" s="4" t="s">
        <v>53</v>
      </c>
      <c r="B6406" s="4" t="s">
        <v>40</v>
      </c>
      <c r="C6406" s="5">
        <v>45331</v>
      </c>
      <c r="D6406" s="4">
        <v>17.3</v>
      </c>
      <c r="E6406" s="4">
        <v>6.03</v>
      </c>
    </row>
    <row r="6407" spans="1:5" x14ac:dyDescent="0.25">
      <c r="A6407" s="4" t="s">
        <v>53</v>
      </c>
      <c r="B6407" s="4" t="s">
        <v>40</v>
      </c>
      <c r="C6407" s="5">
        <v>45331</v>
      </c>
      <c r="D6407" s="4">
        <v>17.3</v>
      </c>
      <c r="E6407" s="4">
        <v>6.03</v>
      </c>
    </row>
    <row r="6408" spans="1:5" x14ac:dyDescent="0.25">
      <c r="A6408" s="4" t="s">
        <v>53</v>
      </c>
      <c r="B6408" s="4" t="s">
        <v>40</v>
      </c>
      <c r="C6408" s="5">
        <v>45331</v>
      </c>
      <c r="D6408" s="4">
        <v>67.5</v>
      </c>
      <c r="E6408" s="4">
        <v>23.48</v>
      </c>
    </row>
    <row r="6409" spans="1:5" x14ac:dyDescent="0.25">
      <c r="A6409" s="4" t="s">
        <v>53</v>
      </c>
      <c r="B6409" s="4" t="s">
        <v>40</v>
      </c>
      <c r="C6409" s="5">
        <v>45331</v>
      </c>
      <c r="D6409" s="4">
        <v>44.4</v>
      </c>
      <c r="E6409" s="4">
        <v>15.46</v>
      </c>
    </row>
    <row r="6410" spans="1:5" x14ac:dyDescent="0.25">
      <c r="A6410" s="4" t="s">
        <v>53</v>
      </c>
      <c r="B6410" s="4" t="s">
        <v>40</v>
      </c>
      <c r="C6410" s="5">
        <v>45334</v>
      </c>
      <c r="D6410" s="4">
        <v>18.7</v>
      </c>
      <c r="E6410" s="4">
        <v>6.52</v>
      </c>
    </row>
    <row r="6411" spans="1:5" x14ac:dyDescent="0.25">
      <c r="A6411" s="4" t="s">
        <v>53</v>
      </c>
      <c r="B6411" s="4" t="s">
        <v>40</v>
      </c>
      <c r="C6411" s="5">
        <v>45334</v>
      </c>
      <c r="D6411" s="4">
        <v>1.4</v>
      </c>
      <c r="E6411" s="4">
        <v>0.48</v>
      </c>
    </row>
    <row r="6412" spans="1:5" x14ac:dyDescent="0.25">
      <c r="A6412" s="4" t="s">
        <v>53</v>
      </c>
      <c r="B6412" s="4" t="s">
        <v>40</v>
      </c>
      <c r="C6412" s="5">
        <v>45334</v>
      </c>
      <c r="D6412" s="4">
        <v>1.4</v>
      </c>
      <c r="E6412" s="4">
        <v>0.48</v>
      </c>
    </row>
    <row r="6413" spans="1:5" x14ac:dyDescent="0.25">
      <c r="A6413" s="4" t="s">
        <v>53</v>
      </c>
      <c r="B6413" s="4" t="s">
        <v>40</v>
      </c>
      <c r="C6413" s="5">
        <v>45334</v>
      </c>
      <c r="D6413" s="4">
        <v>1.4</v>
      </c>
      <c r="E6413" s="4">
        <v>0.48</v>
      </c>
    </row>
    <row r="6414" spans="1:5" x14ac:dyDescent="0.25">
      <c r="A6414" s="4" t="s">
        <v>53</v>
      </c>
      <c r="B6414" s="4" t="s">
        <v>40</v>
      </c>
      <c r="C6414" s="5">
        <v>45334</v>
      </c>
      <c r="D6414" s="4">
        <v>15.4</v>
      </c>
      <c r="E6414" s="4">
        <v>5.35</v>
      </c>
    </row>
    <row r="6415" spans="1:5" x14ac:dyDescent="0.25">
      <c r="A6415" s="4" t="s">
        <v>53</v>
      </c>
      <c r="B6415" s="4" t="s">
        <v>40</v>
      </c>
      <c r="C6415" s="5">
        <v>45334</v>
      </c>
      <c r="D6415" s="4">
        <v>27.3</v>
      </c>
      <c r="E6415" s="4">
        <v>9.49</v>
      </c>
    </row>
    <row r="6416" spans="1:5" x14ac:dyDescent="0.25">
      <c r="A6416" s="4" t="s">
        <v>53</v>
      </c>
      <c r="B6416" s="4" t="s">
        <v>40</v>
      </c>
      <c r="C6416" s="5">
        <v>45334</v>
      </c>
      <c r="D6416" s="4">
        <v>3.6</v>
      </c>
      <c r="E6416" s="4">
        <v>1.25</v>
      </c>
    </row>
    <row r="6417" spans="1:5" x14ac:dyDescent="0.25">
      <c r="A6417" s="4" t="s">
        <v>53</v>
      </c>
      <c r="B6417" s="4" t="s">
        <v>40</v>
      </c>
      <c r="C6417" s="5">
        <v>45334</v>
      </c>
      <c r="D6417" s="4">
        <v>24.1</v>
      </c>
      <c r="E6417" s="4">
        <v>8.3800000000000008</v>
      </c>
    </row>
    <row r="6418" spans="1:5" x14ac:dyDescent="0.25">
      <c r="A6418" s="4" t="s">
        <v>53</v>
      </c>
      <c r="B6418" s="4" t="s">
        <v>40</v>
      </c>
      <c r="C6418" s="5">
        <v>45334</v>
      </c>
      <c r="D6418" s="4">
        <v>24.9</v>
      </c>
      <c r="E6418" s="4">
        <v>8.66</v>
      </c>
    </row>
    <row r="6419" spans="1:5" x14ac:dyDescent="0.25">
      <c r="A6419" s="4" t="s">
        <v>53</v>
      </c>
      <c r="B6419" s="4" t="s">
        <v>40</v>
      </c>
      <c r="C6419" s="5">
        <v>45334</v>
      </c>
      <c r="D6419" s="4">
        <v>1.3</v>
      </c>
      <c r="E6419" s="4">
        <v>0.45</v>
      </c>
    </row>
    <row r="6420" spans="1:5" x14ac:dyDescent="0.25">
      <c r="A6420" s="4" t="s">
        <v>53</v>
      </c>
      <c r="B6420" s="4" t="s">
        <v>40</v>
      </c>
      <c r="C6420" s="5">
        <v>45334</v>
      </c>
      <c r="D6420" s="4">
        <v>1.3</v>
      </c>
      <c r="E6420" s="4">
        <v>0.45</v>
      </c>
    </row>
    <row r="6421" spans="1:5" x14ac:dyDescent="0.25">
      <c r="A6421" s="4" t="s">
        <v>53</v>
      </c>
      <c r="B6421" s="4" t="s">
        <v>40</v>
      </c>
      <c r="C6421" s="5">
        <v>45334</v>
      </c>
      <c r="D6421" s="4">
        <v>19.7</v>
      </c>
      <c r="E6421" s="4">
        <v>6.86</v>
      </c>
    </row>
    <row r="6422" spans="1:5" x14ac:dyDescent="0.25">
      <c r="A6422" s="4" t="s">
        <v>53</v>
      </c>
      <c r="B6422" s="4" t="s">
        <v>40</v>
      </c>
      <c r="C6422" s="5">
        <v>45334</v>
      </c>
      <c r="D6422" s="4">
        <v>29.9</v>
      </c>
      <c r="E6422" s="4">
        <v>10.42</v>
      </c>
    </row>
    <row r="6423" spans="1:5" x14ac:dyDescent="0.25">
      <c r="A6423" s="4" t="s">
        <v>53</v>
      </c>
      <c r="B6423" s="4" t="s">
        <v>40</v>
      </c>
      <c r="C6423" s="5">
        <v>45334</v>
      </c>
      <c r="D6423" s="4">
        <v>1.3</v>
      </c>
      <c r="E6423" s="4">
        <v>0.45</v>
      </c>
    </row>
    <row r="6424" spans="1:5" x14ac:dyDescent="0.25">
      <c r="A6424" s="4" t="s">
        <v>53</v>
      </c>
      <c r="B6424" s="4" t="s">
        <v>40</v>
      </c>
      <c r="C6424" s="5">
        <v>45334</v>
      </c>
      <c r="D6424" s="4">
        <v>1.3</v>
      </c>
      <c r="E6424" s="4">
        <v>0.45</v>
      </c>
    </row>
    <row r="6425" spans="1:5" x14ac:dyDescent="0.25">
      <c r="A6425" s="4" t="s">
        <v>53</v>
      </c>
      <c r="B6425" s="4" t="s">
        <v>40</v>
      </c>
      <c r="C6425" s="5">
        <v>45334</v>
      </c>
      <c r="D6425" s="4">
        <v>8.6999999999999993</v>
      </c>
      <c r="E6425" s="4">
        <v>3.03</v>
      </c>
    </row>
    <row r="6426" spans="1:5" x14ac:dyDescent="0.25">
      <c r="A6426" s="4" t="s">
        <v>53</v>
      </c>
      <c r="B6426" s="4" t="s">
        <v>40</v>
      </c>
      <c r="C6426" s="5">
        <v>45335</v>
      </c>
      <c r="D6426" s="4">
        <v>41.3</v>
      </c>
      <c r="E6426" s="4">
        <v>14.36</v>
      </c>
    </row>
    <row r="6427" spans="1:5" x14ac:dyDescent="0.25">
      <c r="A6427" s="4" t="s">
        <v>53</v>
      </c>
      <c r="B6427" s="4" t="s">
        <v>40</v>
      </c>
      <c r="C6427" s="5">
        <v>45335</v>
      </c>
      <c r="D6427" s="4">
        <v>17.3</v>
      </c>
      <c r="E6427" s="4">
        <v>6.03</v>
      </c>
    </row>
    <row r="6428" spans="1:5" x14ac:dyDescent="0.25">
      <c r="A6428" s="4" t="s">
        <v>53</v>
      </c>
      <c r="B6428" s="4" t="s">
        <v>40</v>
      </c>
      <c r="C6428" s="5">
        <v>45335</v>
      </c>
      <c r="D6428" s="4">
        <v>17.3</v>
      </c>
      <c r="E6428" s="4">
        <v>6.03</v>
      </c>
    </row>
    <row r="6429" spans="1:5" x14ac:dyDescent="0.25">
      <c r="A6429" s="4" t="s">
        <v>53</v>
      </c>
      <c r="B6429" s="4" t="s">
        <v>40</v>
      </c>
      <c r="C6429" s="5">
        <v>45335</v>
      </c>
      <c r="D6429" s="4">
        <v>67.5</v>
      </c>
      <c r="E6429" s="4">
        <v>23.48</v>
      </c>
    </row>
    <row r="6430" spans="1:5" x14ac:dyDescent="0.25">
      <c r="A6430" s="4" t="s">
        <v>53</v>
      </c>
      <c r="B6430" s="4" t="s">
        <v>40</v>
      </c>
      <c r="C6430" s="5">
        <v>45335</v>
      </c>
      <c r="D6430" s="4">
        <v>85.7</v>
      </c>
      <c r="E6430" s="4">
        <v>29.82</v>
      </c>
    </row>
    <row r="6431" spans="1:5" x14ac:dyDescent="0.25">
      <c r="A6431" s="4" t="s">
        <v>53</v>
      </c>
      <c r="B6431" s="4" t="s">
        <v>40</v>
      </c>
      <c r="C6431" s="5">
        <v>45335</v>
      </c>
      <c r="D6431" s="4">
        <v>17.3</v>
      </c>
      <c r="E6431" s="4">
        <v>6.03</v>
      </c>
    </row>
    <row r="6432" spans="1:5" x14ac:dyDescent="0.25">
      <c r="A6432" s="4" t="s">
        <v>53</v>
      </c>
      <c r="B6432" s="4" t="s">
        <v>40</v>
      </c>
      <c r="C6432" s="5">
        <v>45335</v>
      </c>
      <c r="D6432" s="4">
        <v>17.3</v>
      </c>
      <c r="E6432" s="4">
        <v>6.03</v>
      </c>
    </row>
    <row r="6433" spans="1:5" x14ac:dyDescent="0.25">
      <c r="A6433" s="4" t="s">
        <v>53</v>
      </c>
      <c r="B6433" s="4" t="s">
        <v>40</v>
      </c>
      <c r="C6433" s="5">
        <v>45335</v>
      </c>
      <c r="D6433" s="4">
        <v>67.5</v>
      </c>
      <c r="E6433" s="4">
        <v>23.48</v>
      </c>
    </row>
    <row r="6434" spans="1:5" x14ac:dyDescent="0.25">
      <c r="A6434" s="4" t="s">
        <v>53</v>
      </c>
      <c r="B6434" s="4" t="s">
        <v>40</v>
      </c>
      <c r="C6434" s="5">
        <v>45335</v>
      </c>
      <c r="D6434" s="4">
        <v>44.4</v>
      </c>
      <c r="E6434" s="4">
        <v>15.46</v>
      </c>
    </row>
    <row r="6435" spans="1:5" x14ac:dyDescent="0.25">
      <c r="A6435" s="4" t="s">
        <v>53</v>
      </c>
      <c r="B6435" s="4" t="s">
        <v>40</v>
      </c>
      <c r="C6435" s="5">
        <v>45336</v>
      </c>
      <c r="D6435" s="4">
        <v>36.6</v>
      </c>
      <c r="E6435" s="4">
        <v>12.67</v>
      </c>
    </row>
    <row r="6436" spans="1:5" x14ac:dyDescent="0.25">
      <c r="A6436" s="4" t="s">
        <v>53</v>
      </c>
      <c r="B6436" s="4" t="s">
        <v>40</v>
      </c>
      <c r="C6436" s="5">
        <v>45336</v>
      </c>
      <c r="D6436" s="4">
        <v>1</v>
      </c>
      <c r="E6436" s="4">
        <v>0.35</v>
      </c>
    </row>
    <row r="6437" spans="1:5" x14ac:dyDescent="0.25">
      <c r="A6437" s="4" t="s">
        <v>53</v>
      </c>
      <c r="B6437" s="4" t="s">
        <v>40</v>
      </c>
      <c r="C6437" s="5">
        <v>45336</v>
      </c>
      <c r="D6437" s="4">
        <v>5.4</v>
      </c>
      <c r="E6437" s="4">
        <v>1.83</v>
      </c>
    </row>
    <row r="6438" spans="1:5" x14ac:dyDescent="0.25">
      <c r="A6438" s="4" t="s">
        <v>53</v>
      </c>
      <c r="B6438" s="4" t="s">
        <v>40</v>
      </c>
      <c r="C6438" s="5">
        <v>45336</v>
      </c>
      <c r="D6438" s="4">
        <v>26.9</v>
      </c>
      <c r="E6438" s="4">
        <v>9.3699999999999992</v>
      </c>
    </row>
    <row r="6439" spans="1:5" x14ac:dyDescent="0.25">
      <c r="A6439" s="4" t="s">
        <v>53</v>
      </c>
      <c r="B6439" s="4" t="s">
        <v>40</v>
      </c>
      <c r="C6439" s="5">
        <v>45336</v>
      </c>
      <c r="D6439" s="4">
        <v>8.3000000000000007</v>
      </c>
      <c r="E6439" s="4">
        <v>2.89</v>
      </c>
    </row>
    <row r="6440" spans="1:5" x14ac:dyDescent="0.25">
      <c r="A6440" s="4" t="s">
        <v>53</v>
      </c>
      <c r="B6440" s="4" t="s">
        <v>40</v>
      </c>
      <c r="C6440" s="5">
        <v>45336</v>
      </c>
      <c r="D6440" s="4">
        <v>5.4</v>
      </c>
      <c r="E6440" s="4">
        <v>1.82</v>
      </c>
    </row>
    <row r="6441" spans="1:5" x14ac:dyDescent="0.25">
      <c r="A6441" s="4" t="s">
        <v>53</v>
      </c>
      <c r="B6441" s="4" t="s">
        <v>40</v>
      </c>
      <c r="C6441" s="5">
        <v>45336</v>
      </c>
      <c r="D6441" s="4">
        <v>5.4</v>
      </c>
      <c r="E6441" s="4">
        <v>1.83</v>
      </c>
    </row>
    <row r="6442" spans="1:5" x14ac:dyDescent="0.25">
      <c r="A6442" s="4" t="s">
        <v>53</v>
      </c>
      <c r="B6442" s="4" t="s">
        <v>40</v>
      </c>
      <c r="C6442" s="5">
        <v>45336</v>
      </c>
      <c r="D6442" s="4">
        <v>12.5</v>
      </c>
      <c r="E6442" s="4">
        <v>4.3499999999999996</v>
      </c>
    </row>
    <row r="6443" spans="1:5" x14ac:dyDescent="0.25">
      <c r="A6443" s="4" t="s">
        <v>53</v>
      </c>
      <c r="B6443" s="4" t="s">
        <v>40</v>
      </c>
      <c r="C6443" s="5">
        <v>45336</v>
      </c>
      <c r="D6443" s="4">
        <v>19.3</v>
      </c>
      <c r="E6443" s="4">
        <v>6.66</v>
      </c>
    </row>
    <row r="6444" spans="1:5" x14ac:dyDescent="0.25">
      <c r="A6444" s="4" t="s">
        <v>53</v>
      </c>
      <c r="B6444" s="4" t="s">
        <v>40</v>
      </c>
      <c r="C6444" s="5">
        <v>45336</v>
      </c>
      <c r="D6444" s="4">
        <v>19.3</v>
      </c>
      <c r="E6444" s="4">
        <v>6.67</v>
      </c>
    </row>
    <row r="6445" spans="1:5" x14ac:dyDescent="0.25">
      <c r="A6445" s="4" t="s">
        <v>53</v>
      </c>
      <c r="B6445" s="4" t="s">
        <v>40</v>
      </c>
      <c r="C6445" s="5">
        <v>45336</v>
      </c>
      <c r="D6445" s="4">
        <v>19.3</v>
      </c>
      <c r="E6445" s="4">
        <v>6.66</v>
      </c>
    </row>
    <row r="6446" spans="1:5" x14ac:dyDescent="0.25">
      <c r="A6446" s="4" t="s">
        <v>53</v>
      </c>
      <c r="B6446" s="4" t="s">
        <v>40</v>
      </c>
      <c r="C6446" s="5">
        <v>45336</v>
      </c>
      <c r="D6446" s="4">
        <v>19.3</v>
      </c>
      <c r="E6446" s="4">
        <v>6.67</v>
      </c>
    </row>
    <row r="6447" spans="1:5" x14ac:dyDescent="0.25">
      <c r="A6447" s="4" t="s">
        <v>53</v>
      </c>
      <c r="B6447" s="4" t="s">
        <v>40</v>
      </c>
      <c r="C6447" s="5">
        <v>45336</v>
      </c>
      <c r="D6447" s="4">
        <v>1.1000000000000001</v>
      </c>
      <c r="E6447" s="4">
        <v>0.38</v>
      </c>
    </row>
    <row r="6448" spans="1:5" x14ac:dyDescent="0.25">
      <c r="A6448" s="4" t="s">
        <v>53</v>
      </c>
      <c r="B6448" s="4" t="s">
        <v>40</v>
      </c>
      <c r="C6448" s="5">
        <v>45336</v>
      </c>
      <c r="D6448" s="4">
        <v>16</v>
      </c>
      <c r="E6448" s="4">
        <v>5.57</v>
      </c>
    </row>
    <row r="6449" spans="1:5" x14ac:dyDescent="0.25">
      <c r="A6449" s="4" t="s">
        <v>53</v>
      </c>
      <c r="B6449" s="4" t="s">
        <v>40</v>
      </c>
      <c r="C6449" s="5">
        <v>45337</v>
      </c>
      <c r="D6449" s="4">
        <v>31.9</v>
      </c>
      <c r="E6449" s="4">
        <v>11.09</v>
      </c>
    </row>
    <row r="6450" spans="1:5" x14ac:dyDescent="0.25">
      <c r="A6450" s="4" t="s">
        <v>53</v>
      </c>
      <c r="B6450" s="4" t="s">
        <v>40</v>
      </c>
      <c r="C6450" s="5">
        <v>45337</v>
      </c>
      <c r="D6450" s="4">
        <v>20.3</v>
      </c>
      <c r="E6450" s="4">
        <v>7.06</v>
      </c>
    </row>
    <row r="6451" spans="1:5" x14ac:dyDescent="0.25">
      <c r="A6451" s="4" t="s">
        <v>53</v>
      </c>
      <c r="B6451" s="4" t="s">
        <v>40</v>
      </c>
      <c r="C6451" s="5">
        <v>45337</v>
      </c>
      <c r="D6451" s="4">
        <v>17.3</v>
      </c>
      <c r="E6451" s="4">
        <v>6.03</v>
      </c>
    </row>
    <row r="6452" spans="1:5" x14ac:dyDescent="0.25">
      <c r="A6452" s="4" t="s">
        <v>53</v>
      </c>
      <c r="B6452" s="4" t="s">
        <v>40</v>
      </c>
      <c r="C6452" s="5">
        <v>45337</v>
      </c>
      <c r="D6452" s="4">
        <v>67.5</v>
      </c>
      <c r="E6452" s="4">
        <v>23.48</v>
      </c>
    </row>
    <row r="6453" spans="1:5" x14ac:dyDescent="0.25">
      <c r="A6453" s="4" t="s">
        <v>53</v>
      </c>
      <c r="B6453" s="4" t="s">
        <v>40</v>
      </c>
      <c r="C6453" s="5">
        <v>45337</v>
      </c>
      <c r="D6453" s="4">
        <v>115.7</v>
      </c>
      <c r="E6453" s="4">
        <v>40.17</v>
      </c>
    </row>
    <row r="6454" spans="1:5" x14ac:dyDescent="0.25">
      <c r="A6454" s="4" t="s">
        <v>53</v>
      </c>
      <c r="B6454" s="4" t="s">
        <v>40</v>
      </c>
      <c r="C6454" s="5">
        <v>45337</v>
      </c>
      <c r="D6454" s="4">
        <v>17.3</v>
      </c>
      <c r="E6454" s="4">
        <v>6.03</v>
      </c>
    </row>
    <row r="6455" spans="1:5" x14ac:dyDescent="0.25">
      <c r="A6455" s="4" t="s">
        <v>53</v>
      </c>
      <c r="B6455" s="4" t="s">
        <v>40</v>
      </c>
      <c r="C6455" s="5">
        <v>45337</v>
      </c>
      <c r="D6455" s="4">
        <v>67.5</v>
      </c>
      <c r="E6455" s="4">
        <v>23.48</v>
      </c>
    </row>
    <row r="6456" spans="1:5" x14ac:dyDescent="0.25">
      <c r="A6456" s="4" t="s">
        <v>53</v>
      </c>
      <c r="B6456" s="4" t="s">
        <v>40</v>
      </c>
      <c r="C6456" s="5">
        <v>45337</v>
      </c>
      <c r="D6456" s="4">
        <v>44.4</v>
      </c>
      <c r="E6456" s="4">
        <v>15.46</v>
      </c>
    </row>
    <row r="6457" spans="1:5" x14ac:dyDescent="0.25">
      <c r="A6457" s="4" t="s">
        <v>53</v>
      </c>
      <c r="B6457" s="4" t="s">
        <v>41</v>
      </c>
      <c r="C6457" s="5">
        <v>45307</v>
      </c>
      <c r="D6457" s="4">
        <v>15.4</v>
      </c>
      <c r="E6457" s="4">
        <v>5.35</v>
      </c>
    </row>
    <row r="6458" spans="1:5" x14ac:dyDescent="0.25">
      <c r="A6458" s="4" t="s">
        <v>53</v>
      </c>
      <c r="B6458" s="4" t="s">
        <v>41</v>
      </c>
      <c r="C6458" s="5">
        <v>45307</v>
      </c>
      <c r="D6458" s="4">
        <v>40.5</v>
      </c>
      <c r="E6458" s="4">
        <v>14.09</v>
      </c>
    </row>
    <row r="6459" spans="1:5" x14ac:dyDescent="0.25">
      <c r="A6459" s="4" t="s">
        <v>53</v>
      </c>
      <c r="B6459" s="4" t="s">
        <v>41</v>
      </c>
      <c r="C6459" s="5">
        <v>45307</v>
      </c>
      <c r="D6459" s="4">
        <v>0.6</v>
      </c>
      <c r="E6459" s="4">
        <v>0.2</v>
      </c>
    </row>
    <row r="6460" spans="1:5" x14ac:dyDescent="0.25">
      <c r="A6460" s="4" t="s">
        <v>53</v>
      </c>
      <c r="B6460" s="4" t="s">
        <v>41</v>
      </c>
      <c r="C6460" s="5">
        <v>45307</v>
      </c>
      <c r="D6460" s="4">
        <v>53.9</v>
      </c>
      <c r="E6460" s="4">
        <v>18.75</v>
      </c>
    </row>
    <row r="6461" spans="1:5" x14ac:dyDescent="0.25">
      <c r="A6461" s="4" t="s">
        <v>53</v>
      </c>
      <c r="B6461" s="4" t="s">
        <v>41</v>
      </c>
      <c r="C6461" s="5">
        <v>45307</v>
      </c>
      <c r="D6461" s="4">
        <v>40.5</v>
      </c>
      <c r="E6461" s="4">
        <v>14.09</v>
      </c>
    </row>
    <row r="6462" spans="1:5" x14ac:dyDescent="0.25">
      <c r="A6462" s="4" t="s">
        <v>53</v>
      </c>
      <c r="B6462" s="4" t="s">
        <v>41</v>
      </c>
      <c r="C6462" s="5">
        <v>45307</v>
      </c>
      <c r="D6462" s="4">
        <v>0.6</v>
      </c>
      <c r="E6462" s="4">
        <v>0.2</v>
      </c>
    </row>
    <row r="6463" spans="1:5" x14ac:dyDescent="0.25">
      <c r="A6463" s="4" t="s">
        <v>53</v>
      </c>
      <c r="B6463" s="4" t="s">
        <v>41</v>
      </c>
      <c r="C6463" s="5">
        <v>45307</v>
      </c>
      <c r="D6463" s="4">
        <v>53.9</v>
      </c>
      <c r="E6463" s="4">
        <v>18.75</v>
      </c>
    </row>
    <row r="6464" spans="1:5" x14ac:dyDescent="0.25">
      <c r="A6464" s="4" t="s">
        <v>53</v>
      </c>
      <c r="B6464" s="4" t="s">
        <v>41</v>
      </c>
      <c r="C6464" s="5">
        <v>45307</v>
      </c>
      <c r="D6464" s="4">
        <v>40.5</v>
      </c>
      <c r="E6464" s="4">
        <v>14.09</v>
      </c>
    </row>
    <row r="6465" spans="1:5" x14ac:dyDescent="0.25">
      <c r="A6465" s="4" t="s">
        <v>53</v>
      </c>
      <c r="B6465" s="4" t="s">
        <v>41</v>
      </c>
      <c r="C6465" s="5">
        <v>45307</v>
      </c>
      <c r="D6465" s="4">
        <v>0.6</v>
      </c>
      <c r="E6465" s="4">
        <v>0.2</v>
      </c>
    </row>
    <row r="6466" spans="1:5" x14ac:dyDescent="0.25">
      <c r="A6466" s="4" t="s">
        <v>53</v>
      </c>
      <c r="B6466" s="4" t="s">
        <v>41</v>
      </c>
      <c r="C6466" s="5">
        <v>45307</v>
      </c>
      <c r="D6466" s="4">
        <v>53.9</v>
      </c>
      <c r="E6466" s="4">
        <v>18.75</v>
      </c>
    </row>
    <row r="6467" spans="1:5" x14ac:dyDescent="0.25">
      <c r="A6467" s="4" t="s">
        <v>53</v>
      </c>
      <c r="B6467" s="4" t="s">
        <v>41</v>
      </c>
      <c r="C6467" s="5">
        <v>45307</v>
      </c>
      <c r="D6467" s="4">
        <v>40.5</v>
      </c>
      <c r="E6467" s="4">
        <v>14.09</v>
      </c>
    </row>
    <row r="6468" spans="1:5" x14ac:dyDescent="0.25">
      <c r="A6468" s="4" t="s">
        <v>53</v>
      </c>
      <c r="B6468" s="4" t="s">
        <v>41</v>
      </c>
      <c r="C6468" s="5">
        <v>45307</v>
      </c>
      <c r="D6468" s="4">
        <v>0.6</v>
      </c>
      <c r="E6468" s="4">
        <v>0.2</v>
      </c>
    </row>
    <row r="6469" spans="1:5" x14ac:dyDescent="0.25">
      <c r="A6469" s="4" t="s">
        <v>53</v>
      </c>
      <c r="B6469" s="4" t="s">
        <v>41</v>
      </c>
      <c r="C6469" s="5">
        <v>45307</v>
      </c>
      <c r="D6469" s="4">
        <v>38.5</v>
      </c>
      <c r="E6469" s="4">
        <v>13.4</v>
      </c>
    </row>
    <row r="6470" spans="1:5" x14ac:dyDescent="0.25">
      <c r="A6470" s="4" t="s">
        <v>53</v>
      </c>
      <c r="B6470" s="4" t="s">
        <v>41</v>
      </c>
      <c r="C6470" s="5">
        <v>45308</v>
      </c>
      <c r="D6470" s="4">
        <v>15.4</v>
      </c>
      <c r="E6470" s="4">
        <v>5.35</v>
      </c>
    </row>
    <row r="6471" spans="1:5" x14ac:dyDescent="0.25">
      <c r="A6471" s="4" t="s">
        <v>53</v>
      </c>
      <c r="B6471" s="4" t="s">
        <v>41</v>
      </c>
      <c r="C6471" s="5">
        <v>45308</v>
      </c>
      <c r="D6471" s="4">
        <v>40.5</v>
      </c>
      <c r="E6471" s="4">
        <v>14.09</v>
      </c>
    </row>
    <row r="6472" spans="1:5" x14ac:dyDescent="0.25">
      <c r="A6472" s="4" t="s">
        <v>53</v>
      </c>
      <c r="B6472" s="4" t="s">
        <v>41</v>
      </c>
      <c r="C6472" s="5">
        <v>45308</v>
      </c>
      <c r="D6472" s="4">
        <v>0.6</v>
      </c>
      <c r="E6472" s="4">
        <v>0.2</v>
      </c>
    </row>
    <row r="6473" spans="1:5" x14ac:dyDescent="0.25">
      <c r="A6473" s="4" t="s">
        <v>53</v>
      </c>
      <c r="B6473" s="4" t="s">
        <v>41</v>
      </c>
      <c r="C6473" s="5">
        <v>45308</v>
      </c>
      <c r="D6473" s="4">
        <v>53.4</v>
      </c>
      <c r="E6473" s="4">
        <v>18.61</v>
      </c>
    </row>
    <row r="6474" spans="1:5" x14ac:dyDescent="0.25">
      <c r="A6474" s="4" t="s">
        <v>53</v>
      </c>
      <c r="B6474" s="4" t="s">
        <v>41</v>
      </c>
      <c r="C6474" s="5">
        <v>45308</v>
      </c>
      <c r="D6474" s="4">
        <v>40.5</v>
      </c>
      <c r="E6474" s="4">
        <v>14.09</v>
      </c>
    </row>
    <row r="6475" spans="1:5" x14ac:dyDescent="0.25">
      <c r="A6475" s="4" t="s">
        <v>53</v>
      </c>
      <c r="B6475" s="4" t="s">
        <v>41</v>
      </c>
      <c r="C6475" s="5">
        <v>45308</v>
      </c>
      <c r="D6475" s="4">
        <v>0.6</v>
      </c>
      <c r="E6475" s="4">
        <v>0.2</v>
      </c>
    </row>
    <row r="6476" spans="1:5" x14ac:dyDescent="0.25">
      <c r="A6476" s="4" t="s">
        <v>53</v>
      </c>
      <c r="B6476" s="4" t="s">
        <v>41</v>
      </c>
      <c r="C6476" s="5">
        <v>45308</v>
      </c>
      <c r="D6476" s="4">
        <v>53.9</v>
      </c>
      <c r="E6476" s="4">
        <v>18.75</v>
      </c>
    </row>
    <row r="6477" spans="1:5" x14ac:dyDescent="0.25">
      <c r="A6477" s="4" t="s">
        <v>53</v>
      </c>
      <c r="B6477" s="4" t="s">
        <v>41</v>
      </c>
      <c r="C6477" s="5">
        <v>45308</v>
      </c>
      <c r="D6477" s="4">
        <v>40.5</v>
      </c>
      <c r="E6477" s="4">
        <v>14.09</v>
      </c>
    </row>
    <row r="6478" spans="1:5" x14ac:dyDescent="0.25">
      <c r="A6478" s="4" t="s">
        <v>53</v>
      </c>
      <c r="B6478" s="4" t="s">
        <v>41</v>
      </c>
      <c r="C6478" s="5">
        <v>45308</v>
      </c>
      <c r="D6478" s="4">
        <v>0.6</v>
      </c>
      <c r="E6478" s="4">
        <v>0.2</v>
      </c>
    </row>
    <row r="6479" spans="1:5" x14ac:dyDescent="0.25">
      <c r="A6479" s="4" t="s">
        <v>53</v>
      </c>
      <c r="B6479" s="4" t="s">
        <v>41</v>
      </c>
      <c r="C6479" s="5">
        <v>45308</v>
      </c>
      <c r="D6479" s="4">
        <v>53.9</v>
      </c>
      <c r="E6479" s="4">
        <v>18.75</v>
      </c>
    </row>
    <row r="6480" spans="1:5" x14ac:dyDescent="0.25">
      <c r="A6480" s="4" t="s">
        <v>53</v>
      </c>
      <c r="B6480" s="4" t="s">
        <v>41</v>
      </c>
      <c r="C6480" s="5">
        <v>45308</v>
      </c>
      <c r="D6480" s="4">
        <v>40.5</v>
      </c>
      <c r="E6480" s="4">
        <v>14.09</v>
      </c>
    </row>
    <row r="6481" spans="1:5" x14ac:dyDescent="0.25">
      <c r="A6481" s="4" t="s">
        <v>53</v>
      </c>
      <c r="B6481" s="4" t="s">
        <v>41</v>
      </c>
      <c r="C6481" s="5">
        <v>45308</v>
      </c>
      <c r="D6481" s="4">
        <v>0.6</v>
      </c>
      <c r="E6481" s="4">
        <v>0.2</v>
      </c>
    </row>
    <row r="6482" spans="1:5" x14ac:dyDescent="0.25">
      <c r="A6482" s="4" t="s">
        <v>53</v>
      </c>
      <c r="B6482" s="4" t="s">
        <v>41</v>
      </c>
      <c r="C6482" s="5">
        <v>45308</v>
      </c>
      <c r="D6482" s="4">
        <v>38.5</v>
      </c>
      <c r="E6482" s="4">
        <v>13.4</v>
      </c>
    </row>
    <row r="6483" spans="1:5" x14ac:dyDescent="0.25">
      <c r="A6483" s="4" t="s">
        <v>53</v>
      </c>
      <c r="B6483" s="4" t="s">
        <v>41</v>
      </c>
      <c r="C6483" s="5">
        <v>45310</v>
      </c>
      <c r="D6483" s="4">
        <v>14.8</v>
      </c>
      <c r="E6483" s="4">
        <v>5.14</v>
      </c>
    </row>
    <row r="6484" spans="1:5" x14ac:dyDescent="0.25">
      <c r="A6484" s="4" t="s">
        <v>53</v>
      </c>
      <c r="B6484" s="4" t="s">
        <v>41</v>
      </c>
      <c r="C6484" s="5">
        <v>45310</v>
      </c>
      <c r="D6484" s="4">
        <v>29.1</v>
      </c>
      <c r="E6484" s="4">
        <v>10.119999999999999</v>
      </c>
    </row>
    <row r="6485" spans="1:5" x14ac:dyDescent="0.25">
      <c r="A6485" s="4" t="s">
        <v>53</v>
      </c>
      <c r="B6485" s="4" t="s">
        <v>41</v>
      </c>
      <c r="C6485" s="5">
        <v>45310</v>
      </c>
      <c r="D6485" s="4">
        <v>14.2</v>
      </c>
      <c r="E6485" s="4">
        <v>4.91</v>
      </c>
    </row>
    <row r="6486" spans="1:5" x14ac:dyDescent="0.25">
      <c r="A6486" s="4" t="s">
        <v>53</v>
      </c>
      <c r="B6486" s="4" t="s">
        <v>41</v>
      </c>
      <c r="C6486" s="5">
        <v>45310</v>
      </c>
      <c r="D6486" s="4">
        <v>0.3</v>
      </c>
      <c r="E6486" s="4">
        <v>0.1</v>
      </c>
    </row>
    <row r="6487" spans="1:5" x14ac:dyDescent="0.25">
      <c r="A6487" s="4" t="s">
        <v>53</v>
      </c>
      <c r="B6487" s="4" t="s">
        <v>41</v>
      </c>
      <c r="C6487" s="5">
        <v>45310</v>
      </c>
      <c r="D6487" s="4">
        <v>1.4</v>
      </c>
      <c r="E6487" s="4">
        <v>0.47</v>
      </c>
    </row>
    <row r="6488" spans="1:5" x14ac:dyDescent="0.25">
      <c r="A6488" s="4" t="s">
        <v>53</v>
      </c>
      <c r="B6488" s="4" t="s">
        <v>41</v>
      </c>
      <c r="C6488" s="5">
        <v>45310</v>
      </c>
      <c r="D6488" s="4">
        <v>1.4</v>
      </c>
      <c r="E6488" s="4">
        <v>0.47</v>
      </c>
    </row>
    <row r="6489" spans="1:5" x14ac:dyDescent="0.25">
      <c r="A6489" s="4" t="s">
        <v>53</v>
      </c>
      <c r="B6489" s="4" t="s">
        <v>41</v>
      </c>
      <c r="C6489" s="5">
        <v>45310</v>
      </c>
      <c r="D6489" s="4">
        <v>16.399999999999999</v>
      </c>
      <c r="E6489" s="4">
        <v>5.71</v>
      </c>
    </row>
    <row r="6490" spans="1:5" x14ac:dyDescent="0.25">
      <c r="A6490" s="4" t="s">
        <v>53</v>
      </c>
      <c r="B6490" s="4" t="s">
        <v>41</v>
      </c>
      <c r="C6490" s="5">
        <v>45313</v>
      </c>
      <c r="D6490" s="4">
        <v>0.9</v>
      </c>
      <c r="E6490" s="4">
        <v>0.31</v>
      </c>
    </row>
    <row r="6491" spans="1:5" x14ac:dyDescent="0.25">
      <c r="A6491" s="4" t="s">
        <v>53</v>
      </c>
      <c r="B6491" s="4" t="s">
        <v>41</v>
      </c>
      <c r="C6491" s="5">
        <v>45313</v>
      </c>
      <c r="D6491" s="4">
        <v>1.4</v>
      </c>
      <c r="E6491" s="4">
        <v>0.47</v>
      </c>
    </row>
    <row r="6492" spans="1:5" x14ac:dyDescent="0.25">
      <c r="A6492" s="4" t="s">
        <v>53</v>
      </c>
      <c r="B6492" s="4" t="s">
        <v>41</v>
      </c>
      <c r="C6492" s="5">
        <v>45313</v>
      </c>
      <c r="D6492" s="4">
        <v>1.4</v>
      </c>
      <c r="E6492" s="4">
        <v>0.47</v>
      </c>
    </row>
    <row r="6493" spans="1:5" x14ac:dyDescent="0.25">
      <c r="A6493" s="4" t="s">
        <v>53</v>
      </c>
      <c r="B6493" s="4" t="s">
        <v>41</v>
      </c>
      <c r="C6493" s="5">
        <v>45313</v>
      </c>
      <c r="D6493" s="4">
        <v>29.1</v>
      </c>
      <c r="E6493" s="4">
        <v>10.119999999999999</v>
      </c>
    </row>
    <row r="6494" spans="1:5" x14ac:dyDescent="0.25">
      <c r="A6494" s="4" t="s">
        <v>53</v>
      </c>
      <c r="B6494" s="4" t="s">
        <v>41</v>
      </c>
      <c r="C6494" s="5">
        <v>45313</v>
      </c>
      <c r="D6494" s="4">
        <v>40.6</v>
      </c>
      <c r="E6494" s="4">
        <v>14.12</v>
      </c>
    </row>
    <row r="6495" spans="1:5" x14ac:dyDescent="0.25">
      <c r="A6495" s="4" t="s">
        <v>53</v>
      </c>
      <c r="B6495" s="4" t="s">
        <v>41</v>
      </c>
      <c r="C6495" s="5">
        <v>45313</v>
      </c>
      <c r="D6495" s="4">
        <v>29.1</v>
      </c>
      <c r="E6495" s="4">
        <v>10.119999999999999</v>
      </c>
    </row>
    <row r="6496" spans="1:5" x14ac:dyDescent="0.25">
      <c r="A6496" s="4" t="s">
        <v>53</v>
      </c>
      <c r="B6496" s="4" t="s">
        <v>41</v>
      </c>
      <c r="C6496" s="5">
        <v>45313</v>
      </c>
      <c r="D6496" s="4">
        <v>48.3</v>
      </c>
      <c r="E6496" s="4">
        <v>16.8</v>
      </c>
    </row>
    <row r="6497" spans="1:5" x14ac:dyDescent="0.25">
      <c r="A6497" s="4" t="s">
        <v>53</v>
      </c>
      <c r="B6497" s="4" t="s">
        <v>41</v>
      </c>
      <c r="C6497" s="5">
        <v>45313</v>
      </c>
      <c r="D6497" s="4">
        <v>16.399999999999999</v>
      </c>
      <c r="E6497" s="4">
        <v>5.71</v>
      </c>
    </row>
    <row r="6498" spans="1:5" x14ac:dyDescent="0.25">
      <c r="A6498" s="4" t="s">
        <v>53</v>
      </c>
      <c r="B6498" s="4" t="s">
        <v>41</v>
      </c>
      <c r="C6498" s="5">
        <v>45314</v>
      </c>
      <c r="D6498" s="4">
        <v>0.9</v>
      </c>
      <c r="E6498" s="4">
        <v>0.31</v>
      </c>
    </row>
    <row r="6499" spans="1:5" x14ac:dyDescent="0.25">
      <c r="A6499" s="4" t="s">
        <v>53</v>
      </c>
      <c r="B6499" s="4" t="s">
        <v>41</v>
      </c>
      <c r="C6499" s="5">
        <v>45314</v>
      </c>
      <c r="D6499" s="4">
        <v>29.1</v>
      </c>
      <c r="E6499" s="4">
        <v>10.119999999999999</v>
      </c>
    </row>
    <row r="6500" spans="1:5" x14ac:dyDescent="0.25">
      <c r="A6500" s="4" t="s">
        <v>53</v>
      </c>
      <c r="B6500" s="4" t="s">
        <v>41</v>
      </c>
      <c r="C6500" s="5">
        <v>45314</v>
      </c>
      <c r="D6500" s="4">
        <v>48.7</v>
      </c>
      <c r="E6500" s="4">
        <v>16.93</v>
      </c>
    </row>
    <row r="6501" spans="1:5" x14ac:dyDescent="0.25">
      <c r="A6501" s="4" t="s">
        <v>53</v>
      </c>
      <c r="B6501" s="4" t="s">
        <v>41</v>
      </c>
      <c r="C6501" s="5">
        <v>45314</v>
      </c>
      <c r="D6501" s="4">
        <v>29.1</v>
      </c>
      <c r="E6501" s="4">
        <v>10.119999999999999</v>
      </c>
    </row>
    <row r="6502" spans="1:5" x14ac:dyDescent="0.25">
      <c r="A6502" s="4" t="s">
        <v>53</v>
      </c>
      <c r="B6502" s="4" t="s">
        <v>41</v>
      </c>
      <c r="C6502" s="5">
        <v>45314</v>
      </c>
      <c r="D6502" s="4">
        <v>48.7</v>
      </c>
      <c r="E6502" s="4">
        <v>16.93</v>
      </c>
    </row>
    <row r="6503" spans="1:5" x14ac:dyDescent="0.25">
      <c r="A6503" s="4" t="s">
        <v>53</v>
      </c>
      <c r="B6503" s="4" t="s">
        <v>41</v>
      </c>
      <c r="C6503" s="5">
        <v>45314</v>
      </c>
      <c r="D6503" s="4">
        <v>29.1</v>
      </c>
      <c r="E6503" s="4">
        <v>10.119999999999999</v>
      </c>
    </row>
    <row r="6504" spans="1:5" x14ac:dyDescent="0.25">
      <c r="A6504" s="4" t="s">
        <v>53</v>
      </c>
      <c r="B6504" s="4" t="s">
        <v>41</v>
      </c>
      <c r="C6504" s="5">
        <v>45314</v>
      </c>
      <c r="D6504" s="4">
        <v>48.7</v>
      </c>
      <c r="E6504" s="4">
        <v>16.93</v>
      </c>
    </row>
    <row r="6505" spans="1:5" x14ac:dyDescent="0.25">
      <c r="A6505" s="4" t="s">
        <v>53</v>
      </c>
      <c r="B6505" s="4" t="s">
        <v>41</v>
      </c>
      <c r="C6505" s="5">
        <v>45314</v>
      </c>
      <c r="D6505" s="4">
        <v>28.8</v>
      </c>
      <c r="E6505" s="4">
        <v>10.02</v>
      </c>
    </row>
    <row r="6506" spans="1:5" x14ac:dyDescent="0.25">
      <c r="A6506" s="4" t="s">
        <v>53</v>
      </c>
      <c r="B6506" s="4" t="s">
        <v>41</v>
      </c>
      <c r="C6506" s="5">
        <v>45314</v>
      </c>
      <c r="D6506" s="4">
        <v>44.4</v>
      </c>
      <c r="E6506" s="4">
        <v>15.46</v>
      </c>
    </row>
    <row r="6507" spans="1:5" x14ac:dyDescent="0.25">
      <c r="A6507" s="4" t="s">
        <v>53</v>
      </c>
      <c r="B6507" s="4" t="s">
        <v>41</v>
      </c>
      <c r="C6507" s="5">
        <v>45316</v>
      </c>
      <c r="D6507" s="4">
        <v>9.5</v>
      </c>
      <c r="E6507" s="4">
        <v>3.31</v>
      </c>
    </row>
    <row r="6508" spans="1:5" x14ac:dyDescent="0.25">
      <c r="A6508" s="4" t="s">
        <v>53</v>
      </c>
      <c r="B6508" s="4" t="s">
        <v>41</v>
      </c>
      <c r="C6508" s="5">
        <v>45316</v>
      </c>
      <c r="D6508" s="4">
        <v>8.6999999999999993</v>
      </c>
      <c r="E6508" s="4">
        <v>3.03</v>
      </c>
    </row>
    <row r="6509" spans="1:5" x14ac:dyDescent="0.25">
      <c r="A6509" s="4" t="s">
        <v>53</v>
      </c>
      <c r="B6509" s="4" t="s">
        <v>41</v>
      </c>
      <c r="C6509" s="5">
        <v>45316</v>
      </c>
      <c r="D6509" s="4">
        <v>9.5</v>
      </c>
      <c r="E6509" s="4">
        <v>3.31</v>
      </c>
    </row>
    <row r="6510" spans="1:5" x14ac:dyDescent="0.25">
      <c r="A6510" s="4" t="s">
        <v>53</v>
      </c>
      <c r="B6510" s="4" t="s">
        <v>41</v>
      </c>
      <c r="C6510" s="5">
        <v>45316</v>
      </c>
      <c r="D6510" s="4">
        <v>8.6999999999999993</v>
      </c>
      <c r="E6510" s="4">
        <v>3.03</v>
      </c>
    </row>
    <row r="6511" spans="1:5" x14ac:dyDescent="0.25">
      <c r="A6511" s="4" t="s">
        <v>53</v>
      </c>
      <c r="B6511" s="4" t="s">
        <v>41</v>
      </c>
      <c r="C6511" s="5">
        <v>45316</v>
      </c>
      <c r="D6511" s="4">
        <v>9.5</v>
      </c>
      <c r="E6511" s="4">
        <v>3.31</v>
      </c>
    </row>
    <row r="6512" spans="1:5" x14ac:dyDescent="0.25">
      <c r="A6512" s="4" t="s">
        <v>53</v>
      </c>
      <c r="B6512" s="4" t="s">
        <v>41</v>
      </c>
      <c r="C6512" s="5">
        <v>45316</v>
      </c>
      <c r="D6512" s="4">
        <v>8.6999999999999993</v>
      </c>
      <c r="E6512" s="4">
        <v>3.03</v>
      </c>
    </row>
    <row r="6513" spans="1:5" x14ac:dyDescent="0.25">
      <c r="A6513" s="4" t="s">
        <v>53</v>
      </c>
      <c r="B6513" s="4" t="s">
        <v>41</v>
      </c>
      <c r="C6513" s="5">
        <v>45316</v>
      </c>
      <c r="D6513" s="4">
        <v>9.5</v>
      </c>
      <c r="E6513" s="4">
        <v>3.31</v>
      </c>
    </row>
    <row r="6514" spans="1:5" x14ac:dyDescent="0.25">
      <c r="A6514" s="4" t="s">
        <v>53</v>
      </c>
      <c r="B6514" s="4" t="s">
        <v>41</v>
      </c>
      <c r="C6514" s="5">
        <v>45316</v>
      </c>
      <c r="D6514" s="4">
        <v>8.6999999999999993</v>
      </c>
      <c r="E6514" s="4">
        <v>3.03</v>
      </c>
    </row>
    <row r="6515" spans="1:5" x14ac:dyDescent="0.25">
      <c r="A6515" s="4" t="s">
        <v>53</v>
      </c>
      <c r="B6515" s="4" t="s">
        <v>41</v>
      </c>
      <c r="C6515" s="5">
        <v>45316</v>
      </c>
      <c r="D6515" s="4">
        <v>9.5</v>
      </c>
      <c r="E6515" s="4">
        <v>3.31</v>
      </c>
    </row>
    <row r="6516" spans="1:5" x14ac:dyDescent="0.25">
      <c r="A6516" s="4" t="s">
        <v>53</v>
      </c>
      <c r="B6516" s="4" t="s">
        <v>41</v>
      </c>
      <c r="C6516" s="5">
        <v>45316</v>
      </c>
      <c r="D6516" s="4">
        <v>8.6999999999999993</v>
      </c>
      <c r="E6516" s="4">
        <v>3.03</v>
      </c>
    </row>
    <row r="6517" spans="1:5" x14ac:dyDescent="0.25">
      <c r="A6517" s="4" t="s">
        <v>53</v>
      </c>
      <c r="B6517" s="4" t="s">
        <v>41</v>
      </c>
      <c r="C6517" s="5">
        <v>45317</v>
      </c>
      <c r="D6517" s="4">
        <v>15.4</v>
      </c>
      <c r="E6517" s="4">
        <v>5.35</v>
      </c>
    </row>
    <row r="6518" spans="1:5" x14ac:dyDescent="0.25">
      <c r="A6518" s="4" t="s">
        <v>53</v>
      </c>
      <c r="B6518" s="4" t="s">
        <v>41</v>
      </c>
      <c r="C6518" s="5">
        <v>45317</v>
      </c>
      <c r="D6518" s="4">
        <v>17.3</v>
      </c>
      <c r="E6518" s="4">
        <v>6.02</v>
      </c>
    </row>
    <row r="6519" spans="1:5" x14ac:dyDescent="0.25">
      <c r="A6519" s="4" t="s">
        <v>53</v>
      </c>
      <c r="B6519" s="4" t="s">
        <v>41</v>
      </c>
      <c r="C6519" s="5">
        <v>45317</v>
      </c>
      <c r="D6519" s="4">
        <v>17.3</v>
      </c>
      <c r="E6519" s="4">
        <v>6.02</v>
      </c>
    </row>
    <row r="6520" spans="1:5" x14ac:dyDescent="0.25">
      <c r="A6520" s="4" t="s">
        <v>53</v>
      </c>
      <c r="B6520" s="4" t="s">
        <v>41</v>
      </c>
      <c r="C6520" s="5">
        <v>45317</v>
      </c>
      <c r="D6520" s="4">
        <v>56</v>
      </c>
      <c r="E6520" s="4">
        <v>19.47</v>
      </c>
    </row>
    <row r="6521" spans="1:5" x14ac:dyDescent="0.25">
      <c r="A6521" s="4" t="s">
        <v>53</v>
      </c>
      <c r="B6521" s="4" t="s">
        <v>41</v>
      </c>
      <c r="C6521" s="5">
        <v>45317</v>
      </c>
      <c r="D6521" s="4">
        <v>57.8</v>
      </c>
      <c r="E6521" s="4">
        <v>20.100000000000001</v>
      </c>
    </row>
    <row r="6522" spans="1:5" x14ac:dyDescent="0.25">
      <c r="A6522" s="4" t="s">
        <v>53</v>
      </c>
      <c r="B6522" s="4" t="s">
        <v>41</v>
      </c>
      <c r="C6522" s="5">
        <v>45317</v>
      </c>
      <c r="D6522" s="4">
        <v>56</v>
      </c>
      <c r="E6522" s="4">
        <v>19.47</v>
      </c>
    </row>
    <row r="6523" spans="1:5" x14ac:dyDescent="0.25">
      <c r="A6523" s="4" t="s">
        <v>53</v>
      </c>
      <c r="B6523" s="4" t="s">
        <v>41</v>
      </c>
      <c r="C6523" s="5">
        <v>45317</v>
      </c>
      <c r="D6523" s="4">
        <v>39.4</v>
      </c>
      <c r="E6523" s="4">
        <v>13.65</v>
      </c>
    </row>
    <row r="6524" spans="1:5" x14ac:dyDescent="0.25">
      <c r="A6524" s="4" t="s">
        <v>53</v>
      </c>
      <c r="B6524" s="4" t="s">
        <v>41</v>
      </c>
      <c r="C6524" s="5">
        <v>45320</v>
      </c>
      <c r="D6524" s="4">
        <v>41.3</v>
      </c>
      <c r="E6524" s="4">
        <v>14.36</v>
      </c>
    </row>
    <row r="6525" spans="1:5" x14ac:dyDescent="0.25">
      <c r="A6525" s="4" t="s">
        <v>53</v>
      </c>
      <c r="B6525" s="4" t="s">
        <v>41</v>
      </c>
      <c r="C6525" s="5">
        <v>45320</v>
      </c>
      <c r="D6525" s="4">
        <v>17.3</v>
      </c>
      <c r="E6525" s="4">
        <v>6.03</v>
      </c>
    </row>
    <row r="6526" spans="1:5" x14ac:dyDescent="0.25">
      <c r="A6526" s="4" t="s">
        <v>53</v>
      </c>
      <c r="B6526" s="4" t="s">
        <v>41</v>
      </c>
      <c r="C6526" s="5">
        <v>45320</v>
      </c>
      <c r="D6526" s="4">
        <v>17.3</v>
      </c>
      <c r="E6526" s="4">
        <v>6.03</v>
      </c>
    </row>
    <row r="6527" spans="1:5" x14ac:dyDescent="0.25">
      <c r="A6527" s="4" t="s">
        <v>53</v>
      </c>
      <c r="B6527" s="4" t="s">
        <v>41</v>
      </c>
      <c r="C6527" s="5">
        <v>45320</v>
      </c>
      <c r="D6527" s="4">
        <v>67.5</v>
      </c>
      <c r="E6527" s="4">
        <v>23.48</v>
      </c>
    </row>
    <row r="6528" spans="1:5" x14ac:dyDescent="0.25">
      <c r="A6528" s="4" t="s">
        <v>53</v>
      </c>
      <c r="B6528" s="4" t="s">
        <v>41</v>
      </c>
      <c r="C6528" s="5">
        <v>45320</v>
      </c>
      <c r="D6528" s="4">
        <v>1.1000000000000001</v>
      </c>
      <c r="E6528" s="4">
        <v>0.38</v>
      </c>
    </row>
    <row r="6529" spans="1:5" x14ac:dyDescent="0.25">
      <c r="A6529" s="4" t="s">
        <v>53</v>
      </c>
      <c r="B6529" s="4" t="s">
        <v>41</v>
      </c>
      <c r="C6529" s="5">
        <v>45320</v>
      </c>
      <c r="D6529" s="4">
        <v>16</v>
      </c>
      <c r="E6529" s="4">
        <v>5.57</v>
      </c>
    </row>
    <row r="6530" spans="1:5" x14ac:dyDescent="0.25">
      <c r="A6530" s="4" t="s">
        <v>53</v>
      </c>
      <c r="B6530" s="4" t="s">
        <v>41</v>
      </c>
      <c r="C6530" s="5">
        <v>45320</v>
      </c>
      <c r="D6530" s="4">
        <v>41.3</v>
      </c>
      <c r="E6530" s="4">
        <v>14.36</v>
      </c>
    </row>
    <row r="6531" spans="1:5" x14ac:dyDescent="0.25">
      <c r="A6531" s="4" t="s">
        <v>53</v>
      </c>
      <c r="B6531" s="4" t="s">
        <v>41</v>
      </c>
      <c r="C6531" s="5">
        <v>45320</v>
      </c>
      <c r="D6531" s="4">
        <v>17.3</v>
      </c>
      <c r="E6531" s="4">
        <v>6.03</v>
      </c>
    </row>
    <row r="6532" spans="1:5" x14ac:dyDescent="0.25">
      <c r="A6532" s="4" t="s">
        <v>53</v>
      </c>
      <c r="B6532" s="4" t="s">
        <v>41</v>
      </c>
      <c r="C6532" s="5">
        <v>45320</v>
      </c>
      <c r="D6532" s="4">
        <v>17.3</v>
      </c>
      <c r="E6532" s="4">
        <v>6.03</v>
      </c>
    </row>
    <row r="6533" spans="1:5" x14ac:dyDescent="0.25">
      <c r="A6533" s="4" t="s">
        <v>53</v>
      </c>
      <c r="B6533" s="4" t="s">
        <v>41</v>
      </c>
      <c r="C6533" s="5">
        <v>45320</v>
      </c>
      <c r="D6533" s="4">
        <v>67.5</v>
      </c>
      <c r="E6533" s="4">
        <v>23.48</v>
      </c>
    </row>
    <row r="6534" spans="1:5" x14ac:dyDescent="0.25">
      <c r="A6534" s="4" t="s">
        <v>53</v>
      </c>
      <c r="B6534" s="4" t="s">
        <v>41</v>
      </c>
      <c r="C6534" s="5">
        <v>45320</v>
      </c>
      <c r="D6534" s="4">
        <v>44.4</v>
      </c>
      <c r="E6534" s="4">
        <v>15.46</v>
      </c>
    </row>
    <row r="6535" spans="1:5" x14ac:dyDescent="0.25">
      <c r="A6535" s="4" t="s">
        <v>53</v>
      </c>
      <c r="B6535" s="4" t="s">
        <v>41</v>
      </c>
      <c r="C6535" s="5">
        <v>45320</v>
      </c>
      <c r="D6535" s="4">
        <v>19.100000000000001</v>
      </c>
      <c r="E6535" s="4">
        <v>6.65</v>
      </c>
    </row>
    <row r="6536" spans="1:5" x14ac:dyDescent="0.25">
      <c r="A6536" s="4" t="s">
        <v>53</v>
      </c>
      <c r="B6536" s="4" t="s">
        <v>41</v>
      </c>
      <c r="C6536" s="5">
        <v>45321</v>
      </c>
      <c r="D6536" s="4">
        <v>19.100000000000001</v>
      </c>
      <c r="E6536" s="4">
        <v>6.65</v>
      </c>
    </row>
    <row r="6537" spans="1:5" x14ac:dyDescent="0.25">
      <c r="A6537" s="4" t="s">
        <v>53</v>
      </c>
      <c r="B6537" s="4" t="s">
        <v>41</v>
      </c>
      <c r="C6537" s="5">
        <v>45322</v>
      </c>
      <c r="D6537" s="4">
        <v>16.8</v>
      </c>
      <c r="E6537" s="4">
        <v>5.85</v>
      </c>
    </row>
    <row r="6538" spans="1:5" x14ac:dyDescent="0.25">
      <c r="A6538" s="4" t="s">
        <v>53</v>
      </c>
      <c r="B6538" s="4" t="s">
        <v>41</v>
      </c>
      <c r="C6538" s="5">
        <v>45322</v>
      </c>
      <c r="D6538" s="4">
        <v>16</v>
      </c>
      <c r="E6538" s="4">
        <v>5.58</v>
      </c>
    </row>
    <row r="6539" spans="1:5" x14ac:dyDescent="0.25">
      <c r="A6539" s="4" t="s">
        <v>53</v>
      </c>
      <c r="B6539" s="4" t="s">
        <v>41</v>
      </c>
      <c r="C6539" s="5">
        <v>45322</v>
      </c>
      <c r="D6539" s="4">
        <v>16</v>
      </c>
      <c r="E6539" s="4">
        <v>5.58</v>
      </c>
    </row>
    <row r="6540" spans="1:5" x14ac:dyDescent="0.25">
      <c r="A6540" s="4" t="s">
        <v>53</v>
      </c>
      <c r="B6540" s="4" t="s">
        <v>41</v>
      </c>
      <c r="C6540" s="5">
        <v>45322</v>
      </c>
      <c r="D6540" s="4">
        <v>16</v>
      </c>
      <c r="E6540" s="4">
        <v>5.58</v>
      </c>
    </row>
    <row r="6541" spans="1:5" x14ac:dyDescent="0.25">
      <c r="A6541" s="4" t="s">
        <v>53</v>
      </c>
      <c r="B6541" s="4" t="s">
        <v>41</v>
      </c>
      <c r="C6541" s="5">
        <v>45322</v>
      </c>
      <c r="D6541" s="4">
        <v>16</v>
      </c>
      <c r="E6541" s="4">
        <v>5.58</v>
      </c>
    </row>
    <row r="6542" spans="1:5" x14ac:dyDescent="0.25">
      <c r="A6542" s="4" t="s">
        <v>53</v>
      </c>
      <c r="B6542" s="4" t="s">
        <v>41</v>
      </c>
      <c r="C6542" s="5">
        <v>45322</v>
      </c>
      <c r="D6542" s="4">
        <v>16</v>
      </c>
      <c r="E6542" s="4">
        <v>5.58</v>
      </c>
    </row>
    <row r="6543" spans="1:5" x14ac:dyDescent="0.25">
      <c r="A6543" s="4" t="s">
        <v>53</v>
      </c>
      <c r="B6543" s="4" t="s">
        <v>41</v>
      </c>
      <c r="C6543" s="5">
        <v>45322</v>
      </c>
      <c r="D6543" s="4">
        <v>16</v>
      </c>
      <c r="E6543" s="4">
        <v>5.58</v>
      </c>
    </row>
    <row r="6544" spans="1:5" x14ac:dyDescent="0.25">
      <c r="A6544" s="4" t="s">
        <v>53</v>
      </c>
      <c r="B6544" s="4" t="s">
        <v>41</v>
      </c>
      <c r="C6544" s="5">
        <v>45322</v>
      </c>
      <c r="D6544" s="4">
        <v>16</v>
      </c>
      <c r="E6544" s="4">
        <v>5.58</v>
      </c>
    </row>
    <row r="6545" spans="1:5" x14ac:dyDescent="0.25">
      <c r="A6545" s="4" t="s">
        <v>53</v>
      </c>
      <c r="B6545" s="4" t="s">
        <v>41</v>
      </c>
      <c r="C6545" s="5">
        <v>45322</v>
      </c>
      <c r="D6545" s="4">
        <v>16</v>
      </c>
      <c r="E6545" s="4">
        <v>5.58</v>
      </c>
    </row>
    <row r="6546" spans="1:5" x14ac:dyDescent="0.25">
      <c r="A6546" s="4" t="s">
        <v>53</v>
      </c>
      <c r="B6546" s="4" t="s">
        <v>41</v>
      </c>
      <c r="C6546" s="5">
        <v>45322</v>
      </c>
      <c r="D6546" s="4">
        <v>16</v>
      </c>
      <c r="E6546" s="4">
        <v>5.58</v>
      </c>
    </row>
    <row r="6547" spans="1:5" x14ac:dyDescent="0.25">
      <c r="A6547" s="4" t="s">
        <v>53</v>
      </c>
      <c r="B6547" s="4" t="s">
        <v>41</v>
      </c>
      <c r="C6547" s="5">
        <v>45322</v>
      </c>
      <c r="D6547" s="4">
        <v>30.6</v>
      </c>
      <c r="E6547" s="4">
        <v>10.67</v>
      </c>
    </row>
    <row r="6548" spans="1:5" x14ac:dyDescent="0.25">
      <c r="A6548" s="4" t="s">
        <v>53</v>
      </c>
      <c r="B6548" s="4" t="s">
        <v>41</v>
      </c>
      <c r="C6548" s="5">
        <v>45323</v>
      </c>
      <c r="D6548" s="4">
        <v>9.5</v>
      </c>
      <c r="E6548" s="4">
        <v>3.31</v>
      </c>
    </row>
    <row r="6549" spans="1:5" x14ac:dyDescent="0.25">
      <c r="A6549" s="4" t="s">
        <v>53</v>
      </c>
      <c r="B6549" s="4" t="s">
        <v>41</v>
      </c>
      <c r="C6549" s="5">
        <v>45323</v>
      </c>
      <c r="D6549" s="4">
        <v>1.3</v>
      </c>
      <c r="E6549" s="4">
        <v>0.45</v>
      </c>
    </row>
    <row r="6550" spans="1:5" x14ac:dyDescent="0.25">
      <c r="A6550" s="4" t="s">
        <v>53</v>
      </c>
      <c r="B6550" s="4" t="s">
        <v>41</v>
      </c>
      <c r="C6550" s="5">
        <v>45323</v>
      </c>
      <c r="D6550" s="4">
        <v>3.6</v>
      </c>
      <c r="E6550" s="4">
        <v>1.25</v>
      </c>
    </row>
    <row r="6551" spans="1:5" x14ac:dyDescent="0.25">
      <c r="A6551" s="4" t="s">
        <v>53</v>
      </c>
      <c r="B6551" s="4" t="s">
        <v>41</v>
      </c>
      <c r="C6551" s="5">
        <v>45323</v>
      </c>
      <c r="D6551" s="4">
        <v>24.1</v>
      </c>
      <c r="E6551" s="4">
        <v>8.3800000000000008</v>
      </c>
    </row>
    <row r="6552" spans="1:5" x14ac:dyDescent="0.25">
      <c r="A6552" s="4" t="s">
        <v>53</v>
      </c>
      <c r="B6552" s="4" t="s">
        <v>41</v>
      </c>
      <c r="C6552" s="5">
        <v>45323</v>
      </c>
      <c r="D6552" s="4">
        <v>15.8</v>
      </c>
      <c r="E6552" s="4">
        <v>5.5</v>
      </c>
    </row>
    <row r="6553" spans="1:5" x14ac:dyDescent="0.25">
      <c r="A6553" s="4" t="s">
        <v>53</v>
      </c>
      <c r="B6553" s="4" t="s">
        <v>41</v>
      </c>
      <c r="C6553" s="5">
        <v>45323</v>
      </c>
      <c r="D6553" s="4">
        <v>15.8</v>
      </c>
      <c r="E6553" s="4">
        <v>5.5</v>
      </c>
    </row>
    <row r="6554" spans="1:5" x14ac:dyDescent="0.25">
      <c r="A6554" s="4" t="s">
        <v>53</v>
      </c>
      <c r="B6554" s="4" t="s">
        <v>41</v>
      </c>
      <c r="C6554" s="5">
        <v>45323</v>
      </c>
      <c r="D6554" s="4">
        <v>15.8</v>
      </c>
      <c r="E6554" s="4">
        <v>5.5</v>
      </c>
    </row>
    <row r="6555" spans="1:5" x14ac:dyDescent="0.25">
      <c r="A6555" s="4" t="s">
        <v>53</v>
      </c>
      <c r="B6555" s="4" t="s">
        <v>41</v>
      </c>
      <c r="C6555" s="5">
        <v>45323</v>
      </c>
      <c r="D6555" s="4">
        <v>15.8</v>
      </c>
      <c r="E6555" s="4">
        <v>5.5</v>
      </c>
    </row>
    <row r="6556" spans="1:5" x14ac:dyDescent="0.25">
      <c r="A6556" s="4" t="s">
        <v>53</v>
      </c>
      <c r="B6556" s="4" t="s">
        <v>41</v>
      </c>
      <c r="C6556" s="5">
        <v>45323</v>
      </c>
      <c r="D6556" s="4">
        <v>15.4</v>
      </c>
      <c r="E6556" s="4">
        <v>5.35</v>
      </c>
    </row>
    <row r="6557" spans="1:5" x14ac:dyDescent="0.25">
      <c r="A6557" s="4" t="s">
        <v>53</v>
      </c>
      <c r="B6557" s="4" t="s">
        <v>41</v>
      </c>
      <c r="C6557" s="5">
        <v>45323</v>
      </c>
      <c r="D6557" s="4">
        <v>15.4</v>
      </c>
      <c r="E6557" s="4">
        <v>5.35</v>
      </c>
    </row>
    <row r="6558" spans="1:5" x14ac:dyDescent="0.25">
      <c r="A6558" s="4" t="s">
        <v>53</v>
      </c>
      <c r="B6558" s="4" t="s">
        <v>41</v>
      </c>
      <c r="C6558" s="5">
        <v>45323</v>
      </c>
      <c r="D6558" s="4">
        <v>15.4</v>
      </c>
      <c r="E6558" s="4">
        <v>5.35</v>
      </c>
    </row>
    <row r="6559" spans="1:5" x14ac:dyDescent="0.25">
      <c r="A6559" s="4" t="s">
        <v>53</v>
      </c>
      <c r="B6559" s="4" t="s">
        <v>41</v>
      </c>
      <c r="C6559" s="5">
        <v>45323</v>
      </c>
      <c r="D6559" s="4">
        <v>15.4</v>
      </c>
      <c r="E6559" s="4">
        <v>5.35</v>
      </c>
    </row>
    <row r="6560" spans="1:5" x14ac:dyDescent="0.25">
      <c r="A6560" s="4" t="s">
        <v>53</v>
      </c>
      <c r="B6560" s="4" t="s">
        <v>41</v>
      </c>
      <c r="C6560" s="5">
        <v>45323</v>
      </c>
      <c r="D6560" s="4">
        <v>15.4</v>
      </c>
      <c r="E6560" s="4">
        <v>5.35</v>
      </c>
    </row>
    <row r="6561" spans="1:5" x14ac:dyDescent="0.25">
      <c r="A6561" s="4" t="s">
        <v>53</v>
      </c>
      <c r="B6561" s="4" t="s">
        <v>41</v>
      </c>
      <c r="C6561" s="5">
        <v>45323</v>
      </c>
      <c r="D6561" s="4">
        <v>15.4</v>
      </c>
      <c r="E6561" s="4">
        <v>5.35</v>
      </c>
    </row>
    <row r="6562" spans="1:5" x14ac:dyDescent="0.25">
      <c r="A6562" s="4" t="s">
        <v>53</v>
      </c>
      <c r="B6562" s="4" t="s">
        <v>41</v>
      </c>
      <c r="C6562" s="5">
        <v>45323</v>
      </c>
      <c r="D6562" s="4">
        <v>15.4</v>
      </c>
      <c r="E6562" s="4">
        <v>5.35</v>
      </c>
    </row>
    <row r="6563" spans="1:5" x14ac:dyDescent="0.25">
      <c r="A6563" s="4" t="s">
        <v>53</v>
      </c>
      <c r="B6563" s="4" t="s">
        <v>41</v>
      </c>
      <c r="C6563" s="5">
        <v>45324</v>
      </c>
      <c r="D6563" s="4">
        <v>2.4</v>
      </c>
      <c r="E6563" s="4">
        <v>0.81</v>
      </c>
    </row>
    <row r="6564" spans="1:5" x14ac:dyDescent="0.25">
      <c r="A6564" s="4" t="s">
        <v>53</v>
      </c>
      <c r="B6564" s="4" t="s">
        <v>41</v>
      </c>
      <c r="C6564" s="5">
        <v>45324</v>
      </c>
      <c r="D6564" s="4">
        <v>0.5</v>
      </c>
      <c r="E6564" s="4">
        <v>0.17</v>
      </c>
    </row>
    <row r="6565" spans="1:5" x14ac:dyDescent="0.25">
      <c r="A6565" s="4" t="s">
        <v>53</v>
      </c>
      <c r="B6565" s="4" t="s">
        <v>41</v>
      </c>
      <c r="C6565" s="5">
        <v>45324</v>
      </c>
      <c r="D6565" s="4">
        <v>19.600000000000001</v>
      </c>
      <c r="E6565" s="4">
        <v>6.84</v>
      </c>
    </row>
    <row r="6566" spans="1:5" x14ac:dyDescent="0.25">
      <c r="A6566" s="4" t="s">
        <v>53</v>
      </c>
      <c r="B6566" s="4" t="s">
        <v>41</v>
      </c>
      <c r="C6566" s="5">
        <v>45324</v>
      </c>
      <c r="D6566" s="4">
        <v>31</v>
      </c>
      <c r="E6566" s="4">
        <v>10.8</v>
      </c>
    </row>
    <row r="6567" spans="1:5" x14ac:dyDescent="0.25">
      <c r="A6567" s="4" t="s">
        <v>53</v>
      </c>
      <c r="B6567" s="4" t="s">
        <v>41</v>
      </c>
      <c r="C6567" s="5">
        <v>45324</v>
      </c>
      <c r="D6567" s="4">
        <v>8.8000000000000007</v>
      </c>
      <c r="E6567" s="4">
        <v>3.06</v>
      </c>
    </row>
    <row r="6568" spans="1:5" x14ac:dyDescent="0.25">
      <c r="A6568" s="4" t="s">
        <v>53</v>
      </c>
      <c r="B6568" s="4" t="s">
        <v>41</v>
      </c>
      <c r="C6568" s="5">
        <v>45327</v>
      </c>
      <c r="D6568" s="4">
        <v>15.9</v>
      </c>
      <c r="E6568" s="4">
        <v>5.51</v>
      </c>
    </row>
    <row r="6569" spans="1:5" x14ac:dyDescent="0.25">
      <c r="A6569" s="4" t="s">
        <v>53</v>
      </c>
      <c r="B6569" s="4" t="s">
        <v>41</v>
      </c>
      <c r="C6569" s="5">
        <v>45327</v>
      </c>
      <c r="D6569" s="4">
        <v>1.4</v>
      </c>
      <c r="E6569" s="4">
        <v>0.47</v>
      </c>
    </row>
    <row r="6570" spans="1:5" x14ac:dyDescent="0.25">
      <c r="A6570" s="4" t="s">
        <v>53</v>
      </c>
      <c r="B6570" s="4" t="s">
        <v>41</v>
      </c>
      <c r="C6570" s="5">
        <v>45327</v>
      </c>
      <c r="D6570" s="4">
        <v>1.4</v>
      </c>
      <c r="E6570" s="4">
        <v>0.47</v>
      </c>
    </row>
    <row r="6571" spans="1:5" x14ac:dyDescent="0.25">
      <c r="A6571" s="4" t="s">
        <v>53</v>
      </c>
      <c r="B6571" s="4" t="s">
        <v>41</v>
      </c>
      <c r="C6571" s="5">
        <v>45327</v>
      </c>
      <c r="D6571" s="4">
        <v>0.3</v>
      </c>
      <c r="E6571" s="4">
        <v>0.1</v>
      </c>
    </row>
    <row r="6572" spans="1:5" x14ac:dyDescent="0.25">
      <c r="A6572" s="4" t="s">
        <v>53</v>
      </c>
      <c r="B6572" s="4" t="s">
        <v>41</v>
      </c>
      <c r="C6572" s="5">
        <v>45327</v>
      </c>
      <c r="D6572" s="4">
        <v>1.4</v>
      </c>
      <c r="E6572" s="4">
        <v>0.47</v>
      </c>
    </row>
    <row r="6573" spans="1:5" x14ac:dyDescent="0.25">
      <c r="A6573" s="4" t="s">
        <v>53</v>
      </c>
      <c r="B6573" s="4" t="s">
        <v>41</v>
      </c>
      <c r="C6573" s="5">
        <v>45327</v>
      </c>
      <c r="D6573" s="4">
        <v>1.3</v>
      </c>
      <c r="E6573" s="4">
        <v>0.44</v>
      </c>
    </row>
    <row r="6574" spans="1:5" x14ac:dyDescent="0.25">
      <c r="A6574" s="4" t="s">
        <v>53</v>
      </c>
      <c r="B6574" s="4" t="s">
        <v>41</v>
      </c>
      <c r="C6574" s="5">
        <v>45327</v>
      </c>
      <c r="D6574" s="4">
        <v>16.399999999999999</v>
      </c>
      <c r="E6574" s="4">
        <v>5.71</v>
      </c>
    </row>
    <row r="6575" spans="1:5" x14ac:dyDescent="0.25">
      <c r="A6575" s="4" t="s">
        <v>53</v>
      </c>
      <c r="B6575" s="4" t="s">
        <v>41</v>
      </c>
      <c r="C6575" s="5">
        <v>45328</v>
      </c>
      <c r="D6575" s="4">
        <v>15.9</v>
      </c>
      <c r="E6575" s="4">
        <v>5.51</v>
      </c>
    </row>
    <row r="6576" spans="1:5" x14ac:dyDescent="0.25">
      <c r="A6576" s="4" t="s">
        <v>53</v>
      </c>
      <c r="B6576" s="4" t="s">
        <v>41</v>
      </c>
      <c r="C6576" s="5">
        <v>45328</v>
      </c>
      <c r="D6576" s="4">
        <v>1.4</v>
      </c>
      <c r="E6576" s="4">
        <v>0.47</v>
      </c>
    </row>
    <row r="6577" spans="1:5" x14ac:dyDescent="0.25">
      <c r="A6577" s="4" t="s">
        <v>53</v>
      </c>
      <c r="B6577" s="4" t="s">
        <v>41</v>
      </c>
      <c r="C6577" s="5">
        <v>45328</v>
      </c>
      <c r="D6577" s="4">
        <v>1.4</v>
      </c>
      <c r="E6577" s="4">
        <v>0.47</v>
      </c>
    </row>
    <row r="6578" spans="1:5" x14ac:dyDescent="0.25">
      <c r="A6578" s="4" t="s">
        <v>53</v>
      </c>
      <c r="B6578" s="4" t="s">
        <v>41</v>
      </c>
      <c r="C6578" s="5">
        <v>45328</v>
      </c>
      <c r="D6578" s="4">
        <v>1.4</v>
      </c>
      <c r="E6578" s="4">
        <v>0.47</v>
      </c>
    </row>
    <row r="6579" spans="1:5" x14ac:dyDescent="0.25">
      <c r="A6579" s="4" t="s">
        <v>53</v>
      </c>
      <c r="B6579" s="4" t="s">
        <v>41</v>
      </c>
      <c r="C6579" s="5">
        <v>45328</v>
      </c>
      <c r="D6579" s="4">
        <v>1.4</v>
      </c>
      <c r="E6579" s="4">
        <v>0.47</v>
      </c>
    </row>
    <row r="6580" spans="1:5" x14ac:dyDescent="0.25">
      <c r="A6580" s="4" t="s">
        <v>53</v>
      </c>
      <c r="B6580" s="4" t="s">
        <v>41</v>
      </c>
      <c r="C6580" s="5">
        <v>45328</v>
      </c>
      <c r="D6580" s="4">
        <v>1.4</v>
      </c>
      <c r="E6580" s="4">
        <v>0.47</v>
      </c>
    </row>
    <row r="6581" spans="1:5" x14ac:dyDescent="0.25">
      <c r="A6581" s="4" t="s">
        <v>53</v>
      </c>
      <c r="B6581" s="4" t="s">
        <v>41</v>
      </c>
      <c r="C6581" s="5">
        <v>45328</v>
      </c>
      <c r="D6581" s="4">
        <v>16.399999999999999</v>
      </c>
      <c r="E6581" s="4">
        <v>5.71</v>
      </c>
    </row>
    <row r="6582" spans="1:5" x14ac:dyDescent="0.25">
      <c r="A6582" s="4" t="s">
        <v>53</v>
      </c>
      <c r="B6582" s="4" t="s">
        <v>41</v>
      </c>
      <c r="C6582" s="5">
        <v>45329</v>
      </c>
      <c r="D6582" s="4">
        <v>15.9</v>
      </c>
      <c r="E6582" s="4">
        <v>5.51</v>
      </c>
    </row>
    <row r="6583" spans="1:5" x14ac:dyDescent="0.25">
      <c r="A6583" s="4" t="s">
        <v>53</v>
      </c>
      <c r="B6583" s="4" t="s">
        <v>41</v>
      </c>
      <c r="C6583" s="5">
        <v>45329</v>
      </c>
      <c r="D6583" s="4">
        <v>42.7</v>
      </c>
      <c r="E6583" s="4">
        <v>14.86</v>
      </c>
    </row>
    <row r="6584" spans="1:5" x14ac:dyDescent="0.25">
      <c r="A6584" s="4" t="s">
        <v>53</v>
      </c>
      <c r="B6584" s="4" t="s">
        <v>41</v>
      </c>
      <c r="C6584" s="5">
        <v>45329</v>
      </c>
      <c r="D6584" s="4">
        <v>42.7</v>
      </c>
      <c r="E6584" s="4">
        <v>14.86</v>
      </c>
    </row>
    <row r="6585" spans="1:5" x14ac:dyDescent="0.25">
      <c r="A6585" s="4" t="s">
        <v>53</v>
      </c>
      <c r="B6585" s="4" t="s">
        <v>41</v>
      </c>
      <c r="C6585" s="5">
        <v>45329</v>
      </c>
      <c r="D6585" s="4">
        <v>0.3</v>
      </c>
      <c r="E6585" s="4">
        <v>0.1</v>
      </c>
    </row>
    <row r="6586" spans="1:5" x14ac:dyDescent="0.25">
      <c r="A6586" s="4" t="s">
        <v>53</v>
      </c>
      <c r="B6586" s="4" t="s">
        <v>41</v>
      </c>
      <c r="C6586" s="5">
        <v>45329</v>
      </c>
      <c r="D6586" s="4">
        <v>41.7</v>
      </c>
      <c r="E6586" s="4">
        <v>14.53</v>
      </c>
    </row>
    <row r="6587" spans="1:5" x14ac:dyDescent="0.25">
      <c r="A6587" s="4" t="s">
        <v>53</v>
      </c>
      <c r="B6587" s="4" t="s">
        <v>41</v>
      </c>
      <c r="C6587" s="5">
        <v>45329</v>
      </c>
      <c r="D6587" s="4">
        <v>42.6</v>
      </c>
      <c r="E6587" s="4">
        <v>14.83</v>
      </c>
    </row>
    <row r="6588" spans="1:5" x14ac:dyDescent="0.25">
      <c r="A6588" s="4" t="s">
        <v>53</v>
      </c>
      <c r="B6588" s="4" t="s">
        <v>41</v>
      </c>
      <c r="C6588" s="5">
        <v>45329</v>
      </c>
      <c r="D6588" s="4">
        <v>31.3</v>
      </c>
      <c r="E6588" s="4">
        <v>10.86</v>
      </c>
    </row>
    <row r="6589" spans="1:5" x14ac:dyDescent="0.25">
      <c r="A6589" s="4" t="s">
        <v>53</v>
      </c>
      <c r="B6589" s="4" t="s">
        <v>41</v>
      </c>
      <c r="C6589" s="5">
        <v>45329</v>
      </c>
      <c r="D6589" s="4">
        <v>31.3</v>
      </c>
      <c r="E6589" s="4">
        <v>10.86</v>
      </c>
    </row>
    <row r="6590" spans="1:5" x14ac:dyDescent="0.25">
      <c r="A6590" s="4" t="s">
        <v>53</v>
      </c>
      <c r="B6590" s="4" t="s">
        <v>41</v>
      </c>
      <c r="C6590" s="5">
        <v>45329</v>
      </c>
      <c r="D6590" s="4">
        <v>31.3</v>
      </c>
      <c r="E6590" s="4">
        <v>10.86</v>
      </c>
    </row>
    <row r="6591" spans="1:5" x14ac:dyDescent="0.25">
      <c r="A6591" s="4" t="s">
        <v>53</v>
      </c>
      <c r="B6591" s="4" t="s">
        <v>41</v>
      </c>
      <c r="C6591" s="5">
        <v>45329</v>
      </c>
      <c r="D6591" s="4">
        <v>30.2</v>
      </c>
      <c r="E6591" s="4">
        <v>10.49</v>
      </c>
    </row>
    <row r="6592" spans="1:5" x14ac:dyDescent="0.25">
      <c r="A6592" s="4" t="s">
        <v>53</v>
      </c>
      <c r="B6592" s="4" t="s">
        <v>41</v>
      </c>
      <c r="C6592" s="5">
        <v>45329</v>
      </c>
      <c r="D6592" s="4">
        <v>15.9</v>
      </c>
      <c r="E6592" s="4">
        <v>5.51</v>
      </c>
    </row>
    <row r="6593" spans="1:5" x14ac:dyDescent="0.25">
      <c r="A6593" s="4" t="s">
        <v>53</v>
      </c>
      <c r="B6593" s="4" t="s">
        <v>41</v>
      </c>
      <c r="C6593" s="5">
        <v>45330</v>
      </c>
      <c r="D6593" s="4">
        <v>14.8</v>
      </c>
      <c r="E6593" s="4">
        <v>5.14</v>
      </c>
    </row>
    <row r="6594" spans="1:5" x14ac:dyDescent="0.25">
      <c r="A6594" s="4" t="s">
        <v>53</v>
      </c>
      <c r="B6594" s="4" t="s">
        <v>41</v>
      </c>
      <c r="C6594" s="5">
        <v>45330</v>
      </c>
      <c r="D6594" s="4">
        <v>42.7</v>
      </c>
      <c r="E6594" s="4">
        <v>14.86</v>
      </c>
    </row>
    <row r="6595" spans="1:5" x14ac:dyDescent="0.25">
      <c r="A6595" s="4" t="s">
        <v>53</v>
      </c>
      <c r="B6595" s="4" t="s">
        <v>41</v>
      </c>
      <c r="C6595" s="5">
        <v>45330</v>
      </c>
      <c r="D6595" s="4">
        <v>42.7</v>
      </c>
      <c r="E6595" s="4">
        <v>14.86</v>
      </c>
    </row>
    <row r="6596" spans="1:5" x14ac:dyDescent="0.25">
      <c r="A6596" s="4" t="s">
        <v>53</v>
      </c>
      <c r="B6596" s="4" t="s">
        <v>41</v>
      </c>
      <c r="C6596" s="5">
        <v>45330</v>
      </c>
      <c r="D6596" s="4">
        <v>43.8</v>
      </c>
      <c r="E6596" s="4">
        <v>15.23</v>
      </c>
    </row>
    <row r="6597" spans="1:5" x14ac:dyDescent="0.25">
      <c r="A6597" s="4" t="s">
        <v>53</v>
      </c>
      <c r="B6597" s="4" t="s">
        <v>41</v>
      </c>
      <c r="C6597" s="5">
        <v>45330</v>
      </c>
      <c r="D6597" s="4">
        <v>42.7</v>
      </c>
      <c r="E6597" s="4">
        <v>14.86</v>
      </c>
    </row>
    <row r="6598" spans="1:5" x14ac:dyDescent="0.25">
      <c r="A6598" s="4" t="s">
        <v>53</v>
      </c>
      <c r="B6598" s="4" t="s">
        <v>41</v>
      </c>
      <c r="C6598" s="5">
        <v>45330</v>
      </c>
      <c r="D6598" s="4">
        <v>43.8</v>
      </c>
      <c r="E6598" s="4">
        <v>15.23</v>
      </c>
    </row>
    <row r="6599" spans="1:5" x14ac:dyDescent="0.25">
      <c r="A6599" s="4" t="s">
        <v>53</v>
      </c>
      <c r="B6599" s="4" t="s">
        <v>41</v>
      </c>
      <c r="C6599" s="5">
        <v>45330</v>
      </c>
      <c r="D6599" s="4">
        <v>39.5</v>
      </c>
      <c r="E6599" s="4">
        <v>13.76</v>
      </c>
    </row>
    <row r="6600" spans="1:5" x14ac:dyDescent="0.25">
      <c r="A6600" s="4" t="s">
        <v>53</v>
      </c>
      <c r="B6600" s="4" t="s">
        <v>41</v>
      </c>
      <c r="C6600" s="5">
        <v>45331</v>
      </c>
      <c r="D6600" s="4">
        <v>14.7</v>
      </c>
      <c r="E6600" s="4">
        <v>5.1100000000000003</v>
      </c>
    </row>
    <row r="6601" spans="1:5" x14ac:dyDescent="0.25">
      <c r="A6601" s="4" t="s">
        <v>53</v>
      </c>
      <c r="B6601" s="4" t="s">
        <v>41</v>
      </c>
      <c r="C6601" s="5">
        <v>45331</v>
      </c>
      <c r="D6601" s="4">
        <v>43.8</v>
      </c>
      <c r="E6601" s="4">
        <v>15.23</v>
      </c>
    </row>
    <row r="6602" spans="1:5" x14ac:dyDescent="0.25">
      <c r="A6602" s="4" t="s">
        <v>53</v>
      </c>
      <c r="B6602" s="4" t="s">
        <v>41</v>
      </c>
      <c r="C6602" s="5">
        <v>45331</v>
      </c>
      <c r="D6602" s="4">
        <v>42.7</v>
      </c>
      <c r="E6602" s="4">
        <v>14.86</v>
      </c>
    </row>
    <row r="6603" spans="1:5" x14ac:dyDescent="0.25">
      <c r="A6603" s="4" t="s">
        <v>53</v>
      </c>
      <c r="B6603" s="4" t="s">
        <v>41</v>
      </c>
      <c r="C6603" s="5">
        <v>45331</v>
      </c>
      <c r="D6603" s="4">
        <v>43.8</v>
      </c>
      <c r="E6603" s="4">
        <v>15.23</v>
      </c>
    </row>
    <row r="6604" spans="1:5" x14ac:dyDescent="0.25">
      <c r="A6604" s="4" t="s">
        <v>53</v>
      </c>
      <c r="B6604" s="4" t="s">
        <v>41</v>
      </c>
      <c r="C6604" s="5">
        <v>45331</v>
      </c>
      <c r="D6604" s="4">
        <v>42.7</v>
      </c>
      <c r="E6604" s="4">
        <v>14.86</v>
      </c>
    </row>
    <row r="6605" spans="1:5" x14ac:dyDescent="0.25">
      <c r="A6605" s="4" t="s">
        <v>53</v>
      </c>
      <c r="B6605" s="4" t="s">
        <v>41</v>
      </c>
      <c r="C6605" s="5">
        <v>45331</v>
      </c>
      <c r="D6605" s="4">
        <v>43.8</v>
      </c>
      <c r="E6605" s="4">
        <v>15.23</v>
      </c>
    </row>
    <row r="6606" spans="1:5" x14ac:dyDescent="0.25">
      <c r="A6606" s="4" t="s">
        <v>53</v>
      </c>
      <c r="B6606" s="4" t="s">
        <v>41</v>
      </c>
      <c r="C6606" s="5">
        <v>45331</v>
      </c>
      <c r="D6606" s="4">
        <v>41.7</v>
      </c>
      <c r="E6606" s="4">
        <v>14.53</v>
      </c>
    </row>
    <row r="6607" spans="1:5" x14ac:dyDescent="0.25">
      <c r="A6607" s="4" t="s">
        <v>53</v>
      </c>
      <c r="B6607" s="4" t="s">
        <v>41</v>
      </c>
      <c r="C6607" s="5">
        <v>45331</v>
      </c>
      <c r="D6607" s="4">
        <v>0.6</v>
      </c>
      <c r="E6607" s="4">
        <v>0.2</v>
      </c>
    </row>
    <row r="6608" spans="1:5" x14ac:dyDescent="0.25">
      <c r="A6608" s="4" t="s">
        <v>53</v>
      </c>
      <c r="B6608" s="4" t="s">
        <v>41</v>
      </c>
      <c r="C6608" s="5">
        <v>45331</v>
      </c>
      <c r="D6608" s="4">
        <v>43.8</v>
      </c>
      <c r="E6608" s="4">
        <v>15.23</v>
      </c>
    </row>
    <row r="6609" spans="1:5" x14ac:dyDescent="0.25">
      <c r="A6609" s="4" t="s">
        <v>53</v>
      </c>
      <c r="B6609" s="4" t="s">
        <v>41</v>
      </c>
      <c r="C6609" s="5">
        <v>45331</v>
      </c>
      <c r="D6609" s="4">
        <v>39.5</v>
      </c>
      <c r="E6609" s="4">
        <v>13.76</v>
      </c>
    </row>
    <row r="6610" spans="1:5" x14ac:dyDescent="0.25">
      <c r="A6610" s="4" t="s">
        <v>53</v>
      </c>
      <c r="B6610" s="4" t="s">
        <v>41</v>
      </c>
      <c r="C6610" s="5">
        <v>45334</v>
      </c>
      <c r="D6610" s="4">
        <v>30.6</v>
      </c>
      <c r="E6610" s="4">
        <v>10.67</v>
      </c>
    </row>
    <row r="6611" spans="1:5" x14ac:dyDescent="0.25">
      <c r="A6611" s="4" t="s">
        <v>53</v>
      </c>
      <c r="B6611" s="4" t="s">
        <v>41</v>
      </c>
      <c r="C6611" s="5">
        <v>45334</v>
      </c>
      <c r="D6611" s="4">
        <v>8.1999999999999993</v>
      </c>
      <c r="E6611" s="4">
        <v>2.85</v>
      </c>
    </row>
    <row r="6612" spans="1:5" x14ac:dyDescent="0.25">
      <c r="A6612" s="4" t="s">
        <v>53</v>
      </c>
      <c r="B6612" s="4" t="s">
        <v>41</v>
      </c>
      <c r="C6612" s="5">
        <v>45334</v>
      </c>
      <c r="D6612" s="4">
        <v>5.2</v>
      </c>
      <c r="E6612" s="4">
        <v>1.79</v>
      </c>
    </row>
    <row r="6613" spans="1:5" x14ac:dyDescent="0.25">
      <c r="A6613" s="4" t="s">
        <v>53</v>
      </c>
      <c r="B6613" s="4" t="s">
        <v>41</v>
      </c>
      <c r="C6613" s="5">
        <v>45334</v>
      </c>
      <c r="D6613" s="4">
        <v>17.5</v>
      </c>
      <c r="E6613" s="4">
        <v>6.05</v>
      </c>
    </row>
    <row r="6614" spans="1:5" x14ac:dyDescent="0.25">
      <c r="A6614" s="4" t="s">
        <v>53</v>
      </c>
      <c r="B6614" s="4" t="s">
        <v>41</v>
      </c>
      <c r="C6614" s="5">
        <v>45334</v>
      </c>
      <c r="D6614" s="4">
        <v>17.5</v>
      </c>
      <c r="E6614" s="4">
        <v>6.05</v>
      </c>
    </row>
    <row r="6615" spans="1:5" x14ac:dyDescent="0.25">
      <c r="A6615" s="4" t="s">
        <v>53</v>
      </c>
      <c r="B6615" s="4" t="s">
        <v>41</v>
      </c>
      <c r="C6615" s="5">
        <v>45334</v>
      </c>
      <c r="D6615" s="4">
        <v>17.5</v>
      </c>
      <c r="E6615" s="4">
        <v>6.05</v>
      </c>
    </row>
    <row r="6616" spans="1:5" x14ac:dyDescent="0.25">
      <c r="A6616" s="4" t="s">
        <v>53</v>
      </c>
      <c r="B6616" s="4" t="s">
        <v>41</v>
      </c>
      <c r="C6616" s="5">
        <v>45334</v>
      </c>
      <c r="D6616" s="4">
        <v>17.5</v>
      </c>
      <c r="E6616" s="4">
        <v>6.05</v>
      </c>
    </row>
    <row r="6617" spans="1:5" x14ac:dyDescent="0.25">
      <c r="A6617" s="4" t="s">
        <v>53</v>
      </c>
      <c r="B6617" s="4" t="s">
        <v>41</v>
      </c>
      <c r="C6617" s="5">
        <v>45334</v>
      </c>
      <c r="D6617" s="4">
        <v>14.9</v>
      </c>
      <c r="E6617" s="4">
        <v>5.12</v>
      </c>
    </row>
    <row r="6618" spans="1:5" x14ac:dyDescent="0.25">
      <c r="A6618" s="4" t="s">
        <v>53</v>
      </c>
      <c r="B6618" s="4" t="s">
        <v>41</v>
      </c>
      <c r="C6618" s="5">
        <v>45334</v>
      </c>
      <c r="D6618" s="4">
        <v>6.2</v>
      </c>
      <c r="E6618" s="4">
        <v>2.15</v>
      </c>
    </row>
    <row r="6619" spans="1:5" x14ac:dyDescent="0.25">
      <c r="A6619" s="4" t="s">
        <v>53</v>
      </c>
      <c r="B6619" s="4" t="s">
        <v>41</v>
      </c>
      <c r="C6619" s="5">
        <v>45334</v>
      </c>
      <c r="D6619" s="4">
        <v>17.5</v>
      </c>
      <c r="E6619" s="4">
        <v>6.05</v>
      </c>
    </row>
    <row r="6620" spans="1:5" x14ac:dyDescent="0.25">
      <c r="A6620" s="4" t="s">
        <v>53</v>
      </c>
      <c r="B6620" s="4" t="s">
        <v>41</v>
      </c>
      <c r="C6620" s="5">
        <v>45334</v>
      </c>
      <c r="D6620" s="4">
        <v>17.5</v>
      </c>
      <c r="E6620" s="4">
        <v>6.05</v>
      </c>
    </row>
    <row r="6621" spans="1:5" x14ac:dyDescent="0.25">
      <c r="A6621" s="4" t="s">
        <v>53</v>
      </c>
      <c r="B6621" s="4" t="s">
        <v>41</v>
      </c>
      <c r="C6621" s="5">
        <v>45334</v>
      </c>
      <c r="D6621" s="4">
        <v>17.5</v>
      </c>
      <c r="E6621" s="4">
        <v>6.05</v>
      </c>
    </row>
    <row r="6622" spans="1:5" x14ac:dyDescent="0.25">
      <c r="A6622" s="4" t="s">
        <v>53</v>
      </c>
      <c r="B6622" s="4" t="s">
        <v>41</v>
      </c>
      <c r="C6622" s="5">
        <v>45334</v>
      </c>
      <c r="D6622" s="4">
        <v>17.5</v>
      </c>
      <c r="E6622" s="4">
        <v>6.05</v>
      </c>
    </row>
    <row r="6623" spans="1:5" x14ac:dyDescent="0.25">
      <c r="A6623" s="4" t="s">
        <v>53</v>
      </c>
      <c r="B6623" s="4" t="s">
        <v>41</v>
      </c>
      <c r="C6623" s="5">
        <v>45335</v>
      </c>
      <c r="D6623" s="4">
        <v>17.5</v>
      </c>
      <c r="E6623" s="4">
        <v>6.05</v>
      </c>
    </row>
    <row r="6624" spans="1:5" x14ac:dyDescent="0.25">
      <c r="A6624" s="4" t="s">
        <v>53</v>
      </c>
      <c r="B6624" s="4" t="s">
        <v>41</v>
      </c>
      <c r="C6624" s="5">
        <v>45335</v>
      </c>
      <c r="D6624" s="4">
        <v>17.5</v>
      </c>
      <c r="E6624" s="4">
        <v>6.05</v>
      </c>
    </row>
    <row r="6625" spans="1:5" x14ac:dyDescent="0.25">
      <c r="A6625" s="4" t="s">
        <v>53</v>
      </c>
      <c r="B6625" s="4" t="s">
        <v>41</v>
      </c>
      <c r="C6625" s="5">
        <v>45335</v>
      </c>
      <c r="D6625" s="4">
        <v>17.5</v>
      </c>
      <c r="E6625" s="4">
        <v>6.05</v>
      </c>
    </row>
    <row r="6626" spans="1:5" x14ac:dyDescent="0.25">
      <c r="A6626" s="4" t="s">
        <v>53</v>
      </c>
      <c r="B6626" s="4" t="s">
        <v>41</v>
      </c>
      <c r="C6626" s="5">
        <v>45335</v>
      </c>
      <c r="D6626" s="4">
        <v>17.5</v>
      </c>
      <c r="E6626" s="4">
        <v>6.05</v>
      </c>
    </row>
    <row r="6627" spans="1:5" x14ac:dyDescent="0.25">
      <c r="A6627" s="4" t="s">
        <v>53</v>
      </c>
      <c r="B6627" s="4" t="s">
        <v>41</v>
      </c>
      <c r="C6627" s="5">
        <v>45335</v>
      </c>
      <c r="D6627" s="4">
        <v>17.5</v>
      </c>
      <c r="E6627" s="4">
        <v>6.05</v>
      </c>
    </row>
    <row r="6628" spans="1:5" x14ac:dyDescent="0.25">
      <c r="A6628" s="4" t="s">
        <v>53</v>
      </c>
      <c r="B6628" s="4" t="s">
        <v>41</v>
      </c>
      <c r="C6628" s="5">
        <v>45335</v>
      </c>
      <c r="D6628" s="4">
        <v>11.3</v>
      </c>
      <c r="E6628" s="4">
        <v>3.9</v>
      </c>
    </row>
    <row r="6629" spans="1:5" x14ac:dyDescent="0.25">
      <c r="A6629" s="4" t="s">
        <v>53</v>
      </c>
      <c r="B6629" s="4" t="s">
        <v>41</v>
      </c>
      <c r="C6629" s="5">
        <v>45335</v>
      </c>
      <c r="D6629" s="4">
        <v>6.2</v>
      </c>
      <c r="E6629" s="4">
        <v>2.15</v>
      </c>
    </row>
    <row r="6630" spans="1:5" x14ac:dyDescent="0.25">
      <c r="A6630" s="4" t="s">
        <v>53</v>
      </c>
      <c r="B6630" s="4" t="s">
        <v>41</v>
      </c>
      <c r="C6630" s="5">
        <v>45335</v>
      </c>
      <c r="D6630" s="4">
        <v>17.5</v>
      </c>
      <c r="E6630" s="4">
        <v>6.05</v>
      </c>
    </row>
    <row r="6631" spans="1:5" x14ac:dyDescent="0.25">
      <c r="A6631" s="4" t="s">
        <v>53</v>
      </c>
      <c r="B6631" s="4" t="s">
        <v>41</v>
      </c>
      <c r="C6631" s="5">
        <v>45335</v>
      </c>
      <c r="D6631" s="4">
        <v>17.5</v>
      </c>
      <c r="E6631" s="4">
        <v>6.05</v>
      </c>
    </row>
    <row r="6632" spans="1:5" x14ac:dyDescent="0.25">
      <c r="A6632" s="4" t="s">
        <v>53</v>
      </c>
      <c r="B6632" s="4" t="s">
        <v>41</v>
      </c>
      <c r="C6632" s="5">
        <v>45335</v>
      </c>
      <c r="D6632" s="4">
        <v>17.5</v>
      </c>
      <c r="E6632" s="4">
        <v>6.05</v>
      </c>
    </row>
    <row r="6633" spans="1:5" x14ac:dyDescent="0.25">
      <c r="A6633" s="4" t="s">
        <v>53</v>
      </c>
      <c r="B6633" s="4" t="s">
        <v>41</v>
      </c>
      <c r="C6633" s="5">
        <v>45335</v>
      </c>
      <c r="D6633" s="4">
        <v>17.5</v>
      </c>
      <c r="E6633" s="4">
        <v>6.05</v>
      </c>
    </row>
    <row r="6634" spans="1:5" x14ac:dyDescent="0.25">
      <c r="A6634" s="4" t="s">
        <v>53</v>
      </c>
      <c r="B6634" s="4" t="s">
        <v>41</v>
      </c>
      <c r="C6634" s="5">
        <v>45336</v>
      </c>
      <c r="D6634" s="4">
        <v>17.5</v>
      </c>
      <c r="E6634" s="4">
        <v>6.05</v>
      </c>
    </row>
    <row r="6635" spans="1:5" x14ac:dyDescent="0.25">
      <c r="A6635" s="4" t="s">
        <v>53</v>
      </c>
      <c r="B6635" s="4" t="s">
        <v>41</v>
      </c>
      <c r="C6635" s="5">
        <v>45336</v>
      </c>
      <c r="D6635" s="4">
        <v>17.5</v>
      </c>
      <c r="E6635" s="4">
        <v>6.05</v>
      </c>
    </row>
    <row r="6636" spans="1:5" x14ac:dyDescent="0.25">
      <c r="A6636" s="4" t="s">
        <v>53</v>
      </c>
      <c r="B6636" s="4" t="s">
        <v>41</v>
      </c>
      <c r="C6636" s="5">
        <v>45336</v>
      </c>
      <c r="D6636" s="4">
        <v>17.5</v>
      </c>
      <c r="E6636" s="4">
        <v>6.05</v>
      </c>
    </row>
    <row r="6637" spans="1:5" x14ac:dyDescent="0.25">
      <c r="A6637" s="4" t="s">
        <v>53</v>
      </c>
      <c r="B6637" s="4" t="s">
        <v>41</v>
      </c>
      <c r="C6637" s="5">
        <v>45336</v>
      </c>
      <c r="D6637" s="4">
        <v>17.5</v>
      </c>
      <c r="E6637" s="4">
        <v>6.05</v>
      </c>
    </row>
    <row r="6638" spans="1:5" x14ac:dyDescent="0.25">
      <c r="A6638" s="4" t="s">
        <v>53</v>
      </c>
      <c r="B6638" s="4" t="s">
        <v>41</v>
      </c>
      <c r="C6638" s="5">
        <v>45336</v>
      </c>
      <c r="D6638" s="4">
        <v>17.5</v>
      </c>
      <c r="E6638" s="4">
        <v>6.05</v>
      </c>
    </row>
    <row r="6639" spans="1:5" x14ac:dyDescent="0.25">
      <c r="A6639" s="4" t="s">
        <v>53</v>
      </c>
      <c r="B6639" s="4" t="s">
        <v>41</v>
      </c>
      <c r="C6639" s="5">
        <v>45336</v>
      </c>
      <c r="D6639" s="4">
        <v>11.3</v>
      </c>
      <c r="E6639" s="4">
        <v>3.9</v>
      </c>
    </row>
    <row r="6640" spans="1:5" x14ac:dyDescent="0.25">
      <c r="A6640" s="4" t="s">
        <v>53</v>
      </c>
      <c r="B6640" s="4" t="s">
        <v>41</v>
      </c>
      <c r="C6640" s="5">
        <v>45336</v>
      </c>
      <c r="D6640" s="4">
        <v>6.2</v>
      </c>
      <c r="E6640" s="4">
        <v>2.15</v>
      </c>
    </row>
    <row r="6641" spans="1:5" x14ac:dyDescent="0.25">
      <c r="A6641" s="4" t="s">
        <v>53</v>
      </c>
      <c r="B6641" s="4" t="s">
        <v>41</v>
      </c>
      <c r="C6641" s="5">
        <v>45336</v>
      </c>
      <c r="D6641" s="4">
        <v>17.5</v>
      </c>
      <c r="E6641" s="4">
        <v>6.05</v>
      </c>
    </row>
    <row r="6642" spans="1:5" x14ac:dyDescent="0.25">
      <c r="A6642" s="4" t="s">
        <v>53</v>
      </c>
      <c r="B6642" s="4" t="s">
        <v>41</v>
      </c>
      <c r="C6642" s="5">
        <v>45336</v>
      </c>
      <c r="D6642" s="4">
        <v>17.5</v>
      </c>
      <c r="E6642" s="4">
        <v>6.05</v>
      </c>
    </row>
    <row r="6643" spans="1:5" x14ac:dyDescent="0.25">
      <c r="A6643" s="4" t="s">
        <v>53</v>
      </c>
      <c r="B6643" s="4" t="s">
        <v>41</v>
      </c>
      <c r="C6643" s="5">
        <v>45336</v>
      </c>
      <c r="D6643" s="4">
        <v>17.5</v>
      </c>
      <c r="E6643" s="4">
        <v>6.05</v>
      </c>
    </row>
    <row r="6644" spans="1:5" x14ac:dyDescent="0.25">
      <c r="A6644" s="4" t="s">
        <v>53</v>
      </c>
      <c r="B6644" s="4" t="s">
        <v>41</v>
      </c>
      <c r="C6644" s="5">
        <v>45336</v>
      </c>
      <c r="D6644" s="4">
        <v>17.5</v>
      </c>
      <c r="E6644" s="4">
        <v>6.05</v>
      </c>
    </row>
    <row r="6645" spans="1:5" x14ac:dyDescent="0.25">
      <c r="A6645" s="4" t="s">
        <v>53</v>
      </c>
      <c r="B6645" s="4" t="s">
        <v>41</v>
      </c>
      <c r="C6645" s="5">
        <v>45337</v>
      </c>
      <c r="D6645" s="4">
        <v>17.5</v>
      </c>
      <c r="E6645" s="4">
        <v>6.05</v>
      </c>
    </row>
    <row r="6646" spans="1:5" x14ac:dyDescent="0.25">
      <c r="A6646" s="4" t="s">
        <v>53</v>
      </c>
      <c r="B6646" s="4" t="s">
        <v>41</v>
      </c>
      <c r="C6646" s="5">
        <v>45337</v>
      </c>
      <c r="D6646" s="4">
        <v>17.5</v>
      </c>
      <c r="E6646" s="4">
        <v>6.05</v>
      </c>
    </row>
    <row r="6647" spans="1:5" x14ac:dyDescent="0.25">
      <c r="A6647" s="4" t="s">
        <v>53</v>
      </c>
      <c r="B6647" s="4" t="s">
        <v>41</v>
      </c>
      <c r="C6647" s="5">
        <v>45337</v>
      </c>
      <c r="D6647" s="4">
        <v>17.5</v>
      </c>
      <c r="E6647" s="4">
        <v>6.05</v>
      </c>
    </row>
    <row r="6648" spans="1:5" x14ac:dyDescent="0.25">
      <c r="A6648" s="4" t="s">
        <v>53</v>
      </c>
      <c r="B6648" s="4" t="s">
        <v>41</v>
      </c>
      <c r="C6648" s="5">
        <v>45337</v>
      </c>
      <c r="D6648" s="4">
        <v>17.5</v>
      </c>
      <c r="E6648" s="4">
        <v>6.05</v>
      </c>
    </row>
    <row r="6649" spans="1:5" x14ac:dyDescent="0.25">
      <c r="A6649" s="4" t="s">
        <v>53</v>
      </c>
      <c r="B6649" s="4" t="s">
        <v>41</v>
      </c>
      <c r="C6649" s="5">
        <v>45337</v>
      </c>
      <c r="D6649" s="4">
        <v>17.5</v>
      </c>
      <c r="E6649" s="4">
        <v>6.05</v>
      </c>
    </row>
    <row r="6650" spans="1:5" x14ac:dyDescent="0.25">
      <c r="A6650" s="4" t="s">
        <v>53</v>
      </c>
      <c r="B6650" s="4" t="s">
        <v>41</v>
      </c>
      <c r="C6650" s="5">
        <v>45337</v>
      </c>
      <c r="D6650" s="4">
        <v>17.5</v>
      </c>
      <c r="E6650" s="4">
        <v>6.05</v>
      </c>
    </row>
    <row r="6651" spans="1:5" x14ac:dyDescent="0.25">
      <c r="A6651" s="4" t="s">
        <v>53</v>
      </c>
      <c r="B6651" s="4" t="s">
        <v>41</v>
      </c>
      <c r="C6651" s="5">
        <v>45337</v>
      </c>
      <c r="D6651" s="4">
        <v>17.5</v>
      </c>
      <c r="E6651" s="4">
        <v>6.05</v>
      </c>
    </row>
    <row r="6652" spans="1:5" x14ac:dyDescent="0.25">
      <c r="A6652" s="4" t="s">
        <v>53</v>
      </c>
      <c r="B6652" s="4" t="s">
        <v>41</v>
      </c>
      <c r="C6652" s="5">
        <v>45337</v>
      </c>
      <c r="D6652" s="4">
        <v>17.5</v>
      </c>
      <c r="E6652" s="4">
        <v>6.05</v>
      </c>
    </row>
    <row r="6653" spans="1:5" x14ac:dyDescent="0.25">
      <c r="A6653" s="4" t="s">
        <v>53</v>
      </c>
      <c r="B6653" s="4" t="s">
        <v>33</v>
      </c>
      <c r="C6653" s="5">
        <v>45307</v>
      </c>
      <c r="D6653" s="4">
        <v>15.4</v>
      </c>
      <c r="E6653" s="4">
        <v>5.35</v>
      </c>
    </row>
    <row r="6654" spans="1:5" x14ac:dyDescent="0.25">
      <c r="A6654" s="4" t="s">
        <v>53</v>
      </c>
      <c r="B6654" s="4" t="s">
        <v>33</v>
      </c>
      <c r="C6654" s="5">
        <v>45307</v>
      </c>
      <c r="D6654" s="4">
        <v>30.2</v>
      </c>
      <c r="E6654" s="4">
        <v>10.49</v>
      </c>
    </row>
    <row r="6655" spans="1:5" x14ac:dyDescent="0.25">
      <c r="A6655" s="4" t="s">
        <v>53</v>
      </c>
      <c r="B6655" s="4" t="s">
        <v>33</v>
      </c>
      <c r="C6655" s="5">
        <v>45307</v>
      </c>
      <c r="D6655" s="4">
        <v>30.2</v>
      </c>
      <c r="E6655" s="4">
        <v>10.49</v>
      </c>
    </row>
    <row r="6656" spans="1:5" x14ac:dyDescent="0.25">
      <c r="A6656" s="4" t="s">
        <v>53</v>
      </c>
      <c r="B6656" s="4" t="s">
        <v>33</v>
      </c>
      <c r="C6656" s="5">
        <v>45307</v>
      </c>
      <c r="D6656" s="4">
        <v>30.2</v>
      </c>
      <c r="E6656" s="4">
        <v>10.49</v>
      </c>
    </row>
    <row r="6657" spans="1:5" x14ac:dyDescent="0.25">
      <c r="A6657" s="4" t="s">
        <v>53</v>
      </c>
      <c r="B6657" s="4" t="s">
        <v>33</v>
      </c>
      <c r="C6657" s="5">
        <v>45307</v>
      </c>
      <c r="D6657" s="4">
        <v>30.2</v>
      </c>
      <c r="E6657" s="4">
        <v>10.49</v>
      </c>
    </row>
    <row r="6658" spans="1:5" x14ac:dyDescent="0.25">
      <c r="A6658" s="4" t="s">
        <v>53</v>
      </c>
      <c r="B6658" s="4" t="s">
        <v>33</v>
      </c>
      <c r="C6658" s="5">
        <v>45307</v>
      </c>
      <c r="D6658" s="4">
        <v>30.2</v>
      </c>
      <c r="E6658" s="4">
        <v>10.49</v>
      </c>
    </row>
    <row r="6659" spans="1:5" x14ac:dyDescent="0.25">
      <c r="A6659" s="4" t="s">
        <v>53</v>
      </c>
      <c r="B6659" s="4" t="s">
        <v>33</v>
      </c>
      <c r="C6659" s="5">
        <v>45307</v>
      </c>
      <c r="D6659" s="4">
        <v>31.3</v>
      </c>
      <c r="E6659" s="4">
        <v>10.86</v>
      </c>
    </row>
    <row r="6660" spans="1:5" x14ac:dyDescent="0.25">
      <c r="A6660" s="4" t="s">
        <v>53</v>
      </c>
      <c r="B6660" s="4" t="s">
        <v>33</v>
      </c>
      <c r="C6660" s="5">
        <v>45307</v>
      </c>
      <c r="D6660" s="4">
        <v>30.2</v>
      </c>
      <c r="E6660" s="4">
        <v>10.49</v>
      </c>
    </row>
    <row r="6661" spans="1:5" x14ac:dyDescent="0.25">
      <c r="A6661" s="4" t="s">
        <v>53</v>
      </c>
      <c r="B6661" s="4" t="s">
        <v>33</v>
      </c>
      <c r="C6661" s="5">
        <v>45307</v>
      </c>
      <c r="D6661" s="4">
        <v>30.2</v>
      </c>
      <c r="E6661" s="4">
        <v>10.49</v>
      </c>
    </row>
    <row r="6662" spans="1:5" x14ac:dyDescent="0.25">
      <c r="A6662" s="4" t="s">
        <v>53</v>
      </c>
      <c r="B6662" s="4" t="s">
        <v>33</v>
      </c>
      <c r="C6662" s="5">
        <v>45307</v>
      </c>
      <c r="D6662" s="4">
        <v>30.2</v>
      </c>
      <c r="E6662" s="4">
        <v>10.49</v>
      </c>
    </row>
    <row r="6663" spans="1:5" x14ac:dyDescent="0.25">
      <c r="A6663" s="4" t="s">
        <v>53</v>
      </c>
      <c r="B6663" s="4" t="s">
        <v>33</v>
      </c>
      <c r="C6663" s="5">
        <v>45307</v>
      </c>
      <c r="D6663" s="4">
        <v>1.2</v>
      </c>
      <c r="E6663" s="4">
        <v>0.41</v>
      </c>
    </row>
    <row r="6664" spans="1:5" x14ac:dyDescent="0.25">
      <c r="A6664" s="4" t="s">
        <v>53</v>
      </c>
      <c r="B6664" s="4" t="s">
        <v>33</v>
      </c>
      <c r="C6664" s="5">
        <v>45308</v>
      </c>
      <c r="D6664" s="4">
        <v>15.4</v>
      </c>
      <c r="E6664" s="4">
        <v>5.35</v>
      </c>
    </row>
    <row r="6665" spans="1:5" x14ac:dyDescent="0.25">
      <c r="A6665" s="4" t="s">
        <v>53</v>
      </c>
      <c r="B6665" s="4" t="s">
        <v>33</v>
      </c>
      <c r="C6665" s="5">
        <v>45308</v>
      </c>
      <c r="D6665" s="4">
        <v>30.2</v>
      </c>
      <c r="E6665" s="4">
        <v>10.49</v>
      </c>
    </row>
    <row r="6666" spans="1:5" x14ac:dyDescent="0.25">
      <c r="A6666" s="4" t="s">
        <v>53</v>
      </c>
      <c r="B6666" s="4" t="s">
        <v>33</v>
      </c>
      <c r="C6666" s="5">
        <v>45308</v>
      </c>
      <c r="D6666" s="4">
        <v>31.3</v>
      </c>
      <c r="E6666" s="4">
        <v>10.86</v>
      </c>
    </row>
    <row r="6667" spans="1:5" x14ac:dyDescent="0.25">
      <c r="A6667" s="4" t="s">
        <v>53</v>
      </c>
      <c r="B6667" s="4" t="s">
        <v>33</v>
      </c>
      <c r="C6667" s="5">
        <v>45308</v>
      </c>
      <c r="D6667" s="4">
        <v>30.2</v>
      </c>
      <c r="E6667" s="4">
        <v>10.49</v>
      </c>
    </row>
    <row r="6668" spans="1:5" x14ac:dyDescent="0.25">
      <c r="A6668" s="4" t="s">
        <v>53</v>
      </c>
      <c r="B6668" s="4" t="s">
        <v>33</v>
      </c>
      <c r="C6668" s="5">
        <v>45308</v>
      </c>
      <c r="D6668" s="4">
        <v>30.5</v>
      </c>
      <c r="E6668" s="4">
        <v>10.59</v>
      </c>
    </row>
    <row r="6669" spans="1:5" x14ac:dyDescent="0.25">
      <c r="A6669" s="4" t="s">
        <v>53</v>
      </c>
      <c r="B6669" s="4" t="s">
        <v>33</v>
      </c>
      <c r="C6669" s="5">
        <v>45308</v>
      </c>
      <c r="D6669" s="4">
        <v>48.7</v>
      </c>
      <c r="E6669" s="4">
        <v>16.93</v>
      </c>
    </row>
    <row r="6670" spans="1:5" x14ac:dyDescent="0.25">
      <c r="A6670" s="4" t="s">
        <v>53</v>
      </c>
      <c r="B6670" s="4" t="s">
        <v>33</v>
      </c>
      <c r="C6670" s="5">
        <v>45308</v>
      </c>
      <c r="D6670" s="4">
        <v>29.4</v>
      </c>
      <c r="E6670" s="4">
        <v>10.220000000000001</v>
      </c>
    </row>
    <row r="6671" spans="1:5" x14ac:dyDescent="0.25">
      <c r="A6671" s="4" t="s">
        <v>53</v>
      </c>
      <c r="B6671" s="4" t="s">
        <v>33</v>
      </c>
      <c r="C6671" s="5">
        <v>45308</v>
      </c>
      <c r="D6671" s="4">
        <v>47.6</v>
      </c>
      <c r="E6671" s="4">
        <v>16.559999999999999</v>
      </c>
    </row>
    <row r="6672" spans="1:5" x14ac:dyDescent="0.25">
      <c r="A6672" s="4" t="s">
        <v>53</v>
      </c>
      <c r="B6672" s="4" t="s">
        <v>33</v>
      </c>
      <c r="C6672" s="5">
        <v>45308</v>
      </c>
      <c r="D6672" s="4">
        <v>29.4</v>
      </c>
      <c r="E6672" s="4">
        <v>10.220000000000001</v>
      </c>
    </row>
    <row r="6673" spans="1:5" x14ac:dyDescent="0.25">
      <c r="A6673" s="4" t="s">
        <v>53</v>
      </c>
      <c r="B6673" s="4" t="s">
        <v>33</v>
      </c>
      <c r="C6673" s="5">
        <v>45308</v>
      </c>
      <c r="D6673" s="4">
        <v>44.4</v>
      </c>
      <c r="E6673" s="4">
        <v>15.46</v>
      </c>
    </row>
    <row r="6674" spans="1:5" x14ac:dyDescent="0.25">
      <c r="A6674" s="4" t="s">
        <v>53</v>
      </c>
      <c r="B6674" s="4" t="s">
        <v>33</v>
      </c>
      <c r="C6674" s="5">
        <v>45320</v>
      </c>
      <c r="D6674" s="4">
        <v>41.3</v>
      </c>
      <c r="E6674" s="4">
        <v>14.36</v>
      </c>
    </row>
    <row r="6675" spans="1:5" x14ac:dyDescent="0.25">
      <c r="A6675" s="4" t="s">
        <v>53</v>
      </c>
      <c r="B6675" s="4" t="s">
        <v>33</v>
      </c>
      <c r="C6675" s="5">
        <v>45320</v>
      </c>
      <c r="D6675" s="4">
        <v>17.3</v>
      </c>
      <c r="E6675" s="4">
        <v>6.03</v>
      </c>
    </row>
    <row r="6676" spans="1:5" x14ac:dyDescent="0.25">
      <c r="A6676" s="4" t="s">
        <v>53</v>
      </c>
      <c r="B6676" s="4" t="s">
        <v>33</v>
      </c>
      <c r="C6676" s="5">
        <v>45320</v>
      </c>
      <c r="D6676" s="4">
        <v>17.3</v>
      </c>
      <c r="E6676" s="4">
        <v>6.03</v>
      </c>
    </row>
    <row r="6677" spans="1:5" x14ac:dyDescent="0.25">
      <c r="A6677" s="4" t="s">
        <v>53</v>
      </c>
      <c r="B6677" s="4" t="s">
        <v>33</v>
      </c>
      <c r="C6677" s="5">
        <v>45320</v>
      </c>
      <c r="D6677" s="4">
        <v>67.5</v>
      </c>
      <c r="E6677" s="4">
        <v>23.48</v>
      </c>
    </row>
    <row r="6678" spans="1:5" x14ac:dyDescent="0.25">
      <c r="A6678" s="4" t="s">
        <v>53</v>
      </c>
      <c r="B6678" s="4" t="s">
        <v>33</v>
      </c>
      <c r="C6678" s="5">
        <v>45320</v>
      </c>
      <c r="D6678" s="4">
        <v>85.7</v>
      </c>
      <c r="E6678" s="4">
        <v>29.82</v>
      </c>
    </row>
    <row r="6679" spans="1:5" x14ac:dyDescent="0.25">
      <c r="A6679" s="4" t="s">
        <v>53</v>
      </c>
      <c r="B6679" s="4" t="s">
        <v>33</v>
      </c>
      <c r="C6679" s="5">
        <v>45320</v>
      </c>
      <c r="D6679" s="4">
        <v>17.3</v>
      </c>
      <c r="E6679" s="4">
        <v>6.03</v>
      </c>
    </row>
    <row r="6680" spans="1:5" x14ac:dyDescent="0.25">
      <c r="A6680" s="4" t="s">
        <v>53</v>
      </c>
      <c r="B6680" s="4" t="s">
        <v>33</v>
      </c>
      <c r="C6680" s="5">
        <v>45320</v>
      </c>
      <c r="D6680" s="4">
        <v>17.3</v>
      </c>
      <c r="E6680" s="4">
        <v>6.03</v>
      </c>
    </row>
    <row r="6681" spans="1:5" x14ac:dyDescent="0.25">
      <c r="A6681" s="4" t="s">
        <v>53</v>
      </c>
      <c r="B6681" s="4" t="s">
        <v>33</v>
      </c>
      <c r="C6681" s="5">
        <v>45320</v>
      </c>
      <c r="D6681" s="4">
        <v>67.5</v>
      </c>
      <c r="E6681" s="4">
        <v>23.48</v>
      </c>
    </row>
    <row r="6682" spans="1:5" x14ac:dyDescent="0.25">
      <c r="A6682" s="4" t="s">
        <v>53</v>
      </c>
      <c r="B6682" s="4" t="s">
        <v>33</v>
      </c>
      <c r="C6682" s="5">
        <v>45320</v>
      </c>
      <c r="D6682" s="4">
        <v>44.4</v>
      </c>
      <c r="E6682" s="4">
        <v>15.46</v>
      </c>
    </row>
    <row r="6683" spans="1:5" x14ac:dyDescent="0.25">
      <c r="A6683" s="4" t="s">
        <v>53</v>
      </c>
      <c r="B6683" s="4" t="s">
        <v>33</v>
      </c>
      <c r="C6683" s="5">
        <v>45321</v>
      </c>
      <c r="D6683" s="4">
        <v>41.3</v>
      </c>
      <c r="E6683" s="4">
        <v>14.36</v>
      </c>
    </row>
    <row r="6684" spans="1:5" x14ac:dyDescent="0.25">
      <c r="A6684" s="4" t="s">
        <v>53</v>
      </c>
      <c r="B6684" s="4" t="s">
        <v>33</v>
      </c>
      <c r="C6684" s="5">
        <v>45321</v>
      </c>
      <c r="D6684" s="4">
        <v>17.3</v>
      </c>
      <c r="E6684" s="4">
        <v>6.03</v>
      </c>
    </row>
    <row r="6685" spans="1:5" x14ac:dyDescent="0.25">
      <c r="A6685" s="4" t="s">
        <v>53</v>
      </c>
      <c r="B6685" s="4" t="s">
        <v>33</v>
      </c>
      <c r="C6685" s="5">
        <v>45321</v>
      </c>
      <c r="D6685" s="4">
        <v>17.3</v>
      </c>
      <c r="E6685" s="4">
        <v>6.03</v>
      </c>
    </row>
    <row r="6686" spans="1:5" x14ac:dyDescent="0.25">
      <c r="A6686" s="4" t="s">
        <v>53</v>
      </c>
      <c r="B6686" s="4" t="s">
        <v>33</v>
      </c>
      <c r="C6686" s="5">
        <v>45321</v>
      </c>
      <c r="D6686" s="4">
        <v>67.5</v>
      </c>
      <c r="E6686" s="4">
        <v>23.48</v>
      </c>
    </row>
    <row r="6687" spans="1:5" x14ac:dyDescent="0.25">
      <c r="A6687" s="4" t="s">
        <v>53</v>
      </c>
      <c r="B6687" s="4" t="s">
        <v>33</v>
      </c>
      <c r="C6687" s="5">
        <v>45321</v>
      </c>
      <c r="D6687" s="4">
        <v>85.7</v>
      </c>
      <c r="E6687" s="4">
        <v>29.82</v>
      </c>
    </row>
    <row r="6688" spans="1:5" x14ac:dyDescent="0.25">
      <c r="A6688" s="4" t="s">
        <v>53</v>
      </c>
      <c r="B6688" s="4" t="s">
        <v>33</v>
      </c>
      <c r="C6688" s="5">
        <v>45321</v>
      </c>
      <c r="D6688" s="4">
        <v>17.3</v>
      </c>
      <c r="E6688" s="4">
        <v>6.03</v>
      </c>
    </row>
    <row r="6689" spans="1:5" x14ac:dyDescent="0.25">
      <c r="A6689" s="4" t="s">
        <v>53</v>
      </c>
      <c r="B6689" s="4" t="s">
        <v>33</v>
      </c>
      <c r="C6689" s="5">
        <v>45321</v>
      </c>
      <c r="D6689" s="4">
        <v>17.3</v>
      </c>
      <c r="E6689" s="4">
        <v>6.03</v>
      </c>
    </row>
    <row r="6690" spans="1:5" x14ac:dyDescent="0.25">
      <c r="A6690" s="4" t="s">
        <v>53</v>
      </c>
      <c r="B6690" s="4" t="s">
        <v>33</v>
      </c>
      <c r="C6690" s="5">
        <v>45321</v>
      </c>
      <c r="D6690" s="4">
        <v>67.5</v>
      </c>
      <c r="E6690" s="4">
        <v>23.48</v>
      </c>
    </row>
    <row r="6691" spans="1:5" x14ac:dyDescent="0.25">
      <c r="A6691" s="4" t="s">
        <v>53</v>
      </c>
      <c r="B6691" s="4" t="s">
        <v>33</v>
      </c>
      <c r="C6691" s="5">
        <v>45321</v>
      </c>
      <c r="D6691" s="4">
        <v>44.4</v>
      </c>
      <c r="E6691" s="4">
        <v>15.46</v>
      </c>
    </row>
    <row r="6692" spans="1:5" x14ac:dyDescent="0.25">
      <c r="A6692" s="4" t="s">
        <v>53</v>
      </c>
      <c r="B6692" s="4" t="s">
        <v>33</v>
      </c>
      <c r="C6692" s="5">
        <v>45322</v>
      </c>
      <c r="D6692" s="4">
        <v>15.4</v>
      </c>
      <c r="E6692" s="4">
        <v>5.35</v>
      </c>
    </row>
    <row r="6693" spans="1:5" x14ac:dyDescent="0.25">
      <c r="A6693" s="4" t="s">
        <v>53</v>
      </c>
      <c r="B6693" s="4" t="s">
        <v>33</v>
      </c>
      <c r="C6693" s="5">
        <v>45322</v>
      </c>
      <c r="D6693" s="4">
        <v>70.099999999999994</v>
      </c>
      <c r="E6693" s="4">
        <v>24.36</v>
      </c>
    </row>
    <row r="6694" spans="1:5" x14ac:dyDescent="0.25">
      <c r="A6694" s="4" t="s">
        <v>53</v>
      </c>
      <c r="B6694" s="4" t="s">
        <v>33</v>
      </c>
      <c r="C6694" s="5">
        <v>45322</v>
      </c>
      <c r="D6694" s="4">
        <v>9</v>
      </c>
      <c r="E6694" s="4">
        <v>3.13</v>
      </c>
    </row>
    <row r="6695" spans="1:5" x14ac:dyDescent="0.25">
      <c r="A6695" s="4" t="s">
        <v>53</v>
      </c>
      <c r="B6695" s="4" t="s">
        <v>33</v>
      </c>
      <c r="C6695" s="5">
        <v>45322</v>
      </c>
      <c r="D6695" s="4">
        <v>9</v>
      </c>
      <c r="E6695" s="4">
        <v>3.13</v>
      </c>
    </row>
    <row r="6696" spans="1:5" x14ac:dyDescent="0.25">
      <c r="A6696" s="4" t="s">
        <v>53</v>
      </c>
      <c r="B6696" s="4" t="s">
        <v>33</v>
      </c>
      <c r="C6696" s="5">
        <v>45322</v>
      </c>
      <c r="D6696" s="4">
        <v>7.9</v>
      </c>
      <c r="E6696" s="4">
        <v>2.75</v>
      </c>
    </row>
    <row r="6697" spans="1:5" x14ac:dyDescent="0.25">
      <c r="A6697" s="4" t="s">
        <v>53</v>
      </c>
      <c r="B6697" s="4" t="s">
        <v>33</v>
      </c>
      <c r="C6697" s="5">
        <v>45322</v>
      </c>
      <c r="D6697" s="4">
        <v>9</v>
      </c>
      <c r="E6697" s="4">
        <v>3.13</v>
      </c>
    </row>
    <row r="6698" spans="1:5" x14ac:dyDescent="0.25">
      <c r="A6698" s="4" t="s">
        <v>53</v>
      </c>
      <c r="B6698" s="4" t="s">
        <v>33</v>
      </c>
      <c r="C6698" s="5">
        <v>45322</v>
      </c>
      <c r="D6698" s="4">
        <v>7.9</v>
      </c>
      <c r="E6698" s="4">
        <v>2.75</v>
      </c>
    </row>
    <row r="6699" spans="1:5" x14ac:dyDescent="0.25">
      <c r="A6699" s="4" t="s">
        <v>53</v>
      </c>
      <c r="B6699" s="4" t="s">
        <v>33</v>
      </c>
      <c r="C6699" s="5">
        <v>45322</v>
      </c>
      <c r="D6699" s="4">
        <v>9</v>
      </c>
      <c r="E6699" s="4">
        <v>3.13</v>
      </c>
    </row>
    <row r="6700" spans="1:5" x14ac:dyDescent="0.25">
      <c r="A6700" s="4" t="s">
        <v>53</v>
      </c>
      <c r="B6700" s="4" t="s">
        <v>33</v>
      </c>
      <c r="C6700" s="5">
        <v>45322</v>
      </c>
      <c r="D6700" s="4">
        <v>7.9</v>
      </c>
      <c r="E6700" s="4">
        <v>2.75</v>
      </c>
    </row>
    <row r="6701" spans="1:5" x14ac:dyDescent="0.25">
      <c r="A6701" s="4" t="s">
        <v>53</v>
      </c>
      <c r="B6701" s="4" t="s">
        <v>33</v>
      </c>
      <c r="C6701" s="5">
        <v>45322</v>
      </c>
      <c r="D6701" s="4">
        <v>30.6</v>
      </c>
      <c r="E6701" s="4">
        <v>10.67</v>
      </c>
    </row>
    <row r="6702" spans="1:5" x14ac:dyDescent="0.25">
      <c r="A6702" s="4" t="s">
        <v>53</v>
      </c>
      <c r="B6702" s="4" t="s">
        <v>33</v>
      </c>
      <c r="C6702" s="5">
        <v>45323</v>
      </c>
      <c r="D6702" s="4">
        <v>23.7</v>
      </c>
      <c r="E6702" s="4">
        <v>8.24</v>
      </c>
    </row>
    <row r="6703" spans="1:5" x14ac:dyDescent="0.25">
      <c r="A6703" s="4" t="s">
        <v>53</v>
      </c>
      <c r="B6703" s="4" t="s">
        <v>33</v>
      </c>
      <c r="C6703" s="5">
        <v>45323</v>
      </c>
      <c r="D6703" s="4">
        <v>15.4</v>
      </c>
      <c r="E6703" s="4">
        <v>5.35</v>
      </c>
    </row>
    <row r="6704" spans="1:5" x14ac:dyDescent="0.25">
      <c r="A6704" s="4" t="s">
        <v>53</v>
      </c>
      <c r="B6704" s="4" t="s">
        <v>33</v>
      </c>
      <c r="C6704" s="5">
        <v>45323</v>
      </c>
      <c r="D6704" s="4">
        <v>24.9</v>
      </c>
      <c r="E6704" s="4">
        <v>8.66</v>
      </c>
    </row>
    <row r="6705" spans="1:5" x14ac:dyDescent="0.25">
      <c r="A6705" s="4" t="s">
        <v>53</v>
      </c>
      <c r="B6705" s="4" t="s">
        <v>33</v>
      </c>
      <c r="C6705" s="5">
        <v>45323</v>
      </c>
      <c r="D6705" s="4">
        <v>24.1</v>
      </c>
      <c r="E6705" s="4">
        <v>8.3800000000000008</v>
      </c>
    </row>
    <row r="6706" spans="1:5" x14ac:dyDescent="0.25">
      <c r="A6706" s="4" t="s">
        <v>53</v>
      </c>
      <c r="B6706" s="4" t="s">
        <v>33</v>
      </c>
      <c r="C6706" s="5">
        <v>45323</v>
      </c>
      <c r="D6706" s="4">
        <v>24.9</v>
      </c>
      <c r="E6706" s="4">
        <v>8.66</v>
      </c>
    </row>
    <row r="6707" spans="1:5" x14ac:dyDescent="0.25">
      <c r="A6707" s="4" t="s">
        <v>53</v>
      </c>
      <c r="B6707" s="4" t="s">
        <v>33</v>
      </c>
      <c r="C6707" s="5">
        <v>45323</v>
      </c>
      <c r="D6707" s="4">
        <v>8.6999999999999993</v>
      </c>
      <c r="E6707" s="4">
        <v>3.03</v>
      </c>
    </row>
    <row r="6708" spans="1:5" x14ac:dyDescent="0.25">
      <c r="A6708" s="4" t="s">
        <v>53</v>
      </c>
      <c r="B6708" s="4" t="s">
        <v>33</v>
      </c>
      <c r="C6708" s="5">
        <v>45324</v>
      </c>
      <c r="D6708" s="4">
        <v>22.4</v>
      </c>
      <c r="E6708" s="4">
        <v>7.79</v>
      </c>
    </row>
    <row r="6709" spans="1:5" x14ac:dyDescent="0.25">
      <c r="A6709" s="4" t="s">
        <v>53</v>
      </c>
      <c r="B6709" s="4" t="s">
        <v>33</v>
      </c>
      <c r="C6709" s="5">
        <v>45324</v>
      </c>
      <c r="D6709" s="4">
        <v>0.5</v>
      </c>
      <c r="E6709" s="4">
        <v>0.17</v>
      </c>
    </row>
    <row r="6710" spans="1:5" x14ac:dyDescent="0.25">
      <c r="A6710" s="4" t="s">
        <v>53</v>
      </c>
      <c r="B6710" s="4" t="s">
        <v>33</v>
      </c>
      <c r="C6710" s="5">
        <v>45324</v>
      </c>
      <c r="D6710" s="4">
        <v>1.4</v>
      </c>
      <c r="E6710" s="4">
        <v>0.48</v>
      </c>
    </row>
    <row r="6711" spans="1:5" x14ac:dyDescent="0.25">
      <c r="A6711" s="4" t="s">
        <v>53</v>
      </c>
      <c r="B6711" s="4" t="s">
        <v>33</v>
      </c>
      <c r="C6711" s="5">
        <v>45324</v>
      </c>
      <c r="D6711" s="4">
        <v>28.2</v>
      </c>
      <c r="E6711" s="4">
        <v>9.83</v>
      </c>
    </row>
    <row r="6712" spans="1:5" x14ac:dyDescent="0.25">
      <c r="A6712" s="4" t="s">
        <v>53</v>
      </c>
      <c r="B6712" s="4" t="s">
        <v>33</v>
      </c>
      <c r="C6712" s="5">
        <v>45324</v>
      </c>
      <c r="D6712" s="4">
        <v>1.3</v>
      </c>
      <c r="E6712" s="4">
        <v>0.45</v>
      </c>
    </row>
    <row r="6713" spans="1:5" x14ac:dyDescent="0.25">
      <c r="A6713" s="4" t="s">
        <v>53</v>
      </c>
      <c r="B6713" s="4" t="s">
        <v>33</v>
      </c>
      <c r="C6713" s="5">
        <v>45324</v>
      </c>
      <c r="D6713" s="4">
        <v>7.7</v>
      </c>
      <c r="E6713" s="4">
        <v>2.68</v>
      </c>
    </row>
    <row r="6714" spans="1:5" x14ac:dyDescent="0.25">
      <c r="A6714" s="4" t="s">
        <v>53</v>
      </c>
      <c r="B6714" s="4" t="s">
        <v>33</v>
      </c>
      <c r="C6714" s="5">
        <v>45324</v>
      </c>
      <c r="D6714" s="4">
        <v>1.3</v>
      </c>
      <c r="E6714" s="4">
        <v>0.45</v>
      </c>
    </row>
    <row r="6715" spans="1:5" x14ac:dyDescent="0.25">
      <c r="A6715" s="4" t="s">
        <v>53</v>
      </c>
      <c r="B6715" s="4" t="s">
        <v>33</v>
      </c>
      <c r="C6715" s="5">
        <v>45324</v>
      </c>
      <c r="D6715" s="4">
        <v>1.3</v>
      </c>
      <c r="E6715" s="4">
        <v>0.45</v>
      </c>
    </row>
    <row r="6716" spans="1:5" x14ac:dyDescent="0.25">
      <c r="A6716" s="4" t="s">
        <v>53</v>
      </c>
      <c r="B6716" s="4" t="s">
        <v>33</v>
      </c>
      <c r="C6716" s="5">
        <v>45324</v>
      </c>
      <c r="D6716" s="4">
        <v>1.3</v>
      </c>
      <c r="E6716" s="4">
        <v>0.45</v>
      </c>
    </row>
    <row r="6717" spans="1:5" x14ac:dyDescent="0.25">
      <c r="A6717" s="4" t="s">
        <v>53</v>
      </c>
      <c r="B6717" s="4" t="s">
        <v>33</v>
      </c>
      <c r="C6717" s="5">
        <v>45324</v>
      </c>
      <c r="D6717" s="4">
        <v>8.6999999999999993</v>
      </c>
      <c r="E6717" s="4">
        <v>3.03</v>
      </c>
    </row>
    <row r="6718" spans="1:5" x14ac:dyDescent="0.25">
      <c r="A6718" s="4" t="s">
        <v>53</v>
      </c>
      <c r="B6718" s="4" t="s">
        <v>33</v>
      </c>
      <c r="C6718" s="5">
        <v>45327</v>
      </c>
      <c r="D6718" s="4">
        <v>18.7</v>
      </c>
      <c r="E6718" s="4">
        <v>6.52</v>
      </c>
    </row>
    <row r="6719" spans="1:5" x14ac:dyDescent="0.25">
      <c r="A6719" s="4" t="s">
        <v>53</v>
      </c>
      <c r="B6719" s="4" t="s">
        <v>33</v>
      </c>
      <c r="C6719" s="5">
        <v>45327</v>
      </c>
      <c r="D6719" s="4">
        <v>28.2</v>
      </c>
      <c r="E6719" s="4">
        <v>9.83</v>
      </c>
    </row>
    <row r="6720" spans="1:5" x14ac:dyDescent="0.25">
      <c r="A6720" s="4" t="s">
        <v>53</v>
      </c>
      <c r="B6720" s="4" t="s">
        <v>33</v>
      </c>
      <c r="C6720" s="5">
        <v>45327</v>
      </c>
      <c r="D6720" s="4">
        <v>1.3</v>
      </c>
      <c r="E6720" s="4">
        <v>0.45</v>
      </c>
    </row>
    <row r="6721" spans="1:5" x14ac:dyDescent="0.25">
      <c r="A6721" s="4" t="s">
        <v>53</v>
      </c>
      <c r="B6721" s="4" t="s">
        <v>33</v>
      </c>
      <c r="C6721" s="5">
        <v>45327</v>
      </c>
      <c r="D6721" s="4">
        <v>26.1</v>
      </c>
      <c r="E6721" s="4">
        <v>9.1</v>
      </c>
    </row>
    <row r="6722" spans="1:5" x14ac:dyDescent="0.25">
      <c r="A6722" s="4" t="s">
        <v>53</v>
      </c>
      <c r="B6722" s="4" t="s">
        <v>33</v>
      </c>
      <c r="C6722" s="5">
        <v>45327</v>
      </c>
      <c r="D6722" s="4">
        <v>28.2</v>
      </c>
      <c r="E6722" s="4">
        <v>9.83</v>
      </c>
    </row>
    <row r="6723" spans="1:5" x14ac:dyDescent="0.25">
      <c r="A6723" s="4" t="s">
        <v>53</v>
      </c>
      <c r="B6723" s="4" t="s">
        <v>33</v>
      </c>
      <c r="C6723" s="5">
        <v>45327</v>
      </c>
      <c r="D6723" s="4">
        <v>1.3</v>
      </c>
      <c r="E6723" s="4">
        <v>0.45</v>
      </c>
    </row>
    <row r="6724" spans="1:5" x14ac:dyDescent="0.25">
      <c r="A6724" s="4" t="s">
        <v>53</v>
      </c>
      <c r="B6724" s="4" t="s">
        <v>33</v>
      </c>
      <c r="C6724" s="5">
        <v>45327</v>
      </c>
      <c r="D6724" s="4">
        <v>26.1</v>
      </c>
      <c r="E6724" s="4">
        <v>9.1</v>
      </c>
    </row>
    <row r="6725" spans="1:5" x14ac:dyDescent="0.25">
      <c r="A6725" s="4" t="s">
        <v>53</v>
      </c>
      <c r="B6725" s="4" t="s">
        <v>33</v>
      </c>
      <c r="C6725" s="5">
        <v>45327</v>
      </c>
      <c r="D6725" s="4">
        <v>28.2</v>
      </c>
      <c r="E6725" s="4">
        <v>9.83</v>
      </c>
    </row>
    <row r="6726" spans="1:5" x14ac:dyDescent="0.25">
      <c r="A6726" s="4" t="s">
        <v>53</v>
      </c>
      <c r="B6726" s="4" t="s">
        <v>33</v>
      </c>
      <c r="C6726" s="5">
        <v>45327</v>
      </c>
      <c r="D6726" s="4">
        <v>1.3</v>
      </c>
      <c r="E6726" s="4">
        <v>0.45</v>
      </c>
    </row>
    <row r="6727" spans="1:5" x14ac:dyDescent="0.25">
      <c r="A6727" s="4" t="s">
        <v>53</v>
      </c>
      <c r="B6727" s="4" t="s">
        <v>33</v>
      </c>
      <c r="C6727" s="5">
        <v>45327</v>
      </c>
      <c r="D6727" s="4">
        <v>26.1</v>
      </c>
      <c r="E6727" s="4">
        <v>9.1</v>
      </c>
    </row>
    <row r="6728" spans="1:5" x14ac:dyDescent="0.25">
      <c r="A6728" s="4" t="s">
        <v>53</v>
      </c>
      <c r="B6728" s="4" t="s">
        <v>33</v>
      </c>
      <c r="C6728" s="5">
        <v>45327</v>
      </c>
      <c r="D6728" s="4">
        <v>18.7</v>
      </c>
      <c r="E6728" s="4">
        <v>6.52</v>
      </c>
    </row>
    <row r="6729" spans="1:5" x14ac:dyDescent="0.25">
      <c r="A6729" s="4" t="s">
        <v>53</v>
      </c>
      <c r="B6729" s="4" t="s">
        <v>33</v>
      </c>
      <c r="C6729" s="5">
        <v>45328</v>
      </c>
      <c r="D6729" s="4">
        <v>30.5</v>
      </c>
      <c r="E6729" s="4">
        <v>10.62</v>
      </c>
    </row>
    <row r="6730" spans="1:5" x14ac:dyDescent="0.25">
      <c r="A6730" s="4" t="s">
        <v>53</v>
      </c>
      <c r="B6730" s="4" t="s">
        <v>33</v>
      </c>
      <c r="C6730" s="5">
        <v>45328</v>
      </c>
      <c r="D6730" s="4">
        <v>1.2</v>
      </c>
      <c r="E6730" s="4">
        <v>0.41</v>
      </c>
    </row>
    <row r="6731" spans="1:5" x14ac:dyDescent="0.25">
      <c r="A6731" s="4" t="s">
        <v>53</v>
      </c>
      <c r="B6731" s="4" t="s">
        <v>33</v>
      </c>
      <c r="C6731" s="5">
        <v>45328</v>
      </c>
      <c r="D6731" s="4">
        <v>30.6</v>
      </c>
      <c r="E6731" s="4">
        <v>10.67</v>
      </c>
    </row>
    <row r="6732" spans="1:5" x14ac:dyDescent="0.25">
      <c r="A6732" s="4" t="s">
        <v>53</v>
      </c>
      <c r="B6732" s="4" t="s">
        <v>33</v>
      </c>
      <c r="C6732" s="5">
        <v>45329</v>
      </c>
      <c r="D6732" s="4">
        <v>30.6</v>
      </c>
      <c r="E6732" s="4">
        <v>10.67</v>
      </c>
    </row>
    <row r="6733" spans="1:5" x14ac:dyDescent="0.25">
      <c r="A6733" s="4" t="s">
        <v>53</v>
      </c>
      <c r="B6733" s="4" t="s">
        <v>33</v>
      </c>
      <c r="C6733" s="5">
        <v>45329</v>
      </c>
      <c r="D6733" s="4">
        <v>30.6</v>
      </c>
      <c r="E6733" s="4">
        <v>10.67</v>
      </c>
    </row>
    <row r="6734" spans="1:5" x14ac:dyDescent="0.25">
      <c r="A6734" s="4" t="s">
        <v>53</v>
      </c>
      <c r="B6734" s="4" t="s">
        <v>33</v>
      </c>
      <c r="C6734" s="5">
        <v>45330</v>
      </c>
      <c r="D6734" s="4">
        <v>41.3</v>
      </c>
      <c r="E6734" s="4">
        <v>14.36</v>
      </c>
    </row>
    <row r="6735" spans="1:5" x14ac:dyDescent="0.25">
      <c r="A6735" s="4" t="s">
        <v>53</v>
      </c>
      <c r="B6735" s="4" t="s">
        <v>33</v>
      </c>
      <c r="C6735" s="5">
        <v>45330</v>
      </c>
      <c r="D6735" s="4">
        <v>17.3</v>
      </c>
      <c r="E6735" s="4">
        <v>6.03</v>
      </c>
    </row>
    <row r="6736" spans="1:5" x14ac:dyDescent="0.25">
      <c r="A6736" s="4" t="s">
        <v>53</v>
      </c>
      <c r="B6736" s="4" t="s">
        <v>33</v>
      </c>
      <c r="C6736" s="5">
        <v>45330</v>
      </c>
      <c r="D6736" s="4">
        <v>17.3</v>
      </c>
      <c r="E6736" s="4">
        <v>6.03</v>
      </c>
    </row>
    <row r="6737" spans="1:5" x14ac:dyDescent="0.25">
      <c r="A6737" s="4" t="s">
        <v>53</v>
      </c>
      <c r="B6737" s="4" t="s">
        <v>33</v>
      </c>
      <c r="C6737" s="5">
        <v>45330</v>
      </c>
      <c r="D6737" s="4">
        <v>67.5</v>
      </c>
      <c r="E6737" s="4">
        <v>23.48</v>
      </c>
    </row>
    <row r="6738" spans="1:5" x14ac:dyDescent="0.25">
      <c r="A6738" s="4" t="s">
        <v>53</v>
      </c>
      <c r="B6738" s="4" t="s">
        <v>33</v>
      </c>
      <c r="C6738" s="5">
        <v>45330</v>
      </c>
      <c r="D6738" s="4">
        <v>71.2</v>
      </c>
      <c r="E6738" s="4">
        <v>24.72</v>
      </c>
    </row>
    <row r="6739" spans="1:5" x14ac:dyDescent="0.25">
      <c r="A6739" s="4" t="s">
        <v>53</v>
      </c>
      <c r="B6739" s="4" t="s">
        <v>33</v>
      </c>
      <c r="C6739" s="5">
        <v>45330</v>
      </c>
      <c r="D6739" s="4">
        <v>17.3</v>
      </c>
      <c r="E6739" s="4">
        <v>6.03</v>
      </c>
    </row>
    <row r="6740" spans="1:5" x14ac:dyDescent="0.25">
      <c r="A6740" s="4" t="s">
        <v>53</v>
      </c>
      <c r="B6740" s="4" t="s">
        <v>33</v>
      </c>
      <c r="C6740" s="5">
        <v>45330</v>
      </c>
      <c r="D6740" s="4">
        <v>17.3</v>
      </c>
      <c r="E6740" s="4">
        <v>6.03</v>
      </c>
    </row>
    <row r="6741" spans="1:5" x14ac:dyDescent="0.25">
      <c r="A6741" s="4" t="s">
        <v>53</v>
      </c>
      <c r="B6741" s="4" t="s">
        <v>33</v>
      </c>
      <c r="C6741" s="5">
        <v>45330</v>
      </c>
      <c r="D6741" s="4">
        <v>67.5</v>
      </c>
      <c r="E6741" s="4">
        <v>23.48</v>
      </c>
    </row>
    <row r="6742" spans="1:5" x14ac:dyDescent="0.25">
      <c r="A6742" s="4" t="s">
        <v>53</v>
      </c>
      <c r="B6742" s="4" t="s">
        <v>33</v>
      </c>
      <c r="C6742" s="5">
        <v>45330</v>
      </c>
      <c r="D6742" s="4">
        <v>29.9</v>
      </c>
      <c r="E6742" s="4">
        <v>10.36</v>
      </c>
    </row>
    <row r="6743" spans="1:5" x14ac:dyDescent="0.25">
      <c r="A6743" s="4" t="s">
        <v>53</v>
      </c>
      <c r="B6743" s="4" t="s">
        <v>33</v>
      </c>
      <c r="C6743" s="5">
        <v>45331</v>
      </c>
      <c r="D6743" s="4">
        <v>41.3</v>
      </c>
      <c r="E6743" s="4">
        <v>14.36</v>
      </c>
    </row>
    <row r="6744" spans="1:5" x14ac:dyDescent="0.25">
      <c r="A6744" s="4" t="s">
        <v>53</v>
      </c>
      <c r="B6744" s="4" t="s">
        <v>33</v>
      </c>
      <c r="C6744" s="5">
        <v>45331</v>
      </c>
      <c r="D6744" s="4">
        <v>17.3</v>
      </c>
      <c r="E6744" s="4">
        <v>6.03</v>
      </c>
    </row>
    <row r="6745" spans="1:5" x14ac:dyDescent="0.25">
      <c r="A6745" s="4" t="s">
        <v>53</v>
      </c>
      <c r="B6745" s="4" t="s">
        <v>33</v>
      </c>
      <c r="C6745" s="5">
        <v>45331</v>
      </c>
      <c r="D6745" s="4">
        <v>17.3</v>
      </c>
      <c r="E6745" s="4">
        <v>6.03</v>
      </c>
    </row>
    <row r="6746" spans="1:5" x14ac:dyDescent="0.25">
      <c r="A6746" s="4" t="s">
        <v>53</v>
      </c>
      <c r="B6746" s="4" t="s">
        <v>33</v>
      </c>
      <c r="C6746" s="5">
        <v>45331</v>
      </c>
      <c r="D6746" s="4">
        <v>67.5</v>
      </c>
      <c r="E6746" s="4">
        <v>23.48</v>
      </c>
    </row>
    <row r="6747" spans="1:5" x14ac:dyDescent="0.25">
      <c r="A6747" s="4" t="s">
        <v>53</v>
      </c>
      <c r="B6747" s="4" t="s">
        <v>33</v>
      </c>
      <c r="C6747" s="5">
        <v>45331</v>
      </c>
      <c r="D6747" s="4">
        <v>85.7</v>
      </c>
      <c r="E6747" s="4">
        <v>29.82</v>
      </c>
    </row>
    <row r="6748" spans="1:5" x14ac:dyDescent="0.25">
      <c r="A6748" s="4" t="s">
        <v>53</v>
      </c>
      <c r="B6748" s="4" t="s">
        <v>33</v>
      </c>
      <c r="C6748" s="5">
        <v>45331</v>
      </c>
      <c r="D6748" s="4">
        <v>17.3</v>
      </c>
      <c r="E6748" s="4">
        <v>6.03</v>
      </c>
    </row>
    <row r="6749" spans="1:5" x14ac:dyDescent="0.25">
      <c r="A6749" s="4" t="s">
        <v>53</v>
      </c>
      <c r="B6749" s="4" t="s">
        <v>33</v>
      </c>
      <c r="C6749" s="5">
        <v>45331</v>
      </c>
      <c r="D6749" s="4">
        <v>17.3</v>
      </c>
      <c r="E6749" s="4">
        <v>6.03</v>
      </c>
    </row>
    <row r="6750" spans="1:5" x14ac:dyDescent="0.25">
      <c r="A6750" s="4" t="s">
        <v>53</v>
      </c>
      <c r="B6750" s="4" t="s">
        <v>33</v>
      </c>
      <c r="C6750" s="5">
        <v>45331</v>
      </c>
      <c r="D6750" s="4">
        <v>67.5</v>
      </c>
      <c r="E6750" s="4">
        <v>23.48</v>
      </c>
    </row>
    <row r="6751" spans="1:5" x14ac:dyDescent="0.25">
      <c r="A6751" s="4" t="s">
        <v>53</v>
      </c>
      <c r="B6751" s="4" t="s">
        <v>33</v>
      </c>
      <c r="C6751" s="5">
        <v>45331</v>
      </c>
      <c r="D6751" s="4">
        <v>29.9</v>
      </c>
      <c r="E6751" s="4">
        <v>10.36</v>
      </c>
    </row>
    <row r="6752" spans="1:5" x14ac:dyDescent="0.25">
      <c r="A6752" s="4" t="s">
        <v>53</v>
      </c>
      <c r="B6752" s="4" t="s">
        <v>33</v>
      </c>
      <c r="C6752" s="5">
        <v>45334</v>
      </c>
      <c r="D6752" s="4">
        <v>30.6</v>
      </c>
      <c r="E6752" s="4">
        <v>10.67</v>
      </c>
    </row>
    <row r="6753" spans="1:5" x14ac:dyDescent="0.25">
      <c r="A6753" s="4" t="s">
        <v>53</v>
      </c>
      <c r="B6753" s="4" t="s">
        <v>33</v>
      </c>
      <c r="C6753" s="5">
        <v>45334</v>
      </c>
      <c r="D6753" s="4">
        <v>8.1999999999999993</v>
      </c>
      <c r="E6753" s="4">
        <v>2.85</v>
      </c>
    </row>
    <row r="6754" spans="1:5" x14ac:dyDescent="0.25">
      <c r="A6754" s="4" t="s">
        <v>53</v>
      </c>
      <c r="B6754" s="4" t="s">
        <v>33</v>
      </c>
      <c r="C6754" s="5">
        <v>45334</v>
      </c>
      <c r="D6754" s="4">
        <v>5.2</v>
      </c>
      <c r="E6754" s="4">
        <v>1.79</v>
      </c>
    </row>
    <row r="6755" spans="1:5" x14ac:dyDescent="0.25">
      <c r="A6755" s="4" t="s">
        <v>53</v>
      </c>
      <c r="B6755" s="4" t="s">
        <v>33</v>
      </c>
      <c r="C6755" s="5">
        <v>45334</v>
      </c>
      <c r="D6755" s="4">
        <v>17.5</v>
      </c>
      <c r="E6755" s="4">
        <v>6.05</v>
      </c>
    </row>
    <row r="6756" spans="1:5" x14ac:dyDescent="0.25">
      <c r="A6756" s="4" t="s">
        <v>53</v>
      </c>
      <c r="B6756" s="4" t="s">
        <v>33</v>
      </c>
      <c r="C6756" s="5">
        <v>45334</v>
      </c>
      <c r="D6756" s="4">
        <v>17.5</v>
      </c>
      <c r="E6756" s="4">
        <v>6.05</v>
      </c>
    </row>
    <row r="6757" spans="1:5" x14ac:dyDescent="0.25">
      <c r="A6757" s="4" t="s">
        <v>53</v>
      </c>
      <c r="B6757" s="4" t="s">
        <v>33</v>
      </c>
      <c r="C6757" s="5">
        <v>45334</v>
      </c>
      <c r="D6757" s="4">
        <v>17.5</v>
      </c>
      <c r="E6757" s="4">
        <v>6.05</v>
      </c>
    </row>
    <row r="6758" spans="1:5" x14ac:dyDescent="0.25">
      <c r="A6758" s="4" t="s">
        <v>53</v>
      </c>
      <c r="B6758" s="4" t="s">
        <v>33</v>
      </c>
      <c r="C6758" s="5">
        <v>45334</v>
      </c>
      <c r="D6758" s="4">
        <v>17.5</v>
      </c>
      <c r="E6758" s="4">
        <v>6.05</v>
      </c>
    </row>
    <row r="6759" spans="1:5" x14ac:dyDescent="0.25">
      <c r="A6759" s="4" t="s">
        <v>53</v>
      </c>
      <c r="B6759" s="4" t="s">
        <v>33</v>
      </c>
      <c r="C6759" s="5">
        <v>45334</v>
      </c>
      <c r="D6759" s="4">
        <v>11.3</v>
      </c>
      <c r="E6759" s="4">
        <v>3.9</v>
      </c>
    </row>
    <row r="6760" spans="1:5" x14ac:dyDescent="0.25">
      <c r="A6760" s="4" t="s">
        <v>53</v>
      </c>
      <c r="B6760" s="4" t="s">
        <v>33</v>
      </c>
      <c r="C6760" s="5">
        <v>45334</v>
      </c>
      <c r="D6760" s="4">
        <v>6.2</v>
      </c>
      <c r="E6760" s="4">
        <v>2.15</v>
      </c>
    </row>
    <row r="6761" spans="1:5" x14ac:dyDescent="0.25">
      <c r="A6761" s="4" t="s">
        <v>53</v>
      </c>
      <c r="B6761" s="4" t="s">
        <v>33</v>
      </c>
      <c r="C6761" s="5">
        <v>45334</v>
      </c>
      <c r="D6761" s="4">
        <v>17.5</v>
      </c>
      <c r="E6761" s="4">
        <v>6.05</v>
      </c>
    </row>
    <row r="6762" spans="1:5" x14ac:dyDescent="0.25">
      <c r="A6762" s="4" t="s">
        <v>53</v>
      </c>
      <c r="B6762" s="4" t="s">
        <v>33</v>
      </c>
      <c r="C6762" s="5">
        <v>45334</v>
      </c>
      <c r="D6762" s="4">
        <v>17.5</v>
      </c>
      <c r="E6762" s="4">
        <v>6.05</v>
      </c>
    </row>
    <row r="6763" spans="1:5" x14ac:dyDescent="0.25">
      <c r="A6763" s="4" t="s">
        <v>53</v>
      </c>
      <c r="B6763" s="4" t="s">
        <v>33</v>
      </c>
      <c r="C6763" s="5">
        <v>45334</v>
      </c>
      <c r="D6763" s="4">
        <v>17.5</v>
      </c>
      <c r="E6763" s="4">
        <v>6.05</v>
      </c>
    </row>
    <row r="6764" spans="1:5" x14ac:dyDescent="0.25">
      <c r="A6764" s="4" t="s">
        <v>53</v>
      </c>
      <c r="B6764" s="4" t="s">
        <v>33</v>
      </c>
      <c r="C6764" s="5">
        <v>45334</v>
      </c>
      <c r="D6764" s="4">
        <v>17.5</v>
      </c>
      <c r="E6764" s="4">
        <v>6.05</v>
      </c>
    </row>
    <row r="6765" spans="1:5" x14ac:dyDescent="0.25">
      <c r="A6765" s="4" t="s">
        <v>53</v>
      </c>
      <c r="B6765" s="4" t="s">
        <v>33</v>
      </c>
      <c r="C6765" s="5">
        <v>45335</v>
      </c>
      <c r="D6765" s="4">
        <v>17.5</v>
      </c>
      <c r="E6765" s="4">
        <v>6.05</v>
      </c>
    </row>
    <row r="6766" spans="1:5" x14ac:dyDescent="0.25">
      <c r="A6766" s="4" t="s">
        <v>53</v>
      </c>
      <c r="B6766" s="4" t="s">
        <v>33</v>
      </c>
      <c r="C6766" s="5">
        <v>45335</v>
      </c>
      <c r="D6766" s="4">
        <v>17.5</v>
      </c>
      <c r="E6766" s="4">
        <v>6.05</v>
      </c>
    </row>
    <row r="6767" spans="1:5" x14ac:dyDescent="0.25">
      <c r="A6767" s="4" t="s">
        <v>53</v>
      </c>
      <c r="B6767" s="4" t="s">
        <v>33</v>
      </c>
      <c r="C6767" s="5">
        <v>45335</v>
      </c>
      <c r="D6767" s="4">
        <v>17.5</v>
      </c>
      <c r="E6767" s="4">
        <v>6.05</v>
      </c>
    </row>
    <row r="6768" spans="1:5" x14ac:dyDescent="0.25">
      <c r="A6768" s="4" t="s">
        <v>53</v>
      </c>
      <c r="B6768" s="4" t="s">
        <v>33</v>
      </c>
      <c r="C6768" s="5">
        <v>45335</v>
      </c>
      <c r="D6768" s="4">
        <v>17.5</v>
      </c>
      <c r="E6768" s="4">
        <v>6.05</v>
      </c>
    </row>
    <row r="6769" spans="1:5" x14ac:dyDescent="0.25">
      <c r="A6769" s="4" t="s">
        <v>53</v>
      </c>
      <c r="B6769" s="4" t="s">
        <v>33</v>
      </c>
      <c r="C6769" s="5">
        <v>45335</v>
      </c>
      <c r="D6769" s="4">
        <v>17.5</v>
      </c>
      <c r="E6769" s="4">
        <v>6.05</v>
      </c>
    </row>
    <row r="6770" spans="1:5" x14ac:dyDescent="0.25">
      <c r="A6770" s="4" t="s">
        <v>53</v>
      </c>
      <c r="B6770" s="4" t="s">
        <v>33</v>
      </c>
      <c r="C6770" s="5">
        <v>45335</v>
      </c>
      <c r="D6770" s="4">
        <v>11.3</v>
      </c>
      <c r="E6770" s="4">
        <v>3.9</v>
      </c>
    </row>
    <row r="6771" spans="1:5" x14ac:dyDescent="0.25">
      <c r="A6771" s="4" t="s">
        <v>53</v>
      </c>
      <c r="B6771" s="4" t="s">
        <v>33</v>
      </c>
      <c r="C6771" s="5">
        <v>45335</v>
      </c>
      <c r="D6771" s="4">
        <v>6.2</v>
      </c>
      <c r="E6771" s="4">
        <v>2.15</v>
      </c>
    </row>
    <row r="6772" spans="1:5" x14ac:dyDescent="0.25">
      <c r="A6772" s="4" t="s">
        <v>53</v>
      </c>
      <c r="B6772" s="4" t="s">
        <v>33</v>
      </c>
      <c r="C6772" s="5">
        <v>45335</v>
      </c>
      <c r="D6772" s="4">
        <v>17.5</v>
      </c>
      <c r="E6772" s="4">
        <v>6.05</v>
      </c>
    </row>
    <row r="6773" spans="1:5" x14ac:dyDescent="0.25">
      <c r="A6773" s="4" t="s">
        <v>53</v>
      </c>
      <c r="B6773" s="4" t="s">
        <v>33</v>
      </c>
      <c r="C6773" s="5">
        <v>45335</v>
      </c>
      <c r="D6773" s="4">
        <v>17.5</v>
      </c>
      <c r="E6773" s="4">
        <v>6.05</v>
      </c>
    </row>
    <row r="6774" spans="1:5" x14ac:dyDescent="0.25">
      <c r="A6774" s="4" t="s">
        <v>53</v>
      </c>
      <c r="B6774" s="4" t="s">
        <v>33</v>
      </c>
      <c r="C6774" s="5">
        <v>45335</v>
      </c>
      <c r="D6774" s="4">
        <v>17.5</v>
      </c>
      <c r="E6774" s="4">
        <v>6.05</v>
      </c>
    </row>
    <row r="6775" spans="1:5" x14ac:dyDescent="0.25">
      <c r="A6775" s="4" t="s">
        <v>53</v>
      </c>
      <c r="B6775" s="4" t="s">
        <v>33</v>
      </c>
      <c r="C6775" s="5">
        <v>45335</v>
      </c>
      <c r="D6775" s="4">
        <v>5.2</v>
      </c>
      <c r="E6775" s="4">
        <v>1.79</v>
      </c>
    </row>
    <row r="6776" spans="1:5" x14ac:dyDescent="0.25">
      <c r="A6776" s="4" t="s">
        <v>53</v>
      </c>
      <c r="B6776" s="4" t="s">
        <v>33</v>
      </c>
      <c r="C6776" s="5">
        <v>45335</v>
      </c>
      <c r="D6776" s="4">
        <v>42.5</v>
      </c>
      <c r="E6776" s="4">
        <v>14.81</v>
      </c>
    </row>
    <row r="6777" spans="1:5" x14ac:dyDescent="0.25">
      <c r="A6777" s="4" t="s">
        <v>53</v>
      </c>
      <c r="B6777" s="4" t="s">
        <v>33</v>
      </c>
      <c r="C6777" s="5">
        <v>45336</v>
      </c>
      <c r="D6777" s="4">
        <v>20.100000000000001</v>
      </c>
      <c r="E6777" s="4">
        <v>7</v>
      </c>
    </row>
    <row r="6778" spans="1:5" x14ac:dyDescent="0.25">
      <c r="A6778" s="4" t="s">
        <v>53</v>
      </c>
      <c r="B6778" s="4" t="s">
        <v>33</v>
      </c>
      <c r="C6778" s="5">
        <v>45336</v>
      </c>
      <c r="D6778" s="4">
        <v>13.8</v>
      </c>
      <c r="E6778" s="4">
        <v>4.8099999999999996</v>
      </c>
    </row>
    <row r="6779" spans="1:5" x14ac:dyDescent="0.25">
      <c r="A6779" s="4" t="s">
        <v>53</v>
      </c>
      <c r="B6779" s="4" t="s">
        <v>33</v>
      </c>
      <c r="C6779" s="5">
        <v>45336</v>
      </c>
      <c r="D6779" s="4">
        <v>17.5</v>
      </c>
      <c r="E6779" s="4">
        <v>6.05</v>
      </c>
    </row>
    <row r="6780" spans="1:5" x14ac:dyDescent="0.25">
      <c r="A6780" s="4" t="s">
        <v>53</v>
      </c>
      <c r="B6780" s="4" t="s">
        <v>33</v>
      </c>
      <c r="C6780" s="5">
        <v>45336</v>
      </c>
      <c r="D6780" s="4">
        <v>17.5</v>
      </c>
      <c r="E6780" s="4">
        <v>6.05</v>
      </c>
    </row>
    <row r="6781" spans="1:5" x14ac:dyDescent="0.25">
      <c r="A6781" s="4" t="s">
        <v>53</v>
      </c>
      <c r="B6781" s="4" t="s">
        <v>33</v>
      </c>
      <c r="C6781" s="5">
        <v>45336</v>
      </c>
      <c r="D6781" s="4">
        <v>17.5</v>
      </c>
      <c r="E6781" s="4">
        <v>6.05</v>
      </c>
    </row>
    <row r="6782" spans="1:5" x14ac:dyDescent="0.25">
      <c r="A6782" s="4" t="s">
        <v>53</v>
      </c>
      <c r="B6782" s="4" t="s">
        <v>33</v>
      </c>
      <c r="C6782" s="5">
        <v>45336</v>
      </c>
      <c r="D6782" s="4">
        <v>11.3</v>
      </c>
      <c r="E6782" s="4">
        <v>3.9</v>
      </c>
    </row>
    <row r="6783" spans="1:5" x14ac:dyDescent="0.25">
      <c r="A6783" s="4" t="s">
        <v>53</v>
      </c>
      <c r="B6783" s="4" t="s">
        <v>33</v>
      </c>
      <c r="C6783" s="5">
        <v>45336</v>
      </c>
      <c r="D6783" s="4">
        <v>6.2</v>
      </c>
      <c r="E6783" s="4">
        <v>2.15</v>
      </c>
    </row>
    <row r="6784" spans="1:5" x14ac:dyDescent="0.25">
      <c r="A6784" s="4" t="s">
        <v>53</v>
      </c>
      <c r="B6784" s="4" t="s">
        <v>33</v>
      </c>
      <c r="C6784" s="5">
        <v>45336</v>
      </c>
      <c r="D6784" s="4">
        <v>17.5</v>
      </c>
      <c r="E6784" s="4">
        <v>6.05</v>
      </c>
    </row>
    <row r="6785" spans="1:5" x14ac:dyDescent="0.25">
      <c r="A6785" s="4" t="s">
        <v>53</v>
      </c>
      <c r="B6785" s="4" t="s">
        <v>33</v>
      </c>
      <c r="C6785" s="5">
        <v>45336</v>
      </c>
      <c r="D6785" s="4">
        <v>17.5</v>
      </c>
      <c r="E6785" s="4">
        <v>6.05</v>
      </c>
    </row>
    <row r="6786" spans="1:5" x14ac:dyDescent="0.25">
      <c r="A6786" s="4" t="s">
        <v>53</v>
      </c>
      <c r="B6786" s="4" t="s">
        <v>33</v>
      </c>
      <c r="C6786" s="5">
        <v>45336</v>
      </c>
      <c r="D6786" s="4">
        <v>17.5</v>
      </c>
      <c r="E6786" s="4">
        <v>6.05</v>
      </c>
    </row>
    <row r="6787" spans="1:5" x14ac:dyDescent="0.25">
      <c r="A6787" s="4" t="s">
        <v>53</v>
      </c>
      <c r="B6787" s="4" t="s">
        <v>33</v>
      </c>
      <c r="C6787" s="5">
        <v>45336</v>
      </c>
      <c r="D6787" s="4">
        <v>17.5</v>
      </c>
      <c r="E6787" s="4">
        <v>6.05</v>
      </c>
    </row>
    <row r="6788" spans="1:5" x14ac:dyDescent="0.25">
      <c r="A6788" s="4" t="s">
        <v>53</v>
      </c>
      <c r="B6788" s="4" t="s">
        <v>33</v>
      </c>
      <c r="C6788" s="5">
        <v>45337</v>
      </c>
      <c r="D6788" s="4">
        <v>17.5</v>
      </c>
      <c r="E6788" s="4">
        <v>6.05</v>
      </c>
    </row>
    <row r="6789" spans="1:5" x14ac:dyDescent="0.25">
      <c r="A6789" s="4" t="s">
        <v>53</v>
      </c>
      <c r="B6789" s="4" t="s">
        <v>33</v>
      </c>
      <c r="C6789" s="5">
        <v>45337</v>
      </c>
      <c r="D6789" s="4">
        <v>17.5</v>
      </c>
      <c r="E6789" s="4">
        <v>6.05</v>
      </c>
    </row>
    <row r="6790" spans="1:5" x14ac:dyDescent="0.25">
      <c r="A6790" s="4" t="s">
        <v>53</v>
      </c>
      <c r="B6790" s="4" t="s">
        <v>33</v>
      </c>
      <c r="C6790" s="5">
        <v>45337</v>
      </c>
      <c r="D6790" s="4">
        <v>17.5</v>
      </c>
      <c r="E6790" s="4">
        <v>6.05</v>
      </c>
    </row>
    <row r="6791" spans="1:5" x14ac:dyDescent="0.25">
      <c r="A6791" s="4" t="s">
        <v>53</v>
      </c>
      <c r="B6791" s="4" t="s">
        <v>33</v>
      </c>
      <c r="C6791" s="5">
        <v>45337</v>
      </c>
      <c r="D6791" s="4">
        <v>17.5</v>
      </c>
      <c r="E6791" s="4">
        <v>6.05</v>
      </c>
    </row>
    <row r="6792" spans="1:5" x14ac:dyDescent="0.25">
      <c r="A6792" s="4" t="s">
        <v>53</v>
      </c>
      <c r="B6792" s="4" t="s">
        <v>33</v>
      </c>
      <c r="C6792" s="5">
        <v>45337</v>
      </c>
      <c r="D6792" s="4">
        <v>6.2</v>
      </c>
      <c r="E6792" s="4">
        <v>2.15</v>
      </c>
    </row>
    <row r="6793" spans="1:5" x14ac:dyDescent="0.25">
      <c r="A6793" s="4" t="s">
        <v>53</v>
      </c>
      <c r="B6793" s="4" t="s">
        <v>33</v>
      </c>
      <c r="C6793" s="5">
        <v>45337</v>
      </c>
      <c r="D6793" s="4">
        <v>11.7</v>
      </c>
      <c r="E6793" s="4">
        <v>4.04</v>
      </c>
    </row>
    <row r="6794" spans="1:5" x14ac:dyDescent="0.25">
      <c r="A6794" s="4" t="s">
        <v>53</v>
      </c>
      <c r="B6794" s="4" t="s">
        <v>33</v>
      </c>
      <c r="C6794" s="5">
        <v>45337</v>
      </c>
      <c r="D6794" s="4">
        <v>17.5</v>
      </c>
      <c r="E6794" s="4">
        <v>6.05</v>
      </c>
    </row>
    <row r="6795" spans="1:5" x14ac:dyDescent="0.25">
      <c r="A6795" s="4" t="s">
        <v>53</v>
      </c>
      <c r="B6795" s="4" t="s">
        <v>33</v>
      </c>
      <c r="C6795" s="5">
        <v>45337</v>
      </c>
      <c r="D6795" s="4">
        <v>17.5</v>
      </c>
      <c r="E6795" s="4">
        <v>6.05</v>
      </c>
    </row>
    <row r="6796" spans="1:5" x14ac:dyDescent="0.25">
      <c r="A6796" s="4" t="s">
        <v>53</v>
      </c>
      <c r="B6796" s="4" t="s">
        <v>33</v>
      </c>
      <c r="C6796" s="5">
        <v>45337</v>
      </c>
      <c r="D6796" s="4">
        <v>17.5</v>
      </c>
      <c r="E6796" s="4">
        <v>6.05</v>
      </c>
    </row>
    <row r="6797" spans="1:5" x14ac:dyDescent="0.25">
      <c r="A6797" s="4" t="s">
        <v>53</v>
      </c>
      <c r="B6797" s="4" t="s">
        <v>34</v>
      </c>
      <c r="C6797" s="5">
        <v>45320</v>
      </c>
      <c r="D6797" s="4">
        <v>9.5</v>
      </c>
      <c r="E6797" s="4">
        <v>3.31</v>
      </c>
    </row>
    <row r="6798" spans="1:5" x14ac:dyDescent="0.25">
      <c r="A6798" s="4" t="s">
        <v>53</v>
      </c>
      <c r="B6798" s="4" t="s">
        <v>34</v>
      </c>
      <c r="C6798" s="5">
        <v>45320</v>
      </c>
      <c r="D6798" s="4">
        <v>27.8</v>
      </c>
      <c r="E6798" s="4">
        <v>9.68</v>
      </c>
    </row>
    <row r="6799" spans="1:5" x14ac:dyDescent="0.25">
      <c r="A6799" s="4" t="s">
        <v>53</v>
      </c>
      <c r="B6799" s="4" t="s">
        <v>34</v>
      </c>
      <c r="C6799" s="5">
        <v>45320</v>
      </c>
      <c r="D6799" s="4">
        <v>35.1</v>
      </c>
      <c r="E6799" s="4">
        <v>12.22</v>
      </c>
    </row>
    <row r="6800" spans="1:5" x14ac:dyDescent="0.25">
      <c r="A6800" s="4" t="s">
        <v>53</v>
      </c>
      <c r="B6800" s="4" t="s">
        <v>34</v>
      </c>
      <c r="C6800" s="5">
        <v>45320</v>
      </c>
      <c r="D6800" s="4">
        <v>1.4</v>
      </c>
      <c r="E6800" s="4">
        <v>0.49</v>
      </c>
    </row>
    <row r="6801" spans="1:5" x14ac:dyDescent="0.25">
      <c r="A6801" s="4" t="s">
        <v>53</v>
      </c>
      <c r="B6801" s="4" t="s">
        <v>34</v>
      </c>
      <c r="C6801" s="5">
        <v>45320</v>
      </c>
      <c r="D6801" s="4">
        <v>20.3</v>
      </c>
      <c r="E6801" s="4">
        <v>7.02</v>
      </c>
    </row>
    <row r="6802" spans="1:5" x14ac:dyDescent="0.25">
      <c r="A6802" s="4" t="s">
        <v>53</v>
      </c>
      <c r="B6802" s="4" t="s">
        <v>34</v>
      </c>
      <c r="C6802" s="5">
        <v>45320</v>
      </c>
      <c r="D6802" s="4">
        <v>8.6999999999999993</v>
      </c>
      <c r="E6802" s="4">
        <v>3.03</v>
      </c>
    </row>
    <row r="6803" spans="1:5" x14ac:dyDescent="0.25">
      <c r="A6803" s="4" t="s">
        <v>53</v>
      </c>
      <c r="B6803" s="4" t="s">
        <v>34</v>
      </c>
      <c r="C6803" s="5">
        <v>45321</v>
      </c>
      <c r="D6803" s="4">
        <v>16.8</v>
      </c>
      <c r="E6803" s="4">
        <v>5.85</v>
      </c>
    </row>
    <row r="6804" spans="1:5" x14ac:dyDescent="0.25">
      <c r="A6804" s="4" t="s">
        <v>53</v>
      </c>
      <c r="B6804" s="4" t="s">
        <v>34</v>
      </c>
      <c r="C6804" s="5">
        <v>45321</v>
      </c>
      <c r="D6804" s="4">
        <v>16</v>
      </c>
      <c r="E6804" s="4">
        <v>5.58</v>
      </c>
    </row>
    <row r="6805" spans="1:5" x14ac:dyDescent="0.25">
      <c r="A6805" s="4" t="s">
        <v>53</v>
      </c>
      <c r="B6805" s="4" t="s">
        <v>34</v>
      </c>
      <c r="C6805" s="5">
        <v>45321</v>
      </c>
      <c r="D6805" s="4">
        <v>16</v>
      </c>
      <c r="E6805" s="4">
        <v>5.58</v>
      </c>
    </row>
    <row r="6806" spans="1:5" x14ac:dyDescent="0.25">
      <c r="A6806" s="4" t="s">
        <v>53</v>
      </c>
      <c r="B6806" s="4" t="s">
        <v>34</v>
      </c>
      <c r="C6806" s="5">
        <v>45321</v>
      </c>
      <c r="D6806" s="4">
        <v>16</v>
      </c>
      <c r="E6806" s="4">
        <v>5.58</v>
      </c>
    </row>
    <row r="6807" spans="1:5" x14ac:dyDescent="0.25">
      <c r="A6807" s="4" t="s">
        <v>53</v>
      </c>
      <c r="B6807" s="4" t="s">
        <v>34</v>
      </c>
      <c r="C6807" s="5">
        <v>45321</v>
      </c>
      <c r="D6807" s="4">
        <v>16</v>
      </c>
      <c r="E6807" s="4">
        <v>5.58</v>
      </c>
    </row>
    <row r="6808" spans="1:5" x14ac:dyDescent="0.25">
      <c r="A6808" s="4" t="s">
        <v>53</v>
      </c>
      <c r="B6808" s="4" t="s">
        <v>34</v>
      </c>
      <c r="C6808" s="5">
        <v>45321</v>
      </c>
      <c r="D6808" s="4">
        <v>16</v>
      </c>
      <c r="E6808" s="4">
        <v>5.58</v>
      </c>
    </row>
    <row r="6809" spans="1:5" x14ac:dyDescent="0.25">
      <c r="A6809" s="4" t="s">
        <v>53</v>
      </c>
      <c r="B6809" s="4" t="s">
        <v>34</v>
      </c>
      <c r="C6809" s="5">
        <v>45321</v>
      </c>
      <c r="D6809" s="4">
        <v>16</v>
      </c>
      <c r="E6809" s="4">
        <v>5.58</v>
      </c>
    </row>
    <row r="6810" spans="1:5" x14ac:dyDescent="0.25">
      <c r="A6810" s="4" t="s">
        <v>53</v>
      </c>
      <c r="B6810" s="4" t="s">
        <v>34</v>
      </c>
      <c r="C6810" s="5">
        <v>45321</v>
      </c>
      <c r="D6810" s="4">
        <v>16</v>
      </c>
      <c r="E6810" s="4">
        <v>5.58</v>
      </c>
    </row>
    <row r="6811" spans="1:5" x14ac:dyDescent="0.25">
      <c r="A6811" s="4" t="s">
        <v>53</v>
      </c>
      <c r="B6811" s="4" t="s">
        <v>34</v>
      </c>
      <c r="C6811" s="5">
        <v>45321</v>
      </c>
      <c r="D6811" s="4">
        <v>16</v>
      </c>
      <c r="E6811" s="4">
        <v>5.58</v>
      </c>
    </row>
    <row r="6812" spans="1:5" x14ac:dyDescent="0.25">
      <c r="A6812" s="4" t="s">
        <v>53</v>
      </c>
      <c r="B6812" s="4" t="s">
        <v>34</v>
      </c>
      <c r="C6812" s="5">
        <v>45321</v>
      </c>
      <c r="D6812" s="4">
        <v>16.8</v>
      </c>
      <c r="E6812" s="4">
        <v>5.85</v>
      </c>
    </row>
    <row r="6813" spans="1:5" x14ac:dyDescent="0.25">
      <c r="A6813" s="4" t="s">
        <v>53</v>
      </c>
      <c r="B6813" s="4" t="s">
        <v>34</v>
      </c>
      <c r="C6813" s="5">
        <v>45322</v>
      </c>
      <c r="D6813" s="4">
        <v>16.8</v>
      </c>
      <c r="E6813" s="4">
        <v>5.85</v>
      </c>
    </row>
    <row r="6814" spans="1:5" x14ac:dyDescent="0.25">
      <c r="A6814" s="4" t="s">
        <v>53</v>
      </c>
      <c r="B6814" s="4" t="s">
        <v>34</v>
      </c>
      <c r="C6814" s="5">
        <v>45322</v>
      </c>
      <c r="D6814" s="4">
        <v>16</v>
      </c>
      <c r="E6814" s="4">
        <v>5.58</v>
      </c>
    </row>
    <row r="6815" spans="1:5" x14ac:dyDescent="0.25">
      <c r="A6815" s="4" t="s">
        <v>53</v>
      </c>
      <c r="B6815" s="4" t="s">
        <v>34</v>
      </c>
      <c r="C6815" s="5">
        <v>45322</v>
      </c>
      <c r="D6815" s="4">
        <v>16</v>
      </c>
      <c r="E6815" s="4">
        <v>5.58</v>
      </c>
    </row>
    <row r="6816" spans="1:5" x14ac:dyDescent="0.25">
      <c r="A6816" s="4" t="s">
        <v>53</v>
      </c>
      <c r="B6816" s="4" t="s">
        <v>34</v>
      </c>
      <c r="C6816" s="5">
        <v>45322</v>
      </c>
      <c r="D6816" s="4">
        <v>16</v>
      </c>
      <c r="E6816" s="4">
        <v>5.58</v>
      </c>
    </row>
    <row r="6817" spans="1:5" x14ac:dyDescent="0.25">
      <c r="A6817" s="4" t="s">
        <v>53</v>
      </c>
      <c r="B6817" s="4" t="s">
        <v>34</v>
      </c>
      <c r="C6817" s="5">
        <v>45322</v>
      </c>
      <c r="D6817" s="4">
        <v>16</v>
      </c>
      <c r="E6817" s="4">
        <v>5.58</v>
      </c>
    </row>
    <row r="6818" spans="1:5" x14ac:dyDescent="0.25">
      <c r="A6818" s="4" t="s">
        <v>53</v>
      </c>
      <c r="B6818" s="4" t="s">
        <v>34</v>
      </c>
      <c r="C6818" s="5">
        <v>45322</v>
      </c>
      <c r="D6818" s="4">
        <v>16</v>
      </c>
      <c r="E6818" s="4">
        <v>5.58</v>
      </c>
    </row>
    <row r="6819" spans="1:5" x14ac:dyDescent="0.25">
      <c r="A6819" s="4" t="s">
        <v>53</v>
      </c>
      <c r="B6819" s="4" t="s">
        <v>34</v>
      </c>
      <c r="C6819" s="5">
        <v>45322</v>
      </c>
      <c r="D6819" s="4">
        <v>16</v>
      </c>
      <c r="E6819" s="4">
        <v>5.58</v>
      </c>
    </row>
    <row r="6820" spans="1:5" x14ac:dyDescent="0.25">
      <c r="A6820" s="4" t="s">
        <v>53</v>
      </c>
      <c r="B6820" s="4" t="s">
        <v>34</v>
      </c>
      <c r="C6820" s="5">
        <v>45322</v>
      </c>
      <c r="D6820" s="4">
        <v>16</v>
      </c>
      <c r="E6820" s="4">
        <v>5.58</v>
      </c>
    </row>
    <row r="6821" spans="1:5" x14ac:dyDescent="0.25">
      <c r="A6821" s="4" t="s">
        <v>53</v>
      </c>
      <c r="B6821" s="4" t="s">
        <v>34</v>
      </c>
      <c r="C6821" s="5">
        <v>45322</v>
      </c>
      <c r="D6821" s="4">
        <v>16</v>
      </c>
      <c r="E6821" s="4">
        <v>5.58</v>
      </c>
    </row>
    <row r="6822" spans="1:5" x14ac:dyDescent="0.25">
      <c r="A6822" s="4" t="s">
        <v>53</v>
      </c>
      <c r="B6822" s="4" t="s">
        <v>34</v>
      </c>
      <c r="C6822" s="5">
        <v>45322</v>
      </c>
      <c r="D6822" s="4">
        <v>16</v>
      </c>
      <c r="E6822" s="4">
        <v>5.58</v>
      </c>
    </row>
    <row r="6823" spans="1:5" x14ac:dyDescent="0.25">
      <c r="A6823" s="4" t="s">
        <v>53</v>
      </c>
      <c r="B6823" s="4" t="s">
        <v>34</v>
      </c>
      <c r="C6823" s="5">
        <v>45322</v>
      </c>
      <c r="D6823" s="4">
        <v>30.6</v>
      </c>
      <c r="E6823" s="4">
        <v>10.67</v>
      </c>
    </row>
    <row r="6824" spans="1:5" x14ac:dyDescent="0.25">
      <c r="A6824" s="4" t="s">
        <v>53</v>
      </c>
      <c r="B6824" s="4" t="s">
        <v>34</v>
      </c>
      <c r="C6824" s="5">
        <v>45329</v>
      </c>
      <c r="D6824" s="4">
        <v>14.8</v>
      </c>
      <c r="E6824" s="4">
        <v>5.14</v>
      </c>
    </row>
    <row r="6825" spans="1:5" x14ac:dyDescent="0.25">
      <c r="A6825" s="4" t="s">
        <v>53</v>
      </c>
      <c r="B6825" s="4" t="s">
        <v>34</v>
      </c>
      <c r="C6825" s="5">
        <v>45329</v>
      </c>
      <c r="D6825" s="4">
        <v>42.7</v>
      </c>
      <c r="E6825" s="4">
        <v>14.86</v>
      </c>
    </row>
    <row r="6826" spans="1:5" x14ac:dyDescent="0.25">
      <c r="A6826" s="4" t="s">
        <v>53</v>
      </c>
      <c r="B6826" s="4" t="s">
        <v>34</v>
      </c>
      <c r="C6826" s="5">
        <v>45329</v>
      </c>
      <c r="D6826" s="4">
        <v>42.7</v>
      </c>
      <c r="E6826" s="4">
        <v>14.86</v>
      </c>
    </row>
    <row r="6827" spans="1:5" x14ac:dyDescent="0.25">
      <c r="A6827" s="4" t="s">
        <v>53</v>
      </c>
      <c r="B6827" s="4" t="s">
        <v>34</v>
      </c>
      <c r="C6827" s="5">
        <v>45329</v>
      </c>
      <c r="D6827" s="4">
        <v>42.7</v>
      </c>
      <c r="E6827" s="4">
        <v>14.86</v>
      </c>
    </row>
    <row r="6828" spans="1:5" x14ac:dyDescent="0.25">
      <c r="A6828" s="4" t="s">
        <v>53</v>
      </c>
      <c r="B6828" s="4" t="s">
        <v>34</v>
      </c>
      <c r="C6828" s="5">
        <v>45329</v>
      </c>
      <c r="D6828" s="4">
        <v>45</v>
      </c>
      <c r="E6828" s="4">
        <v>15.64</v>
      </c>
    </row>
    <row r="6829" spans="1:5" x14ac:dyDescent="0.25">
      <c r="A6829" s="4" t="s">
        <v>53</v>
      </c>
      <c r="B6829" s="4" t="s">
        <v>34</v>
      </c>
      <c r="C6829" s="5">
        <v>45329</v>
      </c>
      <c r="D6829" s="4">
        <v>15.4</v>
      </c>
      <c r="E6829" s="4">
        <v>5.35</v>
      </c>
    </row>
    <row r="6830" spans="1:5" x14ac:dyDescent="0.25">
      <c r="A6830" s="4" t="s">
        <v>53</v>
      </c>
      <c r="B6830" s="4" t="s">
        <v>34</v>
      </c>
      <c r="C6830" s="5">
        <v>45329</v>
      </c>
      <c r="D6830" s="4">
        <v>31.3</v>
      </c>
      <c r="E6830" s="4">
        <v>10.86</v>
      </c>
    </row>
    <row r="6831" spans="1:5" x14ac:dyDescent="0.25">
      <c r="A6831" s="4" t="s">
        <v>53</v>
      </c>
      <c r="B6831" s="4" t="s">
        <v>34</v>
      </c>
      <c r="C6831" s="5">
        <v>45329</v>
      </c>
      <c r="D6831" s="4">
        <v>30.2</v>
      </c>
      <c r="E6831" s="4">
        <v>10.49</v>
      </c>
    </row>
    <row r="6832" spans="1:5" x14ac:dyDescent="0.25">
      <c r="A6832" s="4" t="s">
        <v>53</v>
      </c>
      <c r="B6832" s="4" t="s">
        <v>34</v>
      </c>
      <c r="C6832" s="5">
        <v>45329</v>
      </c>
      <c r="D6832" s="4">
        <v>30.2</v>
      </c>
      <c r="E6832" s="4">
        <v>10.49</v>
      </c>
    </row>
    <row r="6833" spans="1:5" x14ac:dyDescent="0.25">
      <c r="A6833" s="4" t="s">
        <v>53</v>
      </c>
      <c r="B6833" s="4" t="s">
        <v>34</v>
      </c>
      <c r="C6833" s="5">
        <v>45329</v>
      </c>
      <c r="D6833" s="4">
        <v>1.2</v>
      </c>
      <c r="E6833" s="4">
        <v>0.41</v>
      </c>
    </row>
    <row r="6834" spans="1:5" x14ac:dyDescent="0.25">
      <c r="A6834" s="4" t="s">
        <v>53</v>
      </c>
      <c r="B6834" s="4" t="s">
        <v>34</v>
      </c>
      <c r="C6834" s="5">
        <v>45330</v>
      </c>
      <c r="D6834" s="4">
        <v>14.8</v>
      </c>
      <c r="E6834" s="4">
        <v>5.14</v>
      </c>
    </row>
    <row r="6835" spans="1:5" x14ac:dyDescent="0.25">
      <c r="A6835" s="4" t="s">
        <v>53</v>
      </c>
      <c r="B6835" s="4" t="s">
        <v>34</v>
      </c>
      <c r="C6835" s="5">
        <v>45330</v>
      </c>
      <c r="D6835" s="4">
        <v>42.7</v>
      </c>
      <c r="E6835" s="4">
        <v>14.86</v>
      </c>
    </row>
    <row r="6836" spans="1:5" x14ac:dyDescent="0.25">
      <c r="A6836" s="4" t="s">
        <v>53</v>
      </c>
      <c r="B6836" s="4" t="s">
        <v>34</v>
      </c>
      <c r="C6836" s="5">
        <v>45330</v>
      </c>
      <c r="D6836" s="4">
        <v>42.7</v>
      </c>
      <c r="E6836" s="4">
        <v>14.86</v>
      </c>
    </row>
    <row r="6837" spans="1:5" x14ac:dyDescent="0.25">
      <c r="A6837" s="4" t="s">
        <v>53</v>
      </c>
      <c r="B6837" s="4" t="s">
        <v>34</v>
      </c>
      <c r="C6837" s="5">
        <v>45330</v>
      </c>
      <c r="D6837" s="4">
        <v>42.7</v>
      </c>
      <c r="E6837" s="4">
        <v>14.86</v>
      </c>
    </row>
    <row r="6838" spans="1:5" x14ac:dyDescent="0.25">
      <c r="A6838" s="4" t="s">
        <v>53</v>
      </c>
      <c r="B6838" s="4" t="s">
        <v>34</v>
      </c>
      <c r="C6838" s="5">
        <v>45330</v>
      </c>
      <c r="D6838" s="4">
        <v>42.7</v>
      </c>
      <c r="E6838" s="4">
        <v>14.86</v>
      </c>
    </row>
    <row r="6839" spans="1:5" x14ac:dyDescent="0.25">
      <c r="A6839" s="4" t="s">
        <v>53</v>
      </c>
      <c r="B6839" s="4" t="s">
        <v>34</v>
      </c>
      <c r="C6839" s="5">
        <v>45330</v>
      </c>
      <c r="D6839" s="4">
        <v>42.7</v>
      </c>
      <c r="E6839" s="4">
        <v>14.86</v>
      </c>
    </row>
    <row r="6840" spans="1:5" x14ac:dyDescent="0.25">
      <c r="A6840" s="4" t="s">
        <v>53</v>
      </c>
      <c r="B6840" s="4" t="s">
        <v>34</v>
      </c>
      <c r="C6840" s="5">
        <v>45330</v>
      </c>
      <c r="D6840" s="4">
        <v>39.5</v>
      </c>
      <c r="E6840" s="4">
        <v>13.76</v>
      </c>
    </row>
    <row r="6841" spans="1:5" x14ac:dyDescent="0.25">
      <c r="A6841" s="4" t="s">
        <v>53</v>
      </c>
      <c r="B6841" s="4" t="s">
        <v>34</v>
      </c>
      <c r="C6841" s="5">
        <v>45331</v>
      </c>
      <c r="D6841" s="4">
        <v>14.8</v>
      </c>
      <c r="E6841" s="4">
        <v>5.14</v>
      </c>
    </row>
    <row r="6842" spans="1:5" x14ac:dyDescent="0.25">
      <c r="A6842" s="4" t="s">
        <v>53</v>
      </c>
      <c r="B6842" s="4" t="s">
        <v>34</v>
      </c>
      <c r="C6842" s="5">
        <v>45331</v>
      </c>
      <c r="D6842" s="4">
        <v>42.7</v>
      </c>
      <c r="E6842" s="4">
        <v>14.86</v>
      </c>
    </row>
    <row r="6843" spans="1:5" x14ac:dyDescent="0.25">
      <c r="A6843" s="4" t="s">
        <v>53</v>
      </c>
      <c r="B6843" s="4" t="s">
        <v>34</v>
      </c>
      <c r="C6843" s="5">
        <v>45331</v>
      </c>
      <c r="D6843" s="4">
        <v>42.7</v>
      </c>
      <c r="E6843" s="4">
        <v>14.86</v>
      </c>
    </row>
    <row r="6844" spans="1:5" x14ac:dyDescent="0.25">
      <c r="A6844" s="4" t="s">
        <v>53</v>
      </c>
      <c r="B6844" s="4" t="s">
        <v>34</v>
      </c>
      <c r="C6844" s="5">
        <v>45331</v>
      </c>
      <c r="D6844" s="4">
        <v>42.7</v>
      </c>
      <c r="E6844" s="4">
        <v>14.86</v>
      </c>
    </row>
    <row r="6845" spans="1:5" x14ac:dyDescent="0.25">
      <c r="A6845" s="4" t="s">
        <v>53</v>
      </c>
      <c r="B6845" s="4" t="s">
        <v>34</v>
      </c>
      <c r="C6845" s="5">
        <v>45331</v>
      </c>
      <c r="D6845" s="4">
        <v>42.7</v>
      </c>
      <c r="E6845" s="4">
        <v>14.86</v>
      </c>
    </row>
    <row r="6846" spans="1:5" x14ac:dyDescent="0.25">
      <c r="A6846" s="4" t="s">
        <v>53</v>
      </c>
      <c r="B6846" s="4" t="s">
        <v>34</v>
      </c>
      <c r="C6846" s="5">
        <v>45331</v>
      </c>
      <c r="D6846" s="4">
        <v>1.2</v>
      </c>
      <c r="E6846" s="4">
        <v>0.41</v>
      </c>
    </row>
    <row r="6847" spans="1:5" x14ac:dyDescent="0.25">
      <c r="A6847" s="4" t="s">
        <v>53</v>
      </c>
      <c r="B6847" s="4" t="s">
        <v>34</v>
      </c>
      <c r="C6847" s="5">
        <v>45331</v>
      </c>
      <c r="D6847" s="4">
        <v>15.4</v>
      </c>
      <c r="E6847" s="4">
        <v>5.35</v>
      </c>
    </row>
    <row r="6848" spans="1:5" x14ac:dyDescent="0.25">
      <c r="A6848" s="4" t="s">
        <v>53</v>
      </c>
      <c r="B6848" s="4" t="s">
        <v>34</v>
      </c>
      <c r="C6848" s="5">
        <v>45331</v>
      </c>
      <c r="D6848" s="4">
        <v>30.2</v>
      </c>
      <c r="E6848" s="4">
        <v>10.49</v>
      </c>
    </row>
    <row r="6849" spans="1:5" x14ac:dyDescent="0.25">
      <c r="A6849" s="4" t="s">
        <v>53</v>
      </c>
      <c r="B6849" s="4" t="s">
        <v>34</v>
      </c>
      <c r="C6849" s="5">
        <v>45331</v>
      </c>
      <c r="D6849" s="4">
        <v>42.7</v>
      </c>
      <c r="E6849" s="4">
        <v>14.86</v>
      </c>
    </row>
    <row r="6850" spans="1:5" x14ac:dyDescent="0.25">
      <c r="A6850" s="4" t="s">
        <v>53</v>
      </c>
      <c r="B6850" s="4" t="s">
        <v>34</v>
      </c>
      <c r="C6850" s="5">
        <v>45331</v>
      </c>
      <c r="D6850" s="4">
        <v>39.5</v>
      </c>
      <c r="E6850" s="4">
        <v>13.76</v>
      </c>
    </row>
    <row r="6851" spans="1:5" x14ac:dyDescent="0.25">
      <c r="A6851" s="4" t="s">
        <v>53</v>
      </c>
      <c r="B6851" s="4" t="s">
        <v>34</v>
      </c>
      <c r="C6851" s="5">
        <v>45334</v>
      </c>
      <c r="D6851" s="4">
        <v>30.6</v>
      </c>
      <c r="E6851" s="4">
        <v>10.67</v>
      </c>
    </row>
    <row r="6852" spans="1:5" x14ac:dyDescent="0.25">
      <c r="A6852" s="4" t="s">
        <v>53</v>
      </c>
      <c r="B6852" s="4" t="s">
        <v>34</v>
      </c>
      <c r="C6852" s="5">
        <v>45334</v>
      </c>
      <c r="D6852" s="4">
        <v>8.1999999999999993</v>
      </c>
      <c r="E6852" s="4">
        <v>2.85</v>
      </c>
    </row>
    <row r="6853" spans="1:5" x14ac:dyDescent="0.25">
      <c r="A6853" s="4" t="s">
        <v>53</v>
      </c>
      <c r="B6853" s="4" t="s">
        <v>34</v>
      </c>
      <c r="C6853" s="5">
        <v>45334</v>
      </c>
      <c r="D6853" s="4">
        <v>5.2</v>
      </c>
      <c r="E6853" s="4">
        <v>1.79</v>
      </c>
    </row>
    <row r="6854" spans="1:5" x14ac:dyDescent="0.25">
      <c r="A6854" s="4" t="s">
        <v>53</v>
      </c>
      <c r="B6854" s="4" t="s">
        <v>34</v>
      </c>
      <c r="C6854" s="5">
        <v>45334</v>
      </c>
      <c r="D6854" s="4">
        <v>17.5</v>
      </c>
      <c r="E6854" s="4">
        <v>6.05</v>
      </c>
    </row>
    <row r="6855" spans="1:5" x14ac:dyDescent="0.25">
      <c r="A6855" s="4" t="s">
        <v>53</v>
      </c>
      <c r="B6855" s="4" t="s">
        <v>34</v>
      </c>
      <c r="C6855" s="5">
        <v>45334</v>
      </c>
      <c r="D6855" s="4">
        <v>17.5</v>
      </c>
      <c r="E6855" s="4">
        <v>6.05</v>
      </c>
    </row>
    <row r="6856" spans="1:5" x14ac:dyDescent="0.25">
      <c r="A6856" s="4" t="s">
        <v>53</v>
      </c>
      <c r="B6856" s="4" t="s">
        <v>34</v>
      </c>
      <c r="C6856" s="5">
        <v>45334</v>
      </c>
      <c r="D6856" s="4">
        <v>17.5</v>
      </c>
      <c r="E6856" s="4">
        <v>6.05</v>
      </c>
    </row>
    <row r="6857" spans="1:5" x14ac:dyDescent="0.25">
      <c r="A6857" s="4" t="s">
        <v>53</v>
      </c>
      <c r="B6857" s="4" t="s">
        <v>34</v>
      </c>
      <c r="C6857" s="5">
        <v>45334</v>
      </c>
      <c r="D6857" s="4">
        <v>17.5</v>
      </c>
      <c r="E6857" s="4">
        <v>6.05</v>
      </c>
    </row>
    <row r="6858" spans="1:5" x14ac:dyDescent="0.25">
      <c r="A6858" s="4" t="s">
        <v>53</v>
      </c>
      <c r="B6858" s="4" t="s">
        <v>34</v>
      </c>
      <c r="C6858" s="5">
        <v>45334</v>
      </c>
      <c r="D6858" s="4">
        <v>11.3</v>
      </c>
      <c r="E6858" s="4">
        <v>3.9</v>
      </c>
    </row>
    <row r="6859" spans="1:5" x14ac:dyDescent="0.25">
      <c r="A6859" s="4" t="s">
        <v>53</v>
      </c>
      <c r="B6859" s="4" t="s">
        <v>34</v>
      </c>
      <c r="C6859" s="5">
        <v>45334</v>
      </c>
      <c r="D6859" s="4">
        <v>6.2</v>
      </c>
      <c r="E6859" s="4">
        <v>2.15</v>
      </c>
    </row>
    <row r="6860" spans="1:5" x14ac:dyDescent="0.25">
      <c r="A6860" s="4" t="s">
        <v>53</v>
      </c>
      <c r="B6860" s="4" t="s">
        <v>34</v>
      </c>
      <c r="C6860" s="5">
        <v>45334</v>
      </c>
      <c r="D6860" s="4">
        <v>17.5</v>
      </c>
      <c r="E6860" s="4">
        <v>6.05</v>
      </c>
    </row>
    <row r="6861" spans="1:5" x14ac:dyDescent="0.25">
      <c r="A6861" s="4" t="s">
        <v>53</v>
      </c>
      <c r="B6861" s="4" t="s">
        <v>34</v>
      </c>
      <c r="C6861" s="5">
        <v>45334</v>
      </c>
      <c r="D6861" s="4">
        <v>17.5</v>
      </c>
      <c r="E6861" s="4">
        <v>6.05</v>
      </c>
    </row>
    <row r="6862" spans="1:5" x14ac:dyDescent="0.25">
      <c r="A6862" s="4" t="s">
        <v>53</v>
      </c>
      <c r="B6862" s="4" t="s">
        <v>34</v>
      </c>
      <c r="C6862" s="5">
        <v>45334</v>
      </c>
      <c r="D6862" s="4">
        <v>17.5</v>
      </c>
      <c r="E6862" s="4">
        <v>6.05</v>
      </c>
    </row>
    <row r="6863" spans="1:5" x14ac:dyDescent="0.25">
      <c r="A6863" s="4" t="s">
        <v>53</v>
      </c>
      <c r="B6863" s="4" t="s">
        <v>34</v>
      </c>
      <c r="C6863" s="5">
        <v>45334</v>
      </c>
      <c r="D6863" s="4">
        <v>17.5</v>
      </c>
      <c r="E6863" s="4">
        <v>6.05</v>
      </c>
    </row>
    <row r="6864" spans="1:5" x14ac:dyDescent="0.25">
      <c r="A6864" s="4" t="s">
        <v>53</v>
      </c>
      <c r="B6864" s="4" t="s">
        <v>34</v>
      </c>
      <c r="C6864" s="5">
        <v>45335</v>
      </c>
      <c r="D6864" s="4">
        <v>17.5</v>
      </c>
      <c r="E6864" s="4">
        <v>6.05</v>
      </c>
    </row>
    <row r="6865" spans="1:5" x14ac:dyDescent="0.25">
      <c r="A6865" s="4" t="s">
        <v>53</v>
      </c>
      <c r="B6865" s="4" t="s">
        <v>34</v>
      </c>
      <c r="C6865" s="5">
        <v>45335</v>
      </c>
      <c r="D6865" s="4">
        <v>17.5</v>
      </c>
      <c r="E6865" s="4">
        <v>6.05</v>
      </c>
    </row>
    <row r="6866" spans="1:5" x14ac:dyDescent="0.25">
      <c r="A6866" s="4" t="s">
        <v>53</v>
      </c>
      <c r="B6866" s="4" t="s">
        <v>34</v>
      </c>
      <c r="C6866" s="5">
        <v>45335</v>
      </c>
      <c r="D6866" s="4">
        <v>17.5</v>
      </c>
      <c r="E6866" s="4">
        <v>6.05</v>
      </c>
    </row>
    <row r="6867" spans="1:5" x14ac:dyDescent="0.25">
      <c r="A6867" s="4" t="s">
        <v>53</v>
      </c>
      <c r="B6867" s="4" t="s">
        <v>34</v>
      </c>
      <c r="C6867" s="5">
        <v>45335</v>
      </c>
      <c r="D6867" s="4">
        <v>17.5</v>
      </c>
      <c r="E6867" s="4">
        <v>6.05</v>
      </c>
    </row>
    <row r="6868" spans="1:5" x14ac:dyDescent="0.25">
      <c r="A6868" s="4" t="s">
        <v>53</v>
      </c>
      <c r="B6868" s="4" t="s">
        <v>34</v>
      </c>
      <c r="C6868" s="5">
        <v>45335</v>
      </c>
      <c r="D6868" s="4">
        <v>17.5</v>
      </c>
      <c r="E6868" s="4">
        <v>6.05</v>
      </c>
    </row>
    <row r="6869" spans="1:5" x14ac:dyDescent="0.25">
      <c r="A6869" s="4" t="s">
        <v>53</v>
      </c>
      <c r="B6869" s="4" t="s">
        <v>34</v>
      </c>
      <c r="C6869" s="5">
        <v>45335</v>
      </c>
      <c r="D6869" s="4">
        <v>17.5</v>
      </c>
      <c r="E6869" s="4">
        <v>6.05</v>
      </c>
    </row>
    <row r="6870" spans="1:5" x14ac:dyDescent="0.25">
      <c r="A6870" s="4" t="s">
        <v>53</v>
      </c>
      <c r="B6870" s="4" t="s">
        <v>34</v>
      </c>
      <c r="C6870" s="5">
        <v>45335</v>
      </c>
      <c r="D6870" s="4">
        <v>17.5</v>
      </c>
      <c r="E6870" s="4">
        <v>6.05</v>
      </c>
    </row>
    <row r="6871" spans="1:5" x14ac:dyDescent="0.25">
      <c r="A6871" s="4" t="s">
        <v>53</v>
      </c>
      <c r="B6871" s="4" t="s">
        <v>34</v>
      </c>
      <c r="C6871" s="5">
        <v>45335</v>
      </c>
      <c r="D6871" s="4">
        <v>17.5</v>
      </c>
      <c r="E6871" s="4">
        <v>6.05</v>
      </c>
    </row>
    <row r="6872" spans="1:5" x14ac:dyDescent="0.25">
      <c r="A6872" s="4" t="s">
        <v>53</v>
      </c>
      <c r="B6872" s="4" t="s">
        <v>34</v>
      </c>
      <c r="C6872" s="5">
        <v>45335</v>
      </c>
      <c r="D6872" s="4">
        <v>17.5</v>
      </c>
      <c r="E6872" s="4">
        <v>6.05</v>
      </c>
    </row>
    <row r="6873" spans="1:5" x14ac:dyDescent="0.25">
      <c r="A6873" s="4" t="s">
        <v>53</v>
      </c>
      <c r="B6873" s="4" t="s">
        <v>34</v>
      </c>
      <c r="C6873" s="5">
        <v>45335</v>
      </c>
      <c r="D6873" s="4">
        <v>17.5</v>
      </c>
      <c r="E6873" s="4">
        <v>6.05</v>
      </c>
    </row>
    <row r="6874" spans="1:5" x14ac:dyDescent="0.25">
      <c r="A6874" s="4" t="s">
        <v>53</v>
      </c>
      <c r="B6874" s="4" t="s">
        <v>34</v>
      </c>
      <c r="C6874" s="5">
        <v>45336</v>
      </c>
      <c r="D6874" s="4">
        <v>17.5</v>
      </c>
      <c r="E6874" s="4">
        <v>6.05</v>
      </c>
    </row>
    <row r="6875" spans="1:5" x14ac:dyDescent="0.25">
      <c r="A6875" s="4" t="s">
        <v>53</v>
      </c>
      <c r="B6875" s="4" t="s">
        <v>34</v>
      </c>
      <c r="C6875" s="5">
        <v>45336</v>
      </c>
      <c r="D6875" s="4">
        <v>17.5</v>
      </c>
      <c r="E6875" s="4">
        <v>6.05</v>
      </c>
    </row>
    <row r="6876" spans="1:5" x14ac:dyDescent="0.25">
      <c r="A6876" s="4" t="s">
        <v>53</v>
      </c>
      <c r="B6876" s="4" t="s">
        <v>34</v>
      </c>
      <c r="C6876" s="5">
        <v>45336</v>
      </c>
      <c r="D6876" s="4">
        <v>17.5</v>
      </c>
      <c r="E6876" s="4">
        <v>6.05</v>
      </c>
    </row>
    <row r="6877" spans="1:5" x14ac:dyDescent="0.25">
      <c r="A6877" s="4" t="s">
        <v>53</v>
      </c>
      <c r="B6877" s="4" t="s">
        <v>34</v>
      </c>
      <c r="C6877" s="5">
        <v>45336</v>
      </c>
      <c r="D6877" s="4">
        <v>17.5</v>
      </c>
      <c r="E6877" s="4">
        <v>6.05</v>
      </c>
    </row>
    <row r="6878" spans="1:5" x14ac:dyDescent="0.25">
      <c r="A6878" s="4" t="s">
        <v>53</v>
      </c>
      <c r="B6878" s="4" t="s">
        <v>34</v>
      </c>
      <c r="C6878" s="5">
        <v>45336</v>
      </c>
      <c r="D6878" s="4">
        <v>17.5</v>
      </c>
      <c r="E6878" s="4">
        <v>6.05</v>
      </c>
    </row>
    <row r="6879" spans="1:5" x14ac:dyDescent="0.25">
      <c r="A6879" s="4" t="s">
        <v>53</v>
      </c>
      <c r="B6879" s="4" t="s">
        <v>34</v>
      </c>
      <c r="C6879" s="5">
        <v>45336</v>
      </c>
      <c r="D6879" s="4">
        <v>17.5</v>
      </c>
      <c r="E6879" s="4">
        <v>6.05</v>
      </c>
    </row>
    <row r="6880" spans="1:5" x14ac:dyDescent="0.25">
      <c r="A6880" s="4" t="s">
        <v>53</v>
      </c>
      <c r="B6880" s="4" t="s">
        <v>34</v>
      </c>
      <c r="C6880" s="5">
        <v>45336</v>
      </c>
      <c r="D6880" s="4">
        <v>17.5</v>
      </c>
      <c r="E6880" s="4">
        <v>6.05</v>
      </c>
    </row>
    <row r="6881" spans="1:5" x14ac:dyDescent="0.25">
      <c r="A6881" s="4" t="s">
        <v>53</v>
      </c>
      <c r="B6881" s="4" t="s">
        <v>34</v>
      </c>
      <c r="C6881" s="5">
        <v>45336</v>
      </c>
      <c r="D6881" s="4">
        <v>17.5</v>
      </c>
      <c r="E6881" s="4">
        <v>6.05</v>
      </c>
    </row>
    <row r="6882" spans="1:5" x14ac:dyDescent="0.25">
      <c r="A6882" s="4" t="s">
        <v>53</v>
      </c>
      <c r="B6882" s="4" t="s">
        <v>34</v>
      </c>
      <c r="C6882" s="5">
        <v>45336</v>
      </c>
      <c r="D6882" s="4">
        <v>17.5</v>
      </c>
      <c r="E6882" s="4">
        <v>6.05</v>
      </c>
    </row>
    <row r="6883" spans="1:5" x14ac:dyDescent="0.25">
      <c r="A6883" s="4" t="s">
        <v>53</v>
      </c>
      <c r="B6883" s="4" t="s">
        <v>34</v>
      </c>
      <c r="C6883" s="5">
        <v>45336</v>
      </c>
      <c r="D6883" s="4">
        <v>3.7</v>
      </c>
      <c r="E6883" s="4">
        <v>1.28</v>
      </c>
    </row>
    <row r="6884" spans="1:5" x14ac:dyDescent="0.25">
      <c r="A6884" s="4" t="s">
        <v>53</v>
      </c>
      <c r="B6884" s="4" t="s">
        <v>34</v>
      </c>
      <c r="C6884" s="5">
        <v>45336</v>
      </c>
      <c r="D6884" s="4">
        <v>42.5</v>
      </c>
      <c r="E6884" s="4">
        <v>14.81</v>
      </c>
    </row>
    <row r="6885" spans="1:5" x14ac:dyDescent="0.25">
      <c r="A6885" s="4" t="s">
        <v>53</v>
      </c>
      <c r="B6885" s="4" t="s">
        <v>42</v>
      </c>
      <c r="C6885" s="5">
        <v>45307</v>
      </c>
      <c r="D6885" s="4">
        <v>15.4</v>
      </c>
      <c r="E6885" s="4">
        <v>5.35</v>
      </c>
    </row>
    <row r="6886" spans="1:5" x14ac:dyDescent="0.25">
      <c r="A6886" s="4" t="s">
        <v>53</v>
      </c>
      <c r="B6886" s="4" t="s">
        <v>42</v>
      </c>
      <c r="C6886" s="5">
        <v>45307</v>
      </c>
      <c r="D6886" s="4">
        <v>31.3</v>
      </c>
      <c r="E6886" s="4">
        <v>10.86</v>
      </c>
    </row>
    <row r="6887" spans="1:5" x14ac:dyDescent="0.25">
      <c r="A6887" s="4" t="s">
        <v>53</v>
      </c>
      <c r="B6887" s="4" t="s">
        <v>42</v>
      </c>
      <c r="C6887" s="5">
        <v>45307</v>
      </c>
      <c r="D6887" s="4">
        <v>30.5</v>
      </c>
      <c r="E6887" s="4">
        <v>10.59</v>
      </c>
    </row>
    <row r="6888" spans="1:5" x14ac:dyDescent="0.25">
      <c r="A6888" s="4" t="s">
        <v>53</v>
      </c>
      <c r="B6888" s="4" t="s">
        <v>42</v>
      </c>
      <c r="C6888" s="5">
        <v>45307</v>
      </c>
      <c r="D6888" s="4">
        <v>48.7</v>
      </c>
      <c r="E6888" s="4">
        <v>16.93</v>
      </c>
    </row>
    <row r="6889" spans="1:5" x14ac:dyDescent="0.25">
      <c r="A6889" s="4" t="s">
        <v>53</v>
      </c>
      <c r="B6889" s="4" t="s">
        <v>42</v>
      </c>
      <c r="C6889" s="5">
        <v>45307</v>
      </c>
      <c r="D6889" s="4">
        <v>29.4</v>
      </c>
      <c r="E6889" s="4">
        <v>10.220000000000001</v>
      </c>
    </row>
    <row r="6890" spans="1:5" x14ac:dyDescent="0.25">
      <c r="A6890" s="4" t="s">
        <v>53</v>
      </c>
      <c r="B6890" s="4" t="s">
        <v>42</v>
      </c>
      <c r="C6890" s="5">
        <v>45307</v>
      </c>
      <c r="D6890" s="4">
        <v>48.7</v>
      </c>
      <c r="E6890" s="4">
        <v>16.93</v>
      </c>
    </row>
    <row r="6891" spans="1:5" x14ac:dyDescent="0.25">
      <c r="A6891" s="4" t="s">
        <v>53</v>
      </c>
      <c r="B6891" s="4" t="s">
        <v>42</v>
      </c>
      <c r="C6891" s="5">
        <v>45307</v>
      </c>
      <c r="D6891" s="4">
        <v>30.5</v>
      </c>
      <c r="E6891" s="4">
        <v>10.59</v>
      </c>
    </row>
    <row r="6892" spans="1:5" x14ac:dyDescent="0.25">
      <c r="A6892" s="4" t="s">
        <v>53</v>
      </c>
      <c r="B6892" s="4" t="s">
        <v>42</v>
      </c>
      <c r="C6892" s="5">
        <v>45307</v>
      </c>
      <c r="D6892" s="4">
        <v>44.4</v>
      </c>
      <c r="E6892" s="4">
        <v>15.46</v>
      </c>
    </row>
    <row r="6893" spans="1:5" x14ac:dyDescent="0.25">
      <c r="A6893" s="4" t="s">
        <v>53</v>
      </c>
      <c r="B6893" s="4" t="s">
        <v>42</v>
      </c>
      <c r="C6893" s="5">
        <v>45308</v>
      </c>
      <c r="D6893" s="4">
        <v>15.8</v>
      </c>
      <c r="E6893" s="4">
        <v>5.48</v>
      </c>
    </row>
    <row r="6894" spans="1:5" x14ac:dyDescent="0.25">
      <c r="A6894" s="4" t="s">
        <v>53</v>
      </c>
      <c r="B6894" s="4" t="s">
        <v>42</v>
      </c>
      <c r="C6894" s="5">
        <v>45308</v>
      </c>
      <c r="D6894" s="4">
        <v>30.5</v>
      </c>
      <c r="E6894" s="4">
        <v>10.59</v>
      </c>
    </row>
    <row r="6895" spans="1:5" x14ac:dyDescent="0.25">
      <c r="A6895" s="4" t="s">
        <v>53</v>
      </c>
      <c r="B6895" s="4" t="s">
        <v>42</v>
      </c>
      <c r="C6895" s="5">
        <v>45308</v>
      </c>
      <c r="D6895" s="4">
        <v>48.7</v>
      </c>
      <c r="E6895" s="4">
        <v>16.93</v>
      </c>
    </row>
    <row r="6896" spans="1:5" x14ac:dyDescent="0.25">
      <c r="A6896" s="4" t="s">
        <v>53</v>
      </c>
      <c r="B6896" s="4" t="s">
        <v>42</v>
      </c>
      <c r="C6896" s="5">
        <v>45308</v>
      </c>
      <c r="D6896" s="4">
        <v>30.5</v>
      </c>
      <c r="E6896" s="4">
        <v>10.59</v>
      </c>
    </row>
    <row r="6897" spans="1:5" x14ac:dyDescent="0.25">
      <c r="A6897" s="4" t="s">
        <v>53</v>
      </c>
      <c r="B6897" s="4" t="s">
        <v>42</v>
      </c>
      <c r="C6897" s="5">
        <v>45308</v>
      </c>
      <c r="D6897" s="4">
        <v>48.7</v>
      </c>
      <c r="E6897" s="4">
        <v>16.93</v>
      </c>
    </row>
    <row r="6898" spans="1:5" x14ac:dyDescent="0.25">
      <c r="A6898" s="4" t="s">
        <v>53</v>
      </c>
      <c r="B6898" s="4" t="s">
        <v>42</v>
      </c>
      <c r="C6898" s="5">
        <v>45308</v>
      </c>
      <c r="D6898" s="4">
        <v>30.5</v>
      </c>
      <c r="E6898" s="4">
        <v>10.59</v>
      </c>
    </row>
    <row r="6899" spans="1:5" x14ac:dyDescent="0.25">
      <c r="A6899" s="4" t="s">
        <v>53</v>
      </c>
      <c r="B6899" s="4" t="s">
        <v>42</v>
      </c>
      <c r="C6899" s="5">
        <v>45308</v>
      </c>
      <c r="D6899" s="4">
        <v>48.7</v>
      </c>
      <c r="E6899" s="4">
        <v>16.93</v>
      </c>
    </row>
    <row r="6900" spans="1:5" x14ac:dyDescent="0.25">
      <c r="A6900" s="4" t="s">
        <v>53</v>
      </c>
      <c r="B6900" s="4" t="s">
        <v>42</v>
      </c>
      <c r="C6900" s="5">
        <v>45308</v>
      </c>
      <c r="D6900" s="4">
        <v>30.5</v>
      </c>
      <c r="E6900" s="4">
        <v>10.59</v>
      </c>
    </row>
    <row r="6901" spans="1:5" x14ac:dyDescent="0.25">
      <c r="A6901" s="4" t="s">
        <v>53</v>
      </c>
      <c r="B6901" s="4" t="s">
        <v>42</v>
      </c>
      <c r="C6901" s="5">
        <v>45308</v>
      </c>
      <c r="D6901" s="4">
        <v>44.4</v>
      </c>
      <c r="E6901" s="4">
        <v>15.46</v>
      </c>
    </row>
    <row r="6902" spans="1:5" x14ac:dyDescent="0.25">
      <c r="A6902" s="4" t="s">
        <v>53</v>
      </c>
      <c r="B6902" s="4" t="s">
        <v>42</v>
      </c>
      <c r="C6902" s="5">
        <v>45309</v>
      </c>
      <c r="D6902" s="4">
        <v>15.8</v>
      </c>
      <c r="E6902" s="4">
        <v>5.48</v>
      </c>
    </row>
    <row r="6903" spans="1:5" x14ac:dyDescent="0.25">
      <c r="A6903" s="4" t="s">
        <v>53</v>
      </c>
      <c r="B6903" s="4" t="s">
        <v>42</v>
      </c>
      <c r="C6903" s="5">
        <v>45309</v>
      </c>
      <c r="D6903" s="4">
        <v>15.4</v>
      </c>
      <c r="E6903" s="4">
        <v>5.31</v>
      </c>
    </row>
    <row r="6904" spans="1:5" x14ac:dyDescent="0.25">
      <c r="A6904" s="4" t="s">
        <v>53</v>
      </c>
      <c r="B6904" s="4" t="s">
        <v>42</v>
      </c>
      <c r="C6904" s="5">
        <v>45309</v>
      </c>
      <c r="D6904" s="4">
        <v>15.5</v>
      </c>
      <c r="E6904" s="4">
        <v>5.33</v>
      </c>
    </row>
    <row r="6905" spans="1:5" x14ac:dyDescent="0.25">
      <c r="A6905" s="4" t="s">
        <v>53</v>
      </c>
      <c r="B6905" s="4" t="s">
        <v>42</v>
      </c>
      <c r="C6905" s="5">
        <v>45309</v>
      </c>
      <c r="D6905" s="4">
        <v>12</v>
      </c>
      <c r="E6905" s="4">
        <v>4.18</v>
      </c>
    </row>
    <row r="6906" spans="1:5" x14ac:dyDescent="0.25">
      <c r="A6906" s="4" t="s">
        <v>53</v>
      </c>
      <c r="B6906" s="4" t="s">
        <v>42</v>
      </c>
      <c r="C6906" s="5">
        <v>45309</v>
      </c>
      <c r="D6906" s="4">
        <v>13</v>
      </c>
      <c r="E6906" s="4">
        <v>4.5</v>
      </c>
    </row>
    <row r="6907" spans="1:5" x14ac:dyDescent="0.25">
      <c r="A6907" s="4" t="s">
        <v>53</v>
      </c>
      <c r="B6907" s="4" t="s">
        <v>42</v>
      </c>
      <c r="C6907" s="5">
        <v>45309</v>
      </c>
      <c r="D6907" s="4">
        <v>30.5</v>
      </c>
      <c r="E6907" s="4">
        <v>10.59</v>
      </c>
    </row>
    <row r="6908" spans="1:5" x14ac:dyDescent="0.25">
      <c r="A6908" s="4" t="s">
        <v>53</v>
      </c>
      <c r="B6908" s="4" t="s">
        <v>42</v>
      </c>
      <c r="C6908" s="5">
        <v>45309</v>
      </c>
      <c r="D6908" s="4">
        <v>48.7</v>
      </c>
      <c r="E6908" s="4">
        <v>16.93</v>
      </c>
    </row>
    <row r="6909" spans="1:5" x14ac:dyDescent="0.25">
      <c r="A6909" s="4" t="s">
        <v>53</v>
      </c>
      <c r="B6909" s="4" t="s">
        <v>42</v>
      </c>
      <c r="C6909" s="5">
        <v>45309</v>
      </c>
      <c r="D6909" s="4">
        <v>30.5</v>
      </c>
      <c r="E6909" s="4">
        <v>10.59</v>
      </c>
    </row>
    <row r="6910" spans="1:5" x14ac:dyDescent="0.25">
      <c r="A6910" s="4" t="s">
        <v>53</v>
      </c>
      <c r="B6910" s="4" t="s">
        <v>42</v>
      </c>
      <c r="C6910" s="5">
        <v>45309</v>
      </c>
      <c r="D6910" s="4">
        <v>44.4</v>
      </c>
      <c r="E6910" s="4">
        <v>15.46</v>
      </c>
    </row>
    <row r="6911" spans="1:5" x14ac:dyDescent="0.25">
      <c r="A6911" s="4" t="s">
        <v>53</v>
      </c>
      <c r="B6911" s="4" t="s">
        <v>42</v>
      </c>
      <c r="C6911" s="5">
        <v>45310</v>
      </c>
      <c r="D6911" s="4">
        <v>15.9</v>
      </c>
      <c r="E6911" s="4">
        <v>5.51</v>
      </c>
    </row>
    <row r="6912" spans="1:5" x14ac:dyDescent="0.25">
      <c r="A6912" s="4" t="s">
        <v>53</v>
      </c>
      <c r="B6912" s="4" t="s">
        <v>42</v>
      </c>
      <c r="C6912" s="5">
        <v>45310</v>
      </c>
      <c r="D6912" s="4">
        <v>30.5</v>
      </c>
      <c r="E6912" s="4">
        <v>10.59</v>
      </c>
    </row>
    <row r="6913" spans="1:5" x14ac:dyDescent="0.25">
      <c r="A6913" s="4" t="s">
        <v>53</v>
      </c>
      <c r="B6913" s="4" t="s">
        <v>42</v>
      </c>
      <c r="C6913" s="5">
        <v>45310</v>
      </c>
      <c r="D6913" s="4">
        <v>48.7</v>
      </c>
      <c r="E6913" s="4">
        <v>16.93</v>
      </c>
    </row>
    <row r="6914" spans="1:5" x14ac:dyDescent="0.25">
      <c r="A6914" s="4" t="s">
        <v>53</v>
      </c>
      <c r="B6914" s="4" t="s">
        <v>42</v>
      </c>
      <c r="C6914" s="5">
        <v>45310</v>
      </c>
      <c r="D6914" s="4">
        <v>5.3</v>
      </c>
      <c r="E6914" s="4">
        <v>1.82</v>
      </c>
    </row>
    <row r="6915" spans="1:5" x14ac:dyDescent="0.25">
      <c r="A6915" s="4" t="s">
        <v>53</v>
      </c>
      <c r="B6915" s="4" t="s">
        <v>42</v>
      </c>
      <c r="C6915" s="5">
        <v>45310</v>
      </c>
      <c r="D6915" s="4">
        <v>16.399999999999999</v>
      </c>
      <c r="E6915" s="4">
        <v>5.71</v>
      </c>
    </row>
    <row r="6916" spans="1:5" x14ac:dyDescent="0.25">
      <c r="A6916" s="4" t="s">
        <v>53</v>
      </c>
      <c r="B6916" s="4" t="s">
        <v>42</v>
      </c>
      <c r="C6916" s="5">
        <v>45313</v>
      </c>
      <c r="D6916" s="4">
        <v>15.9</v>
      </c>
      <c r="E6916" s="4">
        <v>5.51</v>
      </c>
    </row>
    <row r="6917" spans="1:5" x14ac:dyDescent="0.25">
      <c r="A6917" s="4" t="s">
        <v>53</v>
      </c>
      <c r="B6917" s="4" t="s">
        <v>42</v>
      </c>
      <c r="C6917" s="5">
        <v>45313</v>
      </c>
      <c r="D6917" s="4">
        <v>1.4</v>
      </c>
      <c r="E6917" s="4">
        <v>0.47</v>
      </c>
    </row>
    <row r="6918" spans="1:5" x14ac:dyDescent="0.25">
      <c r="A6918" s="4" t="s">
        <v>53</v>
      </c>
      <c r="B6918" s="4" t="s">
        <v>42</v>
      </c>
      <c r="C6918" s="5">
        <v>45313</v>
      </c>
      <c r="D6918" s="4">
        <v>1.4</v>
      </c>
      <c r="E6918" s="4">
        <v>0.47</v>
      </c>
    </row>
    <row r="6919" spans="1:5" x14ac:dyDescent="0.25">
      <c r="A6919" s="4" t="s">
        <v>53</v>
      </c>
      <c r="B6919" s="4" t="s">
        <v>42</v>
      </c>
      <c r="C6919" s="5">
        <v>45313</v>
      </c>
      <c r="D6919" s="4">
        <v>1.4</v>
      </c>
      <c r="E6919" s="4">
        <v>0.47</v>
      </c>
    </row>
    <row r="6920" spans="1:5" x14ac:dyDescent="0.25">
      <c r="A6920" s="4" t="s">
        <v>53</v>
      </c>
      <c r="B6920" s="4" t="s">
        <v>42</v>
      </c>
      <c r="C6920" s="5">
        <v>45313</v>
      </c>
      <c r="D6920" s="4">
        <v>30.5</v>
      </c>
      <c r="E6920" s="4">
        <v>10.59</v>
      </c>
    </row>
    <row r="6921" spans="1:5" x14ac:dyDescent="0.25">
      <c r="A6921" s="4" t="s">
        <v>53</v>
      </c>
      <c r="B6921" s="4" t="s">
        <v>42</v>
      </c>
      <c r="C6921" s="5">
        <v>45313</v>
      </c>
      <c r="D6921" s="4">
        <v>48.7</v>
      </c>
      <c r="E6921" s="4">
        <v>16.93</v>
      </c>
    </row>
    <row r="6922" spans="1:5" x14ac:dyDescent="0.25">
      <c r="A6922" s="4" t="s">
        <v>53</v>
      </c>
      <c r="B6922" s="4" t="s">
        <v>42</v>
      </c>
      <c r="C6922" s="5">
        <v>45313</v>
      </c>
      <c r="D6922" s="4">
        <v>30.5</v>
      </c>
      <c r="E6922" s="4">
        <v>10.59</v>
      </c>
    </row>
    <row r="6923" spans="1:5" x14ac:dyDescent="0.25">
      <c r="A6923" s="4" t="s">
        <v>53</v>
      </c>
      <c r="B6923" s="4" t="s">
        <v>42</v>
      </c>
      <c r="C6923" s="5">
        <v>45313</v>
      </c>
      <c r="D6923" s="4">
        <v>48.7</v>
      </c>
      <c r="E6923" s="4">
        <v>16.93</v>
      </c>
    </row>
    <row r="6924" spans="1:5" x14ac:dyDescent="0.25">
      <c r="A6924" s="4" t="s">
        <v>53</v>
      </c>
      <c r="B6924" s="4" t="s">
        <v>42</v>
      </c>
      <c r="C6924" s="5">
        <v>45313</v>
      </c>
      <c r="D6924" s="4">
        <v>16.399999999999999</v>
      </c>
      <c r="E6924" s="4">
        <v>5.71</v>
      </c>
    </row>
    <row r="6925" spans="1:5" x14ac:dyDescent="0.25">
      <c r="A6925" s="4" t="s">
        <v>53</v>
      </c>
      <c r="B6925" s="4" t="s">
        <v>42</v>
      </c>
      <c r="C6925" s="5">
        <v>45314</v>
      </c>
      <c r="D6925" s="4">
        <v>15.6</v>
      </c>
      <c r="E6925" s="4">
        <v>5.41</v>
      </c>
    </row>
    <row r="6926" spans="1:5" x14ac:dyDescent="0.25">
      <c r="A6926" s="4" t="s">
        <v>53</v>
      </c>
      <c r="B6926" s="4" t="s">
        <v>42</v>
      </c>
      <c r="C6926" s="5">
        <v>45314</v>
      </c>
      <c r="D6926" s="4">
        <v>30.5</v>
      </c>
      <c r="E6926" s="4">
        <v>10.59</v>
      </c>
    </row>
    <row r="6927" spans="1:5" x14ac:dyDescent="0.25">
      <c r="A6927" s="4" t="s">
        <v>53</v>
      </c>
      <c r="B6927" s="4" t="s">
        <v>42</v>
      </c>
      <c r="C6927" s="5">
        <v>45314</v>
      </c>
      <c r="D6927" s="4">
        <v>48.7</v>
      </c>
      <c r="E6927" s="4">
        <v>16.93</v>
      </c>
    </row>
    <row r="6928" spans="1:5" x14ac:dyDescent="0.25">
      <c r="A6928" s="4" t="s">
        <v>53</v>
      </c>
      <c r="B6928" s="4" t="s">
        <v>42</v>
      </c>
      <c r="C6928" s="5">
        <v>45314</v>
      </c>
      <c r="D6928" s="4">
        <v>30.5</v>
      </c>
      <c r="E6928" s="4">
        <v>10.59</v>
      </c>
    </row>
    <row r="6929" spans="1:5" x14ac:dyDescent="0.25">
      <c r="A6929" s="4" t="s">
        <v>53</v>
      </c>
      <c r="B6929" s="4" t="s">
        <v>42</v>
      </c>
      <c r="C6929" s="5">
        <v>45314</v>
      </c>
      <c r="D6929" s="4">
        <v>48.7</v>
      </c>
      <c r="E6929" s="4">
        <v>16.93</v>
      </c>
    </row>
    <row r="6930" spans="1:5" x14ac:dyDescent="0.25">
      <c r="A6930" s="4" t="s">
        <v>53</v>
      </c>
      <c r="B6930" s="4" t="s">
        <v>42</v>
      </c>
      <c r="C6930" s="5">
        <v>45314</v>
      </c>
      <c r="D6930" s="4">
        <v>30.5</v>
      </c>
      <c r="E6930" s="4">
        <v>10.59</v>
      </c>
    </row>
    <row r="6931" spans="1:5" x14ac:dyDescent="0.25">
      <c r="A6931" s="4" t="s">
        <v>53</v>
      </c>
      <c r="B6931" s="4" t="s">
        <v>42</v>
      </c>
      <c r="C6931" s="5">
        <v>45314</v>
      </c>
      <c r="D6931" s="4">
        <v>48.7</v>
      </c>
      <c r="E6931" s="4">
        <v>16.93</v>
      </c>
    </row>
    <row r="6932" spans="1:5" x14ac:dyDescent="0.25">
      <c r="A6932" s="4" t="s">
        <v>53</v>
      </c>
      <c r="B6932" s="4" t="s">
        <v>42</v>
      </c>
      <c r="C6932" s="5">
        <v>45314</v>
      </c>
      <c r="D6932" s="4">
        <v>30.5</v>
      </c>
      <c r="E6932" s="4">
        <v>10.59</v>
      </c>
    </row>
    <row r="6933" spans="1:5" x14ac:dyDescent="0.25">
      <c r="A6933" s="4" t="s">
        <v>53</v>
      </c>
      <c r="B6933" s="4" t="s">
        <v>42</v>
      </c>
      <c r="C6933" s="5">
        <v>45314</v>
      </c>
      <c r="D6933" s="4">
        <v>44.4</v>
      </c>
      <c r="E6933" s="4">
        <v>15.46</v>
      </c>
    </row>
    <row r="6934" spans="1:5" x14ac:dyDescent="0.25">
      <c r="A6934" s="4" t="s">
        <v>53</v>
      </c>
      <c r="B6934" s="4" t="s">
        <v>42</v>
      </c>
      <c r="C6934" s="5">
        <v>45315</v>
      </c>
      <c r="D6934" s="4">
        <v>15.4</v>
      </c>
      <c r="E6934" s="4">
        <v>5.35</v>
      </c>
    </row>
    <row r="6935" spans="1:5" x14ac:dyDescent="0.25">
      <c r="A6935" s="4" t="s">
        <v>53</v>
      </c>
      <c r="B6935" s="4" t="s">
        <v>42</v>
      </c>
      <c r="C6935" s="5">
        <v>45315</v>
      </c>
      <c r="D6935" s="4">
        <v>31.3</v>
      </c>
      <c r="E6935" s="4">
        <v>10.86</v>
      </c>
    </row>
    <row r="6936" spans="1:5" x14ac:dyDescent="0.25">
      <c r="A6936" s="4" t="s">
        <v>53</v>
      </c>
      <c r="B6936" s="4" t="s">
        <v>42</v>
      </c>
      <c r="C6936" s="5">
        <v>45315</v>
      </c>
      <c r="D6936" s="4">
        <v>31.3</v>
      </c>
      <c r="E6936" s="4">
        <v>10.86</v>
      </c>
    </row>
    <row r="6937" spans="1:5" x14ac:dyDescent="0.25">
      <c r="A6937" s="4" t="s">
        <v>53</v>
      </c>
      <c r="B6937" s="4" t="s">
        <v>42</v>
      </c>
      <c r="C6937" s="5">
        <v>45315</v>
      </c>
      <c r="D6937" s="4">
        <v>31.3</v>
      </c>
      <c r="E6937" s="4">
        <v>10.86</v>
      </c>
    </row>
    <row r="6938" spans="1:5" x14ac:dyDescent="0.25">
      <c r="A6938" s="4" t="s">
        <v>53</v>
      </c>
      <c r="B6938" s="4" t="s">
        <v>42</v>
      </c>
      <c r="C6938" s="5">
        <v>45315</v>
      </c>
      <c r="D6938" s="4">
        <v>31.3</v>
      </c>
      <c r="E6938" s="4">
        <v>10.86</v>
      </c>
    </row>
    <row r="6939" spans="1:5" x14ac:dyDescent="0.25">
      <c r="A6939" s="4" t="s">
        <v>53</v>
      </c>
      <c r="B6939" s="4" t="s">
        <v>42</v>
      </c>
      <c r="C6939" s="5">
        <v>45315</v>
      </c>
      <c r="D6939" s="4">
        <v>31.3</v>
      </c>
      <c r="E6939" s="4">
        <v>10.86</v>
      </c>
    </row>
    <row r="6940" spans="1:5" x14ac:dyDescent="0.25">
      <c r="A6940" s="4" t="s">
        <v>53</v>
      </c>
      <c r="B6940" s="4" t="s">
        <v>42</v>
      </c>
      <c r="C6940" s="5">
        <v>45315</v>
      </c>
      <c r="D6940" s="4">
        <v>31.3</v>
      </c>
      <c r="E6940" s="4">
        <v>10.86</v>
      </c>
    </row>
    <row r="6941" spans="1:5" x14ac:dyDescent="0.25">
      <c r="A6941" s="4" t="s">
        <v>53</v>
      </c>
      <c r="B6941" s="4" t="s">
        <v>42</v>
      </c>
      <c r="C6941" s="5">
        <v>45315</v>
      </c>
      <c r="D6941" s="4">
        <v>31.3</v>
      </c>
      <c r="E6941" s="4">
        <v>10.86</v>
      </c>
    </row>
    <row r="6942" spans="1:5" x14ac:dyDescent="0.25">
      <c r="A6942" s="4" t="s">
        <v>53</v>
      </c>
      <c r="B6942" s="4" t="s">
        <v>42</v>
      </c>
      <c r="C6942" s="5">
        <v>45315</v>
      </c>
      <c r="D6942" s="4">
        <v>31.3</v>
      </c>
      <c r="E6942" s="4">
        <v>10.86</v>
      </c>
    </row>
    <row r="6943" spans="1:5" x14ac:dyDescent="0.25">
      <c r="A6943" s="4" t="s">
        <v>53</v>
      </c>
      <c r="B6943" s="4" t="s">
        <v>42</v>
      </c>
      <c r="C6943" s="5">
        <v>45315</v>
      </c>
      <c r="D6943" s="4">
        <v>31.3</v>
      </c>
      <c r="E6943" s="4">
        <v>10.86</v>
      </c>
    </row>
    <row r="6944" spans="1:5" x14ac:dyDescent="0.25">
      <c r="A6944" s="4" t="s">
        <v>53</v>
      </c>
      <c r="B6944" s="4" t="s">
        <v>42</v>
      </c>
      <c r="C6944" s="5">
        <v>45315</v>
      </c>
      <c r="D6944" s="4">
        <v>15.9</v>
      </c>
      <c r="E6944" s="4">
        <v>5.51</v>
      </c>
    </row>
    <row r="6945" spans="1:5" x14ac:dyDescent="0.25">
      <c r="A6945" s="4" t="s">
        <v>53</v>
      </c>
      <c r="B6945" s="4" t="s">
        <v>42</v>
      </c>
      <c r="C6945" s="5">
        <v>45316</v>
      </c>
      <c r="D6945" s="4">
        <v>15.5</v>
      </c>
      <c r="E6945" s="4">
        <v>5.39</v>
      </c>
    </row>
    <row r="6946" spans="1:5" x14ac:dyDescent="0.25">
      <c r="A6946" s="4" t="s">
        <v>53</v>
      </c>
      <c r="B6946" s="4" t="s">
        <v>42</v>
      </c>
      <c r="C6946" s="5">
        <v>45316</v>
      </c>
      <c r="D6946" s="4">
        <v>8.6999999999999993</v>
      </c>
      <c r="E6946" s="4">
        <v>3.03</v>
      </c>
    </row>
    <row r="6947" spans="1:5" x14ac:dyDescent="0.25">
      <c r="A6947" s="4" t="s">
        <v>53</v>
      </c>
      <c r="B6947" s="4" t="s">
        <v>42</v>
      </c>
      <c r="C6947" s="5">
        <v>45316</v>
      </c>
      <c r="D6947" s="4">
        <v>9.5</v>
      </c>
      <c r="E6947" s="4">
        <v>3.31</v>
      </c>
    </row>
    <row r="6948" spans="1:5" x14ac:dyDescent="0.25">
      <c r="A6948" s="4" t="s">
        <v>53</v>
      </c>
      <c r="B6948" s="4" t="s">
        <v>42</v>
      </c>
      <c r="C6948" s="5">
        <v>45316</v>
      </c>
      <c r="D6948" s="4">
        <v>8.6999999999999993</v>
      </c>
      <c r="E6948" s="4">
        <v>3.03</v>
      </c>
    </row>
    <row r="6949" spans="1:5" x14ac:dyDescent="0.25">
      <c r="A6949" s="4" t="s">
        <v>53</v>
      </c>
      <c r="B6949" s="4" t="s">
        <v>42</v>
      </c>
      <c r="C6949" s="5">
        <v>45316</v>
      </c>
      <c r="D6949" s="4">
        <v>9.5</v>
      </c>
      <c r="E6949" s="4">
        <v>3.31</v>
      </c>
    </row>
    <row r="6950" spans="1:5" x14ac:dyDescent="0.25">
      <c r="A6950" s="4" t="s">
        <v>53</v>
      </c>
      <c r="B6950" s="4" t="s">
        <v>42</v>
      </c>
      <c r="C6950" s="5">
        <v>45316</v>
      </c>
      <c r="D6950" s="4">
        <v>8.6999999999999993</v>
      </c>
      <c r="E6950" s="4">
        <v>3.03</v>
      </c>
    </row>
    <row r="6951" spans="1:5" x14ac:dyDescent="0.25">
      <c r="A6951" s="4" t="s">
        <v>53</v>
      </c>
      <c r="B6951" s="4" t="s">
        <v>42</v>
      </c>
      <c r="C6951" s="5">
        <v>45316</v>
      </c>
      <c r="D6951" s="4">
        <v>9.5</v>
      </c>
      <c r="E6951" s="4">
        <v>3.31</v>
      </c>
    </row>
    <row r="6952" spans="1:5" x14ac:dyDescent="0.25">
      <c r="A6952" s="4" t="s">
        <v>53</v>
      </c>
      <c r="B6952" s="4" t="s">
        <v>42</v>
      </c>
      <c r="C6952" s="5">
        <v>45316</v>
      </c>
      <c r="D6952" s="4">
        <v>8.6999999999999993</v>
      </c>
      <c r="E6952" s="4">
        <v>3.03</v>
      </c>
    </row>
    <row r="6953" spans="1:5" x14ac:dyDescent="0.25">
      <c r="A6953" s="4" t="s">
        <v>53</v>
      </c>
      <c r="B6953" s="4" t="s">
        <v>42</v>
      </c>
      <c r="C6953" s="5">
        <v>45316</v>
      </c>
      <c r="D6953" s="4">
        <v>9.5</v>
      </c>
      <c r="E6953" s="4">
        <v>3.31</v>
      </c>
    </row>
    <row r="6954" spans="1:5" x14ac:dyDescent="0.25">
      <c r="A6954" s="4" t="s">
        <v>53</v>
      </c>
      <c r="B6954" s="4" t="s">
        <v>42</v>
      </c>
      <c r="C6954" s="5">
        <v>45316</v>
      </c>
      <c r="D6954" s="4">
        <v>8.6999999999999993</v>
      </c>
      <c r="E6954" s="4">
        <v>3.03</v>
      </c>
    </row>
    <row r="6955" spans="1:5" x14ac:dyDescent="0.25">
      <c r="A6955" s="4" t="s">
        <v>53</v>
      </c>
      <c r="B6955" s="4" t="s">
        <v>42</v>
      </c>
      <c r="C6955" s="5">
        <v>45317</v>
      </c>
      <c r="D6955" s="4">
        <v>15.4</v>
      </c>
      <c r="E6955" s="4">
        <v>5.35</v>
      </c>
    </row>
    <row r="6956" spans="1:5" x14ac:dyDescent="0.25">
      <c r="A6956" s="4" t="s">
        <v>53</v>
      </c>
      <c r="B6956" s="4" t="s">
        <v>42</v>
      </c>
      <c r="C6956" s="5">
        <v>45317</v>
      </c>
      <c r="D6956" s="4">
        <v>3.6</v>
      </c>
      <c r="E6956" s="4">
        <v>1.25</v>
      </c>
    </row>
    <row r="6957" spans="1:5" x14ac:dyDescent="0.25">
      <c r="A6957" s="4" t="s">
        <v>53</v>
      </c>
      <c r="B6957" s="4" t="s">
        <v>42</v>
      </c>
      <c r="C6957" s="5">
        <v>45317</v>
      </c>
      <c r="D6957" s="4">
        <v>3.6</v>
      </c>
      <c r="E6957" s="4">
        <v>1.25</v>
      </c>
    </row>
    <row r="6958" spans="1:5" x14ac:dyDescent="0.25">
      <c r="A6958" s="4" t="s">
        <v>53</v>
      </c>
      <c r="B6958" s="4" t="s">
        <v>42</v>
      </c>
      <c r="C6958" s="5">
        <v>45317</v>
      </c>
      <c r="D6958" s="4">
        <v>3.6</v>
      </c>
      <c r="E6958" s="4">
        <v>1.25</v>
      </c>
    </row>
    <row r="6959" spans="1:5" x14ac:dyDescent="0.25">
      <c r="A6959" s="4" t="s">
        <v>53</v>
      </c>
      <c r="B6959" s="4" t="s">
        <v>42</v>
      </c>
      <c r="C6959" s="5">
        <v>45317</v>
      </c>
      <c r="D6959" s="4">
        <v>3.6</v>
      </c>
      <c r="E6959" s="4">
        <v>1.25</v>
      </c>
    </row>
    <row r="6960" spans="1:5" x14ac:dyDescent="0.25">
      <c r="A6960" s="4" t="s">
        <v>53</v>
      </c>
      <c r="B6960" s="4" t="s">
        <v>42</v>
      </c>
      <c r="C6960" s="5">
        <v>45317</v>
      </c>
      <c r="D6960" s="4">
        <v>3.6</v>
      </c>
      <c r="E6960" s="4">
        <v>1.25</v>
      </c>
    </row>
    <row r="6961" spans="1:5" x14ac:dyDescent="0.25">
      <c r="A6961" s="4" t="s">
        <v>53</v>
      </c>
      <c r="B6961" s="4" t="s">
        <v>42</v>
      </c>
      <c r="C6961" s="5">
        <v>45317</v>
      </c>
      <c r="D6961" s="4">
        <v>20.399999999999999</v>
      </c>
      <c r="E6961" s="4">
        <v>7.11</v>
      </c>
    </row>
    <row r="6962" spans="1:5" x14ac:dyDescent="0.25">
      <c r="A6962" s="4" t="s">
        <v>53</v>
      </c>
      <c r="B6962" s="4" t="s">
        <v>42</v>
      </c>
      <c r="C6962" s="5">
        <v>45320</v>
      </c>
      <c r="D6962" s="4">
        <v>41.3</v>
      </c>
      <c r="E6962" s="4">
        <v>14.36</v>
      </c>
    </row>
    <row r="6963" spans="1:5" x14ac:dyDescent="0.25">
      <c r="A6963" s="4" t="s">
        <v>53</v>
      </c>
      <c r="B6963" s="4" t="s">
        <v>42</v>
      </c>
      <c r="C6963" s="5">
        <v>45320</v>
      </c>
      <c r="D6963" s="4">
        <v>17.3</v>
      </c>
      <c r="E6963" s="4">
        <v>6.03</v>
      </c>
    </row>
    <row r="6964" spans="1:5" x14ac:dyDescent="0.25">
      <c r="A6964" s="4" t="s">
        <v>53</v>
      </c>
      <c r="B6964" s="4" t="s">
        <v>42</v>
      </c>
      <c r="C6964" s="5">
        <v>45320</v>
      </c>
      <c r="D6964" s="4">
        <v>17.3</v>
      </c>
      <c r="E6964" s="4">
        <v>6.03</v>
      </c>
    </row>
    <row r="6965" spans="1:5" x14ac:dyDescent="0.25">
      <c r="A6965" s="4" t="s">
        <v>53</v>
      </c>
      <c r="B6965" s="4" t="s">
        <v>42</v>
      </c>
      <c r="C6965" s="5">
        <v>45320</v>
      </c>
      <c r="D6965" s="4">
        <v>67.5</v>
      </c>
      <c r="E6965" s="4">
        <v>23.48</v>
      </c>
    </row>
    <row r="6966" spans="1:5" x14ac:dyDescent="0.25">
      <c r="A6966" s="4" t="s">
        <v>53</v>
      </c>
      <c r="B6966" s="4" t="s">
        <v>42</v>
      </c>
      <c r="C6966" s="5">
        <v>45320</v>
      </c>
      <c r="D6966" s="4">
        <v>1.1000000000000001</v>
      </c>
      <c r="E6966" s="4">
        <v>0.38</v>
      </c>
    </row>
    <row r="6967" spans="1:5" x14ac:dyDescent="0.25">
      <c r="A6967" s="4" t="s">
        <v>53</v>
      </c>
      <c r="B6967" s="4" t="s">
        <v>42</v>
      </c>
      <c r="C6967" s="5">
        <v>45320</v>
      </c>
      <c r="D6967" s="4">
        <v>57.3</v>
      </c>
      <c r="E6967" s="4">
        <v>19.93</v>
      </c>
    </row>
    <row r="6968" spans="1:5" x14ac:dyDescent="0.25">
      <c r="A6968" s="4" t="s">
        <v>53</v>
      </c>
      <c r="B6968" s="4" t="s">
        <v>42</v>
      </c>
      <c r="C6968" s="5">
        <v>45320</v>
      </c>
      <c r="D6968" s="4">
        <v>0.2</v>
      </c>
      <c r="E6968" s="4">
        <v>7.0000000000000007E-2</v>
      </c>
    </row>
    <row r="6969" spans="1:5" x14ac:dyDescent="0.25">
      <c r="A6969" s="4" t="s">
        <v>53</v>
      </c>
      <c r="B6969" s="4" t="s">
        <v>42</v>
      </c>
      <c r="C6969" s="5">
        <v>45320</v>
      </c>
      <c r="D6969" s="4">
        <v>17.100000000000001</v>
      </c>
      <c r="E6969" s="4">
        <v>5.96</v>
      </c>
    </row>
    <row r="6970" spans="1:5" x14ac:dyDescent="0.25">
      <c r="A6970" s="4" t="s">
        <v>53</v>
      </c>
      <c r="B6970" s="4" t="s">
        <v>42</v>
      </c>
      <c r="C6970" s="5">
        <v>45320</v>
      </c>
      <c r="D6970" s="4">
        <v>17.3</v>
      </c>
      <c r="E6970" s="4">
        <v>6.03</v>
      </c>
    </row>
    <row r="6971" spans="1:5" x14ac:dyDescent="0.25">
      <c r="A6971" s="4" t="s">
        <v>53</v>
      </c>
      <c r="B6971" s="4" t="s">
        <v>42</v>
      </c>
      <c r="C6971" s="5">
        <v>45320</v>
      </c>
      <c r="D6971" s="4">
        <v>67.5</v>
      </c>
      <c r="E6971" s="4">
        <v>23.48</v>
      </c>
    </row>
    <row r="6972" spans="1:5" x14ac:dyDescent="0.25">
      <c r="A6972" s="4" t="s">
        <v>53</v>
      </c>
      <c r="B6972" s="4" t="s">
        <v>42</v>
      </c>
      <c r="C6972" s="5">
        <v>45320</v>
      </c>
      <c r="D6972" s="4">
        <v>29.9</v>
      </c>
      <c r="E6972" s="4">
        <v>10.36</v>
      </c>
    </row>
    <row r="6973" spans="1:5" x14ac:dyDescent="0.25">
      <c r="A6973" s="4" t="s">
        <v>53</v>
      </c>
      <c r="B6973" s="4" t="s">
        <v>42</v>
      </c>
      <c r="C6973" s="5">
        <v>45321</v>
      </c>
      <c r="D6973" s="4">
        <v>41.3</v>
      </c>
      <c r="E6973" s="4">
        <v>14.36</v>
      </c>
    </row>
    <row r="6974" spans="1:5" x14ac:dyDescent="0.25">
      <c r="A6974" s="4" t="s">
        <v>53</v>
      </c>
      <c r="B6974" s="4" t="s">
        <v>42</v>
      </c>
      <c r="C6974" s="5">
        <v>45321</v>
      </c>
      <c r="D6974" s="4">
        <v>17.3</v>
      </c>
      <c r="E6974" s="4">
        <v>6.03</v>
      </c>
    </row>
    <row r="6975" spans="1:5" x14ac:dyDescent="0.25">
      <c r="A6975" s="4" t="s">
        <v>53</v>
      </c>
      <c r="B6975" s="4" t="s">
        <v>42</v>
      </c>
      <c r="C6975" s="5">
        <v>45321</v>
      </c>
      <c r="D6975" s="4">
        <v>17.3</v>
      </c>
      <c r="E6975" s="4">
        <v>6.03</v>
      </c>
    </row>
    <row r="6976" spans="1:5" x14ac:dyDescent="0.25">
      <c r="A6976" s="4" t="s">
        <v>53</v>
      </c>
      <c r="B6976" s="4" t="s">
        <v>42</v>
      </c>
      <c r="C6976" s="5">
        <v>45321</v>
      </c>
      <c r="D6976" s="4">
        <v>67.5</v>
      </c>
      <c r="E6976" s="4">
        <v>23.48</v>
      </c>
    </row>
    <row r="6977" spans="1:5" x14ac:dyDescent="0.25">
      <c r="A6977" s="4" t="s">
        <v>53</v>
      </c>
      <c r="B6977" s="4" t="s">
        <v>42</v>
      </c>
      <c r="C6977" s="5">
        <v>45321</v>
      </c>
      <c r="D6977" s="4">
        <v>71.2</v>
      </c>
      <c r="E6977" s="4">
        <v>24.72</v>
      </c>
    </row>
    <row r="6978" spans="1:5" x14ac:dyDescent="0.25">
      <c r="A6978" s="4" t="s">
        <v>53</v>
      </c>
      <c r="B6978" s="4" t="s">
        <v>42</v>
      </c>
      <c r="C6978" s="5">
        <v>45321</v>
      </c>
      <c r="D6978" s="4">
        <v>0.2</v>
      </c>
      <c r="E6978" s="4">
        <v>7.0000000000000007E-2</v>
      </c>
    </row>
    <row r="6979" spans="1:5" x14ac:dyDescent="0.25">
      <c r="A6979" s="4" t="s">
        <v>53</v>
      </c>
      <c r="B6979" s="4" t="s">
        <v>42</v>
      </c>
      <c r="C6979" s="5">
        <v>45321</v>
      </c>
      <c r="D6979" s="4">
        <v>17.100000000000001</v>
      </c>
      <c r="E6979" s="4">
        <v>5.96</v>
      </c>
    </row>
    <row r="6980" spans="1:5" x14ac:dyDescent="0.25">
      <c r="A6980" s="4" t="s">
        <v>53</v>
      </c>
      <c r="B6980" s="4" t="s">
        <v>42</v>
      </c>
      <c r="C6980" s="5">
        <v>45321</v>
      </c>
      <c r="D6980" s="4">
        <v>17.3</v>
      </c>
      <c r="E6980" s="4">
        <v>6.03</v>
      </c>
    </row>
    <row r="6981" spans="1:5" x14ac:dyDescent="0.25">
      <c r="A6981" s="4" t="s">
        <v>53</v>
      </c>
      <c r="B6981" s="4" t="s">
        <v>42</v>
      </c>
      <c r="C6981" s="5">
        <v>45321</v>
      </c>
      <c r="D6981" s="4">
        <v>67.5</v>
      </c>
      <c r="E6981" s="4">
        <v>23.48</v>
      </c>
    </row>
    <row r="6982" spans="1:5" x14ac:dyDescent="0.25">
      <c r="A6982" s="4" t="s">
        <v>53</v>
      </c>
      <c r="B6982" s="4" t="s">
        <v>42</v>
      </c>
      <c r="C6982" s="5">
        <v>45321</v>
      </c>
      <c r="D6982" s="4">
        <v>29.9</v>
      </c>
      <c r="E6982" s="4">
        <v>10.36</v>
      </c>
    </row>
    <row r="6983" spans="1:5" x14ac:dyDescent="0.25">
      <c r="A6983" s="4" t="s">
        <v>53</v>
      </c>
      <c r="B6983" s="4" t="s">
        <v>42</v>
      </c>
      <c r="C6983" s="5">
        <v>45322</v>
      </c>
      <c r="D6983" s="4">
        <v>21.7</v>
      </c>
      <c r="E6983" s="4">
        <v>7.55</v>
      </c>
    </row>
    <row r="6984" spans="1:5" x14ac:dyDescent="0.25">
      <c r="A6984" s="4" t="s">
        <v>53</v>
      </c>
      <c r="B6984" s="4" t="s">
        <v>42</v>
      </c>
      <c r="C6984" s="5">
        <v>45322</v>
      </c>
      <c r="D6984" s="4">
        <v>1.4</v>
      </c>
      <c r="E6984" s="4">
        <v>0.48</v>
      </c>
    </row>
    <row r="6985" spans="1:5" x14ac:dyDescent="0.25">
      <c r="A6985" s="4" t="s">
        <v>53</v>
      </c>
      <c r="B6985" s="4" t="s">
        <v>42</v>
      </c>
      <c r="C6985" s="5">
        <v>45322</v>
      </c>
      <c r="D6985" s="4">
        <v>31.9</v>
      </c>
      <c r="E6985" s="4">
        <v>11.11</v>
      </c>
    </row>
    <row r="6986" spans="1:5" x14ac:dyDescent="0.25">
      <c r="A6986" s="4" t="s">
        <v>53</v>
      </c>
      <c r="B6986" s="4" t="s">
        <v>42</v>
      </c>
      <c r="C6986" s="5">
        <v>45322</v>
      </c>
      <c r="D6986" s="4">
        <v>1.3</v>
      </c>
      <c r="E6986" s="4">
        <v>0.45</v>
      </c>
    </row>
    <row r="6987" spans="1:5" x14ac:dyDescent="0.25">
      <c r="A6987" s="4" t="s">
        <v>53</v>
      </c>
      <c r="B6987" s="4" t="s">
        <v>42</v>
      </c>
      <c r="C6987" s="5">
        <v>45322</v>
      </c>
      <c r="D6987" s="4">
        <v>26.8</v>
      </c>
      <c r="E6987" s="4">
        <v>9.34</v>
      </c>
    </row>
    <row r="6988" spans="1:5" x14ac:dyDescent="0.25">
      <c r="A6988" s="4" t="s">
        <v>53</v>
      </c>
      <c r="B6988" s="4" t="s">
        <v>42</v>
      </c>
      <c r="C6988" s="5">
        <v>45322</v>
      </c>
      <c r="D6988" s="4">
        <v>28.3</v>
      </c>
      <c r="E6988" s="4">
        <v>9.86</v>
      </c>
    </row>
    <row r="6989" spans="1:5" x14ac:dyDescent="0.25">
      <c r="A6989" s="4" t="s">
        <v>53</v>
      </c>
      <c r="B6989" s="4" t="s">
        <v>42</v>
      </c>
      <c r="C6989" s="5">
        <v>45322</v>
      </c>
      <c r="D6989" s="4">
        <v>26.8</v>
      </c>
      <c r="E6989" s="4">
        <v>9.34</v>
      </c>
    </row>
    <row r="6990" spans="1:5" x14ac:dyDescent="0.25">
      <c r="A6990" s="4" t="s">
        <v>53</v>
      </c>
      <c r="B6990" s="4" t="s">
        <v>42</v>
      </c>
      <c r="C6990" s="5">
        <v>45322</v>
      </c>
      <c r="D6990" s="4">
        <v>35.700000000000003</v>
      </c>
      <c r="E6990" s="4">
        <v>12.44</v>
      </c>
    </row>
    <row r="6991" spans="1:5" x14ac:dyDescent="0.25">
      <c r="A6991" s="4" t="s">
        <v>53</v>
      </c>
      <c r="B6991" s="4" t="s">
        <v>42</v>
      </c>
      <c r="C6991" s="5">
        <v>45323</v>
      </c>
      <c r="D6991" s="4">
        <v>9.6</v>
      </c>
      <c r="E6991" s="4">
        <v>3.34</v>
      </c>
    </row>
    <row r="6992" spans="1:5" x14ac:dyDescent="0.25">
      <c r="A6992" s="4" t="s">
        <v>53</v>
      </c>
      <c r="B6992" s="4" t="s">
        <v>42</v>
      </c>
      <c r="C6992" s="5">
        <v>45323</v>
      </c>
      <c r="D6992" s="4">
        <v>26.7</v>
      </c>
      <c r="E6992" s="4">
        <v>9.31</v>
      </c>
    </row>
    <row r="6993" spans="1:5" x14ac:dyDescent="0.25">
      <c r="A6993" s="4" t="s">
        <v>53</v>
      </c>
      <c r="B6993" s="4" t="s">
        <v>42</v>
      </c>
      <c r="C6993" s="5">
        <v>45323</v>
      </c>
      <c r="D6993" s="4">
        <v>28.3</v>
      </c>
      <c r="E6993" s="4">
        <v>9.86</v>
      </c>
    </row>
    <row r="6994" spans="1:5" x14ac:dyDescent="0.25">
      <c r="A6994" s="4" t="s">
        <v>53</v>
      </c>
      <c r="B6994" s="4" t="s">
        <v>42</v>
      </c>
      <c r="C6994" s="5">
        <v>45323</v>
      </c>
      <c r="D6994" s="4">
        <v>26.1</v>
      </c>
      <c r="E6994" s="4">
        <v>9.1</v>
      </c>
    </row>
    <row r="6995" spans="1:5" x14ac:dyDescent="0.25">
      <c r="A6995" s="4" t="s">
        <v>53</v>
      </c>
      <c r="B6995" s="4" t="s">
        <v>42</v>
      </c>
      <c r="C6995" s="5">
        <v>45323</v>
      </c>
      <c r="D6995" s="4">
        <v>34.700000000000003</v>
      </c>
      <c r="E6995" s="4">
        <v>12.08</v>
      </c>
    </row>
    <row r="6996" spans="1:5" x14ac:dyDescent="0.25">
      <c r="A6996" s="4" t="s">
        <v>53</v>
      </c>
      <c r="B6996" s="4" t="s">
        <v>42</v>
      </c>
      <c r="C6996" s="5">
        <v>45323</v>
      </c>
      <c r="D6996" s="4">
        <v>26.1</v>
      </c>
      <c r="E6996" s="4">
        <v>9.1</v>
      </c>
    </row>
    <row r="6997" spans="1:5" x14ac:dyDescent="0.25">
      <c r="A6997" s="4" t="s">
        <v>53</v>
      </c>
      <c r="B6997" s="4" t="s">
        <v>42</v>
      </c>
      <c r="C6997" s="5">
        <v>45323</v>
      </c>
      <c r="D6997" s="4">
        <v>28.3</v>
      </c>
      <c r="E6997" s="4">
        <v>9.86</v>
      </c>
    </row>
    <row r="6998" spans="1:5" x14ac:dyDescent="0.25">
      <c r="A6998" s="4" t="s">
        <v>53</v>
      </c>
      <c r="B6998" s="4" t="s">
        <v>42</v>
      </c>
      <c r="C6998" s="5">
        <v>45323</v>
      </c>
      <c r="D6998" s="4">
        <v>7.4</v>
      </c>
      <c r="E6998" s="4">
        <v>2.58</v>
      </c>
    </row>
    <row r="6999" spans="1:5" x14ac:dyDescent="0.25">
      <c r="A6999" s="4" t="s">
        <v>53</v>
      </c>
      <c r="B6999" s="4" t="s">
        <v>42</v>
      </c>
      <c r="C6999" s="5">
        <v>45324</v>
      </c>
      <c r="D6999" s="4">
        <v>30.5</v>
      </c>
      <c r="E6999" s="4">
        <v>10.62</v>
      </c>
    </row>
    <row r="7000" spans="1:5" x14ac:dyDescent="0.25">
      <c r="A7000" s="4" t="s">
        <v>53</v>
      </c>
      <c r="B7000" s="4" t="s">
        <v>42</v>
      </c>
      <c r="C7000" s="5">
        <v>45324</v>
      </c>
      <c r="D7000" s="4">
        <v>1.2</v>
      </c>
      <c r="E7000" s="4">
        <v>0.41</v>
      </c>
    </row>
    <row r="7001" spans="1:5" x14ac:dyDescent="0.25">
      <c r="A7001" s="4" t="s">
        <v>53</v>
      </c>
      <c r="B7001" s="4" t="s">
        <v>42</v>
      </c>
      <c r="C7001" s="5">
        <v>45324</v>
      </c>
      <c r="D7001" s="4">
        <v>1.2</v>
      </c>
      <c r="E7001" s="4">
        <v>0.41</v>
      </c>
    </row>
    <row r="7002" spans="1:5" x14ac:dyDescent="0.25">
      <c r="A7002" s="4" t="s">
        <v>53</v>
      </c>
      <c r="B7002" s="4" t="s">
        <v>42</v>
      </c>
      <c r="C7002" s="5">
        <v>45324</v>
      </c>
      <c r="D7002" s="4">
        <v>1.2</v>
      </c>
      <c r="E7002" s="4">
        <v>0.41</v>
      </c>
    </row>
    <row r="7003" spans="1:5" x14ac:dyDescent="0.25">
      <c r="A7003" s="4" t="s">
        <v>53</v>
      </c>
      <c r="B7003" s="4" t="s">
        <v>42</v>
      </c>
      <c r="C7003" s="5">
        <v>45324</v>
      </c>
      <c r="D7003" s="4">
        <v>1.2</v>
      </c>
      <c r="E7003" s="4">
        <v>0.41</v>
      </c>
    </row>
    <row r="7004" spans="1:5" x14ac:dyDescent="0.25">
      <c r="A7004" s="4" t="s">
        <v>53</v>
      </c>
      <c r="B7004" s="4" t="s">
        <v>42</v>
      </c>
      <c r="C7004" s="5">
        <v>45324</v>
      </c>
      <c r="D7004" s="4">
        <v>1.2</v>
      </c>
      <c r="E7004" s="4">
        <v>0.41</v>
      </c>
    </row>
    <row r="7005" spans="1:5" x14ac:dyDescent="0.25">
      <c r="A7005" s="4" t="s">
        <v>53</v>
      </c>
      <c r="B7005" s="4" t="s">
        <v>42</v>
      </c>
      <c r="C7005" s="5">
        <v>45324</v>
      </c>
      <c r="D7005" s="4">
        <v>1.2</v>
      </c>
      <c r="E7005" s="4">
        <v>0.41</v>
      </c>
    </row>
    <row r="7006" spans="1:5" x14ac:dyDescent="0.25">
      <c r="A7006" s="4" t="s">
        <v>53</v>
      </c>
      <c r="B7006" s="4" t="s">
        <v>42</v>
      </c>
      <c r="C7006" s="5">
        <v>45324</v>
      </c>
      <c r="D7006" s="4">
        <v>1.2</v>
      </c>
      <c r="E7006" s="4">
        <v>0.41</v>
      </c>
    </row>
    <row r="7007" spans="1:5" x14ac:dyDescent="0.25">
      <c r="A7007" s="4" t="s">
        <v>53</v>
      </c>
      <c r="B7007" s="4" t="s">
        <v>42</v>
      </c>
      <c r="C7007" s="5">
        <v>45324</v>
      </c>
      <c r="D7007" s="4">
        <v>30.6</v>
      </c>
      <c r="E7007" s="4">
        <v>10.67</v>
      </c>
    </row>
    <row r="7008" spans="1:5" x14ac:dyDescent="0.25">
      <c r="A7008" s="4" t="s">
        <v>53</v>
      </c>
      <c r="B7008" s="4" t="s">
        <v>42</v>
      </c>
      <c r="C7008" s="5">
        <v>45327</v>
      </c>
      <c r="D7008" s="4">
        <v>41.3</v>
      </c>
      <c r="E7008" s="4">
        <v>14.36</v>
      </c>
    </row>
    <row r="7009" spans="1:5" x14ac:dyDescent="0.25">
      <c r="A7009" s="4" t="s">
        <v>53</v>
      </c>
      <c r="B7009" s="4" t="s">
        <v>42</v>
      </c>
      <c r="C7009" s="5">
        <v>45327</v>
      </c>
      <c r="D7009" s="4">
        <v>17.3</v>
      </c>
      <c r="E7009" s="4">
        <v>6.03</v>
      </c>
    </row>
    <row r="7010" spans="1:5" x14ac:dyDescent="0.25">
      <c r="A7010" s="4" t="s">
        <v>53</v>
      </c>
      <c r="B7010" s="4" t="s">
        <v>42</v>
      </c>
      <c r="C7010" s="5">
        <v>45327</v>
      </c>
      <c r="D7010" s="4">
        <v>17.3</v>
      </c>
      <c r="E7010" s="4">
        <v>6.03</v>
      </c>
    </row>
    <row r="7011" spans="1:5" x14ac:dyDescent="0.25">
      <c r="A7011" s="4" t="s">
        <v>53</v>
      </c>
      <c r="B7011" s="4" t="s">
        <v>42</v>
      </c>
      <c r="C7011" s="5">
        <v>45327</v>
      </c>
      <c r="D7011" s="4">
        <v>67.5</v>
      </c>
      <c r="E7011" s="4">
        <v>23.48</v>
      </c>
    </row>
    <row r="7012" spans="1:5" x14ac:dyDescent="0.25">
      <c r="A7012" s="4" t="s">
        <v>53</v>
      </c>
      <c r="B7012" s="4" t="s">
        <v>42</v>
      </c>
      <c r="C7012" s="5">
        <v>45327</v>
      </c>
      <c r="D7012" s="4">
        <v>85.7</v>
      </c>
      <c r="E7012" s="4">
        <v>29.82</v>
      </c>
    </row>
    <row r="7013" spans="1:5" x14ac:dyDescent="0.25">
      <c r="A7013" s="4" t="s">
        <v>53</v>
      </c>
      <c r="B7013" s="4" t="s">
        <v>42</v>
      </c>
      <c r="C7013" s="5">
        <v>45327</v>
      </c>
      <c r="D7013" s="4">
        <v>17.3</v>
      </c>
      <c r="E7013" s="4">
        <v>6.03</v>
      </c>
    </row>
    <row r="7014" spans="1:5" x14ac:dyDescent="0.25">
      <c r="A7014" s="4" t="s">
        <v>53</v>
      </c>
      <c r="B7014" s="4" t="s">
        <v>42</v>
      </c>
      <c r="C7014" s="5">
        <v>45327</v>
      </c>
      <c r="D7014" s="4">
        <v>17.3</v>
      </c>
      <c r="E7014" s="4">
        <v>6.03</v>
      </c>
    </row>
    <row r="7015" spans="1:5" x14ac:dyDescent="0.25">
      <c r="A7015" s="4" t="s">
        <v>53</v>
      </c>
      <c r="B7015" s="4" t="s">
        <v>42</v>
      </c>
      <c r="C7015" s="5">
        <v>45327</v>
      </c>
      <c r="D7015" s="4">
        <v>67.5</v>
      </c>
      <c r="E7015" s="4">
        <v>23.48</v>
      </c>
    </row>
    <row r="7016" spans="1:5" x14ac:dyDescent="0.25">
      <c r="A7016" s="4" t="s">
        <v>53</v>
      </c>
      <c r="B7016" s="4" t="s">
        <v>42</v>
      </c>
      <c r="C7016" s="5">
        <v>45327</v>
      </c>
      <c r="D7016" s="4">
        <v>44.4</v>
      </c>
      <c r="E7016" s="4">
        <v>15.46</v>
      </c>
    </row>
    <row r="7017" spans="1:5" x14ac:dyDescent="0.25">
      <c r="A7017" s="4" t="s">
        <v>53</v>
      </c>
      <c r="B7017" s="4" t="s">
        <v>42</v>
      </c>
      <c r="C7017" s="5">
        <v>45328</v>
      </c>
      <c r="D7017" s="4">
        <v>30.5</v>
      </c>
      <c r="E7017" s="4">
        <v>10.62</v>
      </c>
    </row>
    <row r="7018" spans="1:5" x14ac:dyDescent="0.25">
      <c r="A7018" s="4" t="s">
        <v>53</v>
      </c>
      <c r="B7018" s="4" t="s">
        <v>42</v>
      </c>
      <c r="C7018" s="5">
        <v>45328</v>
      </c>
      <c r="D7018" s="4">
        <v>1.2</v>
      </c>
      <c r="E7018" s="4">
        <v>0.41</v>
      </c>
    </row>
    <row r="7019" spans="1:5" x14ac:dyDescent="0.25">
      <c r="A7019" s="4" t="s">
        <v>53</v>
      </c>
      <c r="B7019" s="4" t="s">
        <v>42</v>
      </c>
      <c r="C7019" s="5">
        <v>45328</v>
      </c>
      <c r="D7019" s="4">
        <v>0.8</v>
      </c>
      <c r="E7019" s="4">
        <v>0.27</v>
      </c>
    </row>
    <row r="7020" spans="1:5" x14ac:dyDescent="0.25">
      <c r="A7020" s="4" t="s">
        <v>53</v>
      </c>
      <c r="B7020" s="4" t="s">
        <v>42</v>
      </c>
      <c r="C7020" s="5">
        <v>45328</v>
      </c>
      <c r="D7020" s="4">
        <v>0.8</v>
      </c>
      <c r="E7020" s="4">
        <v>0.27</v>
      </c>
    </row>
    <row r="7021" spans="1:5" x14ac:dyDescent="0.25">
      <c r="A7021" s="4" t="s">
        <v>53</v>
      </c>
      <c r="B7021" s="4" t="s">
        <v>42</v>
      </c>
      <c r="C7021" s="5">
        <v>45328</v>
      </c>
      <c r="D7021" s="4">
        <v>0.8</v>
      </c>
      <c r="E7021" s="4">
        <v>0.27</v>
      </c>
    </row>
    <row r="7022" spans="1:5" x14ac:dyDescent="0.25">
      <c r="A7022" s="4" t="s">
        <v>53</v>
      </c>
      <c r="B7022" s="4" t="s">
        <v>42</v>
      </c>
      <c r="C7022" s="5">
        <v>45328</v>
      </c>
      <c r="D7022" s="4">
        <v>19.600000000000001</v>
      </c>
      <c r="E7022" s="4">
        <v>6.84</v>
      </c>
    </row>
    <row r="7023" spans="1:5" x14ac:dyDescent="0.25">
      <c r="A7023" s="4" t="s">
        <v>53</v>
      </c>
      <c r="B7023" s="4" t="s">
        <v>42</v>
      </c>
      <c r="C7023" s="5">
        <v>45329</v>
      </c>
      <c r="D7023" s="4">
        <v>30.6</v>
      </c>
      <c r="E7023" s="4">
        <v>10.67</v>
      </c>
    </row>
    <row r="7024" spans="1:5" x14ac:dyDescent="0.25">
      <c r="A7024" s="4" t="s">
        <v>53</v>
      </c>
      <c r="B7024" s="4" t="s">
        <v>42</v>
      </c>
      <c r="C7024" s="5">
        <v>45329</v>
      </c>
      <c r="D7024" s="4">
        <v>1.2</v>
      </c>
      <c r="E7024" s="4">
        <v>0.41</v>
      </c>
    </row>
    <row r="7025" spans="1:5" x14ac:dyDescent="0.25">
      <c r="A7025" s="4" t="s">
        <v>53</v>
      </c>
      <c r="B7025" s="4" t="s">
        <v>42</v>
      </c>
      <c r="C7025" s="5">
        <v>45329</v>
      </c>
      <c r="D7025" s="4">
        <v>1.2</v>
      </c>
      <c r="E7025" s="4">
        <v>0.41</v>
      </c>
    </row>
    <row r="7026" spans="1:5" x14ac:dyDescent="0.25">
      <c r="A7026" s="4" t="s">
        <v>53</v>
      </c>
      <c r="B7026" s="4" t="s">
        <v>42</v>
      </c>
      <c r="C7026" s="5">
        <v>45329</v>
      </c>
      <c r="D7026" s="4">
        <v>1.2</v>
      </c>
      <c r="E7026" s="4">
        <v>0.41</v>
      </c>
    </row>
    <row r="7027" spans="1:5" x14ac:dyDescent="0.25">
      <c r="A7027" s="4" t="s">
        <v>53</v>
      </c>
      <c r="B7027" s="4" t="s">
        <v>42</v>
      </c>
      <c r="C7027" s="5">
        <v>45329</v>
      </c>
      <c r="D7027" s="4">
        <v>30.6</v>
      </c>
      <c r="E7027" s="4">
        <v>10.67</v>
      </c>
    </row>
    <row r="7028" spans="1:5" x14ac:dyDescent="0.25">
      <c r="A7028" s="4" t="s">
        <v>53</v>
      </c>
      <c r="B7028" s="4" t="s">
        <v>42</v>
      </c>
      <c r="C7028" s="5">
        <v>45330</v>
      </c>
      <c r="D7028" s="4">
        <v>41.3</v>
      </c>
      <c r="E7028" s="4">
        <v>14.36</v>
      </c>
    </row>
    <row r="7029" spans="1:5" x14ac:dyDescent="0.25">
      <c r="A7029" s="4" t="s">
        <v>53</v>
      </c>
      <c r="B7029" s="4" t="s">
        <v>42</v>
      </c>
      <c r="C7029" s="5">
        <v>45330</v>
      </c>
      <c r="D7029" s="4">
        <v>17.3</v>
      </c>
      <c r="E7029" s="4">
        <v>6.03</v>
      </c>
    </row>
    <row r="7030" spans="1:5" x14ac:dyDescent="0.25">
      <c r="A7030" s="4" t="s">
        <v>53</v>
      </c>
      <c r="B7030" s="4" t="s">
        <v>42</v>
      </c>
      <c r="C7030" s="5">
        <v>45330</v>
      </c>
      <c r="D7030" s="4">
        <v>17.3</v>
      </c>
      <c r="E7030" s="4">
        <v>6.03</v>
      </c>
    </row>
    <row r="7031" spans="1:5" x14ac:dyDescent="0.25">
      <c r="A7031" s="4" t="s">
        <v>53</v>
      </c>
      <c r="B7031" s="4" t="s">
        <v>42</v>
      </c>
      <c r="C7031" s="5">
        <v>45330</v>
      </c>
      <c r="D7031" s="4">
        <v>67.5</v>
      </c>
      <c r="E7031" s="4">
        <v>23.48</v>
      </c>
    </row>
    <row r="7032" spans="1:5" x14ac:dyDescent="0.25">
      <c r="A7032" s="4" t="s">
        <v>53</v>
      </c>
      <c r="B7032" s="4" t="s">
        <v>42</v>
      </c>
      <c r="C7032" s="5">
        <v>45330</v>
      </c>
      <c r="D7032" s="4">
        <v>85.7</v>
      </c>
      <c r="E7032" s="4">
        <v>29.82</v>
      </c>
    </row>
    <row r="7033" spans="1:5" x14ac:dyDescent="0.25">
      <c r="A7033" s="4" t="s">
        <v>53</v>
      </c>
      <c r="B7033" s="4" t="s">
        <v>42</v>
      </c>
      <c r="C7033" s="5">
        <v>45330</v>
      </c>
      <c r="D7033" s="4">
        <v>17.3</v>
      </c>
      <c r="E7033" s="4">
        <v>6.03</v>
      </c>
    </row>
    <row r="7034" spans="1:5" x14ac:dyDescent="0.25">
      <c r="A7034" s="4" t="s">
        <v>53</v>
      </c>
      <c r="B7034" s="4" t="s">
        <v>42</v>
      </c>
      <c r="C7034" s="5">
        <v>45330</v>
      </c>
      <c r="D7034" s="4">
        <v>17.3</v>
      </c>
      <c r="E7034" s="4">
        <v>6.03</v>
      </c>
    </row>
    <row r="7035" spans="1:5" x14ac:dyDescent="0.25">
      <c r="A7035" s="4" t="s">
        <v>53</v>
      </c>
      <c r="B7035" s="4" t="s">
        <v>42</v>
      </c>
      <c r="C7035" s="5">
        <v>45330</v>
      </c>
      <c r="D7035" s="4">
        <v>67.5</v>
      </c>
      <c r="E7035" s="4">
        <v>23.48</v>
      </c>
    </row>
    <row r="7036" spans="1:5" x14ac:dyDescent="0.25">
      <c r="A7036" s="4" t="s">
        <v>53</v>
      </c>
      <c r="B7036" s="4" t="s">
        <v>42</v>
      </c>
      <c r="C7036" s="5">
        <v>45330</v>
      </c>
      <c r="D7036" s="4">
        <v>44.4</v>
      </c>
      <c r="E7036" s="4">
        <v>15.46</v>
      </c>
    </row>
    <row r="7037" spans="1:5" x14ac:dyDescent="0.25">
      <c r="A7037" s="4" t="s">
        <v>53</v>
      </c>
      <c r="B7037" s="4" t="s">
        <v>42</v>
      </c>
      <c r="C7037" s="5">
        <v>45331</v>
      </c>
      <c r="D7037" s="4">
        <v>41.3</v>
      </c>
      <c r="E7037" s="4">
        <v>14.36</v>
      </c>
    </row>
    <row r="7038" spans="1:5" x14ac:dyDescent="0.25">
      <c r="A7038" s="4" t="s">
        <v>53</v>
      </c>
      <c r="B7038" s="4" t="s">
        <v>42</v>
      </c>
      <c r="C7038" s="5">
        <v>45331</v>
      </c>
      <c r="D7038" s="4">
        <v>17.3</v>
      </c>
      <c r="E7038" s="4">
        <v>6.03</v>
      </c>
    </row>
    <row r="7039" spans="1:5" x14ac:dyDescent="0.25">
      <c r="A7039" s="4" t="s">
        <v>53</v>
      </c>
      <c r="B7039" s="4" t="s">
        <v>42</v>
      </c>
      <c r="C7039" s="5">
        <v>45331</v>
      </c>
      <c r="D7039" s="4">
        <v>17.3</v>
      </c>
      <c r="E7039" s="4">
        <v>6.03</v>
      </c>
    </row>
    <row r="7040" spans="1:5" x14ac:dyDescent="0.25">
      <c r="A7040" s="4" t="s">
        <v>53</v>
      </c>
      <c r="B7040" s="4" t="s">
        <v>42</v>
      </c>
      <c r="C7040" s="5">
        <v>45331</v>
      </c>
      <c r="D7040" s="4">
        <v>67.5</v>
      </c>
      <c r="E7040" s="4">
        <v>23.48</v>
      </c>
    </row>
    <row r="7041" spans="1:5" x14ac:dyDescent="0.25">
      <c r="A7041" s="4" t="s">
        <v>53</v>
      </c>
      <c r="B7041" s="4" t="s">
        <v>42</v>
      </c>
      <c r="C7041" s="5">
        <v>45331</v>
      </c>
      <c r="D7041" s="4">
        <v>85.7</v>
      </c>
      <c r="E7041" s="4">
        <v>29.82</v>
      </c>
    </row>
    <row r="7042" spans="1:5" x14ac:dyDescent="0.25">
      <c r="A7042" s="4" t="s">
        <v>53</v>
      </c>
      <c r="B7042" s="4" t="s">
        <v>42</v>
      </c>
      <c r="C7042" s="5">
        <v>45331</v>
      </c>
      <c r="D7042" s="4">
        <v>17.3</v>
      </c>
      <c r="E7042" s="4">
        <v>6.03</v>
      </c>
    </row>
    <row r="7043" spans="1:5" x14ac:dyDescent="0.25">
      <c r="A7043" s="4" t="s">
        <v>53</v>
      </c>
      <c r="B7043" s="4" t="s">
        <v>42</v>
      </c>
      <c r="C7043" s="5">
        <v>45331</v>
      </c>
      <c r="D7043" s="4">
        <v>17.3</v>
      </c>
      <c r="E7043" s="4">
        <v>6.03</v>
      </c>
    </row>
    <row r="7044" spans="1:5" x14ac:dyDescent="0.25">
      <c r="A7044" s="4" t="s">
        <v>53</v>
      </c>
      <c r="B7044" s="4" t="s">
        <v>42</v>
      </c>
      <c r="C7044" s="5">
        <v>45331</v>
      </c>
      <c r="D7044" s="4">
        <v>67.5</v>
      </c>
      <c r="E7044" s="4">
        <v>23.48</v>
      </c>
    </row>
    <row r="7045" spans="1:5" x14ac:dyDescent="0.25">
      <c r="A7045" s="4" t="s">
        <v>53</v>
      </c>
      <c r="B7045" s="4" t="s">
        <v>42</v>
      </c>
      <c r="C7045" s="5">
        <v>45331</v>
      </c>
      <c r="D7045" s="4">
        <v>44.4</v>
      </c>
      <c r="E7045" s="4">
        <v>15.46</v>
      </c>
    </row>
    <row r="7046" spans="1:5" x14ac:dyDescent="0.25">
      <c r="A7046" s="4" t="s">
        <v>53</v>
      </c>
      <c r="B7046" s="4" t="s">
        <v>42</v>
      </c>
      <c r="C7046" s="5">
        <v>45335</v>
      </c>
      <c r="D7046" s="4">
        <v>30.6</v>
      </c>
      <c r="E7046" s="4">
        <v>10.67</v>
      </c>
    </row>
    <row r="7047" spans="1:5" x14ac:dyDescent="0.25">
      <c r="A7047" s="4" t="s">
        <v>53</v>
      </c>
      <c r="B7047" s="4" t="s">
        <v>42</v>
      </c>
      <c r="C7047" s="5">
        <v>45335</v>
      </c>
      <c r="D7047" s="4">
        <v>30.6</v>
      </c>
      <c r="E7047" s="4">
        <v>10.67</v>
      </c>
    </row>
    <row r="7048" spans="1:5" x14ac:dyDescent="0.25">
      <c r="A7048" s="4" t="s">
        <v>53</v>
      </c>
      <c r="B7048" s="4" t="s">
        <v>42</v>
      </c>
      <c r="C7048" s="5">
        <v>45336</v>
      </c>
      <c r="D7048" s="4">
        <v>27.9</v>
      </c>
      <c r="E7048" s="4">
        <v>9.6999999999999993</v>
      </c>
    </row>
    <row r="7049" spans="1:5" x14ac:dyDescent="0.25">
      <c r="A7049" s="4" t="s">
        <v>53</v>
      </c>
      <c r="B7049" s="4" t="s">
        <v>42</v>
      </c>
      <c r="C7049" s="5">
        <v>45336</v>
      </c>
      <c r="D7049" s="4">
        <v>14.4</v>
      </c>
      <c r="E7049" s="4">
        <v>5</v>
      </c>
    </row>
    <row r="7050" spans="1:5" x14ac:dyDescent="0.25">
      <c r="A7050" s="4" t="s">
        <v>53</v>
      </c>
      <c r="B7050" s="4" t="s">
        <v>42</v>
      </c>
      <c r="C7050" s="5">
        <v>45336</v>
      </c>
      <c r="D7050" s="4">
        <v>14.4</v>
      </c>
      <c r="E7050" s="4">
        <v>5</v>
      </c>
    </row>
    <row r="7051" spans="1:5" x14ac:dyDescent="0.25">
      <c r="A7051" s="4" t="s">
        <v>53</v>
      </c>
      <c r="B7051" s="4" t="s">
        <v>42</v>
      </c>
      <c r="C7051" s="5">
        <v>45336</v>
      </c>
      <c r="D7051" s="4">
        <v>14.4</v>
      </c>
      <c r="E7051" s="4">
        <v>5</v>
      </c>
    </row>
    <row r="7052" spans="1:5" x14ac:dyDescent="0.25">
      <c r="A7052" s="4" t="s">
        <v>53</v>
      </c>
      <c r="B7052" s="4" t="s">
        <v>42</v>
      </c>
      <c r="C7052" s="5">
        <v>45336</v>
      </c>
      <c r="D7052" s="4">
        <v>14.4</v>
      </c>
      <c r="E7052" s="4">
        <v>5</v>
      </c>
    </row>
    <row r="7053" spans="1:5" x14ac:dyDescent="0.25">
      <c r="A7053" s="4" t="s">
        <v>53</v>
      </c>
      <c r="B7053" s="4" t="s">
        <v>42</v>
      </c>
      <c r="C7053" s="5">
        <v>45336</v>
      </c>
      <c r="D7053" s="4">
        <v>14.4</v>
      </c>
      <c r="E7053" s="4">
        <v>5</v>
      </c>
    </row>
    <row r="7054" spans="1:5" x14ac:dyDescent="0.25">
      <c r="A7054" s="4" t="s">
        <v>53</v>
      </c>
      <c r="B7054" s="4" t="s">
        <v>42</v>
      </c>
      <c r="C7054" s="5">
        <v>45336</v>
      </c>
      <c r="D7054" s="4">
        <v>24.7</v>
      </c>
      <c r="E7054" s="4">
        <v>8.57</v>
      </c>
    </row>
    <row r="7055" spans="1:5" x14ac:dyDescent="0.25">
      <c r="A7055" s="4" t="s">
        <v>53</v>
      </c>
      <c r="B7055" s="4" t="s">
        <v>42</v>
      </c>
      <c r="C7055" s="5">
        <v>45336</v>
      </c>
      <c r="D7055" s="4">
        <v>23.7</v>
      </c>
      <c r="E7055" s="4">
        <v>8.24</v>
      </c>
    </row>
    <row r="7056" spans="1:5" x14ac:dyDescent="0.25">
      <c r="A7056" s="4" t="s">
        <v>53</v>
      </c>
      <c r="B7056" s="4" t="s">
        <v>42</v>
      </c>
      <c r="C7056" s="5">
        <v>45336</v>
      </c>
      <c r="D7056" s="4">
        <v>24.1</v>
      </c>
      <c r="E7056" s="4">
        <v>8.3800000000000008</v>
      </c>
    </row>
    <row r="7057" spans="1:5" x14ac:dyDescent="0.25">
      <c r="A7057" s="4" t="s">
        <v>53</v>
      </c>
      <c r="B7057" s="4" t="s">
        <v>42</v>
      </c>
      <c r="C7057" s="5">
        <v>45336</v>
      </c>
      <c r="D7057" s="4">
        <v>23.7</v>
      </c>
      <c r="E7057" s="4">
        <v>8.24</v>
      </c>
    </row>
    <row r="7058" spans="1:5" x14ac:dyDescent="0.25">
      <c r="A7058" s="4" t="s">
        <v>53</v>
      </c>
      <c r="B7058" s="4" t="s">
        <v>42</v>
      </c>
      <c r="C7058" s="5">
        <v>45336</v>
      </c>
      <c r="D7058" s="4">
        <v>8.6999999999999993</v>
      </c>
      <c r="E7058" s="4">
        <v>3.03</v>
      </c>
    </row>
    <row r="7059" spans="1:5" x14ac:dyDescent="0.25">
      <c r="A7059" s="4" t="s">
        <v>53</v>
      </c>
      <c r="B7059" s="4" t="s">
        <v>42</v>
      </c>
      <c r="C7059" s="5">
        <v>45337</v>
      </c>
      <c r="D7059" s="4">
        <v>15.4</v>
      </c>
      <c r="E7059" s="4">
        <v>5.35</v>
      </c>
    </row>
    <row r="7060" spans="1:5" x14ac:dyDescent="0.25">
      <c r="A7060" s="4" t="s">
        <v>53</v>
      </c>
      <c r="B7060" s="4" t="s">
        <v>42</v>
      </c>
      <c r="C7060" s="5">
        <v>45337</v>
      </c>
      <c r="D7060" s="4">
        <v>41.6</v>
      </c>
      <c r="E7060" s="4">
        <v>14.47</v>
      </c>
    </row>
    <row r="7061" spans="1:5" x14ac:dyDescent="0.25">
      <c r="A7061" s="4" t="s">
        <v>53</v>
      </c>
      <c r="B7061" s="4" t="s">
        <v>42</v>
      </c>
      <c r="C7061" s="5">
        <v>45337</v>
      </c>
      <c r="D7061" s="4">
        <v>58.4</v>
      </c>
      <c r="E7061" s="4">
        <v>20.309999999999999</v>
      </c>
    </row>
    <row r="7062" spans="1:5" x14ac:dyDescent="0.25">
      <c r="A7062" s="4" t="s">
        <v>53</v>
      </c>
      <c r="B7062" s="4" t="s">
        <v>42</v>
      </c>
      <c r="C7062" s="5">
        <v>45337</v>
      </c>
      <c r="D7062" s="4">
        <v>41.6</v>
      </c>
      <c r="E7062" s="4">
        <v>14.47</v>
      </c>
    </row>
    <row r="7063" spans="1:5" x14ac:dyDescent="0.25">
      <c r="A7063" s="4" t="s">
        <v>53</v>
      </c>
      <c r="B7063" s="4" t="s">
        <v>42</v>
      </c>
      <c r="C7063" s="5">
        <v>45337</v>
      </c>
      <c r="D7063" s="4">
        <v>58.4</v>
      </c>
      <c r="E7063" s="4">
        <v>20.309999999999999</v>
      </c>
    </row>
    <row r="7064" spans="1:5" x14ac:dyDescent="0.25">
      <c r="A7064" s="4" t="s">
        <v>53</v>
      </c>
      <c r="B7064" s="4" t="s">
        <v>42</v>
      </c>
      <c r="C7064" s="5">
        <v>45337</v>
      </c>
      <c r="D7064" s="4">
        <v>41.6</v>
      </c>
      <c r="E7064" s="4">
        <v>14.47</v>
      </c>
    </row>
    <row r="7065" spans="1:5" x14ac:dyDescent="0.25">
      <c r="A7065" s="4" t="s">
        <v>53</v>
      </c>
      <c r="B7065" s="4" t="s">
        <v>42</v>
      </c>
      <c r="C7065" s="5">
        <v>45337</v>
      </c>
      <c r="D7065" s="4">
        <v>58.4</v>
      </c>
      <c r="E7065" s="4">
        <v>20.309999999999999</v>
      </c>
    </row>
    <row r="7066" spans="1:5" x14ac:dyDescent="0.25">
      <c r="A7066" s="4" t="s">
        <v>53</v>
      </c>
      <c r="B7066" s="4" t="s">
        <v>42</v>
      </c>
      <c r="C7066" s="5">
        <v>45337</v>
      </c>
      <c r="D7066" s="4">
        <v>41.6</v>
      </c>
      <c r="E7066" s="4">
        <v>14.47</v>
      </c>
    </row>
    <row r="7067" spans="1:5" x14ac:dyDescent="0.25">
      <c r="A7067" s="4" t="s">
        <v>53</v>
      </c>
      <c r="B7067" s="4" t="s">
        <v>42</v>
      </c>
      <c r="C7067" s="5">
        <v>45337</v>
      </c>
      <c r="D7067" s="4">
        <v>37.4</v>
      </c>
      <c r="E7067" s="4">
        <v>13.02</v>
      </c>
    </row>
    <row r="7068" spans="1:5" x14ac:dyDescent="0.25">
      <c r="A7068" s="4" t="s">
        <v>53</v>
      </c>
      <c r="B7068" s="4" t="s">
        <v>50</v>
      </c>
      <c r="C7068" s="5">
        <v>45308</v>
      </c>
      <c r="D7068" s="4">
        <v>14.2</v>
      </c>
      <c r="E7068" s="4">
        <v>4.5999999999999996</v>
      </c>
    </row>
    <row r="7069" spans="1:5" x14ac:dyDescent="0.25">
      <c r="A7069" s="4" t="s">
        <v>53</v>
      </c>
      <c r="B7069" s="4" t="s">
        <v>50</v>
      </c>
      <c r="C7069" s="5">
        <v>45308</v>
      </c>
      <c r="D7069" s="4">
        <v>11.7</v>
      </c>
      <c r="E7069" s="4">
        <v>3.79</v>
      </c>
    </row>
    <row r="7070" spans="1:5" x14ac:dyDescent="0.25">
      <c r="A7070" s="4" t="s">
        <v>53</v>
      </c>
      <c r="B7070" s="4" t="s">
        <v>50</v>
      </c>
      <c r="C7070" s="5">
        <v>45308</v>
      </c>
      <c r="D7070" s="4">
        <v>2.2999999999999998</v>
      </c>
      <c r="E7070" s="4">
        <v>0.74</v>
      </c>
    </row>
    <row r="7071" spans="1:5" x14ac:dyDescent="0.25">
      <c r="A7071" s="4" t="s">
        <v>53</v>
      </c>
      <c r="B7071" s="4" t="s">
        <v>50</v>
      </c>
      <c r="C7071" s="5">
        <v>45308</v>
      </c>
      <c r="D7071" s="4">
        <v>2.2999999999999998</v>
      </c>
      <c r="E7071" s="4">
        <v>0.74</v>
      </c>
    </row>
    <row r="7072" spans="1:5" x14ac:dyDescent="0.25">
      <c r="A7072" s="4" t="s">
        <v>53</v>
      </c>
      <c r="B7072" s="4" t="s">
        <v>50</v>
      </c>
      <c r="C7072" s="5">
        <v>45308</v>
      </c>
      <c r="D7072" s="4">
        <v>10.9</v>
      </c>
      <c r="E7072" s="4">
        <v>3.53</v>
      </c>
    </row>
    <row r="7073" spans="1:5" x14ac:dyDescent="0.25">
      <c r="A7073" s="4" t="s">
        <v>53</v>
      </c>
      <c r="B7073" s="4" t="s">
        <v>50</v>
      </c>
      <c r="C7073" s="5">
        <v>45308</v>
      </c>
      <c r="D7073" s="4">
        <v>11.7</v>
      </c>
      <c r="E7073" s="4">
        <v>3.79</v>
      </c>
    </row>
    <row r="7074" spans="1:5" x14ac:dyDescent="0.25">
      <c r="A7074" s="4" t="s">
        <v>53</v>
      </c>
      <c r="B7074" s="4" t="s">
        <v>50</v>
      </c>
      <c r="C7074" s="5">
        <v>45308</v>
      </c>
      <c r="D7074" s="4">
        <v>2.2999999999999998</v>
      </c>
      <c r="E7074" s="4">
        <v>0.74</v>
      </c>
    </row>
    <row r="7075" spans="1:5" x14ac:dyDescent="0.25">
      <c r="A7075" s="4" t="s">
        <v>53</v>
      </c>
      <c r="B7075" s="4" t="s">
        <v>50</v>
      </c>
      <c r="C7075" s="5">
        <v>45308</v>
      </c>
      <c r="D7075" s="4">
        <v>2.2999999999999998</v>
      </c>
      <c r="E7075" s="4">
        <v>0.74</v>
      </c>
    </row>
    <row r="7076" spans="1:5" x14ac:dyDescent="0.25">
      <c r="A7076" s="4" t="s">
        <v>53</v>
      </c>
      <c r="B7076" s="4" t="s">
        <v>50</v>
      </c>
      <c r="C7076" s="5">
        <v>45308</v>
      </c>
      <c r="D7076" s="4">
        <v>10.9</v>
      </c>
      <c r="E7076" s="4">
        <v>3.53</v>
      </c>
    </row>
    <row r="7077" spans="1:5" x14ac:dyDescent="0.25">
      <c r="A7077" s="4" t="s">
        <v>53</v>
      </c>
      <c r="B7077" s="4" t="s">
        <v>50</v>
      </c>
      <c r="C7077" s="5">
        <v>45308</v>
      </c>
      <c r="D7077" s="4">
        <v>11.7</v>
      </c>
      <c r="E7077" s="4">
        <v>3.79</v>
      </c>
    </row>
    <row r="7078" spans="1:5" x14ac:dyDescent="0.25">
      <c r="A7078" s="4" t="s">
        <v>53</v>
      </c>
      <c r="B7078" s="4" t="s">
        <v>50</v>
      </c>
      <c r="C7078" s="5">
        <v>45308</v>
      </c>
      <c r="D7078" s="4">
        <v>2.2999999999999998</v>
      </c>
      <c r="E7078" s="4">
        <v>0.74</v>
      </c>
    </row>
    <row r="7079" spans="1:5" x14ac:dyDescent="0.25">
      <c r="A7079" s="4" t="s">
        <v>53</v>
      </c>
      <c r="B7079" s="4" t="s">
        <v>50</v>
      </c>
      <c r="C7079" s="5">
        <v>45308</v>
      </c>
      <c r="D7079" s="4">
        <v>2.2999999999999998</v>
      </c>
      <c r="E7079" s="4">
        <v>0.74</v>
      </c>
    </row>
    <row r="7080" spans="1:5" x14ac:dyDescent="0.25">
      <c r="A7080" s="4" t="s">
        <v>53</v>
      </c>
      <c r="B7080" s="4" t="s">
        <v>50</v>
      </c>
      <c r="C7080" s="5">
        <v>45308</v>
      </c>
      <c r="D7080" s="4">
        <v>10.9</v>
      </c>
      <c r="E7080" s="4">
        <v>3.53</v>
      </c>
    </row>
    <row r="7081" spans="1:5" x14ac:dyDescent="0.25">
      <c r="A7081" s="4" t="s">
        <v>53</v>
      </c>
      <c r="B7081" s="4" t="s">
        <v>50</v>
      </c>
      <c r="C7081" s="5">
        <v>45308</v>
      </c>
      <c r="D7081" s="4">
        <v>15.4</v>
      </c>
      <c r="E7081" s="4">
        <v>4.9800000000000004</v>
      </c>
    </row>
    <row r="7082" spans="1:5" x14ac:dyDescent="0.25">
      <c r="A7082" s="4" t="s">
        <v>53</v>
      </c>
      <c r="B7082" s="4" t="s">
        <v>50</v>
      </c>
      <c r="C7082" s="5">
        <v>45308</v>
      </c>
      <c r="D7082" s="4">
        <v>2.2999999999999998</v>
      </c>
      <c r="E7082" s="4">
        <v>0.74</v>
      </c>
    </row>
    <row r="7083" spans="1:5" x14ac:dyDescent="0.25">
      <c r="A7083" s="4" t="s">
        <v>53</v>
      </c>
      <c r="B7083" s="4" t="s">
        <v>50</v>
      </c>
      <c r="C7083" s="5">
        <v>45308</v>
      </c>
      <c r="D7083" s="4">
        <v>2.2999999999999998</v>
      </c>
      <c r="E7083" s="4">
        <v>0.74</v>
      </c>
    </row>
    <row r="7084" spans="1:5" x14ac:dyDescent="0.25">
      <c r="A7084" s="4" t="s">
        <v>53</v>
      </c>
      <c r="B7084" s="4" t="s">
        <v>50</v>
      </c>
      <c r="C7084" s="5">
        <v>45308</v>
      </c>
      <c r="D7084" s="4">
        <v>10.9</v>
      </c>
      <c r="E7084" s="4">
        <v>3.53</v>
      </c>
    </row>
    <row r="7085" spans="1:5" x14ac:dyDescent="0.25">
      <c r="A7085" s="4" t="s">
        <v>53</v>
      </c>
      <c r="B7085" s="4" t="s">
        <v>50</v>
      </c>
      <c r="C7085" s="5">
        <v>45308</v>
      </c>
      <c r="D7085" s="4">
        <v>11.7</v>
      </c>
      <c r="E7085" s="4">
        <v>3.79</v>
      </c>
    </row>
    <row r="7086" spans="1:5" x14ac:dyDescent="0.25">
      <c r="A7086" s="4" t="s">
        <v>53</v>
      </c>
      <c r="B7086" s="4" t="s">
        <v>50</v>
      </c>
      <c r="C7086" s="5">
        <v>45308</v>
      </c>
      <c r="D7086" s="4">
        <v>2.2999999999999998</v>
      </c>
      <c r="E7086" s="4">
        <v>0.74</v>
      </c>
    </row>
    <row r="7087" spans="1:5" x14ac:dyDescent="0.25">
      <c r="A7087" s="4" t="s">
        <v>53</v>
      </c>
      <c r="B7087" s="4" t="s">
        <v>50</v>
      </c>
      <c r="C7087" s="5">
        <v>45308</v>
      </c>
      <c r="D7087" s="4">
        <v>2.2999999999999998</v>
      </c>
      <c r="E7087" s="4">
        <v>0.74</v>
      </c>
    </row>
    <row r="7088" spans="1:5" x14ac:dyDescent="0.25">
      <c r="A7088" s="4" t="s">
        <v>53</v>
      </c>
      <c r="B7088" s="4" t="s">
        <v>50</v>
      </c>
      <c r="C7088" s="5">
        <v>45308</v>
      </c>
      <c r="D7088" s="4">
        <v>8.6999999999999993</v>
      </c>
      <c r="E7088" s="4">
        <v>2.82</v>
      </c>
    </row>
    <row r="7089" spans="1:5" x14ac:dyDescent="0.25">
      <c r="A7089" s="4" t="s">
        <v>53</v>
      </c>
      <c r="B7089" s="4" t="s">
        <v>50</v>
      </c>
      <c r="C7089" s="5">
        <v>45309</v>
      </c>
      <c r="D7089" s="4">
        <v>39.4</v>
      </c>
      <c r="E7089" s="4">
        <v>12.7</v>
      </c>
    </row>
    <row r="7090" spans="1:5" x14ac:dyDescent="0.25">
      <c r="A7090" s="4" t="s">
        <v>53</v>
      </c>
      <c r="B7090" s="4" t="s">
        <v>50</v>
      </c>
      <c r="C7090" s="5">
        <v>45309</v>
      </c>
      <c r="D7090" s="4">
        <v>39.4</v>
      </c>
      <c r="E7090" s="4">
        <v>12.7</v>
      </c>
    </row>
    <row r="7091" spans="1:5" x14ac:dyDescent="0.25">
      <c r="A7091" s="4" t="s">
        <v>53</v>
      </c>
      <c r="B7091" s="4" t="s">
        <v>50</v>
      </c>
      <c r="C7091" s="5">
        <v>45313</v>
      </c>
      <c r="D7091" s="4">
        <v>13.8</v>
      </c>
      <c r="E7091" s="4">
        <v>4.47</v>
      </c>
    </row>
    <row r="7092" spans="1:5" x14ac:dyDescent="0.25">
      <c r="A7092" s="4" t="s">
        <v>53</v>
      </c>
      <c r="B7092" s="4" t="s">
        <v>50</v>
      </c>
      <c r="C7092" s="5">
        <v>45313</v>
      </c>
      <c r="D7092" s="4">
        <v>11.7</v>
      </c>
      <c r="E7092" s="4">
        <v>3.79</v>
      </c>
    </row>
    <row r="7093" spans="1:5" x14ac:dyDescent="0.25">
      <c r="A7093" s="4" t="s">
        <v>53</v>
      </c>
      <c r="B7093" s="4" t="s">
        <v>50</v>
      </c>
      <c r="C7093" s="5">
        <v>45313</v>
      </c>
      <c r="D7093" s="4">
        <v>10.9</v>
      </c>
      <c r="E7093" s="4">
        <v>3.53</v>
      </c>
    </row>
    <row r="7094" spans="1:5" x14ac:dyDescent="0.25">
      <c r="A7094" s="4" t="s">
        <v>53</v>
      </c>
      <c r="B7094" s="4" t="s">
        <v>50</v>
      </c>
      <c r="C7094" s="5">
        <v>45313</v>
      </c>
      <c r="D7094" s="4">
        <v>11.7</v>
      </c>
      <c r="E7094" s="4">
        <v>3.79</v>
      </c>
    </row>
    <row r="7095" spans="1:5" x14ac:dyDescent="0.25">
      <c r="A7095" s="4" t="s">
        <v>53</v>
      </c>
      <c r="B7095" s="4" t="s">
        <v>50</v>
      </c>
      <c r="C7095" s="5">
        <v>45313</v>
      </c>
      <c r="D7095" s="4">
        <v>10.9</v>
      </c>
      <c r="E7095" s="4">
        <v>3.53</v>
      </c>
    </row>
    <row r="7096" spans="1:5" x14ac:dyDescent="0.25">
      <c r="A7096" s="4" t="s">
        <v>53</v>
      </c>
      <c r="B7096" s="4" t="s">
        <v>50</v>
      </c>
      <c r="C7096" s="5">
        <v>45313</v>
      </c>
      <c r="D7096" s="4">
        <v>11.7</v>
      </c>
      <c r="E7096" s="4">
        <v>3.79</v>
      </c>
    </row>
    <row r="7097" spans="1:5" x14ac:dyDescent="0.25">
      <c r="A7097" s="4" t="s">
        <v>53</v>
      </c>
      <c r="B7097" s="4" t="s">
        <v>50</v>
      </c>
      <c r="C7097" s="5">
        <v>45313</v>
      </c>
      <c r="D7097" s="4">
        <v>10.9</v>
      </c>
      <c r="E7097" s="4">
        <v>3.53</v>
      </c>
    </row>
    <row r="7098" spans="1:5" x14ac:dyDescent="0.25">
      <c r="A7098" s="4" t="s">
        <v>53</v>
      </c>
      <c r="B7098" s="4" t="s">
        <v>50</v>
      </c>
      <c r="C7098" s="5">
        <v>45313</v>
      </c>
      <c r="D7098" s="4">
        <v>11.7</v>
      </c>
      <c r="E7098" s="4">
        <v>3.79</v>
      </c>
    </row>
    <row r="7099" spans="1:5" x14ac:dyDescent="0.25">
      <c r="A7099" s="4" t="s">
        <v>53</v>
      </c>
      <c r="B7099" s="4" t="s">
        <v>50</v>
      </c>
      <c r="C7099" s="5">
        <v>45313</v>
      </c>
      <c r="D7099" s="4">
        <v>10.9</v>
      </c>
      <c r="E7099" s="4">
        <v>3.53</v>
      </c>
    </row>
    <row r="7100" spans="1:5" x14ac:dyDescent="0.25">
      <c r="A7100" s="4" t="s">
        <v>53</v>
      </c>
      <c r="B7100" s="4" t="s">
        <v>50</v>
      </c>
      <c r="C7100" s="5">
        <v>45313</v>
      </c>
      <c r="D7100" s="4">
        <v>11.7</v>
      </c>
      <c r="E7100" s="4">
        <v>3.79</v>
      </c>
    </row>
    <row r="7101" spans="1:5" x14ac:dyDescent="0.25">
      <c r="A7101" s="4" t="s">
        <v>53</v>
      </c>
      <c r="B7101" s="4" t="s">
        <v>50</v>
      </c>
      <c r="C7101" s="5">
        <v>45313</v>
      </c>
      <c r="D7101" s="4">
        <v>10.9</v>
      </c>
      <c r="E7101" s="4">
        <v>3.53</v>
      </c>
    </row>
    <row r="7102" spans="1:5" x14ac:dyDescent="0.25">
      <c r="A7102" s="4" t="s">
        <v>53</v>
      </c>
      <c r="B7102" s="4" t="s">
        <v>50</v>
      </c>
      <c r="C7102" s="5">
        <v>45313</v>
      </c>
      <c r="D7102" s="4">
        <v>11.7</v>
      </c>
      <c r="E7102" s="4">
        <v>3.79</v>
      </c>
    </row>
    <row r="7103" spans="1:5" x14ac:dyDescent="0.25">
      <c r="A7103" s="4" t="s">
        <v>53</v>
      </c>
      <c r="B7103" s="4" t="s">
        <v>50</v>
      </c>
      <c r="C7103" s="5">
        <v>45313</v>
      </c>
      <c r="D7103" s="4">
        <v>10.9</v>
      </c>
      <c r="E7103" s="4">
        <v>3.53</v>
      </c>
    </row>
    <row r="7104" spans="1:5" x14ac:dyDescent="0.25">
      <c r="A7104" s="4" t="s">
        <v>53</v>
      </c>
      <c r="B7104" s="4" t="s">
        <v>50</v>
      </c>
      <c r="C7104" s="5">
        <v>45313</v>
      </c>
      <c r="D7104" s="4">
        <v>11.7</v>
      </c>
      <c r="E7104" s="4">
        <v>3.79</v>
      </c>
    </row>
    <row r="7105" spans="1:5" x14ac:dyDescent="0.25">
      <c r="A7105" s="4" t="s">
        <v>53</v>
      </c>
      <c r="B7105" s="4" t="s">
        <v>50</v>
      </c>
      <c r="C7105" s="5">
        <v>45313</v>
      </c>
      <c r="D7105" s="4">
        <v>8.6999999999999993</v>
      </c>
      <c r="E7105" s="4">
        <v>2.82</v>
      </c>
    </row>
    <row r="7106" spans="1:5" x14ac:dyDescent="0.25">
      <c r="A7106" s="4" t="s">
        <v>53</v>
      </c>
      <c r="B7106" s="4" t="s">
        <v>50</v>
      </c>
      <c r="C7106" s="5">
        <v>45314</v>
      </c>
      <c r="D7106" s="4">
        <v>13.8</v>
      </c>
      <c r="E7106" s="4">
        <v>4.47</v>
      </c>
    </row>
    <row r="7107" spans="1:5" x14ac:dyDescent="0.25">
      <c r="A7107" s="4" t="s">
        <v>53</v>
      </c>
      <c r="B7107" s="4" t="s">
        <v>50</v>
      </c>
      <c r="C7107" s="5">
        <v>45314</v>
      </c>
      <c r="D7107" s="4">
        <v>11.7</v>
      </c>
      <c r="E7107" s="4">
        <v>3.79</v>
      </c>
    </row>
    <row r="7108" spans="1:5" x14ac:dyDescent="0.25">
      <c r="A7108" s="4" t="s">
        <v>53</v>
      </c>
      <c r="B7108" s="4" t="s">
        <v>50</v>
      </c>
      <c r="C7108" s="5">
        <v>45314</v>
      </c>
      <c r="D7108" s="4">
        <v>2.2999999999999998</v>
      </c>
      <c r="E7108" s="4">
        <v>0.74</v>
      </c>
    </row>
    <row r="7109" spans="1:5" x14ac:dyDescent="0.25">
      <c r="A7109" s="4" t="s">
        <v>53</v>
      </c>
      <c r="B7109" s="4" t="s">
        <v>50</v>
      </c>
      <c r="C7109" s="5">
        <v>45314</v>
      </c>
      <c r="D7109" s="4">
        <v>2.2999999999999998</v>
      </c>
      <c r="E7109" s="4">
        <v>0.74</v>
      </c>
    </row>
    <row r="7110" spans="1:5" x14ac:dyDescent="0.25">
      <c r="A7110" s="4" t="s">
        <v>53</v>
      </c>
      <c r="B7110" s="4" t="s">
        <v>50</v>
      </c>
      <c r="C7110" s="5">
        <v>45314</v>
      </c>
      <c r="D7110" s="4">
        <v>10.9</v>
      </c>
      <c r="E7110" s="4">
        <v>3.53</v>
      </c>
    </row>
    <row r="7111" spans="1:5" x14ac:dyDescent="0.25">
      <c r="A7111" s="4" t="s">
        <v>53</v>
      </c>
      <c r="B7111" s="4" t="s">
        <v>50</v>
      </c>
      <c r="C7111" s="5">
        <v>45314</v>
      </c>
      <c r="D7111" s="4">
        <v>11.7</v>
      </c>
      <c r="E7111" s="4">
        <v>3.79</v>
      </c>
    </row>
    <row r="7112" spans="1:5" x14ac:dyDescent="0.25">
      <c r="A7112" s="4" t="s">
        <v>53</v>
      </c>
      <c r="B7112" s="4" t="s">
        <v>50</v>
      </c>
      <c r="C7112" s="5">
        <v>45314</v>
      </c>
      <c r="D7112" s="4">
        <v>2.2999999999999998</v>
      </c>
      <c r="E7112" s="4">
        <v>0.74</v>
      </c>
    </row>
    <row r="7113" spans="1:5" x14ac:dyDescent="0.25">
      <c r="A7113" s="4" t="s">
        <v>53</v>
      </c>
      <c r="B7113" s="4" t="s">
        <v>50</v>
      </c>
      <c r="C7113" s="5">
        <v>45314</v>
      </c>
      <c r="D7113" s="4">
        <v>2.2999999999999998</v>
      </c>
      <c r="E7113" s="4">
        <v>0.74</v>
      </c>
    </row>
    <row r="7114" spans="1:5" x14ac:dyDescent="0.25">
      <c r="A7114" s="4" t="s">
        <v>53</v>
      </c>
      <c r="B7114" s="4" t="s">
        <v>50</v>
      </c>
      <c r="C7114" s="5">
        <v>45314</v>
      </c>
      <c r="D7114" s="4">
        <v>10.9</v>
      </c>
      <c r="E7114" s="4">
        <v>3.53</v>
      </c>
    </row>
    <row r="7115" spans="1:5" x14ac:dyDescent="0.25">
      <c r="A7115" s="4" t="s">
        <v>53</v>
      </c>
      <c r="B7115" s="4" t="s">
        <v>50</v>
      </c>
      <c r="C7115" s="5">
        <v>45314</v>
      </c>
      <c r="D7115" s="4">
        <v>11.7</v>
      </c>
      <c r="E7115" s="4">
        <v>3.79</v>
      </c>
    </row>
    <row r="7116" spans="1:5" x14ac:dyDescent="0.25">
      <c r="A7116" s="4" t="s">
        <v>53</v>
      </c>
      <c r="B7116" s="4" t="s">
        <v>50</v>
      </c>
      <c r="C7116" s="5">
        <v>45314</v>
      </c>
      <c r="D7116" s="4">
        <v>2.2999999999999998</v>
      </c>
      <c r="E7116" s="4">
        <v>0.74</v>
      </c>
    </row>
    <row r="7117" spans="1:5" x14ac:dyDescent="0.25">
      <c r="A7117" s="4" t="s">
        <v>53</v>
      </c>
      <c r="B7117" s="4" t="s">
        <v>50</v>
      </c>
      <c r="C7117" s="5">
        <v>45314</v>
      </c>
      <c r="D7117" s="4">
        <v>2.2999999999999998</v>
      </c>
      <c r="E7117" s="4">
        <v>0.74</v>
      </c>
    </row>
    <row r="7118" spans="1:5" x14ac:dyDescent="0.25">
      <c r="A7118" s="4" t="s">
        <v>53</v>
      </c>
      <c r="B7118" s="4" t="s">
        <v>50</v>
      </c>
      <c r="C7118" s="5">
        <v>45314</v>
      </c>
      <c r="D7118" s="4">
        <v>10.9</v>
      </c>
      <c r="E7118" s="4">
        <v>3.53</v>
      </c>
    </row>
    <row r="7119" spans="1:5" x14ac:dyDescent="0.25">
      <c r="A7119" s="4" t="s">
        <v>53</v>
      </c>
      <c r="B7119" s="4" t="s">
        <v>50</v>
      </c>
      <c r="C7119" s="5">
        <v>45314</v>
      </c>
      <c r="D7119" s="4">
        <v>11.7</v>
      </c>
      <c r="E7119" s="4">
        <v>3.79</v>
      </c>
    </row>
    <row r="7120" spans="1:5" x14ac:dyDescent="0.25">
      <c r="A7120" s="4" t="s">
        <v>53</v>
      </c>
      <c r="B7120" s="4" t="s">
        <v>50</v>
      </c>
      <c r="C7120" s="5">
        <v>45314</v>
      </c>
      <c r="D7120" s="4">
        <v>2.2999999999999998</v>
      </c>
      <c r="E7120" s="4">
        <v>0.74</v>
      </c>
    </row>
    <row r="7121" spans="1:5" x14ac:dyDescent="0.25">
      <c r="A7121" s="4" t="s">
        <v>53</v>
      </c>
      <c r="B7121" s="4" t="s">
        <v>50</v>
      </c>
      <c r="C7121" s="5">
        <v>45314</v>
      </c>
      <c r="D7121" s="4">
        <v>2.2999999999999998</v>
      </c>
      <c r="E7121" s="4">
        <v>0.74</v>
      </c>
    </row>
    <row r="7122" spans="1:5" x14ac:dyDescent="0.25">
      <c r="A7122" s="4" t="s">
        <v>53</v>
      </c>
      <c r="B7122" s="4" t="s">
        <v>50</v>
      </c>
      <c r="C7122" s="5">
        <v>45314</v>
      </c>
      <c r="D7122" s="4">
        <v>8.6999999999999993</v>
      </c>
      <c r="E7122" s="4">
        <v>2.82</v>
      </c>
    </row>
    <row r="7123" spans="1:5" x14ac:dyDescent="0.25">
      <c r="A7123" s="4" t="s">
        <v>53</v>
      </c>
      <c r="B7123" s="4" t="s">
        <v>50</v>
      </c>
      <c r="C7123" s="5">
        <v>45315</v>
      </c>
      <c r="D7123" s="4">
        <v>13.8</v>
      </c>
      <c r="E7123" s="4">
        <v>4.47</v>
      </c>
    </row>
    <row r="7124" spans="1:5" x14ac:dyDescent="0.25">
      <c r="A7124" s="4" t="s">
        <v>53</v>
      </c>
      <c r="B7124" s="4" t="s">
        <v>50</v>
      </c>
      <c r="C7124" s="5">
        <v>45315</v>
      </c>
      <c r="D7124" s="4">
        <v>11.7</v>
      </c>
      <c r="E7124" s="4">
        <v>3.79</v>
      </c>
    </row>
    <row r="7125" spans="1:5" x14ac:dyDescent="0.25">
      <c r="A7125" s="4" t="s">
        <v>53</v>
      </c>
      <c r="B7125" s="4" t="s">
        <v>50</v>
      </c>
      <c r="C7125" s="5">
        <v>45315</v>
      </c>
      <c r="D7125" s="4">
        <v>2.2999999999999998</v>
      </c>
      <c r="E7125" s="4">
        <v>0.74</v>
      </c>
    </row>
    <row r="7126" spans="1:5" x14ac:dyDescent="0.25">
      <c r="A7126" s="4" t="s">
        <v>53</v>
      </c>
      <c r="B7126" s="4" t="s">
        <v>50</v>
      </c>
      <c r="C7126" s="5">
        <v>45315</v>
      </c>
      <c r="D7126" s="4">
        <v>2.2999999999999998</v>
      </c>
      <c r="E7126" s="4">
        <v>0.74</v>
      </c>
    </row>
    <row r="7127" spans="1:5" x14ac:dyDescent="0.25">
      <c r="A7127" s="4" t="s">
        <v>53</v>
      </c>
      <c r="B7127" s="4" t="s">
        <v>50</v>
      </c>
      <c r="C7127" s="5">
        <v>45315</v>
      </c>
      <c r="D7127" s="4">
        <v>10.9</v>
      </c>
      <c r="E7127" s="4">
        <v>3.53</v>
      </c>
    </row>
    <row r="7128" spans="1:5" x14ac:dyDescent="0.25">
      <c r="A7128" s="4" t="s">
        <v>53</v>
      </c>
      <c r="B7128" s="4" t="s">
        <v>50</v>
      </c>
      <c r="C7128" s="5">
        <v>45315</v>
      </c>
      <c r="D7128" s="4">
        <v>11.7</v>
      </c>
      <c r="E7128" s="4">
        <v>3.79</v>
      </c>
    </row>
    <row r="7129" spans="1:5" x14ac:dyDescent="0.25">
      <c r="A7129" s="4" t="s">
        <v>53</v>
      </c>
      <c r="B7129" s="4" t="s">
        <v>50</v>
      </c>
      <c r="C7129" s="5">
        <v>45315</v>
      </c>
      <c r="D7129" s="4">
        <v>2.2999999999999998</v>
      </c>
      <c r="E7129" s="4">
        <v>0.74</v>
      </c>
    </row>
    <row r="7130" spans="1:5" x14ac:dyDescent="0.25">
      <c r="A7130" s="4" t="s">
        <v>53</v>
      </c>
      <c r="B7130" s="4" t="s">
        <v>50</v>
      </c>
      <c r="C7130" s="5">
        <v>45315</v>
      </c>
      <c r="D7130" s="4">
        <v>2.2999999999999998</v>
      </c>
      <c r="E7130" s="4">
        <v>0.74</v>
      </c>
    </row>
    <row r="7131" spans="1:5" x14ac:dyDescent="0.25">
      <c r="A7131" s="4" t="s">
        <v>53</v>
      </c>
      <c r="B7131" s="4" t="s">
        <v>50</v>
      </c>
      <c r="C7131" s="5">
        <v>45315</v>
      </c>
      <c r="D7131" s="4">
        <v>10.9</v>
      </c>
      <c r="E7131" s="4">
        <v>3.53</v>
      </c>
    </row>
    <row r="7132" spans="1:5" x14ac:dyDescent="0.25">
      <c r="A7132" s="4" t="s">
        <v>53</v>
      </c>
      <c r="B7132" s="4" t="s">
        <v>50</v>
      </c>
      <c r="C7132" s="5">
        <v>45315</v>
      </c>
      <c r="D7132" s="4">
        <v>11.7</v>
      </c>
      <c r="E7132" s="4">
        <v>3.79</v>
      </c>
    </row>
    <row r="7133" spans="1:5" x14ac:dyDescent="0.25">
      <c r="A7133" s="4" t="s">
        <v>53</v>
      </c>
      <c r="B7133" s="4" t="s">
        <v>50</v>
      </c>
      <c r="C7133" s="5">
        <v>45315</v>
      </c>
      <c r="D7133" s="4">
        <v>2.2999999999999998</v>
      </c>
      <c r="E7133" s="4">
        <v>0.74</v>
      </c>
    </row>
    <row r="7134" spans="1:5" x14ac:dyDescent="0.25">
      <c r="A7134" s="4" t="s">
        <v>53</v>
      </c>
      <c r="B7134" s="4" t="s">
        <v>50</v>
      </c>
      <c r="C7134" s="5">
        <v>45315</v>
      </c>
      <c r="D7134" s="4">
        <v>2.2999999999999998</v>
      </c>
      <c r="E7134" s="4">
        <v>0.74</v>
      </c>
    </row>
    <row r="7135" spans="1:5" x14ac:dyDescent="0.25">
      <c r="A7135" s="4" t="s">
        <v>53</v>
      </c>
      <c r="B7135" s="4" t="s">
        <v>50</v>
      </c>
      <c r="C7135" s="5">
        <v>45315</v>
      </c>
      <c r="D7135" s="4">
        <v>10.9</v>
      </c>
      <c r="E7135" s="4">
        <v>3.53</v>
      </c>
    </row>
    <row r="7136" spans="1:5" x14ac:dyDescent="0.25">
      <c r="A7136" s="4" t="s">
        <v>53</v>
      </c>
      <c r="B7136" s="4" t="s">
        <v>50</v>
      </c>
      <c r="C7136" s="5">
        <v>45315</v>
      </c>
      <c r="D7136" s="4">
        <v>11.7</v>
      </c>
      <c r="E7136" s="4">
        <v>3.79</v>
      </c>
    </row>
    <row r="7137" spans="1:5" x14ac:dyDescent="0.25">
      <c r="A7137" s="4" t="s">
        <v>53</v>
      </c>
      <c r="B7137" s="4" t="s">
        <v>50</v>
      </c>
      <c r="C7137" s="5">
        <v>45315</v>
      </c>
      <c r="D7137" s="4">
        <v>10.9</v>
      </c>
      <c r="E7137" s="4">
        <v>3.53</v>
      </c>
    </row>
    <row r="7138" spans="1:5" x14ac:dyDescent="0.25">
      <c r="A7138" s="4" t="s">
        <v>53</v>
      </c>
      <c r="B7138" s="4" t="s">
        <v>50</v>
      </c>
      <c r="C7138" s="5">
        <v>45315</v>
      </c>
      <c r="D7138" s="4">
        <v>11.7</v>
      </c>
      <c r="E7138" s="4">
        <v>3.79</v>
      </c>
    </row>
    <row r="7139" spans="1:5" x14ac:dyDescent="0.25">
      <c r="A7139" s="4" t="s">
        <v>53</v>
      </c>
      <c r="B7139" s="4" t="s">
        <v>50</v>
      </c>
      <c r="C7139" s="5">
        <v>45315</v>
      </c>
      <c r="D7139" s="4">
        <v>8.6999999999999993</v>
      </c>
      <c r="E7139" s="4">
        <v>2.82</v>
      </c>
    </row>
    <row r="7140" spans="1:5" x14ac:dyDescent="0.25">
      <c r="A7140" s="4" t="s">
        <v>53</v>
      </c>
      <c r="B7140" s="4" t="s">
        <v>50</v>
      </c>
      <c r="C7140" s="5">
        <v>45316</v>
      </c>
      <c r="D7140" s="4">
        <v>13.8</v>
      </c>
      <c r="E7140" s="4">
        <v>4.47</v>
      </c>
    </row>
    <row r="7141" spans="1:5" x14ac:dyDescent="0.25">
      <c r="A7141" s="4" t="s">
        <v>53</v>
      </c>
      <c r="B7141" s="4" t="s">
        <v>50</v>
      </c>
      <c r="C7141" s="5">
        <v>45316</v>
      </c>
      <c r="D7141" s="4">
        <v>11.7</v>
      </c>
      <c r="E7141" s="4">
        <v>3.79</v>
      </c>
    </row>
    <row r="7142" spans="1:5" x14ac:dyDescent="0.25">
      <c r="A7142" s="4" t="s">
        <v>53</v>
      </c>
      <c r="B7142" s="4" t="s">
        <v>50</v>
      </c>
      <c r="C7142" s="5">
        <v>45316</v>
      </c>
      <c r="D7142" s="4">
        <v>10.9</v>
      </c>
      <c r="E7142" s="4">
        <v>3.53</v>
      </c>
    </row>
    <row r="7143" spans="1:5" x14ac:dyDescent="0.25">
      <c r="A7143" s="4" t="s">
        <v>53</v>
      </c>
      <c r="B7143" s="4" t="s">
        <v>50</v>
      </c>
      <c r="C7143" s="5">
        <v>45316</v>
      </c>
      <c r="D7143" s="4">
        <v>11.7</v>
      </c>
      <c r="E7143" s="4">
        <v>3.79</v>
      </c>
    </row>
    <row r="7144" spans="1:5" x14ac:dyDescent="0.25">
      <c r="A7144" s="4" t="s">
        <v>53</v>
      </c>
      <c r="B7144" s="4" t="s">
        <v>50</v>
      </c>
      <c r="C7144" s="5">
        <v>45316</v>
      </c>
      <c r="D7144" s="4">
        <v>10.9</v>
      </c>
      <c r="E7144" s="4">
        <v>3.53</v>
      </c>
    </row>
    <row r="7145" spans="1:5" x14ac:dyDescent="0.25">
      <c r="A7145" s="4" t="s">
        <v>53</v>
      </c>
      <c r="B7145" s="4" t="s">
        <v>50</v>
      </c>
      <c r="C7145" s="5">
        <v>45316</v>
      </c>
      <c r="D7145" s="4">
        <v>11.7</v>
      </c>
      <c r="E7145" s="4">
        <v>3.79</v>
      </c>
    </row>
    <row r="7146" spans="1:5" x14ac:dyDescent="0.25">
      <c r="A7146" s="4" t="s">
        <v>53</v>
      </c>
      <c r="B7146" s="4" t="s">
        <v>50</v>
      </c>
      <c r="C7146" s="5">
        <v>45316</v>
      </c>
      <c r="D7146" s="4">
        <v>10.9</v>
      </c>
      <c r="E7146" s="4">
        <v>3.53</v>
      </c>
    </row>
    <row r="7147" spans="1:5" x14ac:dyDescent="0.25">
      <c r="A7147" s="4" t="s">
        <v>53</v>
      </c>
      <c r="B7147" s="4" t="s">
        <v>50</v>
      </c>
      <c r="C7147" s="5">
        <v>45316</v>
      </c>
      <c r="D7147" s="4">
        <v>11.7</v>
      </c>
      <c r="E7147" s="4">
        <v>3.79</v>
      </c>
    </row>
    <row r="7148" spans="1:5" x14ac:dyDescent="0.25">
      <c r="A7148" s="4" t="s">
        <v>53</v>
      </c>
      <c r="B7148" s="4" t="s">
        <v>50</v>
      </c>
      <c r="C7148" s="5">
        <v>45316</v>
      </c>
      <c r="D7148" s="4">
        <v>14.1</v>
      </c>
      <c r="E7148" s="4">
        <v>4.58</v>
      </c>
    </row>
    <row r="7149" spans="1:5" x14ac:dyDescent="0.25">
      <c r="A7149" s="4" t="s">
        <v>53</v>
      </c>
      <c r="B7149" s="4" t="s">
        <v>50</v>
      </c>
      <c r="C7149" s="5">
        <v>45316</v>
      </c>
      <c r="D7149" s="4">
        <v>9.6999999999999993</v>
      </c>
      <c r="E7149" s="4">
        <v>3.15</v>
      </c>
    </row>
    <row r="7150" spans="1:5" x14ac:dyDescent="0.25">
      <c r="A7150" s="4" t="s">
        <v>53</v>
      </c>
      <c r="B7150" s="4" t="s">
        <v>50</v>
      </c>
      <c r="C7150" s="5">
        <v>45316</v>
      </c>
      <c r="D7150" s="4">
        <v>9.6999999999999993</v>
      </c>
      <c r="E7150" s="4">
        <v>3.15</v>
      </c>
    </row>
    <row r="7151" spans="1:5" x14ac:dyDescent="0.25">
      <c r="A7151" s="4" t="s">
        <v>53</v>
      </c>
      <c r="B7151" s="4" t="s">
        <v>50</v>
      </c>
      <c r="C7151" s="5">
        <v>45316</v>
      </c>
      <c r="D7151" s="4">
        <v>9.6999999999999993</v>
      </c>
      <c r="E7151" s="4">
        <v>3.15</v>
      </c>
    </row>
    <row r="7152" spans="1:5" x14ac:dyDescent="0.25">
      <c r="A7152" s="4" t="s">
        <v>53</v>
      </c>
      <c r="B7152" s="4" t="s">
        <v>50</v>
      </c>
      <c r="C7152" s="5">
        <v>45317</v>
      </c>
      <c r="D7152" s="4">
        <v>13.8</v>
      </c>
      <c r="E7152" s="4">
        <v>4.47</v>
      </c>
    </row>
    <row r="7153" spans="1:5" x14ac:dyDescent="0.25">
      <c r="A7153" s="4" t="s">
        <v>53</v>
      </c>
      <c r="B7153" s="4" t="s">
        <v>50</v>
      </c>
      <c r="C7153" s="5">
        <v>45317</v>
      </c>
      <c r="D7153" s="4">
        <v>11.7</v>
      </c>
      <c r="E7153" s="4">
        <v>3.79</v>
      </c>
    </row>
    <row r="7154" spans="1:5" x14ac:dyDescent="0.25">
      <c r="A7154" s="4" t="s">
        <v>53</v>
      </c>
      <c r="B7154" s="4" t="s">
        <v>50</v>
      </c>
      <c r="C7154" s="5">
        <v>45317</v>
      </c>
      <c r="D7154" s="4">
        <v>10.9</v>
      </c>
      <c r="E7154" s="4">
        <v>3.53</v>
      </c>
    </row>
    <row r="7155" spans="1:5" x14ac:dyDescent="0.25">
      <c r="A7155" s="4" t="s">
        <v>53</v>
      </c>
      <c r="B7155" s="4" t="s">
        <v>50</v>
      </c>
      <c r="C7155" s="5">
        <v>45317</v>
      </c>
      <c r="D7155" s="4">
        <v>11.7</v>
      </c>
      <c r="E7155" s="4">
        <v>3.79</v>
      </c>
    </row>
    <row r="7156" spans="1:5" x14ac:dyDescent="0.25">
      <c r="A7156" s="4" t="s">
        <v>53</v>
      </c>
      <c r="B7156" s="4" t="s">
        <v>50</v>
      </c>
      <c r="C7156" s="5">
        <v>45317</v>
      </c>
      <c r="D7156" s="4">
        <v>10.9</v>
      </c>
      <c r="E7156" s="4">
        <v>3.53</v>
      </c>
    </row>
    <row r="7157" spans="1:5" x14ac:dyDescent="0.25">
      <c r="A7157" s="4" t="s">
        <v>53</v>
      </c>
      <c r="B7157" s="4" t="s">
        <v>50</v>
      </c>
      <c r="C7157" s="5">
        <v>45317</v>
      </c>
      <c r="D7157" s="4">
        <v>11.7</v>
      </c>
      <c r="E7157" s="4">
        <v>3.79</v>
      </c>
    </row>
    <row r="7158" spans="1:5" x14ac:dyDescent="0.25">
      <c r="A7158" s="4" t="s">
        <v>53</v>
      </c>
      <c r="B7158" s="4" t="s">
        <v>50</v>
      </c>
      <c r="C7158" s="5">
        <v>45317</v>
      </c>
      <c r="D7158" s="4">
        <v>19.7</v>
      </c>
      <c r="E7158" s="4">
        <v>6.39</v>
      </c>
    </row>
    <row r="7159" spans="1:5" x14ac:dyDescent="0.25">
      <c r="A7159" s="4" t="s">
        <v>53</v>
      </c>
      <c r="B7159" s="4" t="s">
        <v>50</v>
      </c>
      <c r="C7159" s="5">
        <v>45317</v>
      </c>
      <c r="D7159" s="4">
        <v>14.1</v>
      </c>
      <c r="E7159" s="4">
        <v>4.5199999999999996</v>
      </c>
    </row>
    <row r="7160" spans="1:5" x14ac:dyDescent="0.25">
      <c r="A7160" s="4" t="s">
        <v>53</v>
      </c>
      <c r="B7160" s="4" t="s">
        <v>50</v>
      </c>
      <c r="C7160" s="5">
        <v>45317</v>
      </c>
      <c r="D7160" s="4">
        <v>3.8</v>
      </c>
      <c r="E7160" s="4">
        <v>1.22</v>
      </c>
    </row>
    <row r="7161" spans="1:5" x14ac:dyDescent="0.25">
      <c r="A7161" s="4" t="s">
        <v>53</v>
      </c>
      <c r="B7161" s="4" t="s">
        <v>50</v>
      </c>
      <c r="C7161" s="5">
        <v>45320</v>
      </c>
      <c r="D7161" s="4">
        <v>35.9</v>
      </c>
      <c r="E7161" s="4">
        <v>11.61</v>
      </c>
    </row>
    <row r="7162" spans="1:5" x14ac:dyDescent="0.25">
      <c r="A7162" s="4" t="s">
        <v>53</v>
      </c>
      <c r="B7162" s="4" t="s">
        <v>50</v>
      </c>
      <c r="C7162" s="5">
        <v>45320</v>
      </c>
      <c r="D7162" s="4">
        <v>16.399999999999999</v>
      </c>
      <c r="E7162" s="4">
        <v>5.27</v>
      </c>
    </row>
    <row r="7163" spans="1:5" x14ac:dyDescent="0.25">
      <c r="A7163" s="4" t="s">
        <v>53</v>
      </c>
      <c r="B7163" s="4" t="s">
        <v>50</v>
      </c>
      <c r="C7163" s="5">
        <v>45320</v>
      </c>
      <c r="D7163" s="4">
        <v>15.2</v>
      </c>
      <c r="E7163" s="4">
        <v>4.8899999999999997</v>
      </c>
    </row>
    <row r="7164" spans="1:5" x14ac:dyDescent="0.25">
      <c r="A7164" s="4" t="s">
        <v>53</v>
      </c>
      <c r="B7164" s="4" t="s">
        <v>50</v>
      </c>
      <c r="C7164" s="5">
        <v>45320</v>
      </c>
      <c r="D7164" s="4">
        <v>16.399999999999999</v>
      </c>
      <c r="E7164" s="4">
        <v>5.27</v>
      </c>
    </row>
    <row r="7165" spans="1:5" x14ac:dyDescent="0.25">
      <c r="A7165" s="4" t="s">
        <v>53</v>
      </c>
      <c r="B7165" s="4" t="s">
        <v>50</v>
      </c>
      <c r="C7165" s="5">
        <v>45320</v>
      </c>
      <c r="D7165" s="4">
        <v>4.5999999999999996</v>
      </c>
      <c r="E7165" s="4">
        <v>1.47</v>
      </c>
    </row>
    <row r="7166" spans="1:5" x14ac:dyDescent="0.25">
      <c r="A7166" s="4" t="s">
        <v>53</v>
      </c>
      <c r="B7166" s="4" t="s">
        <v>50</v>
      </c>
      <c r="C7166" s="5">
        <v>45321</v>
      </c>
      <c r="D7166" s="4">
        <v>15.4</v>
      </c>
      <c r="E7166" s="4">
        <v>5</v>
      </c>
    </row>
    <row r="7167" spans="1:5" x14ac:dyDescent="0.25">
      <c r="A7167" s="4" t="s">
        <v>53</v>
      </c>
      <c r="B7167" s="4" t="s">
        <v>50</v>
      </c>
      <c r="C7167" s="5">
        <v>45321</v>
      </c>
      <c r="D7167" s="4">
        <v>13.8</v>
      </c>
      <c r="E7167" s="4">
        <v>4.47</v>
      </c>
    </row>
    <row r="7168" spans="1:5" x14ac:dyDescent="0.25">
      <c r="A7168" s="4" t="s">
        <v>53</v>
      </c>
      <c r="B7168" s="4" t="s">
        <v>50</v>
      </c>
      <c r="C7168" s="5">
        <v>45321</v>
      </c>
      <c r="D7168" s="4">
        <v>0.2</v>
      </c>
      <c r="E7168" s="4">
        <v>0.06</v>
      </c>
    </row>
    <row r="7169" spans="1:5" x14ac:dyDescent="0.25">
      <c r="A7169" s="4" t="s">
        <v>53</v>
      </c>
      <c r="B7169" s="4" t="s">
        <v>50</v>
      </c>
      <c r="C7169" s="5">
        <v>45321</v>
      </c>
      <c r="D7169" s="4">
        <v>1</v>
      </c>
      <c r="E7169" s="4">
        <v>0.31</v>
      </c>
    </row>
    <row r="7170" spans="1:5" x14ac:dyDescent="0.25">
      <c r="A7170" s="4" t="s">
        <v>53</v>
      </c>
      <c r="B7170" s="4" t="s">
        <v>50</v>
      </c>
      <c r="C7170" s="5">
        <v>45321</v>
      </c>
      <c r="D7170" s="4">
        <v>1.2</v>
      </c>
      <c r="E7170" s="4">
        <v>0.38</v>
      </c>
    </row>
    <row r="7171" spans="1:5" x14ac:dyDescent="0.25">
      <c r="A7171" s="4" t="s">
        <v>53</v>
      </c>
      <c r="B7171" s="4" t="s">
        <v>50</v>
      </c>
      <c r="C7171" s="5">
        <v>45321</v>
      </c>
      <c r="D7171" s="4">
        <v>0.5</v>
      </c>
      <c r="E7171" s="4">
        <v>0.16</v>
      </c>
    </row>
    <row r="7172" spans="1:5" x14ac:dyDescent="0.25">
      <c r="A7172" s="4" t="s">
        <v>53</v>
      </c>
      <c r="B7172" s="4" t="s">
        <v>50</v>
      </c>
      <c r="C7172" s="5">
        <v>45321</v>
      </c>
      <c r="D7172" s="4">
        <v>2.5</v>
      </c>
      <c r="E7172" s="4">
        <v>0.81</v>
      </c>
    </row>
    <row r="7173" spans="1:5" x14ac:dyDescent="0.25">
      <c r="A7173" s="4" t="s">
        <v>53</v>
      </c>
      <c r="B7173" s="4" t="s">
        <v>50</v>
      </c>
      <c r="C7173" s="5">
        <v>45321</v>
      </c>
      <c r="D7173" s="4">
        <v>2.4</v>
      </c>
      <c r="E7173" s="4">
        <v>0.75</v>
      </c>
    </row>
    <row r="7174" spans="1:5" x14ac:dyDescent="0.25">
      <c r="A7174" s="4" t="s">
        <v>53</v>
      </c>
      <c r="B7174" s="4" t="s">
        <v>50</v>
      </c>
      <c r="C7174" s="5">
        <v>45321</v>
      </c>
      <c r="D7174" s="4">
        <v>17.3</v>
      </c>
      <c r="E7174" s="4">
        <v>5.61</v>
      </c>
    </row>
    <row r="7175" spans="1:5" x14ac:dyDescent="0.25">
      <c r="A7175" s="4" t="s">
        <v>53</v>
      </c>
      <c r="B7175" s="4" t="s">
        <v>50</v>
      </c>
      <c r="C7175" s="5">
        <v>45321</v>
      </c>
      <c r="D7175" s="4">
        <v>24.2</v>
      </c>
      <c r="E7175" s="4">
        <v>7.85</v>
      </c>
    </row>
    <row r="7176" spans="1:5" x14ac:dyDescent="0.25">
      <c r="A7176" s="4" t="s">
        <v>53</v>
      </c>
      <c r="B7176" s="4" t="s">
        <v>50</v>
      </c>
      <c r="C7176" s="5">
        <v>45321</v>
      </c>
      <c r="D7176" s="4">
        <v>8.8000000000000007</v>
      </c>
      <c r="E7176" s="4">
        <v>2.85</v>
      </c>
    </row>
    <row r="7177" spans="1:5" x14ac:dyDescent="0.25">
      <c r="A7177" s="4" t="s">
        <v>53</v>
      </c>
      <c r="B7177" s="4" t="s">
        <v>50</v>
      </c>
      <c r="C7177" s="5">
        <v>45322</v>
      </c>
      <c r="D7177" s="4">
        <v>2.4</v>
      </c>
      <c r="E7177" s="4">
        <v>0.75</v>
      </c>
    </row>
    <row r="7178" spans="1:5" x14ac:dyDescent="0.25">
      <c r="A7178" s="4" t="s">
        <v>53</v>
      </c>
      <c r="B7178" s="4" t="s">
        <v>50</v>
      </c>
      <c r="C7178" s="5">
        <v>45322</v>
      </c>
      <c r="D7178" s="4">
        <v>0.8</v>
      </c>
      <c r="E7178" s="4">
        <v>0.26</v>
      </c>
    </row>
    <row r="7179" spans="1:5" x14ac:dyDescent="0.25">
      <c r="A7179" s="4" t="s">
        <v>53</v>
      </c>
      <c r="B7179" s="4" t="s">
        <v>50</v>
      </c>
      <c r="C7179" s="5">
        <v>45322</v>
      </c>
      <c r="D7179" s="4">
        <v>3.5</v>
      </c>
      <c r="E7179" s="4">
        <v>1.1000000000000001</v>
      </c>
    </row>
    <row r="7180" spans="1:5" x14ac:dyDescent="0.25">
      <c r="A7180" s="4" t="s">
        <v>53</v>
      </c>
      <c r="B7180" s="4" t="s">
        <v>50</v>
      </c>
      <c r="C7180" s="5">
        <v>45322</v>
      </c>
      <c r="D7180" s="4">
        <v>3.6</v>
      </c>
      <c r="E7180" s="4">
        <v>1.1399999999999999</v>
      </c>
    </row>
    <row r="7181" spans="1:5" x14ac:dyDescent="0.25">
      <c r="A7181" s="4" t="s">
        <v>53</v>
      </c>
      <c r="B7181" s="4" t="s">
        <v>50</v>
      </c>
      <c r="C7181" s="5">
        <v>45322</v>
      </c>
      <c r="D7181" s="4">
        <v>1.3</v>
      </c>
      <c r="E7181" s="4">
        <v>0.41</v>
      </c>
    </row>
    <row r="7182" spans="1:5" x14ac:dyDescent="0.25">
      <c r="A7182" s="4" t="s">
        <v>53</v>
      </c>
      <c r="B7182" s="4" t="s">
        <v>50</v>
      </c>
      <c r="C7182" s="5">
        <v>45322</v>
      </c>
      <c r="D7182" s="4">
        <v>1.6</v>
      </c>
      <c r="E7182" s="4">
        <v>0.5</v>
      </c>
    </row>
    <row r="7183" spans="1:5" x14ac:dyDescent="0.25">
      <c r="A7183" s="4" t="s">
        <v>53</v>
      </c>
      <c r="B7183" s="4" t="s">
        <v>50</v>
      </c>
      <c r="C7183" s="5">
        <v>45322</v>
      </c>
      <c r="D7183" s="4">
        <v>1.3</v>
      </c>
      <c r="E7183" s="4">
        <v>0.41</v>
      </c>
    </row>
    <row r="7184" spans="1:5" x14ac:dyDescent="0.25">
      <c r="A7184" s="4" t="s">
        <v>53</v>
      </c>
      <c r="B7184" s="4" t="s">
        <v>50</v>
      </c>
      <c r="C7184" s="5">
        <v>45322</v>
      </c>
      <c r="D7184" s="4">
        <v>1.6</v>
      </c>
      <c r="E7184" s="4">
        <v>0.5</v>
      </c>
    </row>
    <row r="7185" spans="1:5" x14ac:dyDescent="0.25">
      <c r="A7185" s="4" t="s">
        <v>53</v>
      </c>
      <c r="B7185" s="4" t="s">
        <v>50</v>
      </c>
      <c r="C7185" s="5">
        <v>45322</v>
      </c>
      <c r="D7185" s="4">
        <v>1.3</v>
      </c>
      <c r="E7185" s="4">
        <v>0.41</v>
      </c>
    </row>
    <row r="7186" spans="1:5" x14ac:dyDescent="0.25">
      <c r="A7186" s="4" t="s">
        <v>53</v>
      </c>
      <c r="B7186" s="4" t="s">
        <v>50</v>
      </c>
      <c r="C7186" s="5">
        <v>45322</v>
      </c>
      <c r="D7186" s="4">
        <v>1.6</v>
      </c>
      <c r="E7186" s="4">
        <v>0.5</v>
      </c>
    </row>
    <row r="7187" spans="1:5" x14ac:dyDescent="0.25">
      <c r="A7187" s="4" t="s">
        <v>53</v>
      </c>
      <c r="B7187" s="4" t="s">
        <v>50</v>
      </c>
      <c r="C7187" s="5">
        <v>45322</v>
      </c>
      <c r="D7187" s="4">
        <v>1.3</v>
      </c>
      <c r="E7187" s="4">
        <v>0.41</v>
      </c>
    </row>
    <row r="7188" spans="1:5" x14ac:dyDescent="0.25">
      <c r="A7188" s="4" t="s">
        <v>53</v>
      </c>
      <c r="B7188" s="4" t="s">
        <v>50</v>
      </c>
      <c r="C7188" s="5">
        <v>45322</v>
      </c>
      <c r="D7188" s="4">
        <v>1.6</v>
      </c>
      <c r="E7188" s="4">
        <v>0.5</v>
      </c>
    </row>
    <row r="7189" spans="1:5" x14ac:dyDescent="0.25">
      <c r="A7189" s="4" t="s">
        <v>53</v>
      </c>
      <c r="B7189" s="4" t="s">
        <v>50</v>
      </c>
      <c r="C7189" s="5">
        <v>45322</v>
      </c>
      <c r="D7189" s="4">
        <v>1.3</v>
      </c>
      <c r="E7189" s="4">
        <v>0.41</v>
      </c>
    </row>
    <row r="7190" spans="1:5" x14ac:dyDescent="0.25">
      <c r="A7190" s="4" t="s">
        <v>53</v>
      </c>
      <c r="B7190" s="4" t="s">
        <v>50</v>
      </c>
      <c r="C7190" s="5">
        <v>45322</v>
      </c>
      <c r="D7190" s="4">
        <v>1.6</v>
      </c>
      <c r="E7190" s="4">
        <v>0.5</v>
      </c>
    </row>
    <row r="7191" spans="1:5" x14ac:dyDescent="0.25">
      <c r="A7191" s="4" t="s">
        <v>53</v>
      </c>
      <c r="B7191" s="4" t="s">
        <v>50</v>
      </c>
      <c r="C7191" s="5">
        <v>45322</v>
      </c>
      <c r="D7191" s="4">
        <v>1.3</v>
      </c>
      <c r="E7191" s="4">
        <v>0.41</v>
      </c>
    </row>
    <row r="7192" spans="1:5" x14ac:dyDescent="0.25">
      <c r="A7192" s="4" t="s">
        <v>53</v>
      </c>
      <c r="B7192" s="4" t="s">
        <v>50</v>
      </c>
      <c r="C7192" s="5">
        <v>45322</v>
      </c>
      <c r="D7192" s="4">
        <v>1.6</v>
      </c>
      <c r="E7192" s="4">
        <v>0.5</v>
      </c>
    </row>
    <row r="7193" spans="1:5" x14ac:dyDescent="0.25">
      <c r="A7193" s="4" t="s">
        <v>53</v>
      </c>
      <c r="B7193" s="4" t="s">
        <v>50</v>
      </c>
      <c r="C7193" s="5">
        <v>45322</v>
      </c>
      <c r="D7193" s="4">
        <v>1.3</v>
      </c>
      <c r="E7193" s="4">
        <v>0.41</v>
      </c>
    </row>
    <row r="7194" spans="1:5" x14ac:dyDescent="0.25">
      <c r="A7194" s="4" t="s">
        <v>53</v>
      </c>
      <c r="B7194" s="4" t="s">
        <v>50</v>
      </c>
      <c r="C7194" s="5">
        <v>45322</v>
      </c>
      <c r="D7194" s="4">
        <v>1.6</v>
      </c>
      <c r="E7194" s="4">
        <v>0.5</v>
      </c>
    </row>
    <row r="7195" spans="1:5" x14ac:dyDescent="0.25">
      <c r="A7195" s="4" t="s">
        <v>53</v>
      </c>
      <c r="B7195" s="4" t="s">
        <v>50</v>
      </c>
      <c r="C7195" s="5">
        <v>45322</v>
      </c>
      <c r="D7195" s="4">
        <v>1.3</v>
      </c>
      <c r="E7195" s="4">
        <v>0.41</v>
      </c>
    </row>
    <row r="7196" spans="1:5" x14ac:dyDescent="0.25">
      <c r="A7196" s="4" t="s">
        <v>53</v>
      </c>
      <c r="B7196" s="4" t="s">
        <v>50</v>
      </c>
      <c r="C7196" s="5">
        <v>45322</v>
      </c>
      <c r="D7196" s="4">
        <v>1.6</v>
      </c>
      <c r="E7196" s="4">
        <v>0.5</v>
      </c>
    </row>
    <row r="7197" spans="1:5" x14ac:dyDescent="0.25">
      <c r="A7197" s="4" t="s">
        <v>53</v>
      </c>
      <c r="B7197" s="4" t="s">
        <v>50</v>
      </c>
      <c r="C7197" s="5">
        <v>45322</v>
      </c>
      <c r="D7197" s="4">
        <v>1.3</v>
      </c>
      <c r="E7197" s="4">
        <v>0.41</v>
      </c>
    </row>
    <row r="7198" spans="1:5" x14ac:dyDescent="0.25">
      <c r="A7198" s="4" t="s">
        <v>53</v>
      </c>
      <c r="B7198" s="4" t="s">
        <v>50</v>
      </c>
      <c r="C7198" s="5">
        <v>45322</v>
      </c>
      <c r="D7198" s="4">
        <v>1.6</v>
      </c>
      <c r="E7198" s="4">
        <v>0.5</v>
      </c>
    </row>
    <row r="7199" spans="1:5" x14ac:dyDescent="0.25">
      <c r="A7199" s="4" t="s">
        <v>53</v>
      </c>
      <c r="B7199" s="4" t="s">
        <v>50</v>
      </c>
      <c r="C7199" s="5">
        <v>45322</v>
      </c>
      <c r="D7199" s="4">
        <v>1.3</v>
      </c>
      <c r="E7199" s="4">
        <v>0.41</v>
      </c>
    </row>
    <row r="7200" spans="1:5" x14ac:dyDescent="0.25">
      <c r="A7200" s="4" t="s">
        <v>53</v>
      </c>
      <c r="B7200" s="4" t="s">
        <v>50</v>
      </c>
      <c r="C7200" s="5">
        <v>45322</v>
      </c>
      <c r="D7200" s="4">
        <v>1.6</v>
      </c>
      <c r="E7200" s="4">
        <v>0.5</v>
      </c>
    </row>
    <row r="7201" spans="1:5" x14ac:dyDescent="0.25">
      <c r="A7201" s="4" t="s">
        <v>53</v>
      </c>
      <c r="B7201" s="4" t="s">
        <v>50</v>
      </c>
      <c r="C7201" s="5">
        <v>45322</v>
      </c>
      <c r="D7201" s="4">
        <v>1.3</v>
      </c>
      <c r="E7201" s="4">
        <v>0.41</v>
      </c>
    </row>
    <row r="7202" spans="1:5" x14ac:dyDescent="0.25">
      <c r="A7202" s="4" t="s">
        <v>53</v>
      </c>
      <c r="B7202" s="4" t="s">
        <v>50</v>
      </c>
      <c r="C7202" s="5">
        <v>45322</v>
      </c>
      <c r="D7202" s="4">
        <v>1.6</v>
      </c>
      <c r="E7202" s="4">
        <v>0.5</v>
      </c>
    </row>
    <row r="7203" spans="1:5" x14ac:dyDescent="0.25">
      <c r="A7203" s="4" t="s">
        <v>53</v>
      </c>
      <c r="B7203" s="4" t="s">
        <v>50</v>
      </c>
      <c r="C7203" s="5">
        <v>45322</v>
      </c>
      <c r="D7203" s="4">
        <v>1.3</v>
      </c>
      <c r="E7203" s="4">
        <v>0.41</v>
      </c>
    </row>
    <row r="7204" spans="1:5" x14ac:dyDescent="0.25">
      <c r="A7204" s="4" t="s">
        <v>53</v>
      </c>
      <c r="B7204" s="4" t="s">
        <v>50</v>
      </c>
      <c r="C7204" s="5">
        <v>45322</v>
      </c>
      <c r="D7204" s="4">
        <v>1.6</v>
      </c>
      <c r="E7204" s="4">
        <v>0.5</v>
      </c>
    </row>
    <row r="7205" spans="1:5" x14ac:dyDescent="0.25">
      <c r="A7205" s="4" t="s">
        <v>53</v>
      </c>
      <c r="B7205" s="4" t="s">
        <v>50</v>
      </c>
      <c r="C7205" s="5">
        <v>45322</v>
      </c>
      <c r="D7205" s="4">
        <v>1.3</v>
      </c>
      <c r="E7205" s="4">
        <v>0.41</v>
      </c>
    </row>
    <row r="7206" spans="1:5" x14ac:dyDescent="0.25">
      <c r="A7206" s="4" t="s">
        <v>53</v>
      </c>
      <c r="B7206" s="4" t="s">
        <v>50</v>
      </c>
      <c r="C7206" s="5">
        <v>45322</v>
      </c>
      <c r="D7206" s="4">
        <v>0.8</v>
      </c>
      <c r="E7206" s="4">
        <v>0.24</v>
      </c>
    </row>
    <row r="7207" spans="1:5" x14ac:dyDescent="0.25">
      <c r="A7207" s="4" t="s">
        <v>53</v>
      </c>
      <c r="B7207" s="4" t="s">
        <v>50</v>
      </c>
      <c r="C7207" s="5">
        <v>45322</v>
      </c>
      <c r="D7207" s="4">
        <v>1.2</v>
      </c>
      <c r="E7207" s="4">
        <v>0.38</v>
      </c>
    </row>
    <row r="7208" spans="1:5" x14ac:dyDescent="0.25">
      <c r="A7208" s="4" t="s">
        <v>53</v>
      </c>
      <c r="B7208" s="4" t="s">
        <v>50</v>
      </c>
      <c r="C7208" s="5">
        <v>45323</v>
      </c>
      <c r="D7208" s="4">
        <v>41.3</v>
      </c>
      <c r="E7208" s="4">
        <v>13.4</v>
      </c>
    </row>
    <row r="7209" spans="1:5" x14ac:dyDescent="0.25">
      <c r="A7209" s="4" t="s">
        <v>53</v>
      </c>
      <c r="B7209" s="4" t="s">
        <v>50</v>
      </c>
      <c r="C7209" s="5">
        <v>45323</v>
      </c>
      <c r="D7209" s="4">
        <v>51.8</v>
      </c>
      <c r="E7209" s="4">
        <v>16.8</v>
      </c>
    </row>
    <row r="7210" spans="1:5" x14ac:dyDescent="0.25">
      <c r="A7210" s="4" t="s">
        <v>53</v>
      </c>
      <c r="B7210" s="4" t="s">
        <v>50</v>
      </c>
      <c r="C7210" s="5">
        <v>45323</v>
      </c>
      <c r="D7210" s="4">
        <v>41.3</v>
      </c>
      <c r="E7210" s="4">
        <v>13.4</v>
      </c>
    </row>
    <row r="7211" spans="1:5" x14ac:dyDescent="0.25">
      <c r="A7211" s="4" t="s">
        <v>53</v>
      </c>
      <c r="B7211" s="4" t="s">
        <v>50</v>
      </c>
      <c r="C7211" s="5">
        <v>45327</v>
      </c>
      <c r="D7211" s="4">
        <v>10</v>
      </c>
      <c r="E7211" s="4">
        <v>3.22</v>
      </c>
    </row>
    <row r="7212" spans="1:5" x14ac:dyDescent="0.25">
      <c r="A7212" s="4" t="s">
        <v>53</v>
      </c>
      <c r="B7212" s="4" t="s">
        <v>50</v>
      </c>
      <c r="C7212" s="5">
        <v>45327</v>
      </c>
      <c r="D7212" s="4">
        <v>2.2999999999999998</v>
      </c>
      <c r="E7212" s="4">
        <v>0.73</v>
      </c>
    </row>
    <row r="7213" spans="1:5" x14ac:dyDescent="0.25">
      <c r="A7213" s="4" t="s">
        <v>53</v>
      </c>
      <c r="B7213" s="4" t="s">
        <v>50</v>
      </c>
      <c r="C7213" s="5">
        <v>45327</v>
      </c>
      <c r="D7213" s="4">
        <v>1.4</v>
      </c>
      <c r="E7213" s="4">
        <v>0.44</v>
      </c>
    </row>
    <row r="7214" spans="1:5" x14ac:dyDescent="0.25">
      <c r="A7214" s="4" t="s">
        <v>53</v>
      </c>
      <c r="B7214" s="4" t="s">
        <v>50</v>
      </c>
      <c r="C7214" s="5">
        <v>45327</v>
      </c>
      <c r="D7214" s="4">
        <v>2.2999999999999998</v>
      </c>
      <c r="E7214" s="4">
        <v>0.73</v>
      </c>
    </row>
    <row r="7215" spans="1:5" x14ac:dyDescent="0.25">
      <c r="A7215" s="4" t="s">
        <v>53</v>
      </c>
      <c r="B7215" s="4" t="s">
        <v>50</v>
      </c>
      <c r="C7215" s="5">
        <v>45327</v>
      </c>
      <c r="D7215" s="4">
        <v>1.4</v>
      </c>
      <c r="E7215" s="4">
        <v>0.44</v>
      </c>
    </row>
    <row r="7216" spans="1:5" x14ac:dyDescent="0.25">
      <c r="A7216" s="4" t="s">
        <v>53</v>
      </c>
      <c r="B7216" s="4" t="s">
        <v>50</v>
      </c>
      <c r="C7216" s="5">
        <v>45327</v>
      </c>
      <c r="D7216" s="4">
        <v>2.2999999999999998</v>
      </c>
      <c r="E7216" s="4">
        <v>0.73</v>
      </c>
    </row>
    <row r="7217" spans="1:5" x14ac:dyDescent="0.25">
      <c r="A7217" s="4" t="s">
        <v>53</v>
      </c>
      <c r="B7217" s="4" t="s">
        <v>50</v>
      </c>
      <c r="C7217" s="5">
        <v>45327</v>
      </c>
      <c r="D7217" s="4">
        <v>1.4</v>
      </c>
      <c r="E7217" s="4">
        <v>0.44</v>
      </c>
    </row>
    <row r="7218" spans="1:5" x14ac:dyDescent="0.25">
      <c r="A7218" s="4" t="s">
        <v>53</v>
      </c>
      <c r="B7218" s="4" t="s">
        <v>50</v>
      </c>
      <c r="C7218" s="5">
        <v>45327</v>
      </c>
      <c r="D7218" s="4">
        <v>19.2</v>
      </c>
      <c r="E7218" s="4">
        <v>6.21</v>
      </c>
    </row>
    <row r="7219" spans="1:5" x14ac:dyDescent="0.25">
      <c r="A7219" s="4" t="s">
        <v>53</v>
      </c>
      <c r="B7219" s="4" t="s">
        <v>50</v>
      </c>
      <c r="C7219" s="5">
        <v>45327</v>
      </c>
      <c r="D7219" s="4">
        <v>18.3</v>
      </c>
      <c r="E7219" s="4">
        <v>5.92</v>
      </c>
    </row>
    <row r="7220" spans="1:5" x14ac:dyDescent="0.25">
      <c r="A7220" s="4" t="s">
        <v>53</v>
      </c>
      <c r="B7220" s="4" t="s">
        <v>50</v>
      </c>
      <c r="C7220" s="5">
        <v>45327</v>
      </c>
      <c r="D7220" s="4">
        <v>19.2</v>
      </c>
      <c r="E7220" s="4">
        <v>6.21</v>
      </c>
    </row>
    <row r="7221" spans="1:5" x14ac:dyDescent="0.25">
      <c r="A7221" s="4" t="s">
        <v>53</v>
      </c>
      <c r="B7221" s="4" t="s">
        <v>50</v>
      </c>
      <c r="C7221" s="5">
        <v>45327</v>
      </c>
      <c r="D7221" s="4">
        <v>18.3</v>
      </c>
      <c r="E7221" s="4">
        <v>5.92</v>
      </c>
    </row>
    <row r="7222" spans="1:5" x14ac:dyDescent="0.25">
      <c r="A7222" s="4" t="s">
        <v>53</v>
      </c>
      <c r="B7222" s="4" t="s">
        <v>50</v>
      </c>
      <c r="C7222" s="5">
        <v>45327</v>
      </c>
      <c r="D7222" s="4">
        <v>2.2999999999999998</v>
      </c>
      <c r="E7222" s="4">
        <v>0.73</v>
      </c>
    </row>
    <row r="7223" spans="1:5" x14ac:dyDescent="0.25">
      <c r="A7223" s="4" t="s">
        <v>53</v>
      </c>
      <c r="B7223" s="4" t="s">
        <v>50</v>
      </c>
      <c r="C7223" s="5">
        <v>45327</v>
      </c>
      <c r="D7223" s="4">
        <v>1.4</v>
      </c>
      <c r="E7223" s="4">
        <v>0.44</v>
      </c>
    </row>
    <row r="7224" spans="1:5" x14ac:dyDescent="0.25">
      <c r="A7224" s="4" t="s">
        <v>53</v>
      </c>
      <c r="B7224" s="4" t="s">
        <v>50</v>
      </c>
      <c r="C7224" s="5">
        <v>45327</v>
      </c>
      <c r="D7224" s="4">
        <v>21</v>
      </c>
      <c r="E7224" s="4">
        <v>6.79</v>
      </c>
    </row>
    <row r="7225" spans="1:5" x14ac:dyDescent="0.25">
      <c r="A7225" s="4" t="s">
        <v>53</v>
      </c>
      <c r="B7225" s="4" t="s">
        <v>50</v>
      </c>
      <c r="C7225" s="5">
        <v>45328</v>
      </c>
      <c r="D7225" s="4">
        <v>26.2</v>
      </c>
      <c r="E7225" s="4">
        <v>8.49</v>
      </c>
    </row>
    <row r="7226" spans="1:5" x14ac:dyDescent="0.25">
      <c r="A7226" s="4" t="s">
        <v>53</v>
      </c>
      <c r="B7226" s="4" t="s">
        <v>50</v>
      </c>
      <c r="C7226" s="5">
        <v>45328</v>
      </c>
      <c r="D7226" s="4">
        <v>44.4</v>
      </c>
      <c r="E7226" s="4">
        <v>14.38</v>
      </c>
    </row>
    <row r="7227" spans="1:5" x14ac:dyDescent="0.25">
      <c r="A7227" s="4" t="s">
        <v>53</v>
      </c>
      <c r="B7227" s="4" t="s">
        <v>50</v>
      </c>
      <c r="C7227" s="5">
        <v>45329</v>
      </c>
      <c r="D7227" s="4">
        <v>26.2</v>
      </c>
      <c r="E7227" s="4">
        <v>8.49</v>
      </c>
    </row>
    <row r="7228" spans="1:5" x14ac:dyDescent="0.25">
      <c r="A7228" s="4" t="s">
        <v>53</v>
      </c>
      <c r="B7228" s="4" t="s">
        <v>50</v>
      </c>
      <c r="C7228" s="5">
        <v>45329</v>
      </c>
      <c r="D7228" s="4">
        <v>44.4</v>
      </c>
      <c r="E7228" s="4">
        <v>14.38</v>
      </c>
    </row>
    <row r="7229" spans="1:5" x14ac:dyDescent="0.25">
      <c r="A7229" s="4" t="s">
        <v>53</v>
      </c>
      <c r="B7229" s="4" t="s">
        <v>50</v>
      </c>
      <c r="C7229" s="5">
        <v>45330</v>
      </c>
      <c r="D7229" s="4">
        <v>26.2</v>
      </c>
      <c r="E7229" s="4">
        <v>8.49</v>
      </c>
    </row>
    <row r="7230" spans="1:5" x14ac:dyDescent="0.25">
      <c r="A7230" s="4" t="s">
        <v>53</v>
      </c>
      <c r="B7230" s="4" t="s">
        <v>50</v>
      </c>
      <c r="C7230" s="5">
        <v>45330</v>
      </c>
      <c r="D7230" s="4">
        <v>44.4</v>
      </c>
      <c r="E7230" s="4">
        <v>14.38</v>
      </c>
    </row>
    <row r="7231" spans="1:5" x14ac:dyDescent="0.25">
      <c r="A7231" s="4" t="s">
        <v>53</v>
      </c>
      <c r="B7231" s="4" t="s">
        <v>50</v>
      </c>
      <c r="C7231" s="5">
        <v>45331</v>
      </c>
      <c r="D7231" s="4">
        <v>41.3</v>
      </c>
      <c r="E7231" s="4">
        <v>13.4</v>
      </c>
    </row>
    <row r="7232" spans="1:5" x14ac:dyDescent="0.25">
      <c r="A7232" s="4" t="s">
        <v>53</v>
      </c>
      <c r="B7232" s="4" t="s">
        <v>50</v>
      </c>
      <c r="C7232" s="5">
        <v>45331</v>
      </c>
      <c r="D7232" s="4">
        <v>17.3</v>
      </c>
      <c r="E7232" s="4">
        <v>5.57</v>
      </c>
    </row>
    <row r="7233" spans="1:5" x14ac:dyDescent="0.25">
      <c r="A7233" s="4" t="s">
        <v>53</v>
      </c>
      <c r="B7233" s="4" t="s">
        <v>50</v>
      </c>
      <c r="C7233" s="5">
        <v>45331</v>
      </c>
      <c r="D7233" s="4">
        <v>17.3</v>
      </c>
      <c r="E7233" s="4">
        <v>5.57</v>
      </c>
    </row>
    <row r="7234" spans="1:5" x14ac:dyDescent="0.25">
      <c r="A7234" s="4" t="s">
        <v>53</v>
      </c>
      <c r="B7234" s="4" t="s">
        <v>50</v>
      </c>
      <c r="C7234" s="5">
        <v>45331</v>
      </c>
      <c r="D7234" s="4">
        <v>67.5</v>
      </c>
      <c r="E7234" s="4">
        <v>21.89</v>
      </c>
    </row>
    <row r="7235" spans="1:5" x14ac:dyDescent="0.25">
      <c r="A7235" s="4" t="s">
        <v>53</v>
      </c>
      <c r="B7235" s="4" t="s">
        <v>50</v>
      </c>
      <c r="C7235" s="5">
        <v>45331</v>
      </c>
      <c r="D7235" s="4">
        <v>85.7</v>
      </c>
      <c r="E7235" s="4">
        <v>27.78</v>
      </c>
    </row>
    <row r="7236" spans="1:5" x14ac:dyDescent="0.25">
      <c r="A7236" s="4" t="s">
        <v>53</v>
      </c>
      <c r="B7236" s="4" t="s">
        <v>50</v>
      </c>
      <c r="C7236" s="5">
        <v>45331</v>
      </c>
      <c r="D7236" s="4">
        <v>17.3</v>
      </c>
      <c r="E7236" s="4">
        <v>5.57</v>
      </c>
    </row>
    <row r="7237" spans="1:5" x14ac:dyDescent="0.25">
      <c r="A7237" s="4" t="s">
        <v>53</v>
      </c>
      <c r="B7237" s="4" t="s">
        <v>50</v>
      </c>
      <c r="C7237" s="5">
        <v>45331</v>
      </c>
      <c r="D7237" s="4">
        <v>17.3</v>
      </c>
      <c r="E7237" s="4">
        <v>5.57</v>
      </c>
    </row>
    <row r="7238" spans="1:5" x14ac:dyDescent="0.25">
      <c r="A7238" s="4" t="s">
        <v>53</v>
      </c>
      <c r="B7238" s="4" t="s">
        <v>50</v>
      </c>
      <c r="C7238" s="5">
        <v>45331</v>
      </c>
      <c r="D7238" s="4">
        <v>67.5</v>
      </c>
      <c r="E7238" s="4">
        <v>21.89</v>
      </c>
    </row>
    <row r="7239" spans="1:5" x14ac:dyDescent="0.25">
      <c r="A7239" s="4" t="s">
        <v>53</v>
      </c>
      <c r="B7239" s="4" t="s">
        <v>50</v>
      </c>
      <c r="C7239" s="5">
        <v>45331</v>
      </c>
      <c r="D7239" s="4">
        <v>44.4</v>
      </c>
      <c r="E7239" s="4">
        <v>14.38</v>
      </c>
    </row>
    <row r="7240" spans="1:5" x14ac:dyDescent="0.25">
      <c r="A7240" s="4" t="s">
        <v>53</v>
      </c>
      <c r="B7240" s="4" t="s">
        <v>50</v>
      </c>
      <c r="C7240" s="5">
        <v>45334</v>
      </c>
      <c r="D7240" s="4">
        <v>26.2</v>
      </c>
      <c r="E7240" s="4">
        <v>8.49</v>
      </c>
    </row>
    <row r="7241" spans="1:5" x14ac:dyDescent="0.25">
      <c r="A7241" s="4" t="s">
        <v>53</v>
      </c>
      <c r="B7241" s="4" t="s">
        <v>50</v>
      </c>
      <c r="C7241" s="5">
        <v>45334</v>
      </c>
      <c r="D7241" s="4">
        <v>44.4</v>
      </c>
      <c r="E7241" s="4">
        <v>14.38</v>
      </c>
    </row>
    <row r="7242" spans="1:5" x14ac:dyDescent="0.25">
      <c r="A7242" s="4" t="s">
        <v>53</v>
      </c>
      <c r="B7242" s="4" t="s">
        <v>50</v>
      </c>
      <c r="C7242" s="5">
        <v>45335</v>
      </c>
      <c r="D7242" s="4">
        <v>26.2</v>
      </c>
      <c r="E7242" s="4">
        <v>8.49</v>
      </c>
    </row>
    <row r="7243" spans="1:5" x14ac:dyDescent="0.25">
      <c r="A7243" s="4" t="s">
        <v>53</v>
      </c>
      <c r="B7243" s="4" t="s">
        <v>50</v>
      </c>
      <c r="C7243" s="5">
        <v>45337</v>
      </c>
      <c r="D7243" s="4">
        <v>59.8</v>
      </c>
      <c r="E7243" s="4">
        <v>19.38</v>
      </c>
    </row>
    <row r="7244" spans="1:5" x14ac:dyDescent="0.25">
      <c r="A7244" s="4" t="s">
        <v>53</v>
      </c>
      <c r="B7244" s="4" t="s">
        <v>50</v>
      </c>
      <c r="C7244" s="5">
        <v>45337</v>
      </c>
      <c r="D7244" s="4">
        <v>41.6</v>
      </c>
      <c r="E7244" s="4">
        <v>13.49</v>
      </c>
    </row>
    <row r="7245" spans="1:5" x14ac:dyDescent="0.25">
      <c r="A7245" s="4" t="s">
        <v>53</v>
      </c>
      <c r="B7245" s="4" t="s">
        <v>50</v>
      </c>
      <c r="C7245" s="5">
        <v>45337</v>
      </c>
      <c r="D7245" s="4">
        <v>44.4</v>
      </c>
      <c r="E7245" s="4">
        <v>14.38</v>
      </c>
    </row>
    <row r="7246" spans="1:5" x14ac:dyDescent="0.25">
      <c r="A7246" s="4" t="s">
        <v>53</v>
      </c>
      <c r="B7246" s="4" t="s">
        <v>52</v>
      </c>
      <c r="C7246" s="5">
        <v>45307</v>
      </c>
      <c r="D7246" s="4">
        <v>13.8</v>
      </c>
      <c r="E7246" s="4">
        <v>4.47</v>
      </c>
    </row>
    <row r="7247" spans="1:5" x14ac:dyDescent="0.25">
      <c r="A7247" s="4" t="s">
        <v>53</v>
      </c>
      <c r="B7247" s="4" t="s">
        <v>52</v>
      </c>
      <c r="C7247" s="5">
        <v>45307</v>
      </c>
      <c r="D7247" s="4">
        <v>11.7</v>
      </c>
      <c r="E7247" s="4">
        <v>3.79</v>
      </c>
    </row>
    <row r="7248" spans="1:5" x14ac:dyDescent="0.25">
      <c r="A7248" s="4" t="s">
        <v>53</v>
      </c>
      <c r="B7248" s="4" t="s">
        <v>52</v>
      </c>
      <c r="C7248" s="5">
        <v>45307</v>
      </c>
      <c r="D7248" s="4">
        <v>2.2999999999999998</v>
      </c>
      <c r="E7248" s="4">
        <v>0.74</v>
      </c>
    </row>
    <row r="7249" spans="1:5" x14ac:dyDescent="0.25">
      <c r="A7249" s="4" t="s">
        <v>53</v>
      </c>
      <c r="B7249" s="4" t="s">
        <v>52</v>
      </c>
      <c r="C7249" s="5">
        <v>45307</v>
      </c>
      <c r="D7249" s="4">
        <v>2.2999999999999998</v>
      </c>
      <c r="E7249" s="4">
        <v>0.74</v>
      </c>
    </row>
    <row r="7250" spans="1:5" x14ac:dyDescent="0.25">
      <c r="A7250" s="4" t="s">
        <v>53</v>
      </c>
      <c r="B7250" s="4" t="s">
        <v>52</v>
      </c>
      <c r="C7250" s="5">
        <v>45307</v>
      </c>
      <c r="D7250" s="4">
        <v>10.9</v>
      </c>
      <c r="E7250" s="4">
        <v>3.53</v>
      </c>
    </row>
    <row r="7251" spans="1:5" x14ac:dyDescent="0.25">
      <c r="A7251" s="4" t="s">
        <v>53</v>
      </c>
      <c r="B7251" s="4" t="s">
        <v>52</v>
      </c>
      <c r="C7251" s="5">
        <v>45307</v>
      </c>
      <c r="D7251" s="4">
        <v>11.7</v>
      </c>
      <c r="E7251" s="4">
        <v>3.79</v>
      </c>
    </row>
    <row r="7252" spans="1:5" x14ac:dyDescent="0.25">
      <c r="A7252" s="4" t="s">
        <v>53</v>
      </c>
      <c r="B7252" s="4" t="s">
        <v>52</v>
      </c>
      <c r="C7252" s="5">
        <v>45307</v>
      </c>
      <c r="D7252" s="4">
        <v>2.2999999999999998</v>
      </c>
      <c r="E7252" s="4">
        <v>0.74</v>
      </c>
    </row>
    <row r="7253" spans="1:5" x14ac:dyDescent="0.25">
      <c r="A7253" s="4" t="s">
        <v>53</v>
      </c>
      <c r="B7253" s="4" t="s">
        <v>52</v>
      </c>
      <c r="C7253" s="5">
        <v>45307</v>
      </c>
      <c r="D7253" s="4">
        <v>2.2999999999999998</v>
      </c>
      <c r="E7253" s="4">
        <v>0.74</v>
      </c>
    </row>
    <row r="7254" spans="1:5" x14ac:dyDescent="0.25">
      <c r="A7254" s="4" t="s">
        <v>53</v>
      </c>
      <c r="B7254" s="4" t="s">
        <v>52</v>
      </c>
      <c r="C7254" s="5">
        <v>45307</v>
      </c>
      <c r="D7254" s="4">
        <v>10.9</v>
      </c>
      <c r="E7254" s="4">
        <v>3.53</v>
      </c>
    </row>
    <row r="7255" spans="1:5" x14ac:dyDescent="0.25">
      <c r="A7255" s="4" t="s">
        <v>53</v>
      </c>
      <c r="B7255" s="4" t="s">
        <v>52</v>
      </c>
      <c r="C7255" s="5">
        <v>45307</v>
      </c>
      <c r="D7255" s="4">
        <v>11.7</v>
      </c>
      <c r="E7255" s="4">
        <v>3.79</v>
      </c>
    </row>
    <row r="7256" spans="1:5" x14ac:dyDescent="0.25">
      <c r="A7256" s="4" t="s">
        <v>53</v>
      </c>
      <c r="B7256" s="4" t="s">
        <v>52</v>
      </c>
      <c r="C7256" s="5">
        <v>45307</v>
      </c>
      <c r="D7256" s="4">
        <v>2.2999999999999998</v>
      </c>
      <c r="E7256" s="4">
        <v>0.74</v>
      </c>
    </row>
    <row r="7257" spans="1:5" x14ac:dyDescent="0.25">
      <c r="A7257" s="4" t="s">
        <v>53</v>
      </c>
      <c r="B7257" s="4" t="s">
        <v>52</v>
      </c>
      <c r="C7257" s="5">
        <v>45307</v>
      </c>
      <c r="D7257" s="4">
        <v>2.2999999999999998</v>
      </c>
      <c r="E7257" s="4">
        <v>0.74</v>
      </c>
    </row>
    <row r="7258" spans="1:5" x14ac:dyDescent="0.25">
      <c r="A7258" s="4" t="s">
        <v>53</v>
      </c>
      <c r="B7258" s="4" t="s">
        <v>52</v>
      </c>
      <c r="C7258" s="5">
        <v>45307</v>
      </c>
      <c r="D7258" s="4">
        <v>10.9</v>
      </c>
      <c r="E7258" s="4">
        <v>3.53</v>
      </c>
    </row>
    <row r="7259" spans="1:5" x14ac:dyDescent="0.25">
      <c r="A7259" s="4" t="s">
        <v>53</v>
      </c>
      <c r="B7259" s="4" t="s">
        <v>52</v>
      </c>
      <c r="C7259" s="5">
        <v>45307</v>
      </c>
      <c r="D7259" s="4">
        <v>11.7</v>
      </c>
      <c r="E7259" s="4">
        <v>3.79</v>
      </c>
    </row>
    <row r="7260" spans="1:5" x14ac:dyDescent="0.25">
      <c r="A7260" s="4" t="s">
        <v>53</v>
      </c>
      <c r="B7260" s="4" t="s">
        <v>52</v>
      </c>
      <c r="C7260" s="5">
        <v>45307</v>
      </c>
      <c r="D7260" s="4">
        <v>2.2999999999999998</v>
      </c>
      <c r="E7260" s="4">
        <v>0.74</v>
      </c>
    </row>
    <row r="7261" spans="1:5" x14ac:dyDescent="0.25">
      <c r="A7261" s="4" t="s">
        <v>53</v>
      </c>
      <c r="B7261" s="4" t="s">
        <v>52</v>
      </c>
      <c r="C7261" s="5">
        <v>45307</v>
      </c>
      <c r="D7261" s="4">
        <v>2.2999999999999998</v>
      </c>
      <c r="E7261" s="4">
        <v>0.74</v>
      </c>
    </row>
    <row r="7262" spans="1:5" x14ac:dyDescent="0.25">
      <c r="A7262" s="4" t="s">
        <v>53</v>
      </c>
      <c r="B7262" s="4" t="s">
        <v>52</v>
      </c>
      <c r="C7262" s="5">
        <v>45307</v>
      </c>
      <c r="D7262" s="4">
        <v>8.6999999999999993</v>
      </c>
      <c r="E7262" s="4">
        <v>2.82</v>
      </c>
    </row>
    <row r="7263" spans="1:5" x14ac:dyDescent="0.25">
      <c r="A7263" s="4" t="s">
        <v>53</v>
      </c>
      <c r="B7263" s="4" t="s">
        <v>52</v>
      </c>
      <c r="C7263" s="5">
        <v>45308</v>
      </c>
      <c r="D7263" s="4">
        <v>19.100000000000001</v>
      </c>
      <c r="E7263" s="4">
        <v>6.2</v>
      </c>
    </row>
    <row r="7264" spans="1:5" x14ac:dyDescent="0.25">
      <c r="A7264" s="4" t="s">
        <v>53</v>
      </c>
      <c r="B7264" s="4" t="s">
        <v>52</v>
      </c>
      <c r="C7264" s="5">
        <v>45313</v>
      </c>
      <c r="D7264" s="4">
        <v>13.8</v>
      </c>
      <c r="E7264" s="4">
        <v>4.47</v>
      </c>
    </row>
    <row r="7265" spans="1:5" x14ac:dyDescent="0.25">
      <c r="A7265" s="4" t="s">
        <v>53</v>
      </c>
      <c r="B7265" s="4" t="s">
        <v>52</v>
      </c>
      <c r="C7265" s="5">
        <v>45313</v>
      </c>
      <c r="D7265" s="4">
        <v>0.7</v>
      </c>
      <c r="E7265" s="4">
        <v>0.23</v>
      </c>
    </row>
    <row r="7266" spans="1:5" x14ac:dyDescent="0.25">
      <c r="A7266" s="4" t="s">
        <v>53</v>
      </c>
      <c r="B7266" s="4" t="s">
        <v>52</v>
      </c>
      <c r="C7266" s="5">
        <v>45313</v>
      </c>
      <c r="D7266" s="4">
        <v>1.3</v>
      </c>
      <c r="E7266" s="4">
        <v>0.41</v>
      </c>
    </row>
    <row r="7267" spans="1:5" x14ac:dyDescent="0.25">
      <c r="A7267" s="4" t="s">
        <v>53</v>
      </c>
      <c r="B7267" s="4" t="s">
        <v>52</v>
      </c>
      <c r="C7267" s="5">
        <v>45313</v>
      </c>
      <c r="D7267" s="4">
        <v>1.6</v>
      </c>
      <c r="E7267" s="4">
        <v>0.5</v>
      </c>
    </row>
    <row r="7268" spans="1:5" x14ac:dyDescent="0.25">
      <c r="A7268" s="4" t="s">
        <v>53</v>
      </c>
      <c r="B7268" s="4" t="s">
        <v>52</v>
      </c>
      <c r="C7268" s="5">
        <v>45313</v>
      </c>
      <c r="D7268" s="4">
        <v>1.3</v>
      </c>
      <c r="E7268" s="4">
        <v>0.41</v>
      </c>
    </row>
    <row r="7269" spans="1:5" x14ac:dyDescent="0.25">
      <c r="A7269" s="4" t="s">
        <v>53</v>
      </c>
      <c r="B7269" s="4" t="s">
        <v>52</v>
      </c>
      <c r="C7269" s="5">
        <v>45313</v>
      </c>
      <c r="D7269" s="4">
        <v>1.6</v>
      </c>
      <c r="E7269" s="4">
        <v>0.5</v>
      </c>
    </row>
    <row r="7270" spans="1:5" x14ac:dyDescent="0.25">
      <c r="A7270" s="4" t="s">
        <v>53</v>
      </c>
      <c r="B7270" s="4" t="s">
        <v>52</v>
      </c>
      <c r="C7270" s="5">
        <v>45313</v>
      </c>
      <c r="D7270" s="4">
        <v>1.3</v>
      </c>
      <c r="E7270" s="4">
        <v>0.41</v>
      </c>
    </row>
    <row r="7271" spans="1:5" x14ac:dyDescent="0.25">
      <c r="A7271" s="4" t="s">
        <v>53</v>
      </c>
      <c r="B7271" s="4" t="s">
        <v>52</v>
      </c>
      <c r="C7271" s="5">
        <v>45313</v>
      </c>
      <c r="D7271" s="4">
        <v>1.6</v>
      </c>
      <c r="E7271" s="4">
        <v>0.5</v>
      </c>
    </row>
    <row r="7272" spans="1:5" x14ac:dyDescent="0.25">
      <c r="A7272" s="4" t="s">
        <v>53</v>
      </c>
      <c r="B7272" s="4" t="s">
        <v>52</v>
      </c>
      <c r="C7272" s="5">
        <v>45313</v>
      </c>
      <c r="D7272" s="4">
        <v>1.3</v>
      </c>
      <c r="E7272" s="4">
        <v>0.41</v>
      </c>
    </row>
    <row r="7273" spans="1:5" x14ac:dyDescent="0.25">
      <c r="A7273" s="4" t="s">
        <v>53</v>
      </c>
      <c r="B7273" s="4" t="s">
        <v>52</v>
      </c>
      <c r="C7273" s="5">
        <v>45313</v>
      </c>
      <c r="D7273" s="4">
        <v>1.6</v>
      </c>
      <c r="E7273" s="4">
        <v>0.5</v>
      </c>
    </row>
    <row r="7274" spans="1:5" x14ac:dyDescent="0.25">
      <c r="A7274" s="4" t="s">
        <v>53</v>
      </c>
      <c r="B7274" s="4" t="s">
        <v>52</v>
      </c>
      <c r="C7274" s="5">
        <v>45313</v>
      </c>
      <c r="D7274" s="4">
        <v>1.3</v>
      </c>
      <c r="E7274" s="4">
        <v>0.41</v>
      </c>
    </row>
    <row r="7275" spans="1:5" x14ac:dyDescent="0.25">
      <c r="A7275" s="4" t="s">
        <v>53</v>
      </c>
      <c r="B7275" s="4" t="s">
        <v>52</v>
      </c>
      <c r="C7275" s="5">
        <v>45313</v>
      </c>
      <c r="D7275" s="4">
        <v>1.6</v>
      </c>
      <c r="E7275" s="4">
        <v>0.5</v>
      </c>
    </row>
    <row r="7276" spans="1:5" x14ac:dyDescent="0.25">
      <c r="A7276" s="4" t="s">
        <v>53</v>
      </c>
      <c r="B7276" s="4" t="s">
        <v>52</v>
      </c>
      <c r="C7276" s="5">
        <v>45313</v>
      </c>
      <c r="D7276" s="4">
        <v>1.3</v>
      </c>
      <c r="E7276" s="4">
        <v>0.41</v>
      </c>
    </row>
    <row r="7277" spans="1:5" x14ac:dyDescent="0.25">
      <c r="A7277" s="4" t="s">
        <v>53</v>
      </c>
      <c r="B7277" s="4" t="s">
        <v>52</v>
      </c>
      <c r="C7277" s="5">
        <v>45313</v>
      </c>
      <c r="D7277" s="4">
        <v>1.6</v>
      </c>
      <c r="E7277" s="4">
        <v>0.5</v>
      </c>
    </row>
    <row r="7278" spans="1:5" x14ac:dyDescent="0.25">
      <c r="A7278" s="4" t="s">
        <v>53</v>
      </c>
      <c r="B7278" s="4" t="s">
        <v>52</v>
      </c>
      <c r="C7278" s="5">
        <v>45313</v>
      </c>
      <c r="D7278" s="4">
        <v>1.3</v>
      </c>
      <c r="E7278" s="4">
        <v>0.41</v>
      </c>
    </row>
    <row r="7279" spans="1:5" x14ac:dyDescent="0.25">
      <c r="A7279" s="4" t="s">
        <v>53</v>
      </c>
      <c r="B7279" s="4" t="s">
        <v>52</v>
      </c>
      <c r="C7279" s="5">
        <v>45313</v>
      </c>
      <c r="D7279" s="4">
        <v>1.6</v>
      </c>
      <c r="E7279" s="4">
        <v>0.5</v>
      </c>
    </row>
    <row r="7280" spans="1:5" x14ac:dyDescent="0.25">
      <c r="A7280" s="4" t="s">
        <v>53</v>
      </c>
      <c r="B7280" s="4" t="s">
        <v>52</v>
      </c>
      <c r="C7280" s="5">
        <v>45313</v>
      </c>
      <c r="D7280" s="4">
        <v>1.3</v>
      </c>
      <c r="E7280" s="4">
        <v>0.41</v>
      </c>
    </row>
    <row r="7281" spans="1:5" x14ac:dyDescent="0.25">
      <c r="A7281" s="4" t="s">
        <v>53</v>
      </c>
      <c r="B7281" s="4" t="s">
        <v>52</v>
      </c>
      <c r="C7281" s="5">
        <v>45313</v>
      </c>
      <c r="D7281" s="4">
        <v>1.6</v>
      </c>
      <c r="E7281" s="4">
        <v>0.5</v>
      </c>
    </row>
    <row r="7282" spans="1:5" x14ac:dyDescent="0.25">
      <c r="A7282" s="4" t="s">
        <v>53</v>
      </c>
      <c r="B7282" s="4" t="s">
        <v>52</v>
      </c>
      <c r="C7282" s="5">
        <v>45313</v>
      </c>
      <c r="D7282" s="4">
        <v>1.3</v>
      </c>
      <c r="E7282" s="4">
        <v>0.41</v>
      </c>
    </row>
    <row r="7283" spans="1:5" x14ac:dyDescent="0.25">
      <c r="A7283" s="4" t="s">
        <v>53</v>
      </c>
      <c r="B7283" s="4" t="s">
        <v>52</v>
      </c>
      <c r="C7283" s="5">
        <v>45313</v>
      </c>
      <c r="D7283" s="4">
        <v>1.6</v>
      </c>
      <c r="E7283" s="4">
        <v>0.5</v>
      </c>
    </row>
    <row r="7284" spans="1:5" x14ac:dyDescent="0.25">
      <c r="A7284" s="4" t="s">
        <v>53</v>
      </c>
      <c r="B7284" s="4" t="s">
        <v>52</v>
      </c>
      <c r="C7284" s="5">
        <v>45313</v>
      </c>
      <c r="D7284" s="4">
        <v>1.3</v>
      </c>
      <c r="E7284" s="4">
        <v>0.41</v>
      </c>
    </row>
    <row r="7285" spans="1:5" x14ac:dyDescent="0.25">
      <c r="A7285" s="4" t="s">
        <v>53</v>
      </c>
      <c r="B7285" s="4" t="s">
        <v>52</v>
      </c>
      <c r="C7285" s="5">
        <v>45313</v>
      </c>
      <c r="D7285" s="4">
        <v>1.6</v>
      </c>
      <c r="E7285" s="4">
        <v>0.5</v>
      </c>
    </row>
    <row r="7286" spans="1:5" x14ac:dyDescent="0.25">
      <c r="A7286" s="4" t="s">
        <v>53</v>
      </c>
      <c r="B7286" s="4" t="s">
        <v>52</v>
      </c>
      <c r="C7286" s="5">
        <v>45313</v>
      </c>
      <c r="D7286" s="4">
        <v>0.5</v>
      </c>
      <c r="E7286" s="4">
        <v>0.16</v>
      </c>
    </row>
    <row r="7287" spans="1:5" x14ac:dyDescent="0.25">
      <c r="A7287" s="4" t="s">
        <v>53</v>
      </c>
      <c r="B7287" s="4" t="s">
        <v>52</v>
      </c>
      <c r="C7287" s="5">
        <v>45313</v>
      </c>
      <c r="D7287" s="4">
        <v>2.5</v>
      </c>
      <c r="E7287" s="4">
        <v>0.81</v>
      </c>
    </row>
    <row r="7288" spans="1:5" x14ac:dyDescent="0.25">
      <c r="A7288" s="4" t="s">
        <v>53</v>
      </c>
      <c r="B7288" s="4" t="s">
        <v>52</v>
      </c>
      <c r="C7288" s="5">
        <v>45314</v>
      </c>
      <c r="D7288" s="4">
        <v>2.4</v>
      </c>
      <c r="E7288" s="4">
        <v>0.75</v>
      </c>
    </row>
    <row r="7289" spans="1:5" x14ac:dyDescent="0.25">
      <c r="A7289" s="4" t="s">
        <v>53</v>
      </c>
      <c r="B7289" s="4" t="s">
        <v>52</v>
      </c>
      <c r="C7289" s="5">
        <v>45314</v>
      </c>
      <c r="D7289" s="4">
        <v>0.8</v>
      </c>
      <c r="E7289" s="4">
        <v>0.26</v>
      </c>
    </row>
    <row r="7290" spans="1:5" x14ac:dyDescent="0.25">
      <c r="A7290" s="4" t="s">
        <v>53</v>
      </c>
      <c r="B7290" s="4" t="s">
        <v>52</v>
      </c>
      <c r="C7290" s="5">
        <v>45314</v>
      </c>
      <c r="D7290" s="4">
        <v>1.3</v>
      </c>
      <c r="E7290" s="4">
        <v>0.41</v>
      </c>
    </row>
    <row r="7291" spans="1:5" x14ac:dyDescent="0.25">
      <c r="A7291" s="4" t="s">
        <v>53</v>
      </c>
      <c r="B7291" s="4" t="s">
        <v>52</v>
      </c>
      <c r="C7291" s="5">
        <v>45314</v>
      </c>
      <c r="D7291" s="4">
        <v>1.6</v>
      </c>
      <c r="E7291" s="4">
        <v>0.5</v>
      </c>
    </row>
    <row r="7292" spans="1:5" x14ac:dyDescent="0.25">
      <c r="A7292" s="4" t="s">
        <v>53</v>
      </c>
      <c r="B7292" s="4" t="s">
        <v>52</v>
      </c>
      <c r="C7292" s="5">
        <v>45314</v>
      </c>
      <c r="D7292" s="4">
        <v>1.3</v>
      </c>
      <c r="E7292" s="4">
        <v>0.41</v>
      </c>
    </row>
    <row r="7293" spans="1:5" x14ac:dyDescent="0.25">
      <c r="A7293" s="4" t="s">
        <v>53</v>
      </c>
      <c r="B7293" s="4" t="s">
        <v>52</v>
      </c>
      <c r="C7293" s="5">
        <v>45314</v>
      </c>
      <c r="D7293" s="4">
        <v>1.6</v>
      </c>
      <c r="E7293" s="4">
        <v>0.5</v>
      </c>
    </row>
    <row r="7294" spans="1:5" x14ac:dyDescent="0.25">
      <c r="A7294" s="4" t="s">
        <v>53</v>
      </c>
      <c r="B7294" s="4" t="s">
        <v>52</v>
      </c>
      <c r="C7294" s="5">
        <v>45314</v>
      </c>
      <c r="D7294" s="4">
        <v>1.3</v>
      </c>
      <c r="E7294" s="4">
        <v>0.41</v>
      </c>
    </row>
    <row r="7295" spans="1:5" x14ac:dyDescent="0.25">
      <c r="A7295" s="4" t="s">
        <v>53</v>
      </c>
      <c r="B7295" s="4" t="s">
        <v>52</v>
      </c>
      <c r="C7295" s="5">
        <v>45314</v>
      </c>
      <c r="D7295" s="4">
        <v>1.6</v>
      </c>
      <c r="E7295" s="4">
        <v>0.5</v>
      </c>
    </row>
    <row r="7296" spans="1:5" x14ac:dyDescent="0.25">
      <c r="A7296" s="4" t="s">
        <v>53</v>
      </c>
      <c r="B7296" s="4" t="s">
        <v>52</v>
      </c>
      <c r="C7296" s="5">
        <v>45314</v>
      </c>
      <c r="D7296" s="4">
        <v>1.3</v>
      </c>
      <c r="E7296" s="4">
        <v>0.41</v>
      </c>
    </row>
    <row r="7297" spans="1:5" x14ac:dyDescent="0.25">
      <c r="A7297" s="4" t="s">
        <v>53</v>
      </c>
      <c r="B7297" s="4" t="s">
        <v>52</v>
      </c>
      <c r="C7297" s="5">
        <v>45314</v>
      </c>
      <c r="D7297" s="4">
        <v>1.6</v>
      </c>
      <c r="E7297" s="4">
        <v>0.5</v>
      </c>
    </row>
    <row r="7298" spans="1:5" x14ac:dyDescent="0.25">
      <c r="A7298" s="4" t="s">
        <v>53</v>
      </c>
      <c r="B7298" s="4" t="s">
        <v>52</v>
      </c>
      <c r="C7298" s="5">
        <v>45314</v>
      </c>
      <c r="D7298" s="4">
        <v>1.3</v>
      </c>
      <c r="E7298" s="4">
        <v>0.41</v>
      </c>
    </row>
    <row r="7299" spans="1:5" x14ac:dyDescent="0.25">
      <c r="A7299" s="4" t="s">
        <v>53</v>
      </c>
      <c r="B7299" s="4" t="s">
        <v>52</v>
      </c>
      <c r="C7299" s="5">
        <v>45314</v>
      </c>
      <c r="D7299" s="4">
        <v>1.6</v>
      </c>
      <c r="E7299" s="4">
        <v>0.5</v>
      </c>
    </row>
    <row r="7300" spans="1:5" x14ac:dyDescent="0.25">
      <c r="A7300" s="4" t="s">
        <v>53</v>
      </c>
      <c r="B7300" s="4" t="s">
        <v>52</v>
      </c>
      <c r="C7300" s="5">
        <v>45314</v>
      </c>
      <c r="D7300" s="4">
        <v>1.3</v>
      </c>
      <c r="E7300" s="4">
        <v>0.41</v>
      </c>
    </row>
    <row r="7301" spans="1:5" x14ac:dyDescent="0.25">
      <c r="A7301" s="4" t="s">
        <v>53</v>
      </c>
      <c r="B7301" s="4" t="s">
        <v>52</v>
      </c>
      <c r="C7301" s="5">
        <v>45314</v>
      </c>
      <c r="D7301" s="4">
        <v>1.6</v>
      </c>
      <c r="E7301" s="4">
        <v>0.5</v>
      </c>
    </row>
    <row r="7302" spans="1:5" x14ac:dyDescent="0.25">
      <c r="A7302" s="4" t="s">
        <v>53</v>
      </c>
      <c r="B7302" s="4" t="s">
        <v>52</v>
      </c>
      <c r="C7302" s="5">
        <v>45314</v>
      </c>
      <c r="D7302" s="4">
        <v>1.3</v>
      </c>
      <c r="E7302" s="4">
        <v>0.41</v>
      </c>
    </row>
    <row r="7303" spans="1:5" x14ac:dyDescent="0.25">
      <c r="A7303" s="4" t="s">
        <v>53</v>
      </c>
      <c r="B7303" s="4" t="s">
        <v>52</v>
      </c>
      <c r="C7303" s="5">
        <v>45314</v>
      </c>
      <c r="D7303" s="4">
        <v>1.6</v>
      </c>
      <c r="E7303" s="4">
        <v>0.5</v>
      </c>
    </row>
    <row r="7304" spans="1:5" x14ac:dyDescent="0.25">
      <c r="A7304" s="4" t="s">
        <v>53</v>
      </c>
      <c r="B7304" s="4" t="s">
        <v>52</v>
      </c>
      <c r="C7304" s="5">
        <v>45314</v>
      </c>
      <c r="D7304" s="4">
        <v>1.3</v>
      </c>
      <c r="E7304" s="4">
        <v>0.41</v>
      </c>
    </row>
    <row r="7305" spans="1:5" x14ac:dyDescent="0.25">
      <c r="A7305" s="4" t="s">
        <v>53</v>
      </c>
      <c r="B7305" s="4" t="s">
        <v>52</v>
      </c>
      <c r="C7305" s="5">
        <v>45314</v>
      </c>
      <c r="D7305" s="4">
        <v>1.6</v>
      </c>
      <c r="E7305" s="4">
        <v>0.5</v>
      </c>
    </row>
    <row r="7306" spans="1:5" x14ac:dyDescent="0.25">
      <c r="A7306" s="4" t="s">
        <v>53</v>
      </c>
      <c r="B7306" s="4" t="s">
        <v>52</v>
      </c>
      <c r="C7306" s="5">
        <v>45314</v>
      </c>
      <c r="D7306" s="4">
        <v>1.3</v>
      </c>
      <c r="E7306" s="4">
        <v>0.41</v>
      </c>
    </row>
    <row r="7307" spans="1:5" x14ac:dyDescent="0.25">
      <c r="A7307" s="4" t="s">
        <v>53</v>
      </c>
      <c r="B7307" s="4" t="s">
        <v>52</v>
      </c>
      <c r="C7307" s="5">
        <v>45314</v>
      </c>
      <c r="D7307" s="4">
        <v>1.6</v>
      </c>
      <c r="E7307" s="4">
        <v>0.5</v>
      </c>
    </row>
    <row r="7308" spans="1:5" x14ac:dyDescent="0.25">
      <c r="A7308" s="4" t="s">
        <v>53</v>
      </c>
      <c r="B7308" s="4" t="s">
        <v>52</v>
      </c>
      <c r="C7308" s="5">
        <v>45314</v>
      </c>
      <c r="D7308" s="4">
        <v>1.3</v>
      </c>
      <c r="E7308" s="4">
        <v>0.41</v>
      </c>
    </row>
    <row r="7309" spans="1:5" x14ac:dyDescent="0.25">
      <c r="A7309" s="4" t="s">
        <v>53</v>
      </c>
      <c r="B7309" s="4" t="s">
        <v>52</v>
      </c>
      <c r="C7309" s="5">
        <v>45314</v>
      </c>
      <c r="D7309" s="4">
        <v>1.6</v>
      </c>
      <c r="E7309" s="4">
        <v>0.5</v>
      </c>
    </row>
    <row r="7310" spans="1:5" x14ac:dyDescent="0.25">
      <c r="A7310" s="4" t="s">
        <v>53</v>
      </c>
      <c r="B7310" s="4" t="s">
        <v>52</v>
      </c>
      <c r="C7310" s="5">
        <v>45314</v>
      </c>
      <c r="D7310" s="4">
        <v>1.3</v>
      </c>
      <c r="E7310" s="4">
        <v>0.41</v>
      </c>
    </row>
    <row r="7311" spans="1:5" x14ac:dyDescent="0.25">
      <c r="A7311" s="4" t="s">
        <v>53</v>
      </c>
      <c r="B7311" s="4" t="s">
        <v>52</v>
      </c>
      <c r="C7311" s="5">
        <v>45314</v>
      </c>
      <c r="D7311" s="4">
        <v>1.6</v>
      </c>
      <c r="E7311" s="4">
        <v>0.5</v>
      </c>
    </row>
    <row r="7312" spans="1:5" x14ac:dyDescent="0.25">
      <c r="A7312" s="4" t="s">
        <v>53</v>
      </c>
      <c r="B7312" s="4" t="s">
        <v>52</v>
      </c>
      <c r="C7312" s="5">
        <v>45314</v>
      </c>
      <c r="D7312" s="4">
        <v>1.3</v>
      </c>
      <c r="E7312" s="4">
        <v>0.41</v>
      </c>
    </row>
    <row r="7313" spans="1:5" x14ac:dyDescent="0.25">
      <c r="A7313" s="4" t="s">
        <v>53</v>
      </c>
      <c r="B7313" s="4" t="s">
        <v>52</v>
      </c>
      <c r="C7313" s="5">
        <v>45314</v>
      </c>
      <c r="D7313" s="4">
        <v>1.6</v>
      </c>
      <c r="E7313" s="4">
        <v>0.5</v>
      </c>
    </row>
    <row r="7314" spans="1:5" x14ac:dyDescent="0.25">
      <c r="A7314" s="4" t="s">
        <v>53</v>
      </c>
      <c r="B7314" s="4" t="s">
        <v>52</v>
      </c>
      <c r="C7314" s="5">
        <v>45314</v>
      </c>
      <c r="D7314" s="4">
        <v>1.3</v>
      </c>
      <c r="E7314" s="4">
        <v>0.41</v>
      </c>
    </row>
    <row r="7315" spans="1:5" x14ac:dyDescent="0.25">
      <c r="A7315" s="4" t="s">
        <v>53</v>
      </c>
      <c r="B7315" s="4" t="s">
        <v>52</v>
      </c>
      <c r="C7315" s="5">
        <v>45314</v>
      </c>
      <c r="D7315" s="4">
        <v>3.9</v>
      </c>
      <c r="E7315" s="4">
        <v>1.25</v>
      </c>
    </row>
    <row r="7316" spans="1:5" x14ac:dyDescent="0.25">
      <c r="A7316" s="4" t="s">
        <v>53</v>
      </c>
      <c r="B7316" s="4" t="s">
        <v>52</v>
      </c>
      <c r="C7316" s="5">
        <v>45315</v>
      </c>
      <c r="D7316" s="4">
        <v>2.4</v>
      </c>
      <c r="E7316" s="4">
        <v>0.75</v>
      </c>
    </row>
    <row r="7317" spans="1:5" x14ac:dyDescent="0.25">
      <c r="A7317" s="4" t="s">
        <v>53</v>
      </c>
      <c r="B7317" s="4" t="s">
        <v>52</v>
      </c>
      <c r="C7317" s="5">
        <v>45315</v>
      </c>
      <c r="D7317" s="4">
        <v>0.8</v>
      </c>
      <c r="E7317" s="4">
        <v>0.26</v>
      </c>
    </row>
    <row r="7318" spans="1:5" x14ac:dyDescent="0.25">
      <c r="A7318" s="4" t="s">
        <v>53</v>
      </c>
      <c r="B7318" s="4" t="s">
        <v>52</v>
      </c>
      <c r="C7318" s="5">
        <v>45315</v>
      </c>
      <c r="D7318" s="4">
        <v>1.3</v>
      </c>
      <c r="E7318" s="4">
        <v>0.41</v>
      </c>
    </row>
    <row r="7319" spans="1:5" x14ac:dyDescent="0.25">
      <c r="A7319" s="4" t="s">
        <v>53</v>
      </c>
      <c r="B7319" s="4" t="s">
        <v>52</v>
      </c>
      <c r="C7319" s="5">
        <v>45315</v>
      </c>
      <c r="D7319" s="4">
        <v>1.6</v>
      </c>
      <c r="E7319" s="4">
        <v>0.5</v>
      </c>
    </row>
    <row r="7320" spans="1:5" x14ac:dyDescent="0.25">
      <c r="A7320" s="4" t="s">
        <v>53</v>
      </c>
      <c r="B7320" s="4" t="s">
        <v>52</v>
      </c>
      <c r="C7320" s="5">
        <v>45315</v>
      </c>
      <c r="D7320" s="4">
        <v>1.3</v>
      </c>
      <c r="E7320" s="4">
        <v>0.41</v>
      </c>
    </row>
    <row r="7321" spans="1:5" x14ac:dyDescent="0.25">
      <c r="A7321" s="4" t="s">
        <v>53</v>
      </c>
      <c r="B7321" s="4" t="s">
        <v>52</v>
      </c>
      <c r="C7321" s="5">
        <v>45315</v>
      </c>
      <c r="D7321" s="4">
        <v>1.6</v>
      </c>
      <c r="E7321" s="4">
        <v>0.5</v>
      </c>
    </row>
    <row r="7322" spans="1:5" x14ac:dyDescent="0.25">
      <c r="A7322" s="4" t="s">
        <v>53</v>
      </c>
      <c r="B7322" s="4" t="s">
        <v>52</v>
      </c>
      <c r="C7322" s="5">
        <v>45315</v>
      </c>
      <c r="D7322" s="4">
        <v>1.3</v>
      </c>
      <c r="E7322" s="4">
        <v>0.41</v>
      </c>
    </row>
    <row r="7323" spans="1:5" x14ac:dyDescent="0.25">
      <c r="A7323" s="4" t="s">
        <v>53</v>
      </c>
      <c r="B7323" s="4" t="s">
        <v>52</v>
      </c>
      <c r="C7323" s="5">
        <v>45315</v>
      </c>
      <c r="D7323" s="4">
        <v>1.6</v>
      </c>
      <c r="E7323" s="4">
        <v>0.5</v>
      </c>
    </row>
    <row r="7324" spans="1:5" x14ac:dyDescent="0.25">
      <c r="A7324" s="4" t="s">
        <v>53</v>
      </c>
      <c r="B7324" s="4" t="s">
        <v>52</v>
      </c>
      <c r="C7324" s="5">
        <v>45315</v>
      </c>
      <c r="D7324" s="4">
        <v>1.3</v>
      </c>
      <c r="E7324" s="4">
        <v>0.41</v>
      </c>
    </row>
    <row r="7325" spans="1:5" x14ac:dyDescent="0.25">
      <c r="A7325" s="4" t="s">
        <v>53</v>
      </c>
      <c r="B7325" s="4" t="s">
        <v>52</v>
      </c>
      <c r="C7325" s="5">
        <v>45315</v>
      </c>
      <c r="D7325" s="4">
        <v>1.6</v>
      </c>
      <c r="E7325" s="4">
        <v>0.5</v>
      </c>
    </row>
    <row r="7326" spans="1:5" x14ac:dyDescent="0.25">
      <c r="A7326" s="4" t="s">
        <v>53</v>
      </c>
      <c r="B7326" s="4" t="s">
        <v>52</v>
      </c>
      <c r="C7326" s="5">
        <v>45315</v>
      </c>
      <c r="D7326" s="4">
        <v>1.3</v>
      </c>
      <c r="E7326" s="4">
        <v>0.41</v>
      </c>
    </row>
    <row r="7327" spans="1:5" x14ac:dyDescent="0.25">
      <c r="A7327" s="4" t="s">
        <v>53</v>
      </c>
      <c r="B7327" s="4" t="s">
        <v>52</v>
      </c>
      <c r="C7327" s="5">
        <v>45315</v>
      </c>
      <c r="D7327" s="4">
        <v>1.6</v>
      </c>
      <c r="E7327" s="4">
        <v>0.5</v>
      </c>
    </row>
    <row r="7328" spans="1:5" x14ac:dyDescent="0.25">
      <c r="A7328" s="4" t="s">
        <v>53</v>
      </c>
      <c r="B7328" s="4" t="s">
        <v>52</v>
      </c>
      <c r="C7328" s="5">
        <v>45315</v>
      </c>
      <c r="D7328" s="4">
        <v>1.3</v>
      </c>
      <c r="E7328" s="4">
        <v>0.41</v>
      </c>
    </row>
    <row r="7329" spans="1:5" x14ac:dyDescent="0.25">
      <c r="A7329" s="4" t="s">
        <v>53</v>
      </c>
      <c r="B7329" s="4" t="s">
        <v>52</v>
      </c>
      <c r="C7329" s="5">
        <v>45315</v>
      </c>
      <c r="D7329" s="4">
        <v>1.6</v>
      </c>
      <c r="E7329" s="4">
        <v>0.5</v>
      </c>
    </row>
    <row r="7330" spans="1:5" x14ac:dyDescent="0.25">
      <c r="A7330" s="4" t="s">
        <v>53</v>
      </c>
      <c r="B7330" s="4" t="s">
        <v>52</v>
      </c>
      <c r="C7330" s="5">
        <v>45315</v>
      </c>
      <c r="D7330" s="4">
        <v>1.3</v>
      </c>
      <c r="E7330" s="4">
        <v>0.41</v>
      </c>
    </row>
    <row r="7331" spans="1:5" x14ac:dyDescent="0.25">
      <c r="A7331" s="4" t="s">
        <v>53</v>
      </c>
      <c r="B7331" s="4" t="s">
        <v>52</v>
      </c>
      <c r="C7331" s="5">
        <v>45315</v>
      </c>
      <c r="D7331" s="4">
        <v>1.6</v>
      </c>
      <c r="E7331" s="4">
        <v>0.5</v>
      </c>
    </row>
    <row r="7332" spans="1:5" x14ac:dyDescent="0.25">
      <c r="A7332" s="4" t="s">
        <v>53</v>
      </c>
      <c r="B7332" s="4" t="s">
        <v>52</v>
      </c>
      <c r="C7332" s="5">
        <v>45315</v>
      </c>
      <c r="D7332" s="4">
        <v>1.3</v>
      </c>
      <c r="E7332" s="4">
        <v>0.41</v>
      </c>
    </row>
    <row r="7333" spans="1:5" x14ac:dyDescent="0.25">
      <c r="A7333" s="4" t="s">
        <v>53</v>
      </c>
      <c r="B7333" s="4" t="s">
        <v>52</v>
      </c>
      <c r="C7333" s="5">
        <v>45315</v>
      </c>
      <c r="D7333" s="4">
        <v>1.6</v>
      </c>
      <c r="E7333" s="4">
        <v>0.5</v>
      </c>
    </row>
    <row r="7334" spans="1:5" x14ac:dyDescent="0.25">
      <c r="A7334" s="4" t="s">
        <v>53</v>
      </c>
      <c r="B7334" s="4" t="s">
        <v>52</v>
      </c>
      <c r="C7334" s="5">
        <v>45315</v>
      </c>
      <c r="D7334" s="4">
        <v>1.3</v>
      </c>
      <c r="E7334" s="4">
        <v>0.41</v>
      </c>
    </row>
    <row r="7335" spans="1:5" x14ac:dyDescent="0.25">
      <c r="A7335" s="4" t="s">
        <v>53</v>
      </c>
      <c r="B7335" s="4" t="s">
        <v>52</v>
      </c>
      <c r="C7335" s="5">
        <v>45315</v>
      </c>
      <c r="D7335" s="4">
        <v>1.6</v>
      </c>
      <c r="E7335" s="4">
        <v>0.5</v>
      </c>
    </row>
    <row r="7336" spans="1:5" x14ac:dyDescent="0.25">
      <c r="A7336" s="4" t="s">
        <v>53</v>
      </c>
      <c r="B7336" s="4" t="s">
        <v>52</v>
      </c>
      <c r="C7336" s="5">
        <v>45315</v>
      </c>
      <c r="D7336" s="4">
        <v>1.3</v>
      </c>
      <c r="E7336" s="4">
        <v>0.41</v>
      </c>
    </row>
    <row r="7337" spans="1:5" x14ac:dyDescent="0.25">
      <c r="A7337" s="4" t="s">
        <v>53</v>
      </c>
      <c r="B7337" s="4" t="s">
        <v>52</v>
      </c>
      <c r="C7337" s="5">
        <v>45315</v>
      </c>
      <c r="D7337" s="4">
        <v>1.6</v>
      </c>
      <c r="E7337" s="4">
        <v>0.5</v>
      </c>
    </row>
    <row r="7338" spans="1:5" x14ac:dyDescent="0.25">
      <c r="A7338" s="4" t="s">
        <v>53</v>
      </c>
      <c r="B7338" s="4" t="s">
        <v>52</v>
      </c>
      <c r="C7338" s="5">
        <v>45315</v>
      </c>
      <c r="D7338" s="4">
        <v>1.3</v>
      </c>
      <c r="E7338" s="4">
        <v>0.41</v>
      </c>
    </row>
    <row r="7339" spans="1:5" x14ac:dyDescent="0.25">
      <c r="A7339" s="4" t="s">
        <v>53</v>
      </c>
      <c r="B7339" s="4" t="s">
        <v>52</v>
      </c>
      <c r="C7339" s="5">
        <v>45315</v>
      </c>
      <c r="D7339" s="4">
        <v>1.6</v>
      </c>
      <c r="E7339" s="4">
        <v>0.5</v>
      </c>
    </row>
    <row r="7340" spans="1:5" x14ac:dyDescent="0.25">
      <c r="A7340" s="4" t="s">
        <v>53</v>
      </c>
      <c r="B7340" s="4" t="s">
        <v>52</v>
      </c>
      <c r="C7340" s="5">
        <v>45315</v>
      </c>
      <c r="D7340" s="4">
        <v>1.3</v>
      </c>
      <c r="E7340" s="4">
        <v>0.41</v>
      </c>
    </row>
    <row r="7341" spans="1:5" x14ac:dyDescent="0.25">
      <c r="A7341" s="4" t="s">
        <v>53</v>
      </c>
      <c r="B7341" s="4" t="s">
        <v>52</v>
      </c>
      <c r="C7341" s="5">
        <v>45315</v>
      </c>
      <c r="D7341" s="4">
        <v>1.6</v>
      </c>
      <c r="E7341" s="4">
        <v>0.5</v>
      </c>
    </row>
    <row r="7342" spans="1:5" x14ac:dyDescent="0.25">
      <c r="A7342" s="4" t="s">
        <v>53</v>
      </c>
      <c r="B7342" s="4" t="s">
        <v>52</v>
      </c>
      <c r="C7342" s="5">
        <v>45315</v>
      </c>
      <c r="D7342" s="4">
        <v>0.5</v>
      </c>
      <c r="E7342" s="4">
        <v>0.16</v>
      </c>
    </row>
    <row r="7343" spans="1:5" x14ac:dyDescent="0.25">
      <c r="A7343" s="4" t="s">
        <v>53</v>
      </c>
      <c r="B7343" s="4" t="s">
        <v>52</v>
      </c>
      <c r="C7343" s="5">
        <v>45315</v>
      </c>
      <c r="D7343" s="4">
        <v>2.5</v>
      </c>
      <c r="E7343" s="4">
        <v>0.81</v>
      </c>
    </row>
    <row r="7344" spans="1:5" x14ac:dyDescent="0.25">
      <c r="A7344" s="4" t="s">
        <v>53</v>
      </c>
      <c r="B7344" s="4" t="s">
        <v>52</v>
      </c>
      <c r="C7344" s="5">
        <v>45316</v>
      </c>
      <c r="D7344" s="4">
        <v>15.4</v>
      </c>
      <c r="E7344" s="4">
        <v>5</v>
      </c>
    </row>
    <row r="7345" spans="1:5" x14ac:dyDescent="0.25">
      <c r="A7345" s="4" t="s">
        <v>53</v>
      </c>
      <c r="B7345" s="4" t="s">
        <v>52</v>
      </c>
      <c r="C7345" s="5">
        <v>45316</v>
      </c>
      <c r="D7345" s="4">
        <v>21.6</v>
      </c>
      <c r="E7345" s="4">
        <v>6.99</v>
      </c>
    </row>
    <row r="7346" spans="1:5" x14ac:dyDescent="0.25">
      <c r="A7346" s="4" t="s">
        <v>53</v>
      </c>
      <c r="B7346" s="4" t="s">
        <v>52</v>
      </c>
      <c r="C7346" s="5">
        <v>45316</v>
      </c>
      <c r="D7346" s="4">
        <v>21.6</v>
      </c>
      <c r="E7346" s="4">
        <v>6.99</v>
      </c>
    </row>
    <row r="7347" spans="1:5" x14ac:dyDescent="0.25">
      <c r="A7347" s="4" t="s">
        <v>53</v>
      </c>
      <c r="B7347" s="4" t="s">
        <v>52</v>
      </c>
      <c r="C7347" s="5">
        <v>45316</v>
      </c>
      <c r="D7347" s="4">
        <v>21.6</v>
      </c>
      <c r="E7347" s="4">
        <v>6.99</v>
      </c>
    </row>
    <row r="7348" spans="1:5" x14ac:dyDescent="0.25">
      <c r="A7348" s="4" t="s">
        <v>53</v>
      </c>
      <c r="B7348" s="4" t="s">
        <v>52</v>
      </c>
      <c r="C7348" s="5">
        <v>45316</v>
      </c>
      <c r="D7348" s="4">
        <v>21.6</v>
      </c>
      <c r="E7348" s="4">
        <v>6.99</v>
      </c>
    </row>
    <row r="7349" spans="1:5" x14ac:dyDescent="0.25">
      <c r="A7349" s="4" t="s">
        <v>53</v>
      </c>
      <c r="B7349" s="4" t="s">
        <v>52</v>
      </c>
      <c r="C7349" s="5">
        <v>45316</v>
      </c>
      <c r="D7349" s="4">
        <v>21.6</v>
      </c>
      <c r="E7349" s="4">
        <v>6.99</v>
      </c>
    </row>
    <row r="7350" spans="1:5" x14ac:dyDescent="0.25">
      <c r="A7350" s="4" t="s">
        <v>53</v>
      </c>
      <c r="B7350" s="4" t="s">
        <v>52</v>
      </c>
      <c r="C7350" s="5">
        <v>45316</v>
      </c>
      <c r="D7350" s="4">
        <v>23.4</v>
      </c>
      <c r="E7350" s="4">
        <v>7.57</v>
      </c>
    </row>
    <row r="7351" spans="1:5" x14ac:dyDescent="0.25">
      <c r="A7351" s="4" t="s">
        <v>53</v>
      </c>
      <c r="B7351" s="4" t="s">
        <v>52</v>
      </c>
      <c r="C7351" s="5">
        <v>45316</v>
      </c>
      <c r="D7351" s="4">
        <v>9.6999999999999993</v>
      </c>
      <c r="E7351" s="4">
        <v>3.15</v>
      </c>
    </row>
    <row r="7352" spans="1:5" x14ac:dyDescent="0.25">
      <c r="A7352" s="4" t="s">
        <v>53</v>
      </c>
      <c r="B7352" s="4" t="s">
        <v>52</v>
      </c>
      <c r="C7352" s="5">
        <v>45316</v>
      </c>
      <c r="D7352" s="4">
        <v>9.6999999999999993</v>
      </c>
      <c r="E7352" s="4">
        <v>3.15</v>
      </c>
    </row>
    <row r="7353" spans="1:5" x14ac:dyDescent="0.25">
      <c r="A7353" s="4" t="s">
        <v>53</v>
      </c>
      <c r="B7353" s="4" t="s">
        <v>52</v>
      </c>
      <c r="C7353" s="5">
        <v>45316</v>
      </c>
      <c r="D7353" s="4">
        <v>9.6999999999999993</v>
      </c>
      <c r="E7353" s="4">
        <v>3.15</v>
      </c>
    </row>
    <row r="7354" spans="1:5" x14ac:dyDescent="0.25">
      <c r="A7354" s="4" t="s">
        <v>53</v>
      </c>
      <c r="B7354" s="4" t="s">
        <v>52</v>
      </c>
      <c r="C7354" s="5">
        <v>45317</v>
      </c>
      <c r="D7354" s="4">
        <v>2.4</v>
      </c>
      <c r="E7354" s="4">
        <v>0.75</v>
      </c>
    </row>
    <row r="7355" spans="1:5" x14ac:dyDescent="0.25">
      <c r="A7355" s="4" t="s">
        <v>53</v>
      </c>
      <c r="B7355" s="4" t="s">
        <v>52</v>
      </c>
      <c r="C7355" s="5">
        <v>45317</v>
      </c>
      <c r="D7355" s="4">
        <v>0.8</v>
      </c>
      <c r="E7355" s="4">
        <v>0.26</v>
      </c>
    </row>
    <row r="7356" spans="1:5" x14ac:dyDescent="0.25">
      <c r="A7356" s="4" t="s">
        <v>53</v>
      </c>
      <c r="B7356" s="4" t="s">
        <v>52</v>
      </c>
      <c r="C7356" s="5">
        <v>45317</v>
      </c>
      <c r="D7356" s="4">
        <v>1.3</v>
      </c>
      <c r="E7356" s="4">
        <v>0.41</v>
      </c>
    </row>
    <row r="7357" spans="1:5" x14ac:dyDescent="0.25">
      <c r="A7357" s="4" t="s">
        <v>53</v>
      </c>
      <c r="B7357" s="4" t="s">
        <v>52</v>
      </c>
      <c r="C7357" s="5">
        <v>45317</v>
      </c>
      <c r="D7357" s="4">
        <v>1.6</v>
      </c>
      <c r="E7357" s="4">
        <v>0.5</v>
      </c>
    </row>
    <row r="7358" spans="1:5" x14ac:dyDescent="0.25">
      <c r="A7358" s="4" t="s">
        <v>53</v>
      </c>
      <c r="B7358" s="4" t="s">
        <v>52</v>
      </c>
      <c r="C7358" s="5">
        <v>45317</v>
      </c>
      <c r="D7358" s="4">
        <v>1.3</v>
      </c>
      <c r="E7358" s="4">
        <v>0.41</v>
      </c>
    </row>
    <row r="7359" spans="1:5" x14ac:dyDescent="0.25">
      <c r="A7359" s="4" t="s">
        <v>53</v>
      </c>
      <c r="B7359" s="4" t="s">
        <v>52</v>
      </c>
      <c r="C7359" s="5">
        <v>45317</v>
      </c>
      <c r="D7359" s="4">
        <v>1.6</v>
      </c>
      <c r="E7359" s="4">
        <v>0.5</v>
      </c>
    </row>
    <row r="7360" spans="1:5" x14ac:dyDescent="0.25">
      <c r="A7360" s="4" t="s">
        <v>53</v>
      </c>
      <c r="B7360" s="4" t="s">
        <v>52</v>
      </c>
      <c r="C7360" s="5">
        <v>45317</v>
      </c>
      <c r="D7360" s="4">
        <v>1.3</v>
      </c>
      <c r="E7360" s="4">
        <v>0.41</v>
      </c>
    </row>
    <row r="7361" spans="1:5" x14ac:dyDescent="0.25">
      <c r="A7361" s="4" t="s">
        <v>53</v>
      </c>
      <c r="B7361" s="4" t="s">
        <v>52</v>
      </c>
      <c r="C7361" s="5">
        <v>45317</v>
      </c>
      <c r="D7361" s="4">
        <v>1.6</v>
      </c>
      <c r="E7361" s="4">
        <v>0.5</v>
      </c>
    </row>
    <row r="7362" spans="1:5" x14ac:dyDescent="0.25">
      <c r="A7362" s="4" t="s">
        <v>53</v>
      </c>
      <c r="B7362" s="4" t="s">
        <v>52</v>
      </c>
      <c r="C7362" s="5">
        <v>45317</v>
      </c>
      <c r="D7362" s="4">
        <v>1.3</v>
      </c>
      <c r="E7362" s="4">
        <v>0.41</v>
      </c>
    </row>
    <row r="7363" spans="1:5" x14ac:dyDescent="0.25">
      <c r="A7363" s="4" t="s">
        <v>53</v>
      </c>
      <c r="B7363" s="4" t="s">
        <v>52</v>
      </c>
      <c r="C7363" s="5">
        <v>45317</v>
      </c>
      <c r="D7363" s="4">
        <v>1.6</v>
      </c>
      <c r="E7363" s="4">
        <v>0.5</v>
      </c>
    </row>
    <row r="7364" spans="1:5" x14ac:dyDescent="0.25">
      <c r="A7364" s="4" t="s">
        <v>53</v>
      </c>
      <c r="B7364" s="4" t="s">
        <v>52</v>
      </c>
      <c r="C7364" s="5">
        <v>45317</v>
      </c>
      <c r="D7364" s="4">
        <v>1.3</v>
      </c>
      <c r="E7364" s="4">
        <v>0.41</v>
      </c>
    </row>
    <row r="7365" spans="1:5" x14ac:dyDescent="0.25">
      <c r="A7365" s="4" t="s">
        <v>53</v>
      </c>
      <c r="B7365" s="4" t="s">
        <v>52</v>
      </c>
      <c r="C7365" s="5">
        <v>45317</v>
      </c>
      <c r="D7365" s="4">
        <v>1.6</v>
      </c>
      <c r="E7365" s="4">
        <v>0.5</v>
      </c>
    </row>
    <row r="7366" spans="1:5" x14ac:dyDescent="0.25">
      <c r="A7366" s="4" t="s">
        <v>53</v>
      </c>
      <c r="B7366" s="4" t="s">
        <v>52</v>
      </c>
      <c r="C7366" s="5">
        <v>45317</v>
      </c>
      <c r="D7366" s="4">
        <v>1.3</v>
      </c>
      <c r="E7366" s="4">
        <v>0.41</v>
      </c>
    </row>
    <row r="7367" spans="1:5" x14ac:dyDescent="0.25">
      <c r="A7367" s="4" t="s">
        <v>53</v>
      </c>
      <c r="B7367" s="4" t="s">
        <v>52</v>
      </c>
      <c r="C7367" s="5">
        <v>45317</v>
      </c>
      <c r="D7367" s="4">
        <v>1.6</v>
      </c>
      <c r="E7367" s="4">
        <v>0.5</v>
      </c>
    </row>
    <row r="7368" spans="1:5" x14ac:dyDescent="0.25">
      <c r="A7368" s="4" t="s">
        <v>53</v>
      </c>
      <c r="B7368" s="4" t="s">
        <v>52</v>
      </c>
      <c r="C7368" s="5">
        <v>45317</v>
      </c>
      <c r="D7368" s="4">
        <v>1.3</v>
      </c>
      <c r="E7368" s="4">
        <v>0.41</v>
      </c>
    </row>
    <row r="7369" spans="1:5" x14ac:dyDescent="0.25">
      <c r="A7369" s="4" t="s">
        <v>53</v>
      </c>
      <c r="B7369" s="4" t="s">
        <v>52</v>
      </c>
      <c r="C7369" s="5">
        <v>45317</v>
      </c>
      <c r="D7369" s="4">
        <v>1.6</v>
      </c>
      <c r="E7369" s="4">
        <v>0.5</v>
      </c>
    </row>
    <row r="7370" spans="1:5" x14ac:dyDescent="0.25">
      <c r="A7370" s="4" t="s">
        <v>53</v>
      </c>
      <c r="B7370" s="4" t="s">
        <v>52</v>
      </c>
      <c r="C7370" s="5">
        <v>45317</v>
      </c>
      <c r="D7370" s="4">
        <v>1.3</v>
      </c>
      <c r="E7370" s="4">
        <v>0.41</v>
      </c>
    </row>
    <row r="7371" spans="1:5" x14ac:dyDescent="0.25">
      <c r="A7371" s="4" t="s">
        <v>53</v>
      </c>
      <c r="B7371" s="4" t="s">
        <v>52</v>
      </c>
      <c r="C7371" s="5">
        <v>45317</v>
      </c>
      <c r="D7371" s="4">
        <v>1.6</v>
      </c>
      <c r="E7371" s="4">
        <v>0.5</v>
      </c>
    </row>
    <row r="7372" spans="1:5" x14ac:dyDescent="0.25">
      <c r="A7372" s="4" t="s">
        <v>53</v>
      </c>
      <c r="B7372" s="4" t="s">
        <v>52</v>
      </c>
      <c r="C7372" s="5">
        <v>45317</v>
      </c>
      <c r="D7372" s="4">
        <v>1.3</v>
      </c>
      <c r="E7372" s="4">
        <v>0.41</v>
      </c>
    </row>
    <row r="7373" spans="1:5" x14ac:dyDescent="0.25">
      <c r="A7373" s="4" t="s">
        <v>53</v>
      </c>
      <c r="B7373" s="4" t="s">
        <v>52</v>
      </c>
      <c r="C7373" s="5">
        <v>45317</v>
      </c>
      <c r="D7373" s="4">
        <v>3.9</v>
      </c>
      <c r="E7373" s="4">
        <v>1.25</v>
      </c>
    </row>
    <row r="7374" spans="1:5" x14ac:dyDescent="0.25">
      <c r="A7374" s="4" t="s">
        <v>53</v>
      </c>
      <c r="B7374" s="4" t="s">
        <v>52</v>
      </c>
      <c r="C7374" s="5">
        <v>45320</v>
      </c>
      <c r="D7374" s="4">
        <v>15.4</v>
      </c>
      <c r="E7374" s="4">
        <v>5</v>
      </c>
    </row>
    <row r="7375" spans="1:5" x14ac:dyDescent="0.25">
      <c r="A7375" s="4" t="s">
        <v>53</v>
      </c>
      <c r="B7375" s="4" t="s">
        <v>52</v>
      </c>
      <c r="C7375" s="5">
        <v>45320</v>
      </c>
      <c r="D7375" s="4">
        <v>13.3</v>
      </c>
      <c r="E7375" s="4">
        <v>4.32</v>
      </c>
    </row>
    <row r="7376" spans="1:5" x14ac:dyDescent="0.25">
      <c r="A7376" s="4" t="s">
        <v>53</v>
      </c>
      <c r="B7376" s="4" t="s">
        <v>52</v>
      </c>
      <c r="C7376" s="5">
        <v>45320</v>
      </c>
      <c r="D7376" s="4">
        <v>4.9000000000000004</v>
      </c>
      <c r="E7376" s="4">
        <v>1.59</v>
      </c>
    </row>
    <row r="7377" spans="1:5" x14ac:dyDescent="0.25">
      <c r="A7377" s="4" t="s">
        <v>53</v>
      </c>
      <c r="B7377" s="4" t="s">
        <v>52</v>
      </c>
      <c r="C7377" s="5">
        <v>45320</v>
      </c>
      <c r="D7377" s="4">
        <v>4.9000000000000004</v>
      </c>
      <c r="E7377" s="4">
        <v>1.59</v>
      </c>
    </row>
    <row r="7378" spans="1:5" x14ac:dyDescent="0.25">
      <c r="A7378" s="4" t="s">
        <v>53</v>
      </c>
      <c r="B7378" s="4" t="s">
        <v>52</v>
      </c>
      <c r="C7378" s="5">
        <v>45320</v>
      </c>
      <c r="D7378" s="4">
        <v>4.9000000000000004</v>
      </c>
      <c r="E7378" s="4">
        <v>1.59</v>
      </c>
    </row>
    <row r="7379" spans="1:5" x14ac:dyDescent="0.25">
      <c r="A7379" s="4" t="s">
        <v>53</v>
      </c>
      <c r="B7379" s="4" t="s">
        <v>52</v>
      </c>
      <c r="C7379" s="5">
        <v>45320</v>
      </c>
      <c r="D7379" s="4">
        <v>4.9000000000000004</v>
      </c>
      <c r="E7379" s="4">
        <v>1.59</v>
      </c>
    </row>
    <row r="7380" spans="1:5" x14ac:dyDescent="0.25">
      <c r="A7380" s="4" t="s">
        <v>53</v>
      </c>
      <c r="B7380" s="4" t="s">
        <v>52</v>
      </c>
      <c r="C7380" s="5">
        <v>45320</v>
      </c>
      <c r="D7380" s="4">
        <v>18.5</v>
      </c>
      <c r="E7380" s="4">
        <v>6</v>
      </c>
    </row>
    <row r="7381" spans="1:5" x14ac:dyDescent="0.25">
      <c r="A7381" s="4" t="s">
        <v>53</v>
      </c>
      <c r="B7381" s="4" t="s">
        <v>52</v>
      </c>
      <c r="C7381" s="5">
        <v>45321</v>
      </c>
      <c r="D7381" s="4">
        <v>18.7</v>
      </c>
      <c r="E7381" s="4">
        <v>6.06</v>
      </c>
    </row>
    <row r="7382" spans="1:5" x14ac:dyDescent="0.25">
      <c r="A7382" s="4" t="s">
        <v>53</v>
      </c>
      <c r="B7382" s="4" t="s">
        <v>52</v>
      </c>
      <c r="C7382" s="5">
        <v>45321</v>
      </c>
      <c r="D7382" s="4">
        <v>7.4</v>
      </c>
      <c r="E7382" s="4">
        <v>2.35</v>
      </c>
    </row>
    <row r="7383" spans="1:5" x14ac:dyDescent="0.25">
      <c r="A7383" s="4" t="s">
        <v>53</v>
      </c>
      <c r="B7383" s="4" t="s">
        <v>52</v>
      </c>
      <c r="C7383" s="5">
        <v>45321</v>
      </c>
      <c r="D7383" s="4">
        <v>2.2999999999999998</v>
      </c>
      <c r="E7383" s="4">
        <v>0.72</v>
      </c>
    </row>
    <row r="7384" spans="1:5" x14ac:dyDescent="0.25">
      <c r="A7384" s="4" t="s">
        <v>53</v>
      </c>
      <c r="B7384" s="4" t="s">
        <v>52</v>
      </c>
      <c r="C7384" s="5">
        <v>45321</v>
      </c>
      <c r="D7384" s="4">
        <v>13.7</v>
      </c>
      <c r="E7384" s="4">
        <v>4.4400000000000004</v>
      </c>
    </row>
    <row r="7385" spans="1:5" x14ac:dyDescent="0.25">
      <c r="A7385" s="4" t="s">
        <v>53</v>
      </c>
      <c r="B7385" s="4" t="s">
        <v>52</v>
      </c>
      <c r="C7385" s="5">
        <v>45321</v>
      </c>
      <c r="D7385" s="4">
        <v>14.2</v>
      </c>
      <c r="E7385" s="4">
        <v>4.53</v>
      </c>
    </row>
    <row r="7386" spans="1:5" x14ac:dyDescent="0.25">
      <c r="A7386" s="4" t="s">
        <v>53</v>
      </c>
      <c r="B7386" s="4" t="s">
        <v>52</v>
      </c>
      <c r="C7386" s="5">
        <v>45321</v>
      </c>
      <c r="D7386" s="4">
        <v>13.7</v>
      </c>
      <c r="E7386" s="4">
        <v>4.4400000000000004</v>
      </c>
    </row>
    <row r="7387" spans="1:5" x14ac:dyDescent="0.25">
      <c r="A7387" s="4" t="s">
        <v>53</v>
      </c>
      <c r="B7387" s="4" t="s">
        <v>52</v>
      </c>
      <c r="C7387" s="5">
        <v>45321</v>
      </c>
      <c r="D7387" s="4">
        <v>14.2</v>
      </c>
      <c r="E7387" s="4">
        <v>4.53</v>
      </c>
    </row>
    <row r="7388" spans="1:5" x14ac:dyDescent="0.25">
      <c r="A7388" s="4" t="s">
        <v>53</v>
      </c>
      <c r="B7388" s="4" t="s">
        <v>52</v>
      </c>
      <c r="C7388" s="5">
        <v>45321</v>
      </c>
      <c r="D7388" s="4">
        <v>13.7</v>
      </c>
      <c r="E7388" s="4">
        <v>4.4400000000000004</v>
      </c>
    </row>
    <row r="7389" spans="1:5" x14ac:dyDescent="0.25">
      <c r="A7389" s="4" t="s">
        <v>53</v>
      </c>
      <c r="B7389" s="4" t="s">
        <v>52</v>
      </c>
      <c r="C7389" s="5">
        <v>45321</v>
      </c>
      <c r="D7389" s="4">
        <v>44.4</v>
      </c>
      <c r="E7389" s="4">
        <v>14.38</v>
      </c>
    </row>
    <row r="7390" spans="1:5" x14ac:dyDescent="0.25">
      <c r="A7390" s="4" t="s">
        <v>53</v>
      </c>
      <c r="B7390" s="4" t="s">
        <v>52</v>
      </c>
      <c r="C7390" s="5">
        <v>45322</v>
      </c>
      <c r="D7390" s="4">
        <v>8.8000000000000007</v>
      </c>
      <c r="E7390" s="4">
        <v>2.85</v>
      </c>
    </row>
    <row r="7391" spans="1:5" x14ac:dyDescent="0.25">
      <c r="A7391" s="4" t="s">
        <v>53</v>
      </c>
      <c r="B7391" s="4" t="s">
        <v>52</v>
      </c>
      <c r="C7391" s="5">
        <v>45322</v>
      </c>
      <c r="D7391" s="4">
        <v>10.6</v>
      </c>
      <c r="E7391" s="4">
        <v>3.43</v>
      </c>
    </row>
    <row r="7392" spans="1:5" x14ac:dyDescent="0.25">
      <c r="A7392" s="4" t="s">
        <v>53</v>
      </c>
      <c r="B7392" s="4" t="s">
        <v>52</v>
      </c>
      <c r="C7392" s="5">
        <v>45322</v>
      </c>
      <c r="D7392" s="4">
        <v>8.8000000000000007</v>
      </c>
      <c r="E7392" s="4">
        <v>2.85</v>
      </c>
    </row>
    <row r="7393" spans="1:5" x14ac:dyDescent="0.25">
      <c r="A7393" s="4" t="s">
        <v>53</v>
      </c>
      <c r="B7393" s="4" t="s">
        <v>52</v>
      </c>
      <c r="C7393" s="5">
        <v>45322</v>
      </c>
      <c r="D7393" s="4">
        <v>26.9</v>
      </c>
      <c r="E7393" s="4">
        <v>8.6999999999999993</v>
      </c>
    </row>
    <row r="7394" spans="1:5" x14ac:dyDescent="0.25">
      <c r="A7394" s="4" t="s">
        <v>53</v>
      </c>
      <c r="B7394" s="4" t="s">
        <v>52</v>
      </c>
      <c r="C7394" s="5">
        <v>45322</v>
      </c>
      <c r="D7394" s="4">
        <v>22</v>
      </c>
      <c r="E7394" s="4">
        <v>7.09</v>
      </c>
    </row>
    <row r="7395" spans="1:5" x14ac:dyDescent="0.25">
      <c r="A7395" s="4" t="s">
        <v>53</v>
      </c>
      <c r="B7395" s="4" t="s">
        <v>52</v>
      </c>
      <c r="C7395" s="5">
        <v>45322</v>
      </c>
      <c r="D7395" s="4">
        <v>26.9</v>
      </c>
      <c r="E7395" s="4">
        <v>8.6999999999999993</v>
      </c>
    </row>
    <row r="7396" spans="1:5" x14ac:dyDescent="0.25">
      <c r="A7396" s="4" t="s">
        <v>53</v>
      </c>
      <c r="B7396" s="4" t="s">
        <v>52</v>
      </c>
      <c r="C7396" s="5">
        <v>45322</v>
      </c>
      <c r="D7396" s="4">
        <v>22</v>
      </c>
      <c r="E7396" s="4">
        <v>7.09</v>
      </c>
    </row>
    <row r="7397" spans="1:5" x14ac:dyDescent="0.25">
      <c r="A7397" s="4" t="s">
        <v>53</v>
      </c>
      <c r="B7397" s="4" t="s">
        <v>52</v>
      </c>
      <c r="C7397" s="5">
        <v>45322</v>
      </c>
      <c r="D7397" s="4">
        <v>26</v>
      </c>
      <c r="E7397" s="4">
        <v>8.43</v>
      </c>
    </row>
    <row r="7398" spans="1:5" x14ac:dyDescent="0.25">
      <c r="A7398" s="4" t="s">
        <v>53</v>
      </c>
      <c r="B7398" s="4" t="s">
        <v>52</v>
      </c>
      <c r="C7398" s="5">
        <v>45322</v>
      </c>
      <c r="D7398" s="4">
        <v>24.2</v>
      </c>
      <c r="E7398" s="4">
        <v>7.85</v>
      </c>
    </row>
    <row r="7399" spans="1:5" x14ac:dyDescent="0.25">
      <c r="A7399" s="4" t="s">
        <v>53</v>
      </c>
      <c r="B7399" s="4" t="s">
        <v>52</v>
      </c>
      <c r="C7399" s="5">
        <v>45322</v>
      </c>
      <c r="D7399" s="4">
        <v>10.6</v>
      </c>
      <c r="E7399" s="4">
        <v>3.43</v>
      </c>
    </row>
    <row r="7400" spans="1:5" x14ac:dyDescent="0.25">
      <c r="A7400" s="4" t="s">
        <v>53</v>
      </c>
      <c r="B7400" s="4" t="s">
        <v>52</v>
      </c>
      <c r="C7400" s="5">
        <v>45323</v>
      </c>
      <c r="D7400" s="4">
        <v>8.8000000000000007</v>
      </c>
      <c r="E7400" s="4">
        <v>2.85</v>
      </c>
    </row>
    <row r="7401" spans="1:5" x14ac:dyDescent="0.25">
      <c r="A7401" s="4" t="s">
        <v>53</v>
      </c>
      <c r="B7401" s="4" t="s">
        <v>52</v>
      </c>
      <c r="C7401" s="5">
        <v>45323</v>
      </c>
      <c r="D7401" s="4">
        <v>10.6</v>
      </c>
      <c r="E7401" s="4">
        <v>3.43</v>
      </c>
    </row>
    <row r="7402" spans="1:5" x14ac:dyDescent="0.25">
      <c r="A7402" s="4" t="s">
        <v>53</v>
      </c>
      <c r="B7402" s="4" t="s">
        <v>52</v>
      </c>
      <c r="C7402" s="5">
        <v>45323</v>
      </c>
      <c r="D7402" s="4">
        <v>8.8000000000000007</v>
      </c>
      <c r="E7402" s="4">
        <v>2.85</v>
      </c>
    </row>
    <row r="7403" spans="1:5" x14ac:dyDescent="0.25">
      <c r="A7403" s="4" t="s">
        <v>53</v>
      </c>
      <c r="B7403" s="4" t="s">
        <v>52</v>
      </c>
      <c r="C7403" s="5">
        <v>45323</v>
      </c>
      <c r="D7403" s="4">
        <v>8.5</v>
      </c>
      <c r="E7403" s="4">
        <v>2.75</v>
      </c>
    </row>
    <row r="7404" spans="1:5" x14ac:dyDescent="0.25">
      <c r="A7404" s="4" t="s">
        <v>53</v>
      </c>
      <c r="B7404" s="4" t="s">
        <v>52</v>
      </c>
      <c r="C7404" s="5">
        <v>45323</v>
      </c>
      <c r="D7404" s="4">
        <v>5.9</v>
      </c>
      <c r="E7404" s="4">
        <v>1.91</v>
      </c>
    </row>
    <row r="7405" spans="1:5" x14ac:dyDescent="0.25">
      <c r="A7405" s="4" t="s">
        <v>53</v>
      </c>
      <c r="B7405" s="4" t="s">
        <v>52</v>
      </c>
      <c r="C7405" s="5">
        <v>45323</v>
      </c>
      <c r="D7405" s="4">
        <v>8.5</v>
      </c>
      <c r="E7405" s="4">
        <v>2.75</v>
      </c>
    </row>
    <row r="7406" spans="1:5" x14ac:dyDescent="0.25">
      <c r="A7406" s="4" t="s">
        <v>53</v>
      </c>
      <c r="B7406" s="4" t="s">
        <v>52</v>
      </c>
      <c r="C7406" s="5">
        <v>45323</v>
      </c>
      <c r="D7406" s="4">
        <v>5.9</v>
      </c>
      <c r="E7406" s="4">
        <v>1.91</v>
      </c>
    </row>
    <row r="7407" spans="1:5" x14ac:dyDescent="0.25">
      <c r="A7407" s="4" t="s">
        <v>53</v>
      </c>
      <c r="B7407" s="4" t="s">
        <v>52</v>
      </c>
      <c r="C7407" s="5">
        <v>45323</v>
      </c>
      <c r="D7407" s="4">
        <v>8.5</v>
      </c>
      <c r="E7407" s="4">
        <v>2.75</v>
      </c>
    </row>
    <row r="7408" spans="1:5" x14ac:dyDescent="0.25">
      <c r="A7408" s="4" t="s">
        <v>53</v>
      </c>
      <c r="B7408" s="4" t="s">
        <v>52</v>
      </c>
      <c r="C7408" s="5">
        <v>45323</v>
      </c>
      <c r="D7408" s="4">
        <v>5.9</v>
      </c>
      <c r="E7408" s="4">
        <v>1.91</v>
      </c>
    </row>
    <row r="7409" spans="1:5" x14ac:dyDescent="0.25">
      <c r="A7409" s="4" t="s">
        <v>53</v>
      </c>
      <c r="B7409" s="4" t="s">
        <v>52</v>
      </c>
      <c r="C7409" s="5">
        <v>45323</v>
      </c>
      <c r="D7409" s="4">
        <v>10.6</v>
      </c>
      <c r="E7409" s="4">
        <v>3.43</v>
      </c>
    </row>
    <row r="7410" spans="1:5" x14ac:dyDescent="0.25">
      <c r="A7410" s="4" t="s">
        <v>53</v>
      </c>
      <c r="B7410" s="4" t="s">
        <v>52</v>
      </c>
      <c r="C7410" s="5">
        <v>45324</v>
      </c>
      <c r="D7410" s="4">
        <v>2.4</v>
      </c>
      <c r="E7410" s="4">
        <v>0.75</v>
      </c>
    </row>
    <row r="7411" spans="1:5" x14ac:dyDescent="0.25">
      <c r="A7411" s="4" t="s">
        <v>53</v>
      </c>
      <c r="B7411" s="4" t="s">
        <v>52</v>
      </c>
      <c r="C7411" s="5">
        <v>45324</v>
      </c>
      <c r="D7411" s="4">
        <v>0.8</v>
      </c>
      <c r="E7411" s="4">
        <v>0.26</v>
      </c>
    </row>
    <row r="7412" spans="1:5" x14ac:dyDescent="0.25">
      <c r="A7412" s="4" t="s">
        <v>53</v>
      </c>
      <c r="B7412" s="4" t="s">
        <v>52</v>
      </c>
      <c r="C7412" s="5">
        <v>45324</v>
      </c>
      <c r="D7412" s="4">
        <v>1.3</v>
      </c>
      <c r="E7412" s="4">
        <v>0.41</v>
      </c>
    </row>
    <row r="7413" spans="1:5" x14ac:dyDescent="0.25">
      <c r="A7413" s="4" t="s">
        <v>53</v>
      </c>
      <c r="B7413" s="4" t="s">
        <v>52</v>
      </c>
      <c r="C7413" s="5">
        <v>45324</v>
      </c>
      <c r="D7413" s="4">
        <v>1.6</v>
      </c>
      <c r="E7413" s="4">
        <v>0.5</v>
      </c>
    </row>
    <row r="7414" spans="1:5" x14ac:dyDescent="0.25">
      <c r="A7414" s="4" t="s">
        <v>53</v>
      </c>
      <c r="B7414" s="4" t="s">
        <v>52</v>
      </c>
      <c r="C7414" s="5">
        <v>45324</v>
      </c>
      <c r="D7414" s="4">
        <v>1.3</v>
      </c>
      <c r="E7414" s="4">
        <v>0.41</v>
      </c>
    </row>
    <row r="7415" spans="1:5" x14ac:dyDescent="0.25">
      <c r="A7415" s="4" t="s">
        <v>53</v>
      </c>
      <c r="B7415" s="4" t="s">
        <v>52</v>
      </c>
      <c r="C7415" s="5">
        <v>45324</v>
      </c>
      <c r="D7415" s="4">
        <v>1.6</v>
      </c>
      <c r="E7415" s="4">
        <v>0.5</v>
      </c>
    </row>
    <row r="7416" spans="1:5" x14ac:dyDescent="0.25">
      <c r="A7416" s="4" t="s">
        <v>53</v>
      </c>
      <c r="B7416" s="4" t="s">
        <v>52</v>
      </c>
      <c r="C7416" s="5">
        <v>45324</v>
      </c>
      <c r="D7416" s="4">
        <v>1.3</v>
      </c>
      <c r="E7416" s="4">
        <v>0.41</v>
      </c>
    </row>
    <row r="7417" spans="1:5" x14ac:dyDescent="0.25">
      <c r="A7417" s="4" t="s">
        <v>53</v>
      </c>
      <c r="B7417" s="4" t="s">
        <v>52</v>
      </c>
      <c r="C7417" s="5">
        <v>45324</v>
      </c>
      <c r="D7417" s="4">
        <v>1.6</v>
      </c>
      <c r="E7417" s="4">
        <v>0.5</v>
      </c>
    </row>
    <row r="7418" spans="1:5" x14ac:dyDescent="0.25">
      <c r="A7418" s="4" t="s">
        <v>53</v>
      </c>
      <c r="B7418" s="4" t="s">
        <v>52</v>
      </c>
      <c r="C7418" s="5">
        <v>45324</v>
      </c>
      <c r="D7418" s="4">
        <v>1.3</v>
      </c>
      <c r="E7418" s="4">
        <v>0.41</v>
      </c>
    </row>
    <row r="7419" spans="1:5" x14ac:dyDescent="0.25">
      <c r="A7419" s="4" t="s">
        <v>53</v>
      </c>
      <c r="B7419" s="4" t="s">
        <v>52</v>
      </c>
      <c r="C7419" s="5">
        <v>45324</v>
      </c>
      <c r="D7419" s="4">
        <v>1.6</v>
      </c>
      <c r="E7419" s="4">
        <v>0.5</v>
      </c>
    </row>
    <row r="7420" spans="1:5" x14ac:dyDescent="0.25">
      <c r="A7420" s="4" t="s">
        <v>53</v>
      </c>
      <c r="B7420" s="4" t="s">
        <v>52</v>
      </c>
      <c r="C7420" s="5">
        <v>45324</v>
      </c>
      <c r="D7420" s="4">
        <v>1.3</v>
      </c>
      <c r="E7420" s="4">
        <v>0.41</v>
      </c>
    </row>
    <row r="7421" spans="1:5" x14ac:dyDescent="0.25">
      <c r="A7421" s="4" t="s">
        <v>53</v>
      </c>
      <c r="B7421" s="4" t="s">
        <v>52</v>
      </c>
      <c r="C7421" s="5">
        <v>45324</v>
      </c>
      <c r="D7421" s="4">
        <v>1.6</v>
      </c>
      <c r="E7421" s="4">
        <v>0.5</v>
      </c>
    </row>
    <row r="7422" spans="1:5" x14ac:dyDescent="0.25">
      <c r="A7422" s="4" t="s">
        <v>53</v>
      </c>
      <c r="B7422" s="4" t="s">
        <v>52</v>
      </c>
      <c r="C7422" s="5">
        <v>45324</v>
      </c>
      <c r="D7422" s="4">
        <v>1.3</v>
      </c>
      <c r="E7422" s="4">
        <v>0.41</v>
      </c>
    </row>
    <row r="7423" spans="1:5" x14ac:dyDescent="0.25">
      <c r="A7423" s="4" t="s">
        <v>53</v>
      </c>
      <c r="B7423" s="4" t="s">
        <v>52</v>
      </c>
      <c r="C7423" s="5">
        <v>45324</v>
      </c>
      <c r="D7423" s="4">
        <v>1.6</v>
      </c>
      <c r="E7423" s="4">
        <v>0.5</v>
      </c>
    </row>
    <row r="7424" spans="1:5" x14ac:dyDescent="0.25">
      <c r="A7424" s="4" t="s">
        <v>53</v>
      </c>
      <c r="B7424" s="4" t="s">
        <v>52</v>
      </c>
      <c r="C7424" s="5">
        <v>45324</v>
      </c>
      <c r="D7424" s="4">
        <v>1.3</v>
      </c>
      <c r="E7424" s="4">
        <v>0.41</v>
      </c>
    </row>
    <row r="7425" spans="1:5" x14ac:dyDescent="0.25">
      <c r="A7425" s="4" t="s">
        <v>53</v>
      </c>
      <c r="B7425" s="4" t="s">
        <v>52</v>
      </c>
      <c r="C7425" s="5">
        <v>45324</v>
      </c>
      <c r="D7425" s="4">
        <v>3.9</v>
      </c>
      <c r="E7425" s="4">
        <v>1.25</v>
      </c>
    </row>
    <row r="7426" spans="1:5" x14ac:dyDescent="0.25">
      <c r="A7426" s="4" t="s">
        <v>53</v>
      </c>
      <c r="B7426" s="4" t="s">
        <v>52</v>
      </c>
      <c r="C7426" s="5">
        <v>45327</v>
      </c>
      <c r="D7426" s="4">
        <v>27.9</v>
      </c>
      <c r="E7426" s="4">
        <v>9.0299999999999994</v>
      </c>
    </row>
    <row r="7427" spans="1:5" x14ac:dyDescent="0.25">
      <c r="A7427" s="4" t="s">
        <v>53</v>
      </c>
      <c r="B7427" s="4" t="s">
        <v>52</v>
      </c>
      <c r="C7427" s="5">
        <v>45327</v>
      </c>
      <c r="D7427" s="4">
        <v>31.7</v>
      </c>
      <c r="E7427" s="4">
        <v>10.27</v>
      </c>
    </row>
    <row r="7428" spans="1:5" x14ac:dyDescent="0.25">
      <c r="A7428" s="4" t="s">
        <v>53</v>
      </c>
      <c r="B7428" s="4" t="s">
        <v>52</v>
      </c>
      <c r="C7428" s="5">
        <v>45327</v>
      </c>
      <c r="D7428" s="4">
        <v>37.4</v>
      </c>
      <c r="E7428" s="4">
        <v>12.05</v>
      </c>
    </row>
    <row r="7429" spans="1:5" x14ac:dyDescent="0.25">
      <c r="A7429" s="4" t="s">
        <v>53</v>
      </c>
      <c r="B7429" s="4" t="s">
        <v>52</v>
      </c>
      <c r="C7429" s="5">
        <v>45327</v>
      </c>
      <c r="D7429" s="4">
        <v>1</v>
      </c>
      <c r="E7429" s="4">
        <v>0.31</v>
      </c>
    </row>
    <row r="7430" spans="1:5" x14ac:dyDescent="0.25">
      <c r="A7430" s="4" t="s">
        <v>53</v>
      </c>
      <c r="B7430" s="4" t="s">
        <v>52</v>
      </c>
      <c r="C7430" s="5">
        <v>45327</v>
      </c>
      <c r="D7430" s="4">
        <v>29.2</v>
      </c>
      <c r="E7430" s="4">
        <v>9.4700000000000006</v>
      </c>
    </row>
    <row r="7431" spans="1:5" x14ac:dyDescent="0.25">
      <c r="A7431" s="4" t="s">
        <v>53</v>
      </c>
      <c r="B7431" s="4" t="s">
        <v>52</v>
      </c>
      <c r="C7431" s="5">
        <v>45327</v>
      </c>
      <c r="D7431" s="4">
        <v>24.4</v>
      </c>
      <c r="E7431" s="4">
        <v>7.85</v>
      </c>
    </row>
    <row r="7432" spans="1:5" x14ac:dyDescent="0.25">
      <c r="A7432" s="4" t="s">
        <v>53</v>
      </c>
      <c r="B7432" s="4" t="s">
        <v>52</v>
      </c>
      <c r="C7432" s="5">
        <v>45327</v>
      </c>
      <c r="D7432" s="4">
        <v>23.8</v>
      </c>
      <c r="E7432" s="4">
        <v>7.67</v>
      </c>
    </row>
    <row r="7433" spans="1:5" x14ac:dyDescent="0.25">
      <c r="A7433" s="4" t="s">
        <v>53</v>
      </c>
      <c r="B7433" s="4" t="s">
        <v>52</v>
      </c>
      <c r="C7433" s="5">
        <v>45327</v>
      </c>
      <c r="D7433" s="4">
        <v>24.4</v>
      </c>
      <c r="E7433" s="4">
        <v>7.85</v>
      </c>
    </row>
    <row r="7434" spans="1:5" x14ac:dyDescent="0.25">
      <c r="A7434" s="4" t="s">
        <v>53</v>
      </c>
      <c r="B7434" s="4" t="s">
        <v>52</v>
      </c>
      <c r="C7434" s="5">
        <v>45327</v>
      </c>
      <c r="D7434" s="4">
        <v>13.8</v>
      </c>
      <c r="E7434" s="4">
        <v>4.47</v>
      </c>
    </row>
    <row r="7435" spans="1:5" x14ac:dyDescent="0.25">
      <c r="A7435" s="4" t="s">
        <v>53</v>
      </c>
      <c r="B7435" s="4" t="s">
        <v>52</v>
      </c>
      <c r="C7435" s="5">
        <v>45330</v>
      </c>
      <c r="D7435" s="4">
        <v>15.4</v>
      </c>
      <c r="E7435" s="4">
        <v>5</v>
      </c>
    </row>
    <row r="7436" spans="1:5" x14ac:dyDescent="0.25">
      <c r="A7436" s="4" t="s">
        <v>53</v>
      </c>
      <c r="B7436" s="4" t="s">
        <v>52</v>
      </c>
      <c r="C7436" s="5">
        <v>45330</v>
      </c>
      <c r="D7436" s="4">
        <v>28.7</v>
      </c>
      <c r="E7436" s="4">
        <v>9.3000000000000007</v>
      </c>
    </row>
    <row r="7437" spans="1:5" x14ac:dyDescent="0.25">
      <c r="A7437" s="4" t="s">
        <v>53</v>
      </c>
      <c r="B7437" s="4" t="s">
        <v>52</v>
      </c>
      <c r="C7437" s="5">
        <v>45330</v>
      </c>
      <c r="D7437" s="4">
        <v>27</v>
      </c>
      <c r="E7437" s="4">
        <v>8.76</v>
      </c>
    </row>
    <row r="7438" spans="1:5" x14ac:dyDescent="0.25">
      <c r="A7438" s="4" t="s">
        <v>53</v>
      </c>
      <c r="B7438" s="4" t="s">
        <v>52</v>
      </c>
      <c r="C7438" s="5">
        <v>45330</v>
      </c>
      <c r="D7438" s="4">
        <v>28.7</v>
      </c>
      <c r="E7438" s="4">
        <v>9.3000000000000007</v>
      </c>
    </row>
    <row r="7439" spans="1:5" x14ac:dyDescent="0.25">
      <c r="A7439" s="4" t="s">
        <v>53</v>
      </c>
      <c r="B7439" s="4" t="s">
        <v>52</v>
      </c>
      <c r="C7439" s="5">
        <v>45330</v>
      </c>
      <c r="D7439" s="4">
        <v>0.5</v>
      </c>
      <c r="E7439" s="4">
        <v>0.16</v>
      </c>
    </row>
    <row r="7440" spans="1:5" x14ac:dyDescent="0.25">
      <c r="A7440" s="4" t="s">
        <v>53</v>
      </c>
      <c r="B7440" s="4" t="s">
        <v>52</v>
      </c>
      <c r="C7440" s="5">
        <v>45330</v>
      </c>
      <c r="D7440" s="4">
        <v>2.5</v>
      </c>
      <c r="E7440" s="4">
        <v>0.81</v>
      </c>
    </row>
    <row r="7441" spans="1:5" x14ac:dyDescent="0.25">
      <c r="A7441" s="4" t="s">
        <v>53</v>
      </c>
      <c r="B7441" s="4" t="s">
        <v>52</v>
      </c>
      <c r="C7441" s="5">
        <v>45331</v>
      </c>
      <c r="D7441" s="4">
        <v>30.6</v>
      </c>
      <c r="E7441" s="4">
        <v>9.92</v>
      </c>
    </row>
    <row r="7442" spans="1:5" x14ac:dyDescent="0.25">
      <c r="A7442" s="4" t="s">
        <v>53</v>
      </c>
      <c r="B7442" s="4" t="s">
        <v>52</v>
      </c>
      <c r="C7442" s="5">
        <v>45331</v>
      </c>
      <c r="D7442" s="4">
        <v>28.8</v>
      </c>
      <c r="E7442" s="4">
        <v>9.34</v>
      </c>
    </row>
    <row r="7443" spans="1:5" x14ac:dyDescent="0.25">
      <c r="A7443" s="4" t="s">
        <v>53</v>
      </c>
      <c r="B7443" s="4" t="s">
        <v>52</v>
      </c>
      <c r="C7443" s="5">
        <v>45331</v>
      </c>
      <c r="D7443" s="4">
        <v>28.8</v>
      </c>
      <c r="E7443" s="4">
        <v>9.34</v>
      </c>
    </row>
    <row r="7444" spans="1:5" x14ac:dyDescent="0.25">
      <c r="A7444" s="4" t="s">
        <v>53</v>
      </c>
      <c r="B7444" s="4" t="s">
        <v>52</v>
      </c>
      <c r="C7444" s="5">
        <v>45331</v>
      </c>
      <c r="D7444" s="4">
        <v>30.6</v>
      </c>
      <c r="E7444" s="4">
        <v>9.92</v>
      </c>
    </row>
    <row r="7445" spans="1:5" x14ac:dyDescent="0.25">
      <c r="A7445" s="4" t="s">
        <v>53</v>
      </c>
      <c r="B7445" s="4" t="s">
        <v>52</v>
      </c>
      <c r="C7445" s="5">
        <v>45334</v>
      </c>
      <c r="D7445" s="4">
        <v>15.4</v>
      </c>
      <c r="E7445" s="4">
        <v>5</v>
      </c>
    </row>
    <row r="7446" spans="1:5" x14ac:dyDescent="0.25">
      <c r="A7446" s="4" t="s">
        <v>53</v>
      </c>
      <c r="B7446" s="4" t="s">
        <v>52</v>
      </c>
      <c r="C7446" s="5">
        <v>45334</v>
      </c>
      <c r="D7446" s="4">
        <v>15.4</v>
      </c>
      <c r="E7446" s="4">
        <v>5</v>
      </c>
    </row>
    <row r="7447" spans="1:5" x14ac:dyDescent="0.25">
      <c r="A7447" s="4" t="s">
        <v>53</v>
      </c>
      <c r="B7447" s="4" t="s">
        <v>52</v>
      </c>
      <c r="C7447" s="5">
        <v>45334</v>
      </c>
      <c r="D7447" s="4">
        <v>15.4</v>
      </c>
      <c r="E7447" s="4">
        <v>5</v>
      </c>
    </row>
    <row r="7448" spans="1:5" x14ac:dyDescent="0.25">
      <c r="A7448" s="4" t="s">
        <v>53</v>
      </c>
      <c r="B7448" s="4" t="s">
        <v>52</v>
      </c>
      <c r="C7448" s="5">
        <v>45334</v>
      </c>
      <c r="D7448" s="4">
        <v>15.4</v>
      </c>
      <c r="E7448" s="4">
        <v>5</v>
      </c>
    </row>
    <row r="7449" spans="1:5" x14ac:dyDescent="0.25">
      <c r="A7449" s="4" t="s">
        <v>53</v>
      </c>
      <c r="B7449" s="4" t="s">
        <v>52</v>
      </c>
      <c r="C7449" s="5">
        <v>45334</v>
      </c>
      <c r="D7449" s="4">
        <v>15.4</v>
      </c>
      <c r="E7449" s="4">
        <v>5</v>
      </c>
    </row>
    <row r="7450" spans="1:5" x14ac:dyDescent="0.25">
      <c r="A7450" s="4" t="s">
        <v>53</v>
      </c>
      <c r="B7450" s="4" t="s">
        <v>52</v>
      </c>
      <c r="C7450" s="5">
        <v>45334</v>
      </c>
      <c r="D7450" s="4">
        <v>15.4</v>
      </c>
      <c r="E7450" s="4">
        <v>5</v>
      </c>
    </row>
    <row r="7451" spans="1:5" x14ac:dyDescent="0.25">
      <c r="A7451" s="4" t="s">
        <v>53</v>
      </c>
      <c r="B7451" s="4" t="s">
        <v>52</v>
      </c>
      <c r="C7451" s="5">
        <v>45334</v>
      </c>
      <c r="D7451" s="4">
        <v>15.4</v>
      </c>
      <c r="E7451" s="4">
        <v>5</v>
      </c>
    </row>
    <row r="7452" spans="1:5" x14ac:dyDescent="0.25">
      <c r="A7452" s="4" t="s">
        <v>53</v>
      </c>
      <c r="B7452" s="4" t="s">
        <v>52</v>
      </c>
      <c r="C7452" s="5">
        <v>45334</v>
      </c>
      <c r="D7452" s="4">
        <v>15.4</v>
      </c>
      <c r="E7452" s="4">
        <v>5</v>
      </c>
    </row>
    <row r="7453" spans="1:5" x14ac:dyDescent="0.25">
      <c r="A7453" s="4" t="s">
        <v>53</v>
      </c>
      <c r="B7453" s="4" t="s">
        <v>52</v>
      </c>
      <c r="C7453" s="5">
        <v>45334</v>
      </c>
      <c r="D7453" s="4">
        <v>15.4</v>
      </c>
      <c r="E7453" s="4">
        <v>5</v>
      </c>
    </row>
    <row r="7454" spans="1:5" x14ac:dyDescent="0.25">
      <c r="A7454" s="4" t="s">
        <v>53</v>
      </c>
      <c r="B7454" s="4" t="s">
        <v>52</v>
      </c>
      <c r="C7454" s="5">
        <v>45334</v>
      </c>
      <c r="D7454" s="4">
        <v>15.4</v>
      </c>
      <c r="E7454" s="4">
        <v>5</v>
      </c>
    </row>
    <row r="7455" spans="1:5" x14ac:dyDescent="0.25">
      <c r="A7455" s="4" t="s">
        <v>53</v>
      </c>
      <c r="B7455" s="4" t="s">
        <v>52</v>
      </c>
      <c r="C7455" s="5">
        <v>45334</v>
      </c>
      <c r="D7455" s="4">
        <v>15.4</v>
      </c>
      <c r="E7455" s="4">
        <v>5</v>
      </c>
    </row>
    <row r="7456" spans="1:5" x14ac:dyDescent="0.25">
      <c r="A7456" s="4" t="s">
        <v>53</v>
      </c>
      <c r="B7456" s="4" t="s">
        <v>52</v>
      </c>
      <c r="C7456" s="5">
        <v>45334</v>
      </c>
      <c r="D7456" s="4">
        <v>15.4</v>
      </c>
      <c r="E7456" s="4">
        <v>5</v>
      </c>
    </row>
    <row r="7457" spans="1:5" x14ac:dyDescent="0.25">
      <c r="A7457" s="4" t="s">
        <v>53</v>
      </c>
      <c r="B7457" s="4" t="s">
        <v>52</v>
      </c>
      <c r="C7457" s="5">
        <v>45334</v>
      </c>
      <c r="D7457" s="4">
        <v>15.4</v>
      </c>
      <c r="E7457" s="4">
        <v>5</v>
      </c>
    </row>
    <row r="7458" spans="1:5" x14ac:dyDescent="0.25">
      <c r="A7458" s="4" t="s">
        <v>53</v>
      </c>
      <c r="B7458" s="4" t="s">
        <v>52</v>
      </c>
      <c r="C7458" s="5">
        <v>45334</v>
      </c>
      <c r="D7458" s="4">
        <v>15.4</v>
      </c>
      <c r="E7458" s="4">
        <v>5</v>
      </c>
    </row>
    <row r="7459" spans="1:5" x14ac:dyDescent="0.25">
      <c r="A7459" s="4" t="s">
        <v>53</v>
      </c>
      <c r="B7459" s="4" t="s">
        <v>52</v>
      </c>
      <c r="C7459" s="5">
        <v>45335</v>
      </c>
      <c r="D7459" s="4">
        <v>11</v>
      </c>
      <c r="E7459" s="4">
        <v>3.57</v>
      </c>
    </row>
    <row r="7460" spans="1:5" x14ac:dyDescent="0.25">
      <c r="A7460" s="4" t="s">
        <v>53</v>
      </c>
      <c r="B7460" s="4" t="s">
        <v>52</v>
      </c>
      <c r="C7460" s="5">
        <v>45335</v>
      </c>
      <c r="D7460" s="4">
        <v>11</v>
      </c>
      <c r="E7460" s="4">
        <v>3.57</v>
      </c>
    </row>
    <row r="7461" spans="1:5" x14ac:dyDescent="0.25">
      <c r="A7461" s="4" t="s">
        <v>53</v>
      </c>
      <c r="B7461" s="4" t="s">
        <v>52</v>
      </c>
      <c r="C7461" s="5">
        <v>45335</v>
      </c>
      <c r="D7461" s="4">
        <v>15.4</v>
      </c>
      <c r="E7461" s="4">
        <v>5</v>
      </c>
    </row>
    <row r="7462" spans="1:5" x14ac:dyDescent="0.25">
      <c r="A7462" s="4" t="s">
        <v>53</v>
      </c>
      <c r="B7462" s="4" t="s">
        <v>52</v>
      </c>
      <c r="C7462" s="5">
        <v>45335</v>
      </c>
      <c r="D7462" s="4">
        <v>15.4</v>
      </c>
      <c r="E7462" s="4">
        <v>5</v>
      </c>
    </row>
    <row r="7463" spans="1:5" x14ac:dyDescent="0.25">
      <c r="A7463" s="4" t="s">
        <v>53</v>
      </c>
      <c r="B7463" s="4" t="s">
        <v>52</v>
      </c>
      <c r="C7463" s="5">
        <v>45335</v>
      </c>
      <c r="D7463" s="4">
        <v>15.4</v>
      </c>
      <c r="E7463" s="4">
        <v>5</v>
      </c>
    </row>
    <row r="7464" spans="1:5" x14ac:dyDescent="0.25">
      <c r="A7464" s="4" t="s">
        <v>53</v>
      </c>
      <c r="B7464" s="4" t="s">
        <v>52</v>
      </c>
      <c r="C7464" s="5">
        <v>45335</v>
      </c>
      <c r="D7464" s="4">
        <v>15.4</v>
      </c>
      <c r="E7464" s="4">
        <v>5</v>
      </c>
    </row>
    <row r="7465" spans="1:5" x14ac:dyDescent="0.25">
      <c r="A7465" s="4" t="s">
        <v>53</v>
      </c>
      <c r="B7465" s="4" t="s">
        <v>52</v>
      </c>
      <c r="C7465" s="5">
        <v>45335</v>
      </c>
      <c r="D7465" s="4">
        <v>15.4</v>
      </c>
      <c r="E7465" s="4">
        <v>5</v>
      </c>
    </row>
    <row r="7466" spans="1:5" x14ac:dyDescent="0.25">
      <c r="A7466" s="4" t="s">
        <v>53</v>
      </c>
      <c r="B7466" s="4" t="s">
        <v>52</v>
      </c>
      <c r="C7466" s="5">
        <v>45335</v>
      </c>
      <c r="D7466" s="4">
        <v>15.4</v>
      </c>
      <c r="E7466" s="4">
        <v>5</v>
      </c>
    </row>
    <row r="7467" spans="1:5" x14ac:dyDescent="0.25">
      <c r="A7467" s="4" t="s">
        <v>53</v>
      </c>
      <c r="B7467" s="4" t="s">
        <v>52</v>
      </c>
      <c r="C7467" s="5">
        <v>45335</v>
      </c>
      <c r="D7467" s="4">
        <v>15.4</v>
      </c>
      <c r="E7467" s="4">
        <v>5</v>
      </c>
    </row>
    <row r="7468" spans="1:5" x14ac:dyDescent="0.25">
      <c r="A7468" s="4" t="s">
        <v>53</v>
      </c>
      <c r="B7468" s="4" t="s">
        <v>52</v>
      </c>
      <c r="C7468" s="5">
        <v>45335</v>
      </c>
      <c r="D7468" s="4">
        <v>15.4</v>
      </c>
      <c r="E7468" s="4">
        <v>5</v>
      </c>
    </row>
    <row r="7469" spans="1:5" x14ac:dyDescent="0.25">
      <c r="A7469" s="4" t="s">
        <v>53</v>
      </c>
      <c r="B7469" s="4" t="s">
        <v>52</v>
      </c>
      <c r="C7469" s="5">
        <v>45335</v>
      </c>
      <c r="D7469" s="4">
        <v>15.4</v>
      </c>
      <c r="E7469" s="4">
        <v>5</v>
      </c>
    </row>
    <row r="7470" spans="1:5" x14ac:dyDescent="0.25">
      <c r="A7470" s="4" t="s">
        <v>53</v>
      </c>
      <c r="B7470" s="4" t="s">
        <v>52</v>
      </c>
      <c r="C7470" s="5">
        <v>45335</v>
      </c>
      <c r="D7470" s="4">
        <v>15.4</v>
      </c>
      <c r="E7470" s="4">
        <v>5</v>
      </c>
    </row>
    <row r="7471" spans="1:5" x14ac:dyDescent="0.25">
      <c r="A7471" s="4" t="s">
        <v>53</v>
      </c>
      <c r="B7471" s="4" t="s">
        <v>52</v>
      </c>
      <c r="C7471" s="5">
        <v>45335</v>
      </c>
      <c r="D7471" s="4">
        <v>15.4</v>
      </c>
      <c r="E7471" s="4">
        <v>5</v>
      </c>
    </row>
    <row r="7472" spans="1:5" x14ac:dyDescent="0.25">
      <c r="A7472" s="4" t="s">
        <v>53</v>
      </c>
      <c r="B7472" s="4" t="s">
        <v>52</v>
      </c>
      <c r="C7472" s="5">
        <v>45335</v>
      </c>
      <c r="D7472" s="4">
        <v>15.4</v>
      </c>
      <c r="E7472" s="4">
        <v>5</v>
      </c>
    </row>
    <row r="7473" spans="1:5" x14ac:dyDescent="0.25">
      <c r="A7473" s="4" t="s">
        <v>53</v>
      </c>
      <c r="B7473" s="4" t="s">
        <v>52</v>
      </c>
      <c r="C7473" s="5">
        <v>45336</v>
      </c>
      <c r="D7473" s="4">
        <v>29.3</v>
      </c>
      <c r="E7473" s="4">
        <v>9.5</v>
      </c>
    </row>
    <row r="7474" spans="1:5" x14ac:dyDescent="0.25">
      <c r="A7474" s="4" t="s">
        <v>53</v>
      </c>
      <c r="B7474" s="4" t="s">
        <v>52</v>
      </c>
      <c r="C7474" s="5">
        <v>45336</v>
      </c>
      <c r="D7474" s="4">
        <v>2.4</v>
      </c>
      <c r="E7474" s="4">
        <v>0.75</v>
      </c>
    </row>
    <row r="7475" spans="1:5" x14ac:dyDescent="0.25">
      <c r="A7475" s="4" t="s">
        <v>53</v>
      </c>
      <c r="B7475" s="4" t="s">
        <v>52</v>
      </c>
      <c r="C7475" s="5">
        <v>45336</v>
      </c>
      <c r="D7475" s="4">
        <v>30.6</v>
      </c>
      <c r="E7475" s="4">
        <v>9.92</v>
      </c>
    </row>
    <row r="7476" spans="1:5" x14ac:dyDescent="0.25">
      <c r="A7476" s="4" t="s">
        <v>53</v>
      </c>
      <c r="B7476" s="4" t="s">
        <v>52</v>
      </c>
      <c r="C7476" s="5">
        <v>45336</v>
      </c>
      <c r="D7476" s="4">
        <v>29.3</v>
      </c>
      <c r="E7476" s="4">
        <v>9.5</v>
      </c>
    </row>
    <row r="7477" spans="1:5" x14ac:dyDescent="0.25">
      <c r="A7477" s="4" t="s">
        <v>53</v>
      </c>
      <c r="B7477" s="4" t="s">
        <v>52</v>
      </c>
      <c r="C7477" s="5">
        <v>45336</v>
      </c>
      <c r="D7477" s="4">
        <v>2.4</v>
      </c>
      <c r="E7477" s="4">
        <v>0.75</v>
      </c>
    </row>
    <row r="7478" spans="1:5" x14ac:dyDescent="0.25">
      <c r="A7478" s="4" t="s">
        <v>53</v>
      </c>
      <c r="B7478" s="4" t="s">
        <v>52</v>
      </c>
      <c r="C7478" s="5">
        <v>45336</v>
      </c>
      <c r="D7478" s="4">
        <v>2.4</v>
      </c>
      <c r="E7478" s="4">
        <v>0.75</v>
      </c>
    </row>
    <row r="7479" spans="1:5" x14ac:dyDescent="0.25">
      <c r="A7479" s="4" t="s">
        <v>53</v>
      </c>
      <c r="B7479" s="4" t="s">
        <v>52</v>
      </c>
      <c r="C7479" s="5">
        <v>45336</v>
      </c>
      <c r="D7479" s="4">
        <v>2.4</v>
      </c>
      <c r="E7479" s="4">
        <v>0.75</v>
      </c>
    </row>
    <row r="7480" spans="1:5" x14ac:dyDescent="0.25">
      <c r="A7480" s="4" t="s">
        <v>53</v>
      </c>
      <c r="B7480" s="4" t="s">
        <v>52</v>
      </c>
      <c r="C7480" s="5">
        <v>45336</v>
      </c>
      <c r="D7480" s="4">
        <v>28.8</v>
      </c>
      <c r="E7480" s="4">
        <v>9.34</v>
      </c>
    </row>
    <row r="7481" spans="1:5" x14ac:dyDescent="0.25">
      <c r="A7481" s="4" t="s">
        <v>53</v>
      </c>
      <c r="B7481" s="4" t="s">
        <v>52</v>
      </c>
      <c r="C7481" s="5">
        <v>45336</v>
      </c>
      <c r="D7481" s="4">
        <v>15.4</v>
      </c>
      <c r="E7481" s="4">
        <v>5</v>
      </c>
    </row>
    <row r="7482" spans="1:5" x14ac:dyDescent="0.25">
      <c r="A7482" s="4" t="s">
        <v>53</v>
      </c>
      <c r="B7482" s="4" t="s">
        <v>52</v>
      </c>
      <c r="C7482" s="5">
        <v>45337</v>
      </c>
      <c r="D7482" s="4">
        <v>20.100000000000001</v>
      </c>
      <c r="E7482" s="4">
        <v>6.52</v>
      </c>
    </row>
    <row r="7483" spans="1:5" x14ac:dyDescent="0.25">
      <c r="A7483" s="4" t="s">
        <v>53</v>
      </c>
      <c r="B7483" s="4" t="s">
        <v>52</v>
      </c>
      <c r="C7483" s="5">
        <v>45337</v>
      </c>
      <c r="D7483" s="4">
        <v>20.100000000000001</v>
      </c>
      <c r="E7483" s="4">
        <v>6.52</v>
      </c>
    </row>
    <row r="7484" spans="1:5" x14ac:dyDescent="0.25">
      <c r="A7484" s="4" t="s">
        <v>53</v>
      </c>
      <c r="B7484" s="4" t="s">
        <v>52</v>
      </c>
      <c r="C7484" s="5">
        <v>45337</v>
      </c>
      <c r="D7484" s="4">
        <v>2.7</v>
      </c>
      <c r="E7484" s="4">
        <v>0.85</v>
      </c>
    </row>
    <row r="7485" spans="1:5" x14ac:dyDescent="0.25">
      <c r="A7485" s="4" t="s">
        <v>53</v>
      </c>
      <c r="B7485" s="4" t="s">
        <v>52</v>
      </c>
      <c r="C7485" s="5">
        <v>45337</v>
      </c>
      <c r="D7485" s="4">
        <v>0.7</v>
      </c>
      <c r="E7485" s="4">
        <v>0.23</v>
      </c>
    </row>
    <row r="7486" spans="1:5" x14ac:dyDescent="0.25">
      <c r="A7486" s="4" t="s">
        <v>53</v>
      </c>
      <c r="B7486" s="4" t="s">
        <v>52</v>
      </c>
      <c r="C7486" s="5">
        <v>45337</v>
      </c>
      <c r="D7486" s="4">
        <v>0.7</v>
      </c>
      <c r="E7486" s="4">
        <v>0.23</v>
      </c>
    </row>
    <row r="7487" spans="1:5" x14ac:dyDescent="0.25">
      <c r="A7487" s="4" t="s">
        <v>53</v>
      </c>
      <c r="B7487" s="4" t="s">
        <v>52</v>
      </c>
      <c r="C7487" s="5">
        <v>45337</v>
      </c>
      <c r="D7487" s="4">
        <v>23</v>
      </c>
      <c r="E7487" s="4">
        <v>7.45</v>
      </c>
    </row>
    <row r="7488" spans="1:5" x14ac:dyDescent="0.25">
      <c r="A7488" s="4" t="s">
        <v>53</v>
      </c>
      <c r="B7488" s="4" t="s">
        <v>52</v>
      </c>
      <c r="C7488" s="5">
        <v>45337</v>
      </c>
      <c r="D7488" s="4">
        <v>20.100000000000001</v>
      </c>
      <c r="E7488" s="4">
        <v>6.52</v>
      </c>
    </row>
    <row r="7489" spans="1:5" x14ac:dyDescent="0.25">
      <c r="A7489" s="4" t="s">
        <v>53</v>
      </c>
      <c r="B7489" s="4" t="s">
        <v>52</v>
      </c>
      <c r="C7489" s="5">
        <v>45337</v>
      </c>
      <c r="D7489" s="4">
        <v>1.9</v>
      </c>
      <c r="E7489" s="4">
        <v>0.6</v>
      </c>
    </row>
    <row r="7490" spans="1:5" x14ac:dyDescent="0.25">
      <c r="A7490" s="4" t="s">
        <v>53</v>
      </c>
      <c r="B7490" s="4" t="s">
        <v>52</v>
      </c>
      <c r="C7490" s="5">
        <v>45337</v>
      </c>
      <c r="D7490" s="4">
        <v>0.7</v>
      </c>
      <c r="E7490" s="4">
        <v>0.23</v>
      </c>
    </row>
    <row r="7491" spans="1:5" x14ac:dyDescent="0.25">
      <c r="A7491" s="4" t="s">
        <v>53</v>
      </c>
      <c r="B7491" s="4" t="s">
        <v>52</v>
      </c>
      <c r="C7491" s="5">
        <v>45337</v>
      </c>
      <c r="D7491" s="4">
        <v>23</v>
      </c>
      <c r="E7491" s="4">
        <v>7.45</v>
      </c>
    </row>
    <row r="7492" spans="1:5" x14ac:dyDescent="0.25">
      <c r="A7492" s="4" t="s">
        <v>53</v>
      </c>
      <c r="B7492" s="4" t="s">
        <v>52</v>
      </c>
      <c r="C7492" s="5">
        <v>45337</v>
      </c>
      <c r="D7492" s="4">
        <v>20.100000000000001</v>
      </c>
      <c r="E7492" s="4">
        <v>6.52</v>
      </c>
    </row>
    <row r="7493" spans="1:5" x14ac:dyDescent="0.25">
      <c r="A7493" s="4" t="s">
        <v>53</v>
      </c>
      <c r="B7493" s="4" t="s">
        <v>52</v>
      </c>
      <c r="C7493" s="5">
        <v>45337</v>
      </c>
      <c r="D7493" s="4">
        <v>1.9</v>
      </c>
      <c r="E7493" s="4">
        <v>0.6</v>
      </c>
    </row>
    <row r="7494" spans="1:5" x14ac:dyDescent="0.25">
      <c r="A7494" s="4" t="s">
        <v>53</v>
      </c>
      <c r="B7494" s="4" t="s">
        <v>52</v>
      </c>
      <c r="C7494" s="5">
        <v>45337</v>
      </c>
      <c r="D7494" s="4">
        <v>0.7</v>
      </c>
      <c r="E7494" s="4">
        <v>0.23</v>
      </c>
    </row>
    <row r="7495" spans="1:5" x14ac:dyDescent="0.25">
      <c r="A7495" s="4" t="s">
        <v>53</v>
      </c>
      <c r="B7495" s="4" t="s">
        <v>52</v>
      </c>
      <c r="C7495" s="5">
        <v>45337</v>
      </c>
      <c r="D7495" s="4">
        <v>23</v>
      </c>
      <c r="E7495" s="4">
        <v>7.45</v>
      </c>
    </row>
    <row r="7496" spans="1:5" x14ac:dyDescent="0.25">
      <c r="A7496" s="4" t="s">
        <v>53</v>
      </c>
      <c r="B7496" s="4" t="s">
        <v>52</v>
      </c>
      <c r="C7496" s="5">
        <v>45337</v>
      </c>
      <c r="D7496" s="4">
        <v>20.100000000000001</v>
      </c>
      <c r="E7496" s="4">
        <v>6.52</v>
      </c>
    </row>
    <row r="7497" spans="1:5" x14ac:dyDescent="0.25">
      <c r="A7497" s="4" t="s">
        <v>53</v>
      </c>
      <c r="B7497" s="4" t="s">
        <v>52</v>
      </c>
      <c r="C7497" s="5">
        <v>45337</v>
      </c>
      <c r="D7497" s="4">
        <v>1.9</v>
      </c>
      <c r="E7497" s="4">
        <v>0.6</v>
      </c>
    </row>
    <row r="7498" spans="1:5" x14ac:dyDescent="0.25">
      <c r="A7498" s="4" t="s">
        <v>53</v>
      </c>
      <c r="B7498" s="4" t="s">
        <v>52</v>
      </c>
      <c r="C7498" s="5">
        <v>45337</v>
      </c>
      <c r="D7498" s="4">
        <v>1.9</v>
      </c>
      <c r="E7498" s="4">
        <v>0.61</v>
      </c>
    </row>
    <row r="7499" spans="1:5" x14ac:dyDescent="0.25">
      <c r="A7499" s="4" t="s">
        <v>53</v>
      </c>
      <c r="B7499" s="4" t="s">
        <v>62</v>
      </c>
      <c r="C7499" s="5">
        <v>45313</v>
      </c>
      <c r="D7499" s="4">
        <v>13.8</v>
      </c>
      <c r="E7499" s="4">
        <v>4.47</v>
      </c>
    </row>
    <row r="7500" spans="1:5" x14ac:dyDescent="0.25">
      <c r="A7500" s="4" t="s">
        <v>53</v>
      </c>
      <c r="B7500" s="4" t="s">
        <v>62</v>
      </c>
      <c r="C7500" s="5">
        <v>45313</v>
      </c>
      <c r="D7500" s="4">
        <v>11.7</v>
      </c>
      <c r="E7500" s="4">
        <v>3.79</v>
      </c>
    </row>
    <row r="7501" spans="1:5" x14ac:dyDescent="0.25">
      <c r="A7501" s="4" t="s">
        <v>53</v>
      </c>
      <c r="B7501" s="4" t="s">
        <v>62</v>
      </c>
      <c r="C7501" s="5">
        <v>45313</v>
      </c>
      <c r="D7501" s="4">
        <v>10.9</v>
      </c>
      <c r="E7501" s="4">
        <v>3.53</v>
      </c>
    </row>
    <row r="7502" spans="1:5" x14ac:dyDescent="0.25">
      <c r="A7502" s="4" t="s">
        <v>53</v>
      </c>
      <c r="B7502" s="4" t="s">
        <v>62</v>
      </c>
      <c r="C7502" s="5">
        <v>45313</v>
      </c>
      <c r="D7502" s="4">
        <v>11.7</v>
      </c>
      <c r="E7502" s="4">
        <v>3.79</v>
      </c>
    </row>
    <row r="7503" spans="1:5" x14ac:dyDescent="0.25">
      <c r="A7503" s="4" t="s">
        <v>53</v>
      </c>
      <c r="B7503" s="4" t="s">
        <v>62</v>
      </c>
      <c r="C7503" s="5">
        <v>45313</v>
      </c>
      <c r="D7503" s="4">
        <v>10.9</v>
      </c>
      <c r="E7503" s="4">
        <v>3.53</v>
      </c>
    </row>
    <row r="7504" spans="1:5" x14ac:dyDescent="0.25">
      <c r="A7504" s="4" t="s">
        <v>53</v>
      </c>
      <c r="B7504" s="4" t="s">
        <v>62</v>
      </c>
      <c r="C7504" s="5">
        <v>45313</v>
      </c>
      <c r="D7504" s="4">
        <v>11.7</v>
      </c>
      <c r="E7504" s="4">
        <v>3.79</v>
      </c>
    </row>
    <row r="7505" spans="1:5" x14ac:dyDescent="0.25">
      <c r="A7505" s="4" t="s">
        <v>53</v>
      </c>
      <c r="B7505" s="4" t="s">
        <v>62</v>
      </c>
      <c r="C7505" s="5">
        <v>45313</v>
      </c>
      <c r="D7505" s="4">
        <v>10.9</v>
      </c>
      <c r="E7505" s="4">
        <v>3.53</v>
      </c>
    </row>
    <row r="7506" spans="1:5" x14ac:dyDescent="0.25">
      <c r="A7506" s="4" t="s">
        <v>53</v>
      </c>
      <c r="B7506" s="4" t="s">
        <v>62</v>
      </c>
      <c r="C7506" s="5">
        <v>45313</v>
      </c>
      <c r="D7506" s="4">
        <v>11.7</v>
      </c>
      <c r="E7506" s="4">
        <v>3.79</v>
      </c>
    </row>
    <row r="7507" spans="1:5" x14ac:dyDescent="0.25">
      <c r="A7507" s="4" t="s">
        <v>53</v>
      </c>
      <c r="B7507" s="4" t="s">
        <v>62</v>
      </c>
      <c r="C7507" s="5">
        <v>45313</v>
      </c>
      <c r="D7507" s="4">
        <v>10.9</v>
      </c>
      <c r="E7507" s="4">
        <v>3.53</v>
      </c>
    </row>
    <row r="7508" spans="1:5" x14ac:dyDescent="0.25">
      <c r="A7508" s="4" t="s">
        <v>53</v>
      </c>
      <c r="B7508" s="4" t="s">
        <v>62</v>
      </c>
      <c r="C7508" s="5">
        <v>45313</v>
      </c>
      <c r="D7508" s="4">
        <v>11.7</v>
      </c>
      <c r="E7508" s="4">
        <v>3.79</v>
      </c>
    </row>
    <row r="7509" spans="1:5" x14ac:dyDescent="0.25">
      <c r="A7509" s="4" t="s">
        <v>53</v>
      </c>
      <c r="B7509" s="4" t="s">
        <v>62</v>
      </c>
      <c r="C7509" s="5">
        <v>45313</v>
      </c>
      <c r="D7509" s="4">
        <v>10.9</v>
      </c>
      <c r="E7509" s="4">
        <v>3.53</v>
      </c>
    </row>
    <row r="7510" spans="1:5" x14ac:dyDescent="0.25">
      <c r="A7510" s="4" t="s">
        <v>53</v>
      </c>
      <c r="B7510" s="4" t="s">
        <v>62</v>
      </c>
      <c r="C7510" s="5">
        <v>45313</v>
      </c>
      <c r="D7510" s="4">
        <v>11.7</v>
      </c>
      <c r="E7510" s="4">
        <v>3.79</v>
      </c>
    </row>
    <row r="7511" spans="1:5" x14ac:dyDescent="0.25">
      <c r="A7511" s="4" t="s">
        <v>53</v>
      </c>
      <c r="B7511" s="4" t="s">
        <v>62</v>
      </c>
      <c r="C7511" s="5">
        <v>45313</v>
      </c>
      <c r="D7511" s="4">
        <v>8.6999999999999993</v>
      </c>
      <c r="E7511" s="4">
        <v>2.82</v>
      </c>
    </row>
    <row r="7512" spans="1:5" x14ac:dyDescent="0.25">
      <c r="A7512" s="4" t="s">
        <v>53</v>
      </c>
      <c r="B7512" s="4" t="s">
        <v>62</v>
      </c>
      <c r="C7512" s="5">
        <v>45314</v>
      </c>
      <c r="D7512" s="4">
        <v>13.8</v>
      </c>
      <c r="E7512" s="4">
        <v>4.47</v>
      </c>
    </row>
    <row r="7513" spans="1:5" x14ac:dyDescent="0.25">
      <c r="A7513" s="4" t="s">
        <v>53</v>
      </c>
      <c r="B7513" s="4" t="s">
        <v>62</v>
      </c>
      <c r="C7513" s="5">
        <v>45314</v>
      </c>
      <c r="D7513" s="4">
        <v>11.7</v>
      </c>
      <c r="E7513" s="4">
        <v>3.79</v>
      </c>
    </row>
    <row r="7514" spans="1:5" x14ac:dyDescent="0.25">
      <c r="A7514" s="4" t="s">
        <v>53</v>
      </c>
      <c r="B7514" s="4" t="s">
        <v>62</v>
      </c>
      <c r="C7514" s="5">
        <v>45314</v>
      </c>
      <c r="D7514" s="4">
        <v>2.2999999999999998</v>
      </c>
      <c r="E7514" s="4">
        <v>0.74</v>
      </c>
    </row>
    <row r="7515" spans="1:5" x14ac:dyDescent="0.25">
      <c r="A7515" s="4" t="s">
        <v>53</v>
      </c>
      <c r="B7515" s="4" t="s">
        <v>62</v>
      </c>
      <c r="C7515" s="5">
        <v>45314</v>
      </c>
      <c r="D7515" s="4">
        <v>2.2999999999999998</v>
      </c>
      <c r="E7515" s="4">
        <v>0.74</v>
      </c>
    </row>
    <row r="7516" spans="1:5" x14ac:dyDescent="0.25">
      <c r="A7516" s="4" t="s">
        <v>53</v>
      </c>
      <c r="B7516" s="4" t="s">
        <v>62</v>
      </c>
      <c r="C7516" s="5">
        <v>45314</v>
      </c>
      <c r="D7516" s="4">
        <v>10.9</v>
      </c>
      <c r="E7516" s="4">
        <v>3.53</v>
      </c>
    </row>
    <row r="7517" spans="1:5" x14ac:dyDescent="0.25">
      <c r="A7517" s="4" t="s">
        <v>53</v>
      </c>
      <c r="B7517" s="4" t="s">
        <v>62</v>
      </c>
      <c r="C7517" s="5">
        <v>45314</v>
      </c>
      <c r="D7517" s="4">
        <v>11.7</v>
      </c>
      <c r="E7517" s="4">
        <v>3.79</v>
      </c>
    </row>
    <row r="7518" spans="1:5" x14ac:dyDescent="0.25">
      <c r="A7518" s="4" t="s">
        <v>53</v>
      </c>
      <c r="B7518" s="4" t="s">
        <v>62</v>
      </c>
      <c r="C7518" s="5">
        <v>45314</v>
      </c>
      <c r="D7518" s="4">
        <v>2.2999999999999998</v>
      </c>
      <c r="E7518" s="4">
        <v>0.74</v>
      </c>
    </row>
    <row r="7519" spans="1:5" x14ac:dyDescent="0.25">
      <c r="A7519" s="4" t="s">
        <v>53</v>
      </c>
      <c r="B7519" s="4" t="s">
        <v>62</v>
      </c>
      <c r="C7519" s="5">
        <v>45314</v>
      </c>
      <c r="D7519" s="4">
        <v>2.2999999999999998</v>
      </c>
      <c r="E7519" s="4">
        <v>0.74</v>
      </c>
    </row>
    <row r="7520" spans="1:5" x14ac:dyDescent="0.25">
      <c r="A7520" s="4" t="s">
        <v>53</v>
      </c>
      <c r="B7520" s="4" t="s">
        <v>62</v>
      </c>
      <c r="C7520" s="5">
        <v>45314</v>
      </c>
      <c r="D7520" s="4">
        <v>10.9</v>
      </c>
      <c r="E7520" s="4">
        <v>3.53</v>
      </c>
    </row>
    <row r="7521" spans="1:5" x14ac:dyDescent="0.25">
      <c r="A7521" s="4" t="s">
        <v>53</v>
      </c>
      <c r="B7521" s="4" t="s">
        <v>62</v>
      </c>
      <c r="C7521" s="5">
        <v>45314</v>
      </c>
      <c r="D7521" s="4">
        <v>11.7</v>
      </c>
      <c r="E7521" s="4">
        <v>3.79</v>
      </c>
    </row>
    <row r="7522" spans="1:5" x14ac:dyDescent="0.25">
      <c r="A7522" s="4" t="s">
        <v>53</v>
      </c>
      <c r="B7522" s="4" t="s">
        <v>62</v>
      </c>
      <c r="C7522" s="5">
        <v>45314</v>
      </c>
      <c r="D7522" s="4">
        <v>2.2999999999999998</v>
      </c>
      <c r="E7522" s="4">
        <v>0.74</v>
      </c>
    </row>
    <row r="7523" spans="1:5" x14ac:dyDescent="0.25">
      <c r="A7523" s="4" t="s">
        <v>53</v>
      </c>
      <c r="B7523" s="4" t="s">
        <v>62</v>
      </c>
      <c r="C7523" s="5">
        <v>45314</v>
      </c>
      <c r="D7523" s="4">
        <v>2.2999999999999998</v>
      </c>
      <c r="E7523" s="4">
        <v>0.74</v>
      </c>
    </row>
    <row r="7524" spans="1:5" x14ac:dyDescent="0.25">
      <c r="A7524" s="4" t="s">
        <v>53</v>
      </c>
      <c r="B7524" s="4" t="s">
        <v>62</v>
      </c>
      <c r="C7524" s="5">
        <v>45314</v>
      </c>
      <c r="D7524" s="4">
        <v>10.9</v>
      </c>
      <c r="E7524" s="4">
        <v>3.53</v>
      </c>
    </row>
    <row r="7525" spans="1:5" x14ac:dyDescent="0.25">
      <c r="A7525" s="4" t="s">
        <v>53</v>
      </c>
      <c r="B7525" s="4" t="s">
        <v>62</v>
      </c>
      <c r="C7525" s="5">
        <v>45314</v>
      </c>
      <c r="D7525" s="4">
        <v>11.7</v>
      </c>
      <c r="E7525" s="4">
        <v>3.79</v>
      </c>
    </row>
    <row r="7526" spans="1:5" x14ac:dyDescent="0.25">
      <c r="A7526" s="4" t="s">
        <v>53</v>
      </c>
      <c r="B7526" s="4" t="s">
        <v>62</v>
      </c>
      <c r="C7526" s="5">
        <v>45314</v>
      </c>
      <c r="D7526" s="4">
        <v>2.2999999999999998</v>
      </c>
      <c r="E7526" s="4">
        <v>0.74</v>
      </c>
    </row>
    <row r="7527" spans="1:5" x14ac:dyDescent="0.25">
      <c r="A7527" s="4" t="s">
        <v>53</v>
      </c>
      <c r="B7527" s="4" t="s">
        <v>62</v>
      </c>
      <c r="C7527" s="5">
        <v>45314</v>
      </c>
      <c r="D7527" s="4">
        <v>2.2999999999999998</v>
      </c>
      <c r="E7527" s="4">
        <v>0.74</v>
      </c>
    </row>
    <row r="7528" spans="1:5" x14ac:dyDescent="0.25">
      <c r="A7528" s="4" t="s">
        <v>53</v>
      </c>
      <c r="B7528" s="4" t="s">
        <v>62</v>
      </c>
      <c r="C7528" s="5">
        <v>45314</v>
      </c>
      <c r="D7528" s="4">
        <v>8.6999999999999993</v>
      </c>
      <c r="E7528" s="4">
        <v>2.82</v>
      </c>
    </row>
    <row r="7529" spans="1:5" x14ac:dyDescent="0.25">
      <c r="A7529" s="4" t="s">
        <v>53</v>
      </c>
      <c r="B7529" s="4" t="s">
        <v>62</v>
      </c>
      <c r="C7529" s="5">
        <v>45315</v>
      </c>
      <c r="D7529" s="4">
        <v>13.8</v>
      </c>
      <c r="E7529" s="4">
        <v>4.47</v>
      </c>
    </row>
    <row r="7530" spans="1:5" x14ac:dyDescent="0.25">
      <c r="A7530" s="4" t="s">
        <v>53</v>
      </c>
      <c r="B7530" s="4" t="s">
        <v>62</v>
      </c>
      <c r="C7530" s="5">
        <v>45315</v>
      </c>
      <c r="D7530" s="4">
        <v>11.7</v>
      </c>
      <c r="E7530" s="4">
        <v>3.79</v>
      </c>
    </row>
    <row r="7531" spans="1:5" x14ac:dyDescent="0.25">
      <c r="A7531" s="4" t="s">
        <v>53</v>
      </c>
      <c r="B7531" s="4" t="s">
        <v>62</v>
      </c>
      <c r="C7531" s="5">
        <v>45315</v>
      </c>
      <c r="D7531" s="4">
        <v>2.2999999999999998</v>
      </c>
      <c r="E7531" s="4">
        <v>0.74</v>
      </c>
    </row>
    <row r="7532" spans="1:5" x14ac:dyDescent="0.25">
      <c r="A7532" s="4" t="s">
        <v>53</v>
      </c>
      <c r="B7532" s="4" t="s">
        <v>62</v>
      </c>
      <c r="C7532" s="5">
        <v>45315</v>
      </c>
      <c r="D7532" s="4">
        <v>2.2999999999999998</v>
      </c>
      <c r="E7532" s="4">
        <v>0.74</v>
      </c>
    </row>
    <row r="7533" spans="1:5" x14ac:dyDescent="0.25">
      <c r="A7533" s="4" t="s">
        <v>53</v>
      </c>
      <c r="B7533" s="4" t="s">
        <v>62</v>
      </c>
      <c r="C7533" s="5">
        <v>45315</v>
      </c>
      <c r="D7533" s="4">
        <v>10.9</v>
      </c>
      <c r="E7533" s="4">
        <v>3.53</v>
      </c>
    </row>
    <row r="7534" spans="1:5" x14ac:dyDescent="0.25">
      <c r="A7534" s="4" t="s">
        <v>53</v>
      </c>
      <c r="B7534" s="4" t="s">
        <v>62</v>
      </c>
      <c r="C7534" s="5">
        <v>45315</v>
      </c>
      <c r="D7534" s="4">
        <v>11.7</v>
      </c>
      <c r="E7534" s="4">
        <v>3.79</v>
      </c>
    </row>
    <row r="7535" spans="1:5" x14ac:dyDescent="0.25">
      <c r="A7535" s="4" t="s">
        <v>53</v>
      </c>
      <c r="B7535" s="4" t="s">
        <v>62</v>
      </c>
      <c r="C7535" s="5">
        <v>45315</v>
      </c>
      <c r="D7535" s="4">
        <v>2.2999999999999998</v>
      </c>
      <c r="E7535" s="4">
        <v>0.74</v>
      </c>
    </row>
    <row r="7536" spans="1:5" x14ac:dyDescent="0.25">
      <c r="A7536" s="4" t="s">
        <v>53</v>
      </c>
      <c r="B7536" s="4" t="s">
        <v>62</v>
      </c>
      <c r="C7536" s="5">
        <v>45315</v>
      </c>
      <c r="D7536" s="4">
        <v>2.2999999999999998</v>
      </c>
      <c r="E7536" s="4">
        <v>0.74</v>
      </c>
    </row>
    <row r="7537" spans="1:5" x14ac:dyDescent="0.25">
      <c r="A7537" s="4" t="s">
        <v>53</v>
      </c>
      <c r="B7537" s="4" t="s">
        <v>62</v>
      </c>
      <c r="C7537" s="5">
        <v>45315</v>
      </c>
      <c r="D7537" s="4">
        <v>10.9</v>
      </c>
      <c r="E7537" s="4">
        <v>3.53</v>
      </c>
    </row>
    <row r="7538" spans="1:5" x14ac:dyDescent="0.25">
      <c r="A7538" s="4" t="s">
        <v>53</v>
      </c>
      <c r="B7538" s="4" t="s">
        <v>62</v>
      </c>
      <c r="C7538" s="5">
        <v>45315</v>
      </c>
      <c r="D7538" s="4">
        <v>11.7</v>
      </c>
      <c r="E7538" s="4">
        <v>3.79</v>
      </c>
    </row>
    <row r="7539" spans="1:5" x14ac:dyDescent="0.25">
      <c r="A7539" s="4" t="s">
        <v>53</v>
      </c>
      <c r="B7539" s="4" t="s">
        <v>62</v>
      </c>
      <c r="C7539" s="5">
        <v>45315</v>
      </c>
      <c r="D7539" s="4">
        <v>2.2999999999999998</v>
      </c>
      <c r="E7539" s="4">
        <v>0.74</v>
      </c>
    </row>
    <row r="7540" spans="1:5" x14ac:dyDescent="0.25">
      <c r="A7540" s="4" t="s">
        <v>53</v>
      </c>
      <c r="B7540" s="4" t="s">
        <v>62</v>
      </c>
      <c r="C7540" s="5">
        <v>45315</v>
      </c>
      <c r="D7540" s="4">
        <v>2.2999999999999998</v>
      </c>
      <c r="E7540" s="4">
        <v>0.74</v>
      </c>
    </row>
    <row r="7541" spans="1:5" x14ac:dyDescent="0.25">
      <c r="A7541" s="4" t="s">
        <v>53</v>
      </c>
      <c r="B7541" s="4" t="s">
        <v>62</v>
      </c>
      <c r="C7541" s="5">
        <v>45315</v>
      </c>
      <c r="D7541" s="4">
        <v>8.6999999999999993</v>
      </c>
      <c r="E7541" s="4">
        <v>2.82</v>
      </c>
    </row>
    <row r="7542" spans="1:5" x14ac:dyDescent="0.25">
      <c r="A7542" s="4" t="s">
        <v>53</v>
      </c>
      <c r="B7542" s="4" t="s">
        <v>62</v>
      </c>
      <c r="C7542" s="5">
        <v>45315</v>
      </c>
      <c r="D7542" s="4">
        <v>20.100000000000001</v>
      </c>
      <c r="E7542" s="4">
        <v>6.5</v>
      </c>
    </row>
    <row r="7543" spans="1:5" x14ac:dyDescent="0.25">
      <c r="A7543" s="4" t="s">
        <v>53</v>
      </c>
      <c r="B7543" s="4" t="s">
        <v>62</v>
      </c>
      <c r="C7543" s="5">
        <v>45315</v>
      </c>
      <c r="D7543" s="4">
        <v>5.2</v>
      </c>
      <c r="E7543" s="4">
        <v>1.64</v>
      </c>
    </row>
    <row r="7544" spans="1:5" x14ac:dyDescent="0.25">
      <c r="A7544" s="4" t="s">
        <v>53</v>
      </c>
      <c r="B7544" s="4" t="s">
        <v>62</v>
      </c>
      <c r="C7544" s="5">
        <v>45315</v>
      </c>
      <c r="D7544" s="4">
        <v>11.7</v>
      </c>
      <c r="E7544" s="4">
        <v>3.79</v>
      </c>
    </row>
    <row r="7545" spans="1:5" x14ac:dyDescent="0.25">
      <c r="A7545" s="4" t="s">
        <v>53</v>
      </c>
      <c r="B7545" s="4" t="s">
        <v>62</v>
      </c>
      <c r="C7545" s="5">
        <v>45315</v>
      </c>
      <c r="D7545" s="4">
        <v>8.6999999999999993</v>
      </c>
      <c r="E7545" s="4">
        <v>2.82</v>
      </c>
    </row>
    <row r="7546" spans="1:5" x14ac:dyDescent="0.25">
      <c r="A7546" s="4" t="s">
        <v>53</v>
      </c>
      <c r="B7546" s="4" t="s">
        <v>62</v>
      </c>
      <c r="C7546" s="5">
        <v>45316</v>
      </c>
      <c r="D7546" s="4">
        <v>15.3</v>
      </c>
      <c r="E7546" s="4">
        <v>4.96</v>
      </c>
    </row>
    <row r="7547" spans="1:5" x14ac:dyDescent="0.25">
      <c r="A7547" s="4" t="s">
        <v>53</v>
      </c>
      <c r="B7547" s="4" t="s">
        <v>62</v>
      </c>
      <c r="C7547" s="5">
        <v>45316</v>
      </c>
      <c r="D7547" s="4">
        <v>2.5</v>
      </c>
      <c r="E7547" s="4">
        <v>0.81</v>
      </c>
    </row>
    <row r="7548" spans="1:5" x14ac:dyDescent="0.25">
      <c r="A7548" s="4" t="s">
        <v>53</v>
      </c>
      <c r="B7548" s="4" t="s">
        <v>62</v>
      </c>
      <c r="C7548" s="5">
        <v>45316</v>
      </c>
      <c r="D7548" s="4">
        <v>0.5</v>
      </c>
      <c r="E7548" s="4">
        <v>0.16</v>
      </c>
    </row>
    <row r="7549" spans="1:5" x14ac:dyDescent="0.25">
      <c r="A7549" s="4" t="s">
        <v>53</v>
      </c>
      <c r="B7549" s="4" t="s">
        <v>62</v>
      </c>
      <c r="C7549" s="5">
        <v>45316</v>
      </c>
      <c r="D7549" s="4">
        <v>11.7</v>
      </c>
      <c r="E7549" s="4">
        <v>3.79</v>
      </c>
    </row>
    <row r="7550" spans="1:5" x14ac:dyDescent="0.25">
      <c r="A7550" s="4" t="s">
        <v>53</v>
      </c>
      <c r="B7550" s="4" t="s">
        <v>62</v>
      </c>
      <c r="C7550" s="5">
        <v>45316</v>
      </c>
      <c r="D7550" s="4">
        <v>10.9</v>
      </c>
      <c r="E7550" s="4">
        <v>3.53</v>
      </c>
    </row>
    <row r="7551" spans="1:5" x14ac:dyDescent="0.25">
      <c r="A7551" s="4" t="s">
        <v>53</v>
      </c>
      <c r="B7551" s="4" t="s">
        <v>62</v>
      </c>
      <c r="C7551" s="5">
        <v>45316</v>
      </c>
      <c r="D7551" s="4">
        <v>11.7</v>
      </c>
      <c r="E7551" s="4">
        <v>3.79</v>
      </c>
    </row>
    <row r="7552" spans="1:5" x14ac:dyDescent="0.25">
      <c r="A7552" s="4" t="s">
        <v>53</v>
      </c>
      <c r="B7552" s="4" t="s">
        <v>62</v>
      </c>
      <c r="C7552" s="5">
        <v>45316</v>
      </c>
      <c r="D7552" s="4">
        <v>24.1</v>
      </c>
      <c r="E7552" s="4">
        <v>7.82</v>
      </c>
    </row>
    <row r="7553" spans="1:5" x14ac:dyDescent="0.25">
      <c r="A7553" s="4" t="s">
        <v>53</v>
      </c>
      <c r="B7553" s="4" t="s">
        <v>62</v>
      </c>
      <c r="C7553" s="5">
        <v>45316</v>
      </c>
      <c r="D7553" s="4">
        <v>15.4</v>
      </c>
      <c r="E7553" s="4">
        <v>5</v>
      </c>
    </row>
    <row r="7554" spans="1:5" x14ac:dyDescent="0.25">
      <c r="A7554" s="4" t="s">
        <v>53</v>
      </c>
      <c r="B7554" s="4" t="s">
        <v>62</v>
      </c>
      <c r="C7554" s="5">
        <v>45323</v>
      </c>
      <c r="D7554" s="4">
        <v>2.4</v>
      </c>
      <c r="E7554" s="4">
        <v>0.75</v>
      </c>
    </row>
    <row r="7555" spans="1:5" x14ac:dyDescent="0.25">
      <c r="A7555" s="4" t="s">
        <v>53</v>
      </c>
      <c r="B7555" s="4" t="s">
        <v>62</v>
      </c>
      <c r="C7555" s="5">
        <v>45323</v>
      </c>
      <c r="D7555" s="4">
        <v>1</v>
      </c>
      <c r="E7555" s="4">
        <v>0.32</v>
      </c>
    </row>
    <row r="7556" spans="1:5" x14ac:dyDescent="0.25">
      <c r="A7556" s="4" t="s">
        <v>53</v>
      </c>
      <c r="B7556" s="4" t="s">
        <v>62</v>
      </c>
      <c r="C7556" s="5">
        <v>45323</v>
      </c>
      <c r="D7556" s="4">
        <v>1.3</v>
      </c>
      <c r="E7556" s="4">
        <v>0.41</v>
      </c>
    </row>
    <row r="7557" spans="1:5" x14ac:dyDescent="0.25">
      <c r="A7557" s="4" t="s">
        <v>53</v>
      </c>
      <c r="B7557" s="4" t="s">
        <v>62</v>
      </c>
      <c r="C7557" s="5">
        <v>45323</v>
      </c>
      <c r="D7557" s="4">
        <v>1.6</v>
      </c>
      <c r="E7557" s="4">
        <v>0.5</v>
      </c>
    </row>
    <row r="7558" spans="1:5" x14ac:dyDescent="0.25">
      <c r="A7558" s="4" t="s">
        <v>53</v>
      </c>
      <c r="B7558" s="4" t="s">
        <v>62</v>
      </c>
      <c r="C7558" s="5">
        <v>45323</v>
      </c>
      <c r="D7558" s="4">
        <v>1.3</v>
      </c>
      <c r="E7558" s="4">
        <v>0.41</v>
      </c>
    </row>
    <row r="7559" spans="1:5" x14ac:dyDescent="0.25">
      <c r="A7559" s="4" t="s">
        <v>53</v>
      </c>
      <c r="B7559" s="4" t="s">
        <v>62</v>
      </c>
      <c r="C7559" s="5">
        <v>45323</v>
      </c>
      <c r="D7559" s="4">
        <v>1.6</v>
      </c>
      <c r="E7559" s="4">
        <v>0.5</v>
      </c>
    </row>
    <row r="7560" spans="1:5" x14ac:dyDescent="0.25">
      <c r="A7560" s="4" t="s">
        <v>53</v>
      </c>
      <c r="B7560" s="4" t="s">
        <v>62</v>
      </c>
      <c r="C7560" s="5">
        <v>45323</v>
      </c>
      <c r="D7560" s="4">
        <v>1.3</v>
      </c>
      <c r="E7560" s="4">
        <v>0.41</v>
      </c>
    </row>
    <row r="7561" spans="1:5" x14ac:dyDescent="0.25">
      <c r="A7561" s="4" t="s">
        <v>53</v>
      </c>
      <c r="B7561" s="4" t="s">
        <v>62</v>
      </c>
      <c r="C7561" s="5">
        <v>45323</v>
      </c>
      <c r="D7561" s="4">
        <v>1.6</v>
      </c>
      <c r="E7561" s="4">
        <v>0.5</v>
      </c>
    </row>
    <row r="7562" spans="1:5" x14ac:dyDescent="0.25">
      <c r="A7562" s="4" t="s">
        <v>53</v>
      </c>
      <c r="B7562" s="4" t="s">
        <v>62</v>
      </c>
      <c r="C7562" s="5">
        <v>45323</v>
      </c>
      <c r="D7562" s="4">
        <v>1.3</v>
      </c>
      <c r="E7562" s="4">
        <v>0.41</v>
      </c>
    </row>
    <row r="7563" spans="1:5" x14ac:dyDescent="0.25">
      <c r="A7563" s="4" t="s">
        <v>53</v>
      </c>
      <c r="B7563" s="4" t="s">
        <v>62</v>
      </c>
      <c r="C7563" s="5">
        <v>45323</v>
      </c>
      <c r="D7563" s="4">
        <v>1.6</v>
      </c>
      <c r="E7563" s="4">
        <v>0.5</v>
      </c>
    </row>
    <row r="7564" spans="1:5" x14ac:dyDescent="0.25">
      <c r="A7564" s="4" t="s">
        <v>53</v>
      </c>
      <c r="B7564" s="4" t="s">
        <v>62</v>
      </c>
      <c r="C7564" s="5">
        <v>45323</v>
      </c>
      <c r="D7564" s="4">
        <v>1.3</v>
      </c>
      <c r="E7564" s="4">
        <v>0.41</v>
      </c>
    </row>
    <row r="7565" spans="1:5" x14ac:dyDescent="0.25">
      <c r="A7565" s="4" t="s">
        <v>53</v>
      </c>
      <c r="B7565" s="4" t="s">
        <v>62</v>
      </c>
      <c r="C7565" s="5">
        <v>45323</v>
      </c>
      <c r="D7565" s="4">
        <v>1.6</v>
      </c>
      <c r="E7565" s="4">
        <v>0.5</v>
      </c>
    </row>
    <row r="7566" spans="1:5" x14ac:dyDescent="0.25">
      <c r="A7566" s="4" t="s">
        <v>53</v>
      </c>
      <c r="B7566" s="4" t="s">
        <v>62</v>
      </c>
      <c r="C7566" s="5">
        <v>45323</v>
      </c>
      <c r="D7566" s="4">
        <v>1.3</v>
      </c>
      <c r="E7566" s="4">
        <v>0.41</v>
      </c>
    </row>
    <row r="7567" spans="1:5" x14ac:dyDescent="0.25">
      <c r="A7567" s="4" t="s">
        <v>53</v>
      </c>
      <c r="B7567" s="4" t="s">
        <v>62</v>
      </c>
      <c r="C7567" s="5">
        <v>45323</v>
      </c>
      <c r="D7567" s="4">
        <v>1.6</v>
      </c>
      <c r="E7567" s="4">
        <v>0.5</v>
      </c>
    </row>
    <row r="7568" spans="1:5" x14ac:dyDescent="0.25">
      <c r="A7568" s="4" t="s">
        <v>53</v>
      </c>
      <c r="B7568" s="4" t="s">
        <v>62</v>
      </c>
      <c r="C7568" s="5">
        <v>45323</v>
      </c>
      <c r="D7568" s="4">
        <v>1.3</v>
      </c>
      <c r="E7568" s="4">
        <v>0.41</v>
      </c>
    </row>
    <row r="7569" spans="1:5" x14ac:dyDescent="0.25">
      <c r="A7569" s="4" t="s">
        <v>53</v>
      </c>
      <c r="B7569" s="4" t="s">
        <v>62</v>
      </c>
      <c r="C7569" s="5">
        <v>45323</v>
      </c>
      <c r="D7569" s="4">
        <v>1.6</v>
      </c>
      <c r="E7569" s="4">
        <v>0.5</v>
      </c>
    </row>
    <row r="7570" spans="1:5" x14ac:dyDescent="0.25">
      <c r="A7570" s="4" t="s">
        <v>53</v>
      </c>
      <c r="B7570" s="4" t="s">
        <v>62</v>
      </c>
      <c r="C7570" s="5">
        <v>45323</v>
      </c>
      <c r="D7570" s="4">
        <v>1.3</v>
      </c>
      <c r="E7570" s="4">
        <v>0.41</v>
      </c>
    </row>
    <row r="7571" spans="1:5" x14ac:dyDescent="0.25">
      <c r="A7571" s="4" t="s">
        <v>53</v>
      </c>
      <c r="B7571" s="4" t="s">
        <v>62</v>
      </c>
      <c r="C7571" s="5">
        <v>45323</v>
      </c>
      <c r="D7571" s="4">
        <v>1.6</v>
      </c>
      <c r="E7571" s="4">
        <v>0.5</v>
      </c>
    </row>
    <row r="7572" spans="1:5" x14ac:dyDescent="0.25">
      <c r="A7572" s="4" t="s">
        <v>53</v>
      </c>
      <c r="B7572" s="4" t="s">
        <v>62</v>
      </c>
      <c r="C7572" s="5">
        <v>45323</v>
      </c>
      <c r="D7572" s="4">
        <v>1.3</v>
      </c>
      <c r="E7572" s="4">
        <v>0.41</v>
      </c>
    </row>
    <row r="7573" spans="1:5" x14ac:dyDescent="0.25">
      <c r="A7573" s="4" t="s">
        <v>53</v>
      </c>
      <c r="B7573" s="4" t="s">
        <v>62</v>
      </c>
      <c r="C7573" s="5">
        <v>45323</v>
      </c>
      <c r="D7573" s="4">
        <v>1.6</v>
      </c>
      <c r="E7573" s="4">
        <v>0.5</v>
      </c>
    </row>
    <row r="7574" spans="1:5" x14ac:dyDescent="0.25">
      <c r="A7574" s="4" t="s">
        <v>53</v>
      </c>
      <c r="B7574" s="4" t="s">
        <v>62</v>
      </c>
      <c r="C7574" s="5">
        <v>45323</v>
      </c>
      <c r="D7574" s="4">
        <v>1.3</v>
      </c>
      <c r="E7574" s="4">
        <v>0.41</v>
      </c>
    </row>
    <row r="7575" spans="1:5" x14ac:dyDescent="0.25">
      <c r="A7575" s="4" t="s">
        <v>53</v>
      </c>
      <c r="B7575" s="4" t="s">
        <v>62</v>
      </c>
      <c r="C7575" s="5">
        <v>45323</v>
      </c>
      <c r="D7575" s="4">
        <v>1.6</v>
      </c>
      <c r="E7575" s="4">
        <v>0.5</v>
      </c>
    </row>
    <row r="7576" spans="1:5" x14ac:dyDescent="0.25">
      <c r="A7576" s="4" t="s">
        <v>53</v>
      </c>
      <c r="B7576" s="4" t="s">
        <v>62</v>
      </c>
      <c r="C7576" s="5">
        <v>45323</v>
      </c>
      <c r="D7576" s="4">
        <v>1.3</v>
      </c>
      <c r="E7576" s="4">
        <v>0.41</v>
      </c>
    </row>
    <row r="7577" spans="1:5" x14ac:dyDescent="0.25">
      <c r="A7577" s="4" t="s">
        <v>53</v>
      </c>
      <c r="B7577" s="4" t="s">
        <v>62</v>
      </c>
      <c r="C7577" s="5">
        <v>45323</v>
      </c>
      <c r="D7577" s="4">
        <v>1.6</v>
      </c>
      <c r="E7577" s="4">
        <v>0.5</v>
      </c>
    </row>
    <row r="7578" spans="1:5" x14ac:dyDescent="0.25">
      <c r="A7578" s="4" t="s">
        <v>53</v>
      </c>
      <c r="B7578" s="4" t="s">
        <v>62</v>
      </c>
      <c r="C7578" s="5">
        <v>45323</v>
      </c>
      <c r="D7578" s="4">
        <v>1.3</v>
      </c>
      <c r="E7578" s="4">
        <v>0.41</v>
      </c>
    </row>
    <row r="7579" spans="1:5" x14ac:dyDescent="0.25">
      <c r="A7579" s="4" t="s">
        <v>53</v>
      </c>
      <c r="B7579" s="4" t="s">
        <v>62</v>
      </c>
      <c r="C7579" s="5">
        <v>45323</v>
      </c>
      <c r="D7579" s="4">
        <v>3.9</v>
      </c>
      <c r="E7579" s="4">
        <v>1.25</v>
      </c>
    </row>
    <row r="7580" spans="1:5" x14ac:dyDescent="0.25">
      <c r="A7580" s="4" t="s">
        <v>53</v>
      </c>
      <c r="B7580" s="4" t="s">
        <v>62</v>
      </c>
      <c r="C7580" s="5">
        <v>45324</v>
      </c>
      <c r="D7580" s="4">
        <v>2.4</v>
      </c>
      <c r="E7580" s="4">
        <v>0.75</v>
      </c>
    </row>
    <row r="7581" spans="1:5" x14ac:dyDescent="0.25">
      <c r="A7581" s="4" t="s">
        <v>53</v>
      </c>
      <c r="B7581" s="4" t="s">
        <v>62</v>
      </c>
      <c r="C7581" s="5">
        <v>45324</v>
      </c>
      <c r="D7581" s="4">
        <v>0.8</v>
      </c>
      <c r="E7581" s="4">
        <v>0.26</v>
      </c>
    </row>
    <row r="7582" spans="1:5" x14ac:dyDescent="0.25">
      <c r="A7582" s="4" t="s">
        <v>53</v>
      </c>
      <c r="B7582" s="4" t="s">
        <v>62</v>
      </c>
      <c r="C7582" s="5">
        <v>45324</v>
      </c>
      <c r="D7582" s="4">
        <v>1.3</v>
      </c>
      <c r="E7582" s="4">
        <v>0.41</v>
      </c>
    </row>
    <row r="7583" spans="1:5" x14ac:dyDescent="0.25">
      <c r="A7583" s="4" t="s">
        <v>53</v>
      </c>
      <c r="B7583" s="4" t="s">
        <v>62</v>
      </c>
      <c r="C7583" s="5">
        <v>45324</v>
      </c>
      <c r="D7583" s="4">
        <v>1.6</v>
      </c>
      <c r="E7583" s="4">
        <v>0.5</v>
      </c>
    </row>
    <row r="7584" spans="1:5" x14ac:dyDescent="0.25">
      <c r="A7584" s="4" t="s">
        <v>53</v>
      </c>
      <c r="B7584" s="4" t="s">
        <v>62</v>
      </c>
      <c r="C7584" s="5">
        <v>45324</v>
      </c>
      <c r="D7584" s="4">
        <v>1.3</v>
      </c>
      <c r="E7584" s="4">
        <v>0.41</v>
      </c>
    </row>
    <row r="7585" spans="1:5" x14ac:dyDescent="0.25">
      <c r="A7585" s="4" t="s">
        <v>53</v>
      </c>
      <c r="B7585" s="4" t="s">
        <v>62</v>
      </c>
      <c r="C7585" s="5">
        <v>45324</v>
      </c>
      <c r="D7585" s="4">
        <v>1.6</v>
      </c>
      <c r="E7585" s="4">
        <v>0.5</v>
      </c>
    </row>
    <row r="7586" spans="1:5" x14ac:dyDescent="0.25">
      <c r="A7586" s="4" t="s">
        <v>53</v>
      </c>
      <c r="B7586" s="4" t="s">
        <v>62</v>
      </c>
      <c r="C7586" s="5">
        <v>45324</v>
      </c>
      <c r="D7586" s="4">
        <v>1.3</v>
      </c>
      <c r="E7586" s="4">
        <v>0.41</v>
      </c>
    </row>
    <row r="7587" spans="1:5" x14ac:dyDescent="0.25">
      <c r="A7587" s="4" t="s">
        <v>53</v>
      </c>
      <c r="B7587" s="4" t="s">
        <v>62</v>
      </c>
      <c r="C7587" s="5">
        <v>45324</v>
      </c>
      <c r="D7587" s="4">
        <v>1.6</v>
      </c>
      <c r="E7587" s="4">
        <v>0.5</v>
      </c>
    </row>
    <row r="7588" spans="1:5" x14ac:dyDescent="0.25">
      <c r="A7588" s="4" t="s">
        <v>53</v>
      </c>
      <c r="B7588" s="4" t="s">
        <v>62</v>
      </c>
      <c r="C7588" s="5">
        <v>45324</v>
      </c>
      <c r="D7588" s="4">
        <v>1.3</v>
      </c>
      <c r="E7588" s="4">
        <v>0.41</v>
      </c>
    </row>
    <row r="7589" spans="1:5" x14ac:dyDescent="0.25">
      <c r="A7589" s="4" t="s">
        <v>53</v>
      </c>
      <c r="B7589" s="4" t="s">
        <v>62</v>
      </c>
      <c r="C7589" s="5">
        <v>45324</v>
      </c>
      <c r="D7589" s="4">
        <v>1.6</v>
      </c>
      <c r="E7589" s="4">
        <v>0.5</v>
      </c>
    </row>
    <row r="7590" spans="1:5" x14ac:dyDescent="0.25">
      <c r="A7590" s="4" t="s">
        <v>53</v>
      </c>
      <c r="B7590" s="4" t="s">
        <v>62</v>
      </c>
      <c r="C7590" s="5">
        <v>45324</v>
      </c>
      <c r="D7590" s="4">
        <v>1.3</v>
      </c>
      <c r="E7590" s="4">
        <v>0.41</v>
      </c>
    </row>
    <row r="7591" spans="1:5" x14ac:dyDescent="0.25">
      <c r="A7591" s="4" t="s">
        <v>53</v>
      </c>
      <c r="B7591" s="4" t="s">
        <v>62</v>
      </c>
      <c r="C7591" s="5">
        <v>45324</v>
      </c>
      <c r="D7591" s="4">
        <v>1.6</v>
      </c>
      <c r="E7591" s="4">
        <v>0.5</v>
      </c>
    </row>
    <row r="7592" spans="1:5" x14ac:dyDescent="0.25">
      <c r="A7592" s="4" t="s">
        <v>53</v>
      </c>
      <c r="B7592" s="4" t="s">
        <v>62</v>
      </c>
      <c r="C7592" s="5">
        <v>45324</v>
      </c>
      <c r="D7592" s="4">
        <v>1.3</v>
      </c>
      <c r="E7592" s="4">
        <v>0.41</v>
      </c>
    </row>
    <row r="7593" spans="1:5" x14ac:dyDescent="0.25">
      <c r="A7593" s="4" t="s">
        <v>53</v>
      </c>
      <c r="B7593" s="4" t="s">
        <v>62</v>
      </c>
      <c r="C7593" s="5">
        <v>45324</v>
      </c>
      <c r="D7593" s="4">
        <v>1.6</v>
      </c>
      <c r="E7593" s="4">
        <v>0.5</v>
      </c>
    </row>
    <row r="7594" spans="1:5" x14ac:dyDescent="0.25">
      <c r="A7594" s="4" t="s">
        <v>53</v>
      </c>
      <c r="B7594" s="4" t="s">
        <v>62</v>
      </c>
      <c r="C7594" s="5">
        <v>45324</v>
      </c>
      <c r="D7594" s="4">
        <v>1.3</v>
      </c>
      <c r="E7594" s="4">
        <v>0.41</v>
      </c>
    </row>
    <row r="7595" spans="1:5" x14ac:dyDescent="0.25">
      <c r="A7595" s="4" t="s">
        <v>53</v>
      </c>
      <c r="B7595" s="4" t="s">
        <v>62</v>
      </c>
      <c r="C7595" s="5">
        <v>45324</v>
      </c>
      <c r="D7595" s="4">
        <v>3.9</v>
      </c>
      <c r="E7595" s="4">
        <v>1.25</v>
      </c>
    </row>
    <row r="7596" spans="1:5" x14ac:dyDescent="0.25">
      <c r="A7596" s="4" t="s">
        <v>53</v>
      </c>
      <c r="B7596" s="4" t="s">
        <v>62</v>
      </c>
      <c r="C7596" s="5">
        <v>45327</v>
      </c>
      <c r="D7596" s="4">
        <v>41.3</v>
      </c>
      <c r="E7596" s="4">
        <v>13.4</v>
      </c>
    </row>
    <row r="7597" spans="1:5" x14ac:dyDescent="0.25">
      <c r="A7597" s="4" t="s">
        <v>53</v>
      </c>
      <c r="B7597" s="4" t="s">
        <v>62</v>
      </c>
      <c r="C7597" s="5">
        <v>45327</v>
      </c>
      <c r="D7597" s="4">
        <v>17.3</v>
      </c>
      <c r="E7597" s="4">
        <v>5.57</v>
      </c>
    </row>
    <row r="7598" spans="1:5" x14ac:dyDescent="0.25">
      <c r="A7598" s="4" t="s">
        <v>53</v>
      </c>
      <c r="B7598" s="4" t="s">
        <v>62</v>
      </c>
      <c r="C7598" s="5">
        <v>45327</v>
      </c>
      <c r="D7598" s="4">
        <v>107.7</v>
      </c>
      <c r="E7598" s="4">
        <v>34.65</v>
      </c>
    </row>
    <row r="7599" spans="1:5" x14ac:dyDescent="0.25">
      <c r="A7599" s="4" t="s">
        <v>53</v>
      </c>
      <c r="B7599" s="4" t="s">
        <v>62</v>
      </c>
      <c r="C7599" s="5">
        <v>45327</v>
      </c>
      <c r="D7599" s="4">
        <v>85.7</v>
      </c>
      <c r="E7599" s="4">
        <v>27.78</v>
      </c>
    </row>
    <row r="7600" spans="1:5" x14ac:dyDescent="0.25">
      <c r="A7600" s="4" t="s">
        <v>53</v>
      </c>
      <c r="B7600" s="4" t="s">
        <v>62</v>
      </c>
      <c r="C7600" s="5">
        <v>45327</v>
      </c>
      <c r="D7600" s="4">
        <v>17.3</v>
      </c>
      <c r="E7600" s="4">
        <v>5.57</v>
      </c>
    </row>
    <row r="7601" spans="1:5" x14ac:dyDescent="0.25">
      <c r="A7601" s="4" t="s">
        <v>53</v>
      </c>
      <c r="B7601" s="4" t="s">
        <v>62</v>
      </c>
      <c r="C7601" s="5">
        <v>45327</v>
      </c>
      <c r="D7601" s="4">
        <v>17.3</v>
      </c>
      <c r="E7601" s="4">
        <v>5.57</v>
      </c>
    </row>
    <row r="7602" spans="1:5" x14ac:dyDescent="0.25">
      <c r="A7602" s="4" t="s">
        <v>53</v>
      </c>
      <c r="B7602" s="4" t="s">
        <v>62</v>
      </c>
      <c r="C7602" s="5">
        <v>45327</v>
      </c>
      <c r="D7602" s="4">
        <v>67.5</v>
      </c>
      <c r="E7602" s="4">
        <v>21.89</v>
      </c>
    </row>
    <row r="7603" spans="1:5" x14ac:dyDescent="0.25">
      <c r="A7603" s="4" t="s">
        <v>53</v>
      </c>
      <c r="B7603" s="4" t="s">
        <v>62</v>
      </c>
      <c r="C7603" s="5">
        <v>45327</v>
      </c>
      <c r="D7603" s="4">
        <v>44.4</v>
      </c>
      <c r="E7603" s="4">
        <v>14.38</v>
      </c>
    </row>
    <row r="7604" spans="1:5" x14ac:dyDescent="0.25">
      <c r="A7604" s="4" t="s">
        <v>53</v>
      </c>
      <c r="B7604" s="4" t="s">
        <v>62</v>
      </c>
      <c r="C7604" s="5">
        <v>45328</v>
      </c>
      <c r="D7604" s="4">
        <v>26.2</v>
      </c>
      <c r="E7604" s="4">
        <v>8.49</v>
      </c>
    </row>
    <row r="7605" spans="1:5" x14ac:dyDescent="0.25">
      <c r="A7605" s="4" t="s">
        <v>53</v>
      </c>
      <c r="B7605" s="4" t="s">
        <v>62</v>
      </c>
      <c r="C7605" s="5">
        <v>45328</v>
      </c>
      <c r="D7605" s="4">
        <v>44.4</v>
      </c>
      <c r="E7605" s="4">
        <v>14.38</v>
      </c>
    </row>
    <row r="7606" spans="1:5" x14ac:dyDescent="0.25">
      <c r="A7606" s="4" t="s">
        <v>53</v>
      </c>
      <c r="B7606" s="4" t="s">
        <v>62</v>
      </c>
      <c r="C7606" s="5">
        <v>45329</v>
      </c>
      <c r="D7606" s="4">
        <v>26.2</v>
      </c>
      <c r="E7606" s="4">
        <v>8.49</v>
      </c>
    </row>
    <row r="7607" spans="1:5" x14ac:dyDescent="0.25">
      <c r="A7607" s="4" t="s">
        <v>53</v>
      </c>
      <c r="B7607" s="4" t="s">
        <v>62</v>
      </c>
      <c r="C7607" s="5">
        <v>45329</v>
      </c>
      <c r="D7607" s="4">
        <v>44.4</v>
      </c>
      <c r="E7607" s="4">
        <v>14.38</v>
      </c>
    </row>
    <row r="7608" spans="1:5" x14ac:dyDescent="0.25">
      <c r="A7608" s="4" t="s">
        <v>53</v>
      </c>
      <c r="B7608" s="4" t="s">
        <v>62</v>
      </c>
      <c r="C7608" s="5">
        <v>45330</v>
      </c>
      <c r="D7608" s="4">
        <v>26.2</v>
      </c>
      <c r="E7608" s="4">
        <v>8.49</v>
      </c>
    </row>
    <row r="7609" spans="1:5" x14ac:dyDescent="0.25">
      <c r="A7609" s="4" t="s">
        <v>53</v>
      </c>
      <c r="B7609" s="4" t="s">
        <v>62</v>
      </c>
      <c r="C7609" s="5">
        <v>45330</v>
      </c>
      <c r="D7609" s="4">
        <v>44.4</v>
      </c>
      <c r="E7609" s="4">
        <v>14.38</v>
      </c>
    </row>
    <row r="7610" spans="1:5" x14ac:dyDescent="0.25">
      <c r="A7610" s="4" t="s">
        <v>53</v>
      </c>
      <c r="B7610" s="4" t="s">
        <v>62</v>
      </c>
      <c r="C7610" s="5">
        <v>45331</v>
      </c>
      <c r="D7610" s="4">
        <v>41.3</v>
      </c>
      <c r="E7610" s="4">
        <v>13.4</v>
      </c>
    </row>
    <row r="7611" spans="1:5" x14ac:dyDescent="0.25">
      <c r="A7611" s="4" t="s">
        <v>53</v>
      </c>
      <c r="B7611" s="4" t="s">
        <v>62</v>
      </c>
      <c r="C7611" s="5">
        <v>45331</v>
      </c>
      <c r="D7611" s="4">
        <v>17.3</v>
      </c>
      <c r="E7611" s="4">
        <v>5.57</v>
      </c>
    </row>
    <row r="7612" spans="1:5" x14ac:dyDescent="0.25">
      <c r="A7612" s="4" t="s">
        <v>53</v>
      </c>
      <c r="B7612" s="4" t="s">
        <v>62</v>
      </c>
      <c r="C7612" s="5">
        <v>45331</v>
      </c>
      <c r="D7612" s="4">
        <v>17.3</v>
      </c>
      <c r="E7612" s="4">
        <v>5.57</v>
      </c>
    </row>
    <row r="7613" spans="1:5" x14ac:dyDescent="0.25">
      <c r="A7613" s="4" t="s">
        <v>53</v>
      </c>
      <c r="B7613" s="4" t="s">
        <v>62</v>
      </c>
      <c r="C7613" s="5">
        <v>45331</v>
      </c>
      <c r="D7613" s="4">
        <v>67.5</v>
      </c>
      <c r="E7613" s="4">
        <v>21.89</v>
      </c>
    </row>
    <row r="7614" spans="1:5" x14ac:dyDescent="0.25">
      <c r="A7614" s="4" t="s">
        <v>53</v>
      </c>
      <c r="B7614" s="4" t="s">
        <v>62</v>
      </c>
      <c r="C7614" s="5">
        <v>45331</v>
      </c>
      <c r="D7614" s="4">
        <v>44.4</v>
      </c>
      <c r="E7614" s="4">
        <v>14.38</v>
      </c>
    </row>
    <row r="7615" spans="1:5" x14ac:dyDescent="0.25">
      <c r="A7615" s="4" t="s">
        <v>53</v>
      </c>
      <c r="B7615" s="4" t="s">
        <v>62</v>
      </c>
      <c r="C7615" s="5">
        <v>45331</v>
      </c>
      <c r="D7615" s="4">
        <v>41.3</v>
      </c>
      <c r="E7615" s="4">
        <v>13.4</v>
      </c>
    </row>
    <row r="7616" spans="1:5" x14ac:dyDescent="0.25">
      <c r="A7616" s="4" t="s">
        <v>53</v>
      </c>
      <c r="B7616" s="4" t="s">
        <v>62</v>
      </c>
      <c r="C7616" s="5">
        <v>45331</v>
      </c>
      <c r="D7616" s="4">
        <v>17.3</v>
      </c>
      <c r="E7616" s="4">
        <v>5.57</v>
      </c>
    </row>
    <row r="7617" spans="1:5" x14ac:dyDescent="0.25">
      <c r="A7617" s="4" t="s">
        <v>53</v>
      </c>
      <c r="B7617" s="4" t="s">
        <v>62</v>
      </c>
      <c r="C7617" s="5">
        <v>45331</v>
      </c>
      <c r="D7617" s="4">
        <v>17.3</v>
      </c>
      <c r="E7617" s="4">
        <v>5.57</v>
      </c>
    </row>
    <row r="7618" spans="1:5" x14ac:dyDescent="0.25">
      <c r="A7618" s="4" t="s">
        <v>53</v>
      </c>
      <c r="B7618" s="4" t="s">
        <v>62</v>
      </c>
      <c r="C7618" s="5">
        <v>45331</v>
      </c>
      <c r="D7618" s="4">
        <v>67.5</v>
      </c>
      <c r="E7618" s="4">
        <v>21.89</v>
      </c>
    </row>
    <row r="7619" spans="1:5" x14ac:dyDescent="0.25">
      <c r="A7619" s="4" t="s">
        <v>53</v>
      </c>
      <c r="B7619" s="4" t="s">
        <v>62</v>
      </c>
      <c r="C7619" s="5">
        <v>45331</v>
      </c>
      <c r="D7619" s="4">
        <v>44.4</v>
      </c>
      <c r="E7619" s="4">
        <v>14.38</v>
      </c>
    </row>
    <row r="7620" spans="1:5" x14ac:dyDescent="0.25">
      <c r="A7620" s="4" t="s">
        <v>53</v>
      </c>
      <c r="B7620" s="4" t="s">
        <v>62</v>
      </c>
      <c r="C7620" s="5">
        <v>45334</v>
      </c>
      <c r="D7620" s="4">
        <v>26.2</v>
      </c>
      <c r="E7620" s="4">
        <v>8.49</v>
      </c>
    </row>
    <row r="7621" spans="1:5" x14ac:dyDescent="0.25">
      <c r="A7621" s="4" t="s">
        <v>53</v>
      </c>
      <c r="B7621" s="4" t="s">
        <v>62</v>
      </c>
      <c r="C7621" s="5">
        <v>45334</v>
      </c>
      <c r="D7621" s="4">
        <v>44.4</v>
      </c>
      <c r="E7621" s="4">
        <v>14.38</v>
      </c>
    </row>
    <row r="7622" spans="1:5" x14ac:dyDescent="0.25">
      <c r="A7622" s="4" t="s">
        <v>53</v>
      </c>
      <c r="B7622" s="4" t="s">
        <v>62</v>
      </c>
      <c r="C7622" s="5">
        <v>45335</v>
      </c>
      <c r="D7622" s="4">
        <v>26.2</v>
      </c>
      <c r="E7622" s="4">
        <v>8.49</v>
      </c>
    </row>
    <row r="7623" spans="1:5" x14ac:dyDescent="0.25">
      <c r="A7623" s="4" t="s">
        <v>53</v>
      </c>
      <c r="B7623" s="4" t="s">
        <v>62</v>
      </c>
      <c r="C7623" s="5">
        <v>45335</v>
      </c>
      <c r="D7623" s="4">
        <v>44.4</v>
      </c>
      <c r="E7623" s="4">
        <v>14.38</v>
      </c>
    </row>
    <row r="7624" spans="1:5" x14ac:dyDescent="0.25">
      <c r="A7624" s="4" t="s">
        <v>53</v>
      </c>
      <c r="B7624" s="4" t="s">
        <v>62</v>
      </c>
      <c r="C7624" s="5">
        <v>45336</v>
      </c>
      <c r="D7624" s="4">
        <v>26.2</v>
      </c>
      <c r="E7624" s="4">
        <v>8.49</v>
      </c>
    </row>
    <row r="7625" spans="1:5" x14ac:dyDescent="0.25">
      <c r="A7625" s="4" t="s">
        <v>53</v>
      </c>
      <c r="B7625" s="4" t="s">
        <v>62</v>
      </c>
      <c r="C7625" s="5">
        <v>45337</v>
      </c>
      <c r="D7625" s="4">
        <v>59.8</v>
      </c>
      <c r="E7625" s="4">
        <v>19.38</v>
      </c>
    </row>
    <row r="7626" spans="1:5" x14ac:dyDescent="0.25">
      <c r="A7626" s="4" t="s">
        <v>53</v>
      </c>
      <c r="B7626" s="4" t="s">
        <v>62</v>
      </c>
      <c r="C7626" s="5">
        <v>45337</v>
      </c>
      <c r="D7626" s="4">
        <v>41.6</v>
      </c>
      <c r="E7626" s="4">
        <v>13.49</v>
      </c>
    </row>
    <row r="7627" spans="1:5" x14ac:dyDescent="0.25">
      <c r="A7627" s="4" t="s">
        <v>53</v>
      </c>
      <c r="B7627" s="4" t="s">
        <v>62</v>
      </c>
      <c r="C7627" s="5">
        <v>45337</v>
      </c>
      <c r="D7627" s="4">
        <v>44.4</v>
      </c>
      <c r="E7627" s="4">
        <v>14.38</v>
      </c>
    </row>
    <row r="7628" spans="1:5" x14ac:dyDescent="0.25">
      <c r="A7628" s="4" t="s">
        <v>53</v>
      </c>
      <c r="B7628" s="4" t="s">
        <v>35</v>
      </c>
      <c r="C7628" s="5">
        <v>45309</v>
      </c>
      <c r="D7628" s="4">
        <v>28.9</v>
      </c>
      <c r="E7628" s="4">
        <v>8.7799999999999994</v>
      </c>
    </row>
    <row r="7629" spans="1:5" x14ac:dyDescent="0.25">
      <c r="A7629" s="4" t="s">
        <v>53</v>
      </c>
      <c r="B7629" s="4" t="s">
        <v>35</v>
      </c>
      <c r="C7629" s="5">
        <v>45309</v>
      </c>
      <c r="D7629" s="4">
        <v>3.8</v>
      </c>
      <c r="E7629" s="4">
        <v>1.1499999999999999</v>
      </c>
    </row>
    <row r="7630" spans="1:5" x14ac:dyDescent="0.25">
      <c r="A7630" s="4" t="s">
        <v>53</v>
      </c>
      <c r="B7630" s="4" t="s">
        <v>35</v>
      </c>
      <c r="C7630" s="5">
        <v>45309</v>
      </c>
      <c r="D7630" s="4">
        <v>9.4</v>
      </c>
      <c r="E7630" s="4">
        <v>2.84</v>
      </c>
    </row>
    <row r="7631" spans="1:5" x14ac:dyDescent="0.25">
      <c r="A7631" s="4" t="s">
        <v>53</v>
      </c>
      <c r="B7631" s="4" t="s">
        <v>35</v>
      </c>
      <c r="C7631" s="5">
        <v>45309</v>
      </c>
      <c r="D7631" s="4">
        <v>12</v>
      </c>
      <c r="E7631" s="4">
        <v>3.66</v>
      </c>
    </row>
    <row r="7632" spans="1:5" x14ac:dyDescent="0.25">
      <c r="A7632" s="4" t="s">
        <v>53</v>
      </c>
      <c r="B7632" s="4" t="s">
        <v>35</v>
      </c>
      <c r="C7632" s="5">
        <v>45310</v>
      </c>
      <c r="D7632" s="4">
        <v>22.4</v>
      </c>
      <c r="E7632" s="4">
        <v>6.8</v>
      </c>
    </row>
    <row r="7633" spans="1:5" x14ac:dyDescent="0.25">
      <c r="A7633" s="4" t="s">
        <v>53</v>
      </c>
      <c r="B7633" s="4" t="s">
        <v>35</v>
      </c>
      <c r="C7633" s="5">
        <v>45310</v>
      </c>
      <c r="D7633" s="4">
        <v>3.8</v>
      </c>
      <c r="E7633" s="4">
        <v>1.1499999999999999</v>
      </c>
    </row>
    <row r="7634" spans="1:5" x14ac:dyDescent="0.25">
      <c r="A7634" s="4" t="s">
        <v>53</v>
      </c>
      <c r="B7634" s="4" t="s">
        <v>35</v>
      </c>
      <c r="C7634" s="5">
        <v>45310</v>
      </c>
      <c r="D7634" s="4">
        <v>2.2000000000000002</v>
      </c>
      <c r="E7634" s="4">
        <v>0.67</v>
      </c>
    </row>
    <row r="7635" spans="1:5" x14ac:dyDescent="0.25">
      <c r="A7635" s="4" t="s">
        <v>53</v>
      </c>
      <c r="B7635" s="4" t="s">
        <v>35</v>
      </c>
      <c r="C7635" s="5">
        <v>45310</v>
      </c>
      <c r="D7635" s="4">
        <v>4.7</v>
      </c>
      <c r="E7635" s="4">
        <v>1.43</v>
      </c>
    </row>
    <row r="7636" spans="1:5" x14ac:dyDescent="0.25">
      <c r="A7636" s="4" t="s">
        <v>53</v>
      </c>
      <c r="B7636" s="4" t="s">
        <v>35</v>
      </c>
      <c r="C7636" s="5">
        <v>45310</v>
      </c>
      <c r="D7636" s="4">
        <v>9.4</v>
      </c>
      <c r="E7636" s="4">
        <v>2.84</v>
      </c>
    </row>
    <row r="7637" spans="1:5" x14ac:dyDescent="0.25">
      <c r="A7637" s="4" t="s">
        <v>53</v>
      </c>
      <c r="B7637" s="4" t="s">
        <v>35</v>
      </c>
      <c r="C7637" s="5">
        <v>45310</v>
      </c>
      <c r="D7637" s="4">
        <v>12</v>
      </c>
      <c r="E7637" s="4">
        <v>3.66</v>
      </c>
    </row>
    <row r="7638" spans="1:5" x14ac:dyDescent="0.25">
      <c r="A7638" s="4" t="s">
        <v>53</v>
      </c>
      <c r="B7638" s="4" t="s">
        <v>35</v>
      </c>
      <c r="C7638" s="5">
        <v>45313</v>
      </c>
      <c r="D7638" s="4">
        <v>28.9</v>
      </c>
      <c r="E7638" s="4">
        <v>8.7799999999999994</v>
      </c>
    </row>
    <row r="7639" spans="1:5" x14ac:dyDescent="0.25">
      <c r="A7639" s="4" t="s">
        <v>53</v>
      </c>
      <c r="B7639" s="4" t="s">
        <v>35</v>
      </c>
      <c r="C7639" s="5">
        <v>45313</v>
      </c>
      <c r="D7639" s="4">
        <v>3.8</v>
      </c>
      <c r="E7639" s="4">
        <v>1.1499999999999999</v>
      </c>
    </row>
    <row r="7640" spans="1:5" x14ac:dyDescent="0.25">
      <c r="A7640" s="4" t="s">
        <v>53</v>
      </c>
      <c r="B7640" s="4" t="s">
        <v>35</v>
      </c>
      <c r="C7640" s="5">
        <v>45313</v>
      </c>
      <c r="D7640" s="4">
        <v>3.8</v>
      </c>
      <c r="E7640" s="4">
        <v>1.1499999999999999</v>
      </c>
    </row>
    <row r="7641" spans="1:5" x14ac:dyDescent="0.25">
      <c r="A7641" s="4" t="s">
        <v>53</v>
      </c>
      <c r="B7641" s="4" t="s">
        <v>35</v>
      </c>
      <c r="C7641" s="5">
        <v>45313</v>
      </c>
      <c r="D7641" s="4">
        <v>28.9</v>
      </c>
      <c r="E7641" s="4">
        <v>8.7799999999999994</v>
      </c>
    </row>
    <row r="7642" spans="1:5" x14ac:dyDescent="0.25">
      <c r="A7642" s="4" t="s">
        <v>53</v>
      </c>
      <c r="B7642" s="4" t="s">
        <v>35</v>
      </c>
      <c r="C7642" s="5">
        <v>45314</v>
      </c>
      <c r="D7642" s="4">
        <v>28.9</v>
      </c>
      <c r="E7642" s="4">
        <v>8.7799999999999994</v>
      </c>
    </row>
    <row r="7643" spans="1:5" x14ac:dyDescent="0.25">
      <c r="A7643" s="4" t="s">
        <v>53</v>
      </c>
      <c r="B7643" s="4" t="s">
        <v>35</v>
      </c>
      <c r="C7643" s="5">
        <v>45314</v>
      </c>
      <c r="D7643" s="4">
        <v>28.9</v>
      </c>
      <c r="E7643" s="4">
        <v>8.7799999999999994</v>
      </c>
    </row>
    <row r="7644" spans="1:5" x14ac:dyDescent="0.25">
      <c r="A7644" s="4" t="s">
        <v>53</v>
      </c>
      <c r="B7644" s="4" t="s">
        <v>35</v>
      </c>
      <c r="C7644" s="5">
        <v>45315</v>
      </c>
      <c r="D7644" s="4">
        <v>22.4</v>
      </c>
      <c r="E7644" s="4">
        <v>6.8</v>
      </c>
    </row>
    <row r="7645" spans="1:5" x14ac:dyDescent="0.25">
      <c r="A7645" s="4" t="s">
        <v>53</v>
      </c>
      <c r="B7645" s="4" t="s">
        <v>35</v>
      </c>
      <c r="C7645" s="5">
        <v>45315</v>
      </c>
      <c r="D7645" s="4">
        <v>3.8</v>
      </c>
      <c r="E7645" s="4">
        <v>1.1499999999999999</v>
      </c>
    </row>
    <row r="7646" spans="1:5" x14ac:dyDescent="0.25">
      <c r="A7646" s="4" t="s">
        <v>53</v>
      </c>
      <c r="B7646" s="4" t="s">
        <v>35</v>
      </c>
      <c r="C7646" s="5">
        <v>45315</v>
      </c>
      <c r="D7646" s="4">
        <v>28.9</v>
      </c>
      <c r="E7646" s="4">
        <v>8.7799999999999994</v>
      </c>
    </row>
    <row r="7647" spans="1:5" x14ac:dyDescent="0.25">
      <c r="A7647" s="4" t="s">
        <v>53</v>
      </c>
      <c r="B7647" s="4" t="s">
        <v>35</v>
      </c>
      <c r="C7647" s="5">
        <v>45316</v>
      </c>
      <c r="D7647" s="4">
        <v>28.9</v>
      </c>
      <c r="E7647" s="4">
        <v>8.7799999999999994</v>
      </c>
    </row>
    <row r="7648" spans="1:5" x14ac:dyDescent="0.25">
      <c r="A7648" s="4" t="s">
        <v>53</v>
      </c>
      <c r="B7648" s="4" t="s">
        <v>35</v>
      </c>
      <c r="C7648" s="5">
        <v>45316</v>
      </c>
      <c r="D7648" s="4">
        <v>51.9</v>
      </c>
      <c r="E7648" s="4">
        <v>15.82</v>
      </c>
    </row>
    <row r="7649" spans="1:5" x14ac:dyDescent="0.25">
      <c r="A7649" s="4" t="s">
        <v>53</v>
      </c>
      <c r="B7649" s="4" t="s">
        <v>35</v>
      </c>
      <c r="C7649" s="5">
        <v>45317</v>
      </c>
      <c r="D7649" s="4">
        <v>22.4</v>
      </c>
      <c r="E7649" s="4">
        <v>6.8</v>
      </c>
    </row>
    <row r="7650" spans="1:5" x14ac:dyDescent="0.25">
      <c r="A7650" s="4" t="s">
        <v>53</v>
      </c>
      <c r="B7650" s="4" t="s">
        <v>35</v>
      </c>
      <c r="C7650" s="5">
        <v>45317</v>
      </c>
      <c r="D7650" s="4">
        <v>3.8</v>
      </c>
      <c r="E7650" s="4">
        <v>1.1499999999999999</v>
      </c>
    </row>
    <row r="7651" spans="1:5" x14ac:dyDescent="0.25">
      <c r="A7651" s="4" t="s">
        <v>53</v>
      </c>
      <c r="B7651" s="4" t="s">
        <v>35</v>
      </c>
      <c r="C7651" s="5">
        <v>45317</v>
      </c>
      <c r="D7651" s="4">
        <v>6.9</v>
      </c>
      <c r="E7651" s="4">
        <v>2.1</v>
      </c>
    </row>
    <row r="7652" spans="1:5" x14ac:dyDescent="0.25">
      <c r="A7652" s="4" t="s">
        <v>53</v>
      </c>
      <c r="B7652" s="4" t="s">
        <v>35</v>
      </c>
      <c r="C7652" s="5">
        <v>45317</v>
      </c>
      <c r="D7652" s="4">
        <v>9.4</v>
      </c>
      <c r="E7652" s="4">
        <v>2.84</v>
      </c>
    </row>
    <row r="7653" spans="1:5" x14ac:dyDescent="0.25">
      <c r="A7653" s="4" t="s">
        <v>53</v>
      </c>
      <c r="B7653" s="4" t="s">
        <v>35</v>
      </c>
      <c r="C7653" s="5">
        <v>45317</v>
      </c>
      <c r="D7653" s="4">
        <v>12</v>
      </c>
      <c r="E7653" s="4">
        <v>3.66</v>
      </c>
    </row>
    <row r="7654" spans="1:5" x14ac:dyDescent="0.25">
      <c r="A7654" s="4" t="s">
        <v>53</v>
      </c>
      <c r="B7654" s="4" t="s">
        <v>35</v>
      </c>
      <c r="C7654" s="5">
        <v>45320</v>
      </c>
      <c r="D7654" s="4">
        <v>13.8</v>
      </c>
      <c r="E7654" s="4">
        <v>4.22</v>
      </c>
    </row>
    <row r="7655" spans="1:5" x14ac:dyDescent="0.25">
      <c r="A7655" s="4" t="s">
        <v>53</v>
      </c>
      <c r="B7655" s="4" t="s">
        <v>35</v>
      </c>
      <c r="C7655" s="5">
        <v>45320</v>
      </c>
      <c r="D7655" s="4">
        <v>1</v>
      </c>
      <c r="E7655" s="4">
        <v>0.3</v>
      </c>
    </row>
    <row r="7656" spans="1:5" x14ac:dyDescent="0.25">
      <c r="A7656" s="4" t="s">
        <v>53</v>
      </c>
      <c r="B7656" s="4" t="s">
        <v>35</v>
      </c>
      <c r="C7656" s="5">
        <v>45320</v>
      </c>
      <c r="D7656" s="4">
        <v>1</v>
      </c>
      <c r="E7656" s="4">
        <v>0.3</v>
      </c>
    </row>
    <row r="7657" spans="1:5" x14ac:dyDescent="0.25">
      <c r="A7657" s="4" t="s">
        <v>53</v>
      </c>
      <c r="B7657" s="4" t="s">
        <v>35</v>
      </c>
      <c r="C7657" s="5">
        <v>45320</v>
      </c>
      <c r="D7657" s="4">
        <v>1</v>
      </c>
      <c r="E7657" s="4">
        <v>0.3</v>
      </c>
    </row>
    <row r="7658" spans="1:5" x14ac:dyDescent="0.25">
      <c r="A7658" s="4" t="s">
        <v>53</v>
      </c>
      <c r="B7658" s="4" t="s">
        <v>35</v>
      </c>
      <c r="C7658" s="5">
        <v>45320</v>
      </c>
      <c r="D7658" s="4">
        <v>1.1000000000000001</v>
      </c>
      <c r="E7658" s="4">
        <v>0.34</v>
      </c>
    </row>
    <row r="7659" spans="1:5" x14ac:dyDescent="0.25">
      <c r="A7659" s="4" t="s">
        <v>53</v>
      </c>
      <c r="B7659" s="4" t="s">
        <v>35</v>
      </c>
      <c r="C7659" s="5">
        <v>45320</v>
      </c>
      <c r="D7659" s="4">
        <v>16.399999999999999</v>
      </c>
      <c r="E7659" s="4">
        <v>5</v>
      </c>
    </row>
    <row r="7660" spans="1:5" x14ac:dyDescent="0.25">
      <c r="A7660" s="4" t="s">
        <v>53</v>
      </c>
      <c r="B7660" s="4" t="s">
        <v>35</v>
      </c>
      <c r="C7660" s="5">
        <v>45321</v>
      </c>
      <c r="D7660" s="4">
        <v>15.4</v>
      </c>
      <c r="E7660" s="4">
        <v>5.35</v>
      </c>
    </row>
    <row r="7661" spans="1:5" x14ac:dyDescent="0.25">
      <c r="A7661" s="4" t="s">
        <v>53</v>
      </c>
      <c r="B7661" s="4" t="s">
        <v>35</v>
      </c>
      <c r="C7661" s="5">
        <v>45321</v>
      </c>
      <c r="D7661" s="4">
        <v>19</v>
      </c>
      <c r="E7661" s="4">
        <v>6.58</v>
      </c>
    </row>
    <row r="7662" spans="1:5" x14ac:dyDescent="0.25">
      <c r="A7662" s="4" t="s">
        <v>53</v>
      </c>
      <c r="B7662" s="4" t="s">
        <v>35</v>
      </c>
      <c r="C7662" s="5">
        <v>45321</v>
      </c>
      <c r="D7662" s="4">
        <v>7.4</v>
      </c>
      <c r="E7662" s="4">
        <v>2.56</v>
      </c>
    </row>
    <row r="7663" spans="1:5" x14ac:dyDescent="0.25">
      <c r="A7663" s="4" t="s">
        <v>53</v>
      </c>
      <c r="B7663" s="4" t="s">
        <v>35</v>
      </c>
      <c r="C7663" s="5">
        <v>45321</v>
      </c>
      <c r="D7663" s="4">
        <v>7.4</v>
      </c>
      <c r="E7663" s="4">
        <v>2.56</v>
      </c>
    </row>
    <row r="7664" spans="1:5" x14ac:dyDescent="0.25">
      <c r="A7664" s="4" t="s">
        <v>53</v>
      </c>
      <c r="B7664" s="4" t="s">
        <v>35</v>
      </c>
      <c r="C7664" s="5">
        <v>45321</v>
      </c>
      <c r="D7664" s="4">
        <v>19</v>
      </c>
      <c r="E7664" s="4">
        <v>6.58</v>
      </c>
    </row>
    <row r="7665" spans="1:5" x14ac:dyDescent="0.25">
      <c r="A7665" s="4" t="s">
        <v>53</v>
      </c>
      <c r="B7665" s="4" t="s">
        <v>35</v>
      </c>
      <c r="C7665" s="5">
        <v>45321</v>
      </c>
      <c r="D7665" s="4">
        <v>2.4</v>
      </c>
      <c r="E7665" s="4">
        <v>0.84</v>
      </c>
    </row>
    <row r="7666" spans="1:5" x14ac:dyDescent="0.25">
      <c r="A7666" s="4" t="s">
        <v>53</v>
      </c>
      <c r="B7666" s="4" t="s">
        <v>35</v>
      </c>
      <c r="C7666" s="5">
        <v>45321</v>
      </c>
      <c r="D7666" s="4">
        <v>11.8</v>
      </c>
      <c r="E7666" s="4">
        <v>4.0999999999999996</v>
      </c>
    </row>
    <row r="7667" spans="1:5" x14ac:dyDescent="0.25">
      <c r="A7667" s="4" t="s">
        <v>53</v>
      </c>
      <c r="B7667" s="4" t="s">
        <v>35</v>
      </c>
      <c r="C7667" s="5">
        <v>45322</v>
      </c>
      <c r="D7667" s="4">
        <v>11</v>
      </c>
      <c r="E7667" s="4">
        <v>3.83</v>
      </c>
    </row>
    <row r="7668" spans="1:5" x14ac:dyDescent="0.25">
      <c r="A7668" s="4" t="s">
        <v>53</v>
      </c>
      <c r="B7668" s="4" t="s">
        <v>35</v>
      </c>
      <c r="C7668" s="5">
        <v>45322</v>
      </c>
      <c r="D7668" s="4">
        <v>32.5</v>
      </c>
      <c r="E7668" s="4">
        <v>11.29</v>
      </c>
    </row>
    <row r="7669" spans="1:5" x14ac:dyDescent="0.25">
      <c r="A7669" s="4" t="s">
        <v>53</v>
      </c>
      <c r="B7669" s="4" t="s">
        <v>35</v>
      </c>
      <c r="C7669" s="5">
        <v>45322</v>
      </c>
      <c r="D7669" s="4">
        <v>19</v>
      </c>
      <c r="E7669" s="4">
        <v>6.58</v>
      </c>
    </row>
    <row r="7670" spans="1:5" x14ac:dyDescent="0.25">
      <c r="A7670" s="4" t="s">
        <v>53</v>
      </c>
      <c r="B7670" s="4" t="s">
        <v>35</v>
      </c>
      <c r="C7670" s="5">
        <v>45322</v>
      </c>
      <c r="D7670" s="4">
        <v>2.4</v>
      </c>
      <c r="E7670" s="4">
        <v>0.84</v>
      </c>
    </row>
    <row r="7671" spans="1:5" x14ac:dyDescent="0.25">
      <c r="A7671" s="4" t="s">
        <v>53</v>
      </c>
      <c r="B7671" s="4" t="s">
        <v>35</v>
      </c>
      <c r="C7671" s="5">
        <v>45322</v>
      </c>
      <c r="D7671" s="4">
        <v>11.8</v>
      </c>
      <c r="E7671" s="4">
        <v>4.0999999999999996</v>
      </c>
    </row>
    <row r="7672" spans="1:5" x14ac:dyDescent="0.25">
      <c r="A7672" s="4" t="s">
        <v>53</v>
      </c>
      <c r="B7672" s="4" t="s">
        <v>35</v>
      </c>
      <c r="C7672" s="5">
        <v>45323</v>
      </c>
      <c r="D7672" s="4">
        <v>18.7</v>
      </c>
      <c r="E7672" s="4">
        <v>6.52</v>
      </c>
    </row>
    <row r="7673" spans="1:5" x14ac:dyDescent="0.25">
      <c r="A7673" s="4" t="s">
        <v>53</v>
      </c>
      <c r="B7673" s="4" t="s">
        <v>35</v>
      </c>
      <c r="C7673" s="5">
        <v>45323</v>
      </c>
      <c r="D7673" s="4">
        <v>17.399999999999999</v>
      </c>
      <c r="E7673" s="4">
        <v>6.04</v>
      </c>
    </row>
    <row r="7674" spans="1:5" x14ac:dyDescent="0.25">
      <c r="A7674" s="4" t="s">
        <v>53</v>
      </c>
      <c r="B7674" s="4" t="s">
        <v>35</v>
      </c>
      <c r="C7674" s="5">
        <v>45323</v>
      </c>
      <c r="D7674" s="4">
        <v>7.4</v>
      </c>
      <c r="E7674" s="4">
        <v>2.56</v>
      </c>
    </row>
    <row r="7675" spans="1:5" x14ac:dyDescent="0.25">
      <c r="A7675" s="4" t="s">
        <v>53</v>
      </c>
      <c r="B7675" s="4" t="s">
        <v>35</v>
      </c>
      <c r="C7675" s="5">
        <v>45323</v>
      </c>
      <c r="D7675" s="4">
        <v>19</v>
      </c>
      <c r="E7675" s="4">
        <v>5.76</v>
      </c>
    </row>
    <row r="7676" spans="1:5" x14ac:dyDescent="0.25">
      <c r="A7676" s="4" t="s">
        <v>53</v>
      </c>
      <c r="B7676" s="4" t="s">
        <v>35</v>
      </c>
      <c r="C7676" s="5">
        <v>45323</v>
      </c>
      <c r="D7676" s="4">
        <v>2.4</v>
      </c>
      <c r="E7676" s="4">
        <v>0.72</v>
      </c>
    </row>
    <row r="7677" spans="1:5" x14ac:dyDescent="0.25">
      <c r="A7677" s="4" t="s">
        <v>53</v>
      </c>
      <c r="B7677" s="4" t="s">
        <v>35</v>
      </c>
      <c r="C7677" s="5">
        <v>45323</v>
      </c>
      <c r="D7677" s="4">
        <v>11.8</v>
      </c>
      <c r="E7677" s="4">
        <v>3.6</v>
      </c>
    </row>
    <row r="7678" spans="1:5" x14ac:dyDescent="0.25">
      <c r="A7678" s="4" t="s">
        <v>53</v>
      </c>
      <c r="B7678" s="4" t="s">
        <v>35</v>
      </c>
      <c r="C7678" s="5">
        <v>45324</v>
      </c>
      <c r="D7678" s="4">
        <v>11.8</v>
      </c>
      <c r="E7678" s="4">
        <v>3.6</v>
      </c>
    </row>
    <row r="7679" spans="1:5" x14ac:dyDescent="0.25">
      <c r="A7679" s="4" t="s">
        <v>53</v>
      </c>
      <c r="B7679" s="4" t="s">
        <v>35</v>
      </c>
      <c r="C7679" s="5">
        <v>45324</v>
      </c>
      <c r="D7679" s="4">
        <v>28</v>
      </c>
      <c r="E7679" s="4">
        <v>8.48</v>
      </c>
    </row>
    <row r="7680" spans="1:5" x14ac:dyDescent="0.25">
      <c r="A7680" s="4" t="s">
        <v>53</v>
      </c>
      <c r="B7680" s="4" t="s">
        <v>35</v>
      </c>
      <c r="C7680" s="5">
        <v>45324</v>
      </c>
      <c r="D7680" s="4">
        <v>19</v>
      </c>
      <c r="E7680" s="4">
        <v>6.58</v>
      </c>
    </row>
    <row r="7681" spans="1:5" x14ac:dyDescent="0.25">
      <c r="A7681" s="4" t="s">
        <v>53</v>
      </c>
      <c r="B7681" s="4" t="s">
        <v>35</v>
      </c>
      <c r="C7681" s="5">
        <v>45324</v>
      </c>
      <c r="D7681" s="4">
        <v>2.4</v>
      </c>
      <c r="E7681" s="4">
        <v>0.84</v>
      </c>
    </row>
    <row r="7682" spans="1:5" x14ac:dyDescent="0.25">
      <c r="A7682" s="4" t="s">
        <v>53</v>
      </c>
      <c r="B7682" s="4" t="s">
        <v>35</v>
      </c>
      <c r="C7682" s="5">
        <v>45324</v>
      </c>
      <c r="D7682" s="4">
        <v>11.8</v>
      </c>
      <c r="E7682" s="4">
        <v>4.0999999999999996</v>
      </c>
    </row>
    <row r="7683" spans="1:5" x14ac:dyDescent="0.25">
      <c r="A7683" s="4" t="s">
        <v>53</v>
      </c>
      <c r="B7683" s="4" t="s">
        <v>35</v>
      </c>
      <c r="C7683" s="5">
        <v>45327</v>
      </c>
      <c r="D7683" s="4">
        <v>43.5</v>
      </c>
      <c r="E7683" s="4">
        <v>15.12</v>
      </c>
    </row>
    <row r="7684" spans="1:5" x14ac:dyDescent="0.25">
      <c r="A7684" s="4" t="s">
        <v>53</v>
      </c>
      <c r="B7684" s="4" t="s">
        <v>35</v>
      </c>
      <c r="C7684" s="5">
        <v>45327</v>
      </c>
      <c r="D7684" s="4">
        <v>7.4</v>
      </c>
      <c r="E7684" s="4">
        <v>2.25</v>
      </c>
    </row>
    <row r="7685" spans="1:5" x14ac:dyDescent="0.25">
      <c r="A7685" s="4" t="s">
        <v>53</v>
      </c>
      <c r="B7685" s="4" t="s">
        <v>35</v>
      </c>
      <c r="C7685" s="5">
        <v>45327</v>
      </c>
      <c r="D7685" s="4">
        <v>7.4</v>
      </c>
      <c r="E7685" s="4">
        <v>2.25</v>
      </c>
    </row>
    <row r="7686" spans="1:5" x14ac:dyDescent="0.25">
      <c r="A7686" s="4" t="s">
        <v>53</v>
      </c>
      <c r="B7686" s="4" t="s">
        <v>35</v>
      </c>
      <c r="C7686" s="5">
        <v>45327</v>
      </c>
      <c r="D7686" s="4">
        <v>5.5</v>
      </c>
      <c r="E7686" s="4">
        <v>1.67</v>
      </c>
    </row>
    <row r="7687" spans="1:5" x14ac:dyDescent="0.25">
      <c r="A7687" s="4" t="s">
        <v>53</v>
      </c>
      <c r="B7687" s="4" t="s">
        <v>35</v>
      </c>
      <c r="C7687" s="5">
        <v>45327</v>
      </c>
      <c r="D7687" s="4">
        <v>13.5</v>
      </c>
      <c r="E7687" s="4">
        <v>4.68</v>
      </c>
    </row>
    <row r="7688" spans="1:5" x14ac:dyDescent="0.25">
      <c r="A7688" s="4" t="s">
        <v>53</v>
      </c>
      <c r="B7688" s="4" t="s">
        <v>35</v>
      </c>
      <c r="C7688" s="5">
        <v>45327</v>
      </c>
      <c r="D7688" s="4">
        <v>2.4</v>
      </c>
      <c r="E7688" s="4">
        <v>0.84</v>
      </c>
    </row>
    <row r="7689" spans="1:5" x14ac:dyDescent="0.25">
      <c r="A7689" s="4" t="s">
        <v>53</v>
      </c>
      <c r="B7689" s="4" t="s">
        <v>35</v>
      </c>
      <c r="C7689" s="5">
        <v>45327</v>
      </c>
      <c r="D7689" s="4">
        <v>11.8</v>
      </c>
      <c r="E7689" s="4">
        <v>4.0999999999999996</v>
      </c>
    </row>
    <row r="7690" spans="1:5" x14ac:dyDescent="0.25">
      <c r="A7690" s="4" t="s">
        <v>53</v>
      </c>
      <c r="B7690" s="4" t="s">
        <v>35</v>
      </c>
      <c r="C7690" s="5">
        <v>45329</v>
      </c>
      <c r="D7690" s="4">
        <v>18.7</v>
      </c>
      <c r="E7690" s="4">
        <v>6.52</v>
      </c>
    </row>
    <row r="7691" spans="1:5" x14ac:dyDescent="0.25">
      <c r="A7691" s="4" t="s">
        <v>53</v>
      </c>
      <c r="B7691" s="4" t="s">
        <v>35</v>
      </c>
      <c r="C7691" s="5">
        <v>45329</v>
      </c>
      <c r="D7691" s="4">
        <v>24.8</v>
      </c>
      <c r="E7691" s="4">
        <v>8.6</v>
      </c>
    </row>
    <row r="7692" spans="1:5" x14ac:dyDescent="0.25">
      <c r="A7692" s="4" t="s">
        <v>53</v>
      </c>
      <c r="B7692" s="4" t="s">
        <v>35</v>
      </c>
      <c r="C7692" s="5">
        <v>45329</v>
      </c>
      <c r="D7692" s="4">
        <v>17.5</v>
      </c>
      <c r="E7692" s="4">
        <v>6.07</v>
      </c>
    </row>
    <row r="7693" spans="1:5" x14ac:dyDescent="0.25">
      <c r="A7693" s="4" t="s">
        <v>53</v>
      </c>
      <c r="B7693" s="4" t="s">
        <v>35</v>
      </c>
      <c r="C7693" s="5">
        <v>45329</v>
      </c>
      <c r="D7693" s="4">
        <v>17.5</v>
      </c>
      <c r="E7693" s="4">
        <v>6.07</v>
      </c>
    </row>
    <row r="7694" spans="1:5" x14ac:dyDescent="0.25">
      <c r="A7694" s="4" t="s">
        <v>53</v>
      </c>
      <c r="B7694" s="4" t="s">
        <v>35</v>
      </c>
      <c r="C7694" s="5">
        <v>45329</v>
      </c>
      <c r="D7694" s="4">
        <v>17.5</v>
      </c>
      <c r="E7694" s="4">
        <v>6.07</v>
      </c>
    </row>
    <row r="7695" spans="1:5" x14ac:dyDescent="0.25">
      <c r="A7695" s="4" t="s">
        <v>53</v>
      </c>
      <c r="B7695" s="4" t="s">
        <v>35</v>
      </c>
      <c r="C7695" s="5">
        <v>45329</v>
      </c>
      <c r="D7695" s="4">
        <v>17.5</v>
      </c>
      <c r="E7695" s="4">
        <v>6.07</v>
      </c>
    </row>
    <row r="7696" spans="1:5" x14ac:dyDescent="0.25">
      <c r="A7696" s="4" t="s">
        <v>53</v>
      </c>
      <c r="B7696" s="4" t="s">
        <v>35</v>
      </c>
      <c r="C7696" s="5">
        <v>45329</v>
      </c>
      <c r="D7696" s="4">
        <v>17.5</v>
      </c>
      <c r="E7696" s="4">
        <v>6.07</v>
      </c>
    </row>
    <row r="7697" spans="1:5" x14ac:dyDescent="0.25">
      <c r="A7697" s="4" t="s">
        <v>53</v>
      </c>
      <c r="B7697" s="4" t="s">
        <v>35</v>
      </c>
      <c r="C7697" s="5">
        <v>45329</v>
      </c>
      <c r="D7697" s="4">
        <v>17.5</v>
      </c>
      <c r="E7697" s="4">
        <v>6.07</v>
      </c>
    </row>
    <row r="7698" spans="1:5" x14ac:dyDescent="0.25">
      <c r="A7698" s="4" t="s">
        <v>53</v>
      </c>
      <c r="B7698" s="4" t="s">
        <v>35</v>
      </c>
      <c r="C7698" s="5">
        <v>45329</v>
      </c>
      <c r="D7698" s="4">
        <v>17.5</v>
      </c>
      <c r="E7698" s="4">
        <v>6.07</v>
      </c>
    </row>
    <row r="7699" spans="1:5" x14ac:dyDescent="0.25">
      <c r="A7699" s="4" t="s">
        <v>53</v>
      </c>
      <c r="B7699" s="4" t="s">
        <v>35</v>
      </c>
      <c r="C7699" s="5">
        <v>45329</v>
      </c>
      <c r="D7699" s="4">
        <v>17.5</v>
      </c>
      <c r="E7699" s="4">
        <v>6.07</v>
      </c>
    </row>
    <row r="7700" spans="1:5" x14ac:dyDescent="0.25">
      <c r="A7700" s="4" t="s">
        <v>53</v>
      </c>
      <c r="B7700" s="4" t="s">
        <v>35</v>
      </c>
      <c r="C7700" s="5">
        <v>45329</v>
      </c>
      <c r="D7700" s="4">
        <v>0.5</v>
      </c>
      <c r="E7700" s="4">
        <v>0.17</v>
      </c>
    </row>
    <row r="7701" spans="1:5" x14ac:dyDescent="0.25">
      <c r="A7701" s="4" t="s">
        <v>53</v>
      </c>
      <c r="B7701" s="4" t="s">
        <v>35</v>
      </c>
      <c r="C7701" s="5">
        <v>45329</v>
      </c>
      <c r="D7701" s="4">
        <v>17</v>
      </c>
      <c r="E7701" s="4">
        <v>5.9</v>
      </c>
    </row>
    <row r="7702" spans="1:5" x14ac:dyDescent="0.25">
      <c r="A7702" s="4" t="s">
        <v>53</v>
      </c>
      <c r="B7702" s="4" t="s">
        <v>35</v>
      </c>
      <c r="C7702" s="5">
        <v>45329</v>
      </c>
      <c r="D7702" s="4">
        <v>13.5</v>
      </c>
      <c r="E7702" s="4">
        <v>4.67</v>
      </c>
    </row>
    <row r="7703" spans="1:5" x14ac:dyDescent="0.25">
      <c r="A7703" s="4" t="s">
        <v>53</v>
      </c>
      <c r="B7703" s="4" t="s">
        <v>35</v>
      </c>
      <c r="C7703" s="5">
        <v>45329</v>
      </c>
      <c r="D7703" s="4">
        <v>2.4</v>
      </c>
      <c r="E7703" s="4">
        <v>0.84</v>
      </c>
    </row>
    <row r="7704" spans="1:5" x14ac:dyDescent="0.25">
      <c r="A7704" s="4" t="s">
        <v>53</v>
      </c>
      <c r="B7704" s="4" t="s">
        <v>35</v>
      </c>
      <c r="C7704" s="5">
        <v>45329</v>
      </c>
      <c r="D7704" s="4">
        <v>11.8</v>
      </c>
      <c r="E7704" s="4">
        <v>4.0999999999999996</v>
      </c>
    </row>
    <row r="7705" spans="1:5" x14ac:dyDescent="0.25">
      <c r="A7705" s="4" t="s">
        <v>53</v>
      </c>
      <c r="B7705" s="4" t="s">
        <v>35</v>
      </c>
      <c r="C7705" s="5">
        <v>45331</v>
      </c>
      <c r="D7705" s="4">
        <v>26.9</v>
      </c>
      <c r="E7705" s="4">
        <v>9.35</v>
      </c>
    </row>
    <row r="7706" spans="1:5" x14ac:dyDescent="0.25">
      <c r="A7706" s="4" t="s">
        <v>53</v>
      </c>
      <c r="B7706" s="4" t="s">
        <v>35</v>
      </c>
      <c r="C7706" s="5">
        <v>45331</v>
      </c>
      <c r="D7706" s="4">
        <v>43.3</v>
      </c>
      <c r="E7706" s="4">
        <v>15.06</v>
      </c>
    </row>
    <row r="7707" spans="1:5" x14ac:dyDescent="0.25">
      <c r="A7707" s="4" t="s">
        <v>53</v>
      </c>
      <c r="B7707" s="4" t="s">
        <v>35</v>
      </c>
      <c r="C7707" s="5">
        <v>45331</v>
      </c>
      <c r="D7707" s="4">
        <v>16.399999999999999</v>
      </c>
      <c r="E7707" s="4">
        <v>5.71</v>
      </c>
    </row>
    <row r="7708" spans="1:5" x14ac:dyDescent="0.25">
      <c r="A7708" s="4" t="s">
        <v>53</v>
      </c>
      <c r="B7708" s="4" t="s">
        <v>35</v>
      </c>
      <c r="C7708" s="5">
        <v>45331</v>
      </c>
      <c r="D7708" s="4">
        <v>26.9</v>
      </c>
      <c r="E7708" s="4">
        <v>9.35</v>
      </c>
    </row>
    <row r="7709" spans="1:5" x14ac:dyDescent="0.25">
      <c r="A7709" s="4" t="s">
        <v>53</v>
      </c>
      <c r="B7709" s="4" t="s">
        <v>35</v>
      </c>
      <c r="C7709" s="5">
        <v>45331</v>
      </c>
      <c r="D7709" s="4">
        <v>43.3</v>
      </c>
      <c r="E7709" s="4">
        <v>15.06</v>
      </c>
    </row>
    <row r="7710" spans="1:5" x14ac:dyDescent="0.25">
      <c r="A7710" s="4" t="s">
        <v>53</v>
      </c>
      <c r="B7710" s="4" t="s">
        <v>35</v>
      </c>
      <c r="C7710" s="5">
        <v>45331</v>
      </c>
      <c r="D7710" s="4">
        <v>16.399999999999999</v>
      </c>
      <c r="E7710" s="4">
        <v>5.71</v>
      </c>
    </row>
    <row r="7711" spans="1:5" x14ac:dyDescent="0.25">
      <c r="A7711" s="4" t="s">
        <v>53</v>
      </c>
      <c r="B7711" s="4" t="s">
        <v>35</v>
      </c>
      <c r="C7711" s="5">
        <v>45334</v>
      </c>
      <c r="D7711" s="4">
        <v>16.399999999999999</v>
      </c>
      <c r="E7711" s="4">
        <v>5</v>
      </c>
    </row>
    <row r="7712" spans="1:5" x14ac:dyDescent="0.25">
      <c r="A7712" s="4" t="s">
        <v>53</v>
      </c>
      <c r="B7712" s="4" t="s">
        <v>35</v>
      </c>
      <c r="C7712" s="5">
        <v>45334</v>
      </c>
      <c r="D7712" s="4">
        <v>1.1000000000000001</v>
      </c>
      <c r="E7712" s="4">
        <v>0.34</v>
      </c>
    </row>
    <row r="7713" spans="1:5" x14ac:dyDescent="0.25">
      <c r="A7713" s="4" t="s">
        <v>53</v>
      </c>
      <c r="B7713" s="4" t="s">
        <v>35</v>
      </c>
      <c r="C7713" s="5">
        <v>45334</v>
      </c>
      <c r="D7713" s="4">
        <v>1.1000000000000001</v>
      </c>
      <c r="E7713" s="4">
        <v>0.34</v>
      </c>
    </row>
    <row r="7714" spans="1:5" x14ac:dyDescent="0.25">
      <c r="A7714" s="4" t="s">
        <v>53</v>
      </c>
      <c r="B7714" s="4" t="s">
        <v>35</v>
      </c>
      <c r="C7714" s="5">
        <v>45334</v>
      </c>
      <c r="D7714" s="4">
        <v>13.6</v>
      </c>
      <c r="E7714" s="4">
        <v>4.1500000000000004</v>
      </c>
    </row>
    <row r="7715" spans="1:5" x14ac:dyDescent="0.25">
      <c r="A7715" s="4" t="s">
        <v>53</v>
      </c>
      <c r="B7715" s="4" t="s">
        <v>35</v>
      </c>
      <c r="C7715" s="5">
        <v>45334</v>
      </c>
      <c r="D7715" s="4">
        <v>15.4</v>
      </c>
      <c r="E7715" s="4">
        <v>4.7</v>
      </c>
    </row>
    <row r="7716" spans="1:5" x14ac:dyDescent="0.25">
      <c r="A7716" s="4" t="s">
        <v>53</v>
      </c>
      <c r="B7716" s="4" t="s">
        <v>35</v>
      </c>
      <c r="C7716" s="5">
        <v>45334</v>
      </c>
      <c r="D7716" s="4">
        <v>1.1000000000000001</v>
      </c>
      <c r="E7716" s="4">
        <v>0.34</v>
      </c>
    </row>
    <row r="7717" spans="1:5" x14ac:dyDescent="0.25">
      <c r="A7717" s="4" t="s">
        <v>53</v>
      </c>
      <c r="B7717" s="4" t="s">
        <v>35</v>
      </c>
      <c r="C7717" s="5">
        <v>45334</v>
      </c>
      <c r="D7717" s="4">
        <v>1.1000000000000001</v>
      </c>
      <c r="E7717" s="4">
        <v>0.34</v>
      </c>
    </row>
    <row r="7718" spans="1:5" x14ac:dyDescent="0.25">
      <c r="A7718" s="4" t="s">
        <v>53</v>
      </c>
      <c r="B7718" s="4" t="s">
        <v>35</v>
      </c>
      <c r="C7718" s="5">
        <v>45334</v>
      </c>
      <c r="D7718" s="4">
        <v>13.6</v>
      </c>
      <c r="E7718" s="4">
        <v>4.1500000000000004</v>
      </c>
    </row>
    <row r="7719" spans="1:5" x14ac:dyDescent="0.25">
      <c r="A7719" s="4" t="s">
        <v>53</v>
      </c>
      <c r="B7719" s="4" t="s">
        <v>35</v>
      </c>
      <c r="C7719" s="5">
        <v>45334</v>
      </c>
      <c r="D7719" s="4">
        <v>15.4</v>
      </c>
      <c r="E7719" s="4">
        <v>4.7</v>
      </c>
    </row>
    <row r="7720" spans="1:5" x14ac:dyDescent="0.25">
      <c r="A7720" s="4" t="s">
        <v>53</v>
      </c>
      <c r="B7720" s="4" t="s">
        <v>35</v>
      </c>
      <c r="C7720" s="5">
        <v>45334</v>
      </c>
      <c r="D7720" s="4">
        <v>1.1000000000000001</v>
      </c>
      <c r="E7720" s="4">
        <v>0.34</v>
      </c>
    </row>
    <row r="7721" spans="1:5" x14ac:dyDescent="0.25">
      <c r="A7721" s="4" t="s">
        <v>53</v>
      </c>
      <c r="B7721" s="4" t="s">
        <v>35</v>
      </c>
      <c r="C7721" s="5">
        <v>45334</v>
      </c>
      <c r="D7721" s="4">
        <v>1.1000000000000001</v>
      </c>
      <c r="E7721" s="4">
        <v>0.34</v>
      </c>
    </row>
    <row r="7722" spans="1:5" x14ac:dyDescent="0.25">
      <c r="A7722" s="4" t="s">
        <v>53</v>
      </c>
      <c r="B7722" s="4" t="s">
        <v>35</v>
      </c>
      <c r="C7722" s="5">
        <v>45334</v>
      </c>
      <c r="D7722" s="4">
        <v>13.6</v>
      </c>
      <c r="E7722" s="4">
        <v>4.1500000000000004</v>
      </c>
    </row>
    <row r="7723" spans="1:5" x14ac:dyDescent="0.25">
      <c r="A7723" s="4" t="s">
        <v>53</v>
      </c>
      <c r="B7723" s="4" t="s">
        <v>35</v>
      </c>
      <c r="C7723" s="5">
        <v>45335</v>
      </c>
      <c r="D7723" s="4">
        <v>16.399999999999999</v>
      </c>
      <c r="E7723" s="4">
        <v>5</v>
      </c>
    </row>
    <row r="7724" spans="1:5" x14ac:dyDescent="0.25">
      <c r="A7724" s="4" t="s">
        <v>53</v>
      </c>
      <c r="B7724" s="4" t="s">
        <v>35</v>
      </c>
      <c r="C7724" s="5">
        <v>45335</v>
      </c>
      <c r="D7724" s="4">
        <v>1.1000000000000001</v>
      </c>
      <c r="E7724" s="4">
        <v>0.34</v>
      </c>
    </row>
    <row r="7725" spans="1:5" x14ac:dyDescent="0.25">
      <c r="A7725" s="4" t="s">
        <v>53</v>
      </c>
      <c r="B7725" s="4" t="s">
        <v>35</v>
      </c>
      <c r="C7725" s="5">
        <v>45335</v>
      </c>
      <c r="D7725" s="4">
        <v>1.1000000000000001</v>
      </c>
      <c r="E7725" s="4">
        <v>0.34</v>
      </c>
    </row>
    <row r="7726" spans="1:5" x14ac:dyDescent="0.25">
      <c r="A7726" s="4" t="s">
        <v>53</v>
      </c>
      <c r="B7726" s="4" t="s">
        <v>35</v>
      </c>
      <c r="C7726" s="5">
        <v>45335</v>
      </c>
      <c r="D7726" s="4">
        <v>13.6</v>
      </c>
      <c r="E7726" s="4">
        <v>4.1500000000000004</v>
      </c>
    </row>
    <row r="7727" spans="1:5" x14ac:dyDescent="0.25">
      <c r="A7727" s="4" t="s">
        <v>53</v>
      </c>
      <c r="B7727" s="4" t="s">
        <v>35</v>
      </c>
      <c r="C7727" s="5">
        <v>45335</v>
      </c>
      <c r="D7727" s="4">
        <v>1.1000000000000001</v>
      </c>
      <c r="E7727" s="4">
        <v>0.34</v>
      </c>
    </row>
    <row r="7728" spans="1:5" x14ac:dyDescent="0.25">
      <c r="A7728" s="4" t="s">
        <v>53</v>
      </c>
      <c r="B7728" s="4" t="s">
        <v>35</v>
      </c>
      <c r="C7728" s="5">
        <v>45335</v>
      </c>
      <c r="D7728" s="4">
        <v>0.2</v>
      </c>
      <c r="E7728" s="4">
        <v>0.06</v>
      </c>
    </row>
    <row r="7729" spans="1:5" x14ac:dyDescent="0.25">
      <c r="A7729" s="4" t="s">
        <v>53</v>
      </c>
      <c r="B7729" s="4" t="s">
        <v>35</v>
      </c>
      <c r="C7729" s="5">
        <v>45335</v>
      </c>
      <c r="D7729" s="4">
        <v>15.4</v>
      </c>
      <c r="E7729" s="4">
        <v>4.7</v>
      </c>
    </row>
    <row r="7730" spans="1:5" x14ac:dyDescent="0.25">
      <c r="A7730" s="4" t="s">
        <v>53</v>
      </c>
      <c r="B7730" s="4" t="s">
        <v>35</v>
      </c>
      <c r="C7730" s="5">
        <v>45335</v>
      </c>
      <c r="D7730" s="4">
        <v>1.1000000000000001</v>
      </c>
      <c r="E7730" s="4">
        <v>0.34</v>
      </c>
    </row>
    <row r="7731" spans="1:5" x14ac:dyDescent="0.25">
      <c r="A7731" s="4" t="s">
        <v>53</v>
      </c>
      <c r="B7731" s="4" t="s">
        <v>35</v>
      </c>
      <c r="C7731" s="5">
        <v>45335</v>
      </c>
      <c r="D7731" s="4">
        <v>1.1000000000000001</v>
      </c>
      <c r="E7731" s="4">
        <v>0.34</v>
      </c>
    </row>
    <row r="7732" spans="1:5" x14ac:dyDescent="0.25">
      <c r="A7732" s="4" t="s">
        <v>53</v>
      </c>
      <c r="B7732" s="4" t="s">
        <v>35</v>
      </c>
      <c r="C7732" s="5">
        <v>45335</v>
      </c>
      <c r="D7732" s="4">
        <v>13.6</v>
      </c>
      <c r="E7732" s="4">
        <v>4.1500000000000004</v>
      </c>
    </row>
    <row r="7733" spans="1:5" x14ac:dyDescent="0.25">
      <c r="A7733" s="4" t="s">
        <v>53</v>
      </c>
      <c r="B7733" s="4" t="s">
        <v>35</v>
      </c>
      <c r="C7733" s="5">
        <v>45335</v>
      </c>
      <c r="D7733" s="4">
        <v>15.4</v>
      </c>
      <c r="E7733" s="4">
        <v>4.7</v>
      </c>
    </row>
    <row r="7734" spans="1:5" x14ac:dyDescent="0.25">
      <c r="A7734" s="4" t="s">
        <v>53</v>
      </c>
      <c r="B7734" s="4" t="s">
        <v>35</v>
      </c>
      <c r="C7734" s="5">
        <v>45335</v>
      </c>
      <c r="D7734" s="4">
        <v>1.1000000000000001</v>
      </c>
      <c r="E7734" s="4">
        <v>0.34</v>
      </c>
    </row>
    <row r="7735" spans="1:5" x14ac:dyDescent="0.25">
      <c r="A7735" s="4" t="s">
        <v>53</v>
      </c>
      <c r="B7735" s="4" t="s">
        <v>35</v>
      </c>
      <c r="C7735" s="5">
        <v>45335</v>
      </c>
      <c r="D7735" s="4">
        <v>1.1000000000000001</v>
      </c>
      <c r="E7735" s="4">
        <v>0.34</v>
      </c>
    </row>
    <row r="7736" spans="1:5" x14ac:dyDescent="0.25">
      <c r="A7736" s="4" t="s">
        <v>53</v>
      </c>
      <c r="B7736" s="4" t="s">
        <v>35</v>
      </c>
      <c r="C7736" s="5">
        <v>45335</v>
      </c>
      <c r="D7736" s="4">
        <v>13.6</v>
      </c>
      <c r="E7736" s="4">
        <v>4.1500000000000004</v>
      </c>
    </row>
    <row r="7737" spans="1:5" x14ac:dyDescent="0.25">
      <c r="A7737" s="4" t="s">
        <v>53</v>
      </c>
      <c r="B7737" s="4" t="s">
        <v>35</v>
      </c>
      <c r="C7737" s="5">
        <v>45335</v>
      </c>
      <c r="D7737" s="4">
        <v>15.4</v>
      </c>
      <c r="E7737" s="4">
        <v>4.7</v>
      </c>
    </row>
    <row r="7738" spans="1:5" x14ac:dyDescent="0.25">
      <c r="A7738" s="4" t="s">
        <v>53</v>
      </c>
      <c r="B7738" s="4" t="s">
        <v>35</v>
      </c>
      <c r="C7738" s="5">
        <v>45335</v>
      </c>
      <c r="D7738" s="4">
        <v>1.1000000000000001</v>
      </c>
      <c r="E7738" s="4">
        <v>0.34</v>
      </c>
    </row>
    <row r="7739" spans="1:5" x14ac:dyDescent="0.25">
      <c r="A7739" s="4" t="s">
        <v>53</v>
      </c>
      <c r="B7739" s="4" t="s">
        <v>35</v>
      </c>
      <c r="C7739" s="5">
        <v>45335</v>
      </c>
      <c r="D7739" s="4">
        <v>1.1000000000000001</v>
      </c>
      <c r="E7739" s="4">
        <v>0.34</v>
      </c>
    </row>
    <row r="7740" spans="1:5" x14ac:dyDescent="0.25">
      <c r="A7740" s="4" t="s">
        <v>53</v>
      </c>
      <c r="B7740" s="4" t="s">
        <v>35</v>
      </c>
      <c r="C7740" s="5">
        <v>45335</v>
      </c>
      <c r="D7740" s="4">
        <v>13.6</v>
      </c>
      <c r="E7740" s="4">
        <v>4.1500000000000004</v>
      </c>
    </row>
    <row r="7741" spans="1:5" x14ac:dyDescent="0.25">
      <c r="A7741" s="4" t="s">
        <v>53</v>
      </c>
      <c r="B7741" s="4" t="s">
        <v>35</v>
      </c>
      <c r="C7741" s="5">
        <v>45336</v>
      </c>
      <c r="D7741" s="4">
        <v>43.5</v>
      </c>
      <c r="E7741" s="4">
        <v>15.12</v>
      </c>
    </row>
    <row r="7742" spans="1:5" x14ac:dyDescent="0.25">
      <c r="A7742" s="4" t="s">
        <v>53</v>
      </c>
      <c r="B7742" s="4" t="s">
        <v>35</v>
      </c>
      <c r="C7742" s="5">
        <v>45336</v>
      </c>
      <c r="D7742" s="4">
        <v>17.5</v>
      </c>
      <c r="E7742" s="4">
        <v>6.07</v>
      </c>
    </row>
    <row r="7743" spans="1:5" x14ac:dyDescent="0.25">
      <c r="A7743" s="4" t="s">
        <v>53</v>
      </c>
      <c r="B7743" s="4" t="s">
        <v>35</v>
      </c>
      <c r="C7743" s="5">
        <v>45336</v>
      </c>
      <c r="D7743" s="4">
        <v>17.5</v>
      </c>
      <c r="E7743" s="4">
        <v>6.07</v>
      </c>
    </row>
    <row r="7744" spans="1:5" x14ac:dyDescent="0.25">
      <c r="A7744" s="4" t="s">
        <v>53</v>
      </c>
      <c r="B7744" s="4" t="s">
        <v>35</v>
      </c>
      <c r="C7744" s="5">
        <v>45336</v>
      </c>
      <c r="D7744" s="4">
        <v>17.5</v>
      </c>
      <c r="E7744" s="4">
        <v>6.07</v>
      </c>
    </row>
    <row r="7745" spans="1:5" x14ac:dyDescent="0.25">
      <c r="A7745" s="4" t="s">
        <v>53</v>
      </c>
      <c r="B7745" s="4" t="s">
        <v>35</v>
      </c>
      <c r="C7745" s="5">
        <v>45336</v>
      </c>
      <c r="D7745" s="4">
        <v>17.5</v>
      </c>
      <c r="E7745" s="4">
        <v>6.07</v>
      </c>
    </row>
    <row r="7746" spans="1:5" x14ac:dyDescent="0.25">
      <c r="A7746" s="4" t="s">
        <v>53</v>
      </c>
      <c r="B7746" s="4" t="s">
        <v>35</v>
      </c>
      <c r="C7746" s="5">
        <v>45336</v>
      </c>
      <c r="D7746" s="4">
        <v>17.5</v>
      </c>
      <c r="E7746" s="4">
        <v>6.07</v>
      </c>
    </row>
    <row r="7747" spans="1:5" x14ac:dyDescent="0.25">
      <c r="A7747" s="4" t="s">
        <v>53</v>
      </c>
      <c r="B7747" s="4" t="s">
        <v>35</v>
      </c>
      <c r="C7747" s="5">
        <v>45336</v>
      </c>
      <c r="D7747" s="4">
        <v>17.5</v>
      </c>
      <c r="E7747" s="4">
        <v>6.07</v>
      </c>
    </row>
    <row r="7748" spans="1:5" x14ac:dyDescent="0.25">
      <c r="A7748" s="4" t="s">
        <v>53</v>
      </c>
      <c r="B7748" s="4" t="s">
        <v>35</v>
      </c>
      <c r="C7748" s="5">
        <v>45336</v>
      </c>
      <c r="D7748" s="4">
        <v>17.5</v>
      </c>
      <c r="E7748" s="4">
        <v>6.07</v>
      </c>
    </row>
    <row r="7749" spans="1:5" x14ac:dyDescent="0.25">
      <c r="A7749" s="4" t="s">
        <v>53</v>
      </c>
      <c r="B7749" s="4" t="s">
        <v>35</v>
      </c>
      <c r="C7749" s="5">
        <v>45336</v>
      </c>
      <c r="D7749" s="4">
        <v>17.5</v>
      </c>
      <c r="E7749" s="4">
        <v>6.07</v>
      </c>
    </row>
    <row r="7750" spans="1:5" x14ac:dyDescent="0.25">
      <c r="A7750" s="4" t="s">
        <v>53</v>
      </c>
      <c r="B7750" s="4" t="s">
        <v>35</v>
      </c>
      <c r="C7750" s="5">
        <v>45336</v>
      </c>
      <c r="D7750" s="4">
        <v>17.5</v>
      </c>
      <c r="E7750" s="4">
        <v>6.07</v>
      </c>
    </row>
    <row r="7751" spans="1:5" x14ac:dyDescent="0.25">
      <c r="A7751" s="4" t="s">
        <v>53</v>
      </c>
      <c r="B7751" s="4" t="s">
        <v>35</v>
      </c>
      <c r="C7751" s="5">
        <v>45336</v>
      </c>
      <c r="D7751" s="4">
        <v>13.5</v>
      </c>
      <c r="E7751" s="4">
        <v>4.67</v>
      </c>
    </row>
    <row r="7752" spans="1:5" x14ac:dyDescent="0.25">
      <c r="A7752" s="4" t="s">
        <v>53</v>
      </c>
      <c r="B7752" s="4" t="s">
        <v>35</v>
      </c>
      <c r="C7752" s="5">
        <v>45336</v>
      </c>
      <c r="D7752" s="4">
        <v>2.4</v>
      </c>
      <c r="E7752" s="4">
        <v>0.84</v>
      </c>
    </row>
    <row r="7753" spans="1:5" x14ac:dyDescent="0.25">
      <c r="A7753" s="4" t="s">
        <v>53</v>
      </c>
      <c r="B7753" s="4" t="s">
        <v>35</v>
      </c>
      <c r="C7753" s="5">
        <v>45336</v>
      </c>
      <c r="D7753" s="4">
        <v>11.8</v>
      </c>
      <c r="E7753" s="4">
        <v>4.0999999999999996</v>
      </c>
    </row>
    <row r="7754" spans="1:5" x14ac:dyDescent="0.25">
      <c r="A7754" s="4" t="s">
        <v>53</v>
      </c>
      <c r="B7754" s="4" t="s">
        <v>35</v>
      </c>
      <c r="C7754" s="5">
        <v>45337</v>
      </c>
      <c r="D7754" s="4">
        <v>43.5</v>
      </c>
      <c r="E7754" s="4">
        <v>15.12</v>
      </c>
    </row>
    <row r="7755" spans="1:5" x14ac:dyDescent="0.25">
      <c r="A7755" s="4" t="s">
        <v>53</v>
      </c>
      <c r="B7755" s="4" t="s">
        <v>35</v>
      </c>
      <c r="C7755" s="5">
        <v>45337</v>
      </c>
      <c r="D7755" s="4">
        <v>17.5</v>
      </c>
      <c r="E7755" s="4">
        <v>6.07</v>
      </c>
    </row>
    <row r="7756" spans="1:5" x14ac:dyDescent="0.25">
      <c r="A7756" s="4" t="s">
        <v>53</v>
      </c>
      <c r="B7756" s="4" t="s">
        <v>35</v>
      </c>
      <c r="C7756" s="5">
        <v>45337</v>
      </c>
      <c r="D7756" s="4">
        <v>17.5</v>
      </c>
      <c r="E7756" s="4">
        <v>6.07</v>
      </c>
    </row>
    <row r="7757" spans="1:5" x14ac:dyDescent="0.25">
      <c r="A7757" s="4" t="s">
        <v>53</v>
      </c>
      <c r="B7757" s="4" t="s">
        <v>35</v>
      </c>
      <c r="C7757" s="5">
        <v>45337</v>
      </c>
      <c r="D7757" s="4">
        <v>17.5</v>
      </c>
      <c r="E7757" s="4">
        <v>6.07</v>
      </c>
    </row>
    <row r="7758" spans="1:5" x14ac:dyDescent="0.25">
      <c r="A7758" s="4" t="s">
        <v>53</v>
      </c>
      <c r="B7758" s="4" t="s">
        <v>35</v>
      </c>
      <c r="C7758" s="5">
        <v>45337</v>
      </c>
      <c r="D7758" s="4">
        <v>17.5</v>
      </c>
      <c r="E7758" s="4">
        <v>6.07</v>
      </c>
    </row>
    <row r="7759" spans="1:5" x14ac:dyDescent="0.25">
      <c r="A7759" s="4" t="s">
        <v>53</v>
      </c>
      <c r="B7759" s="4" t="s">
        <v>35</v>
      </c>
      <c r="C7759" s="5">
        <v>45337</v>
      </c>
      <c r="D7759" s="4">
        <v>17.5</v>
      </c>
      <c r="E7759" s="4">
        <v>6.07</v>
      </c>
    </row>
    <row r="7760" spans="1:5" x14ac:dyDescent="0.25">
      <c r="A7760" s="4" t="s">
        <v>53</v>
      </c>
      <c r="B7760" s="4" t="s">
        <v>35</v>
      </c>
      <c r="C7760" s="5">
        <v>45337</v>
      </c>
      <c r="D7760" s="4">
        <v>17.5</v>
      </c>
      <c r="E7760" s="4">
        <v>6.07</v>
      </c>
    </row>
    <row r="7761" spans="1:5" x14ac:dyDescent="0.25">
      <c r="A7761" s="4" t="s">
        <v>53</v>
      </c>
      <c r="B7761" s="4" t="s">
        <v>35</v>
      </c>
      <c r="C7761" s="5">
        <v>45337</v>
      </c>
      <c r="D7761" s="4">
        <v>17.5</v>
      </c>
      <c r="E7761" s="4">
        <v>6.07</v>
      </c>
    </row>
    <row r="7762" spans="1:5" x14ac:dyDescent="0.25">
      <c r="A7762" s="4" t="s">
        <v>53</v>
      </c>
      <c r="B7762" s="4" t="s">
        <v>35</v>
      </c>
      <c r="C7762" s="5">
        <v>45337</v>
      </c>
      <c r="D7762" s="4">
        <v>17.5</v>
      </c>
      <c r="E7762" s="4">
        <v>6.07</v>
      </c>
    </row>
    <row r="7763" spans="1:5" x14ac:dyDescent="0.25">
      <c r="A7763" s="4" t="s">
        <v>53</v>
      </c>
      <c r="B7763" s="4" t="s">
        <v>35</v>
      </c>
      <c r="C7763" s="5">
        <v>45337</v>
      </c>
      <c r="D7763" s="4">
        <v>17.5</v>
      </c>
      <c r="E7763" s="4">
        <v>6.07</v>
      </c>
    </row>
    <row r="7764" spans="1:5" x14ac:dyDescent="0.25">
      <c r="A7764" s="4" t="s">
        <v>53</v>
      </c>
      <c r="B7764" s="4" t="s">
        <v>35</v>
      </c>
      <c r="C7764" s="5">
        <v>45337</v>
      </c>
      <c r="D7764" s="4">
        <v>13.5</v>
      </c>
      <c r="E7764" s="4">
        <v>4.67</v>
      </c>
    </row>
    <row r="7765" spans="1:5" x14ac:dyDescent="0.25">
      <c r="A7765" s="4" t="s">
        <v>53</v>
      </c>
      <c r="B7765" s="4" t="s">
        <v>35</v>
      </c>
      <c r="C7765" s="5">
        <v>45337</v>
      </c>
      <c r="D7765" s="4">
        <v>2.4</v>
      </c>
      <c r="E7765" s="4">
        <v>0.84</v>
      </c>
    </row>
    <row r="7766" spans="1:5" x14ac:dyDescent="0.25">
      <c r="A7766" s="4" t="s">
        <v>53</v>
      </c>
      <c r="B7766" s="4" t="s">
        <v>46</v>
      </c>
      <c r="C7766" s="5">
        <v>45307</v>
      </c>
      <c r="D7766" s="4">
        <v>8.8000000000000007</v>
      </c>
      <c r="E7766" s="4">
        <v>2.69</v>
      </c>
    </row>
    <row r="7767" spans="1:5" x14ac:dyDescent="0.25">
      <c r="A7767" s="4" t="s">
        <v>53</v>
      </c>
      <c r="B7767" s="4" t="s">
        <v>46</v>
      </c>
      <c r="C7767" s="5">
        <v>45307</v>
      </c>
      <c r="D7767" s="4">
        <v>6.7</v>
      </c>
      <c r="E7767" s="4">
        <v>2.0499999999999998</v>
      </c>
    </row>
    <row r="7768" spans="1:5" x14ac:dyDescent="0.25">
      <c r="A7768" s="4" t="s">
        <v>53</v>
      </c>
      <c r="B7768" s="4" t="s">
        <v>46</v>
      </c>
      <c r="C7768" s="5">
        <v>45307</v>
      </c>
      <c r="D7768" s="4">
        <v>5.9</v>
      </c>
      <c r="E7768" s="4">
        <v>1.81</v>
      </c>
    </row>
    <row r="7769" spans="1:5" x14ac:dyDescent="0.25">
      <c r="A7769" s="4" t="s">
        <v>53</v>
      </c>
      <c r="B7769" s="4" t="s">
        <v>46</v>
      </c>
      <c r="C7769" s="5">
        <v>45307</v>
      </c>
      <c r="D7769" s="4">
        <v>6.7</v>
      </c>
      <c r="E7769" s="4">
        <v>2.0499999999999998</v>
      </c>
    </row>
    <row r="7770" spans="1:5" x14ac:dyDescent="0.25">
      <c r="A7770" s="4" t="s">
        <v>53</v>
      </c>
      <c r="B7770" s="4" t="s">
        <v>46</v>
      </c>
      <c r="C7770" s="5">
        <v>45307</v>
      </c>
      <c r="D7770" s="4">
        <v>5.9</v>
      </c>
      <c r="E7770" s="4">
        <v>1.81</v>
      </c>
    </row>
    <row r="7771" spans="1:5" x14ac:dyDescent="0.25">
      <c r="A7771" s="4" t="s">
        <v>53</v>
      </c>
      <c r="B7771" s="4" t="s">
        <v>46</v>
      </c>
      <c r="C7771" s="5">
        <v>45307</v>
      </c>
      <c r="D7771" s="4">
        <v>6.7</v>
      </c>
      <c r="E7771" s="4">
        <v>2.0499999999999998</v>
      </c>
    </row>
    <row r="7772" spans="1:5" x14ac:dyDescent="0.25">
      <c r="A7772" s="4" t="s">
        <v>53</v>
      </c>
      <c r="B7772" s="4" t="s">
        <v>46</v>
      </c>
      <c r="C7772" s="5">
        <v>45307</v>
      </c>
      <c r="D7772" s="4">
        <v>25</v>
      </c>
      <c r="E7772" s="4">
        <v>7.62</v>
      </c>
    </row>
    <row r="7773" spans="1:5" x14ac:dyDescent="0.25">
      <c r="A7773" s="4" t="s">
        <v>53</v>
      </c>
      <c r="B7773" s="4" t="s">
        <v>46</v>
      </c>
      <c r="C7773" s="5">
        <v>45307</v>
      </c>
      <c r="D7773" s="4">
        <v>22</v>
      </c>
      <c r="E7773" s="4">
        <v>6.67</v>
      </c>
    </row>
    <row r="7774" spans="1:5" x14ac:dyDescent="0.25">
      <c r="A7774" s="4" t="s">
        <v>53</v>
      </c>
      <c r="B7774" s="4" t="s">
        <v>46</v>
      </c>
      <c r="C7774" s="5">
        <v>45307</v>
      </c>
      <c r="D7774" s="4">
        <v>8.8000000000000007</v>
      </c>
      <c r="E7774" s="4">
        <v>2.69</v>
      </c>
    </row>
    <row r="7775" spans="1:5" x14ac:dyDescent="0.25">
      <c r="A7775" s="4" t="s">
        <v>53</v>
      </c>
      <c r="B7775" s="4" t="s">
        <v>46</v>
      </c>
      <c r="C7775" s="5">
        <v>45308</v>
      </c>
      <c r="D7775" s="4">
        <v>27.9</v>
      </c>
      <c r="E7775" s="4">
        <v>8.5</v>
      </c>
    </row>
    <row r="7776" spans="1:5" x14ac:dyDescent="0.25">
      <c r="A7776" s="4" t="s">
        <v>53</v>
      </c>
      <c r="B7776" s="4" t="s">
        <v>46</v>
      </c>
      <c r="C7776" s="5">
        <v>45308</v>
      </c>
      <c r="D7776" s="4">
        <v>22</v>
      </c>
      <c r="E7776" s="4">
        <v>6.67</v>
      </c>
    </row>
    <row r="7777" spans="1:5" x14ac:dyDescent="0.25">
      <c r="A7777" s="4" t="s">
        <v>53</v>
      </c>
      <c r="B7777" s="4" t="s">
        <v>46</v>
      </c>
      <c r="C7777" s="5">
        <v>45308</v>
      </c>
      <c r="D7777" s="4">
        <v>24.2</v>
      </c>
      <c r="E7777" s="4">
        <v>7.39</v>
      </c>
    </row>
    <row r="7778" spans="1:5" x14ac:dyDescent="0.25">
      <c r="A7778" s="4" t="s">
        <v>53</v>
      </c>
      <c r="B7778" s="4" t="s">
        <v>46</v>
      </c>
      <c r="C7778" s="5">
        <v>45308</v>
      </c>
      <c r="D7778" s="4">
        <v>3.6</v>
      </c>
      <c r="E7778" s="4">
        <v>1.1000000000000001</v>
      </c>
    </row>
    <row r="7779" spans="1:5" x14ac:dyDescent="0.25">
      <c r="A7779" s="4" t="s">
        <v>53</v>
      </c>
      <c r="B7779" s="4" t="s">
        <v>46</v>
      </c>
      <c r="C7779" s="5">
        <v>45308</v>
      </c>
      <c r="D7779" s="4">
        <v>8.8000000000000007</v>
      </c>
      <c r="E7779" s="4">
        <v>2.69</v>
      </c>
    </row>
    <row r="7780" spans="1:5" x14ac:dyDescent="0.25">
      <c r="A7780" s="4" t="s">
        <v>53</v>
      </c>
      <c r="B7780" s="4" t="s">
        <v>46</v>
      </c>
      <c r="C7780" s="5">
        <v>45308</v>
      </c>
      <c r="D7780" s="4">
        <v>25.1</v>
      </c>
      <c r="E7780" s="4">
        <v>7.65</v>
      </c>
    </row>
    <row r="7781" spans="1:5" x14ac:dyDescent="0.25">
      <c r="A7781" s="4" t="s">
        <v>53</v>
      </c>
      <c r="B7781" s="4" t="s">
        <v>46</v>
      </c>
      <c r="C7781" s="5">
        <v>45308</v>
      </c>
      <c r="D7781" s="4">
        <v>22</v>
      </c>
      <c r="E7781" s="4">
        <v>6.67</v>
      </c>
    </row>
    <row r="7782" spans="1:5" x14ac:dyDescent="0.25">
      <c r="A7782" s="4" t="s">
        <v>53</v>
      </c>
      <c r="B7782" s="4" t="s">
        <v>46</v>
      </c>
      <c r="C7782" s="5">
        <v>45308</v>
      </c>
      <c r="D7782" s="4">
        <v>6.7</v>
      </c>
      <c r="E7782" s="4">
        <v>2.0499999999999998</v>
      </c>
    </row>
    <row r="7783" spans="1:5" x14ac:dyDescent="0.25">
      <c r="A7783" s="4" t="s">
        <v>53</v>
      </c>
      <c r="B7783" s="4" t="s">
        <v>46</v>
      </c>
      <c r="C7783" s="5">
        <v>45308</v>
      </c>
      <c r="D7783" s="4">
        <v>8.6999999999999993</v>
      </c>
      <c r="E7783" s="4">
        <v>2.66</v>
      </c>
    </row>
    <row r="7784" spans="1:5" x14ac:dyDescent="0.25">
      <c r="A7784" s="4" t="s">
        <v>53</v>
      </c>
      <c r="B7784" s="4" t="s">
        <v>46</v>
      </c>
      <c r="C7784" s="5">
        <v>45309</v>
      </c>
      <c r="D7784" s="4">
        <v>8.8000000000000007</v>
      </c>
      <c r="E7784" s="4">
        <v>2.69</v>
      </c>
    </row>
    <row r="7785" spans="1:5" x14ac:dyDescent="0.25">
      <c r="A7785" s="4" t="s">
        <v>53</v>
      </c>
      <c r="B7785" s="4" t="s">
        <v>46</v>
      </c>
      <c r="C7785" s="5">
        <v>45309</v>
      </c>
      <c r="D7785" s="4">
        <v>6.7</v>
      </c>
      <c r="E7785" s="4">
        <v>2.0499999999999998</v>
      </c>
    </row>
    <row r="7786" spans="1:5" x14ac:dyDescent="0.25">
      <c r="A7786" s="4" t="s">
        <v>53</v>
      </c>
      <c r="B7786" s="4" t="s">
        <v>46</v>
      </c>
      <c r="C7786" s="5">
        <v>45309</v>
      </c>
      <c r="D7786" s="4">
        <v>13.1</v>
      </c>
      <c r="E7786" s="4">
        <v>4</v>
      </c>
    </row>
    <row r="7787" spans="1:5" x14ac:dyDescent="0.25">
      <c r="A7787" s="4" t="s">
        <v>53</v>
      </c>
      <c r="B7787" s="4" t="s">
        <v>46</v>
      </c>
      <c r="C7787" s="5">
        <v>45309</v>
      </c>
      <c r="D7787" s="4">
        <v>13.2</v>
      </c>
      <c r="E7787" s="4">
        <v>4.03</v>
      </c>
    </row>
    <row r="7788" spans="1:5" x14ac:dyDescent="0.25">
      <c r="A7788" s="4" t="s">
        <v>53</v>
      </c>
      <c r="B7788" s="4" t="s">
        <v>46</v>
      </c>
      <c r="C7788" s="5">
        <v>45309</v>
      </c>
      <c r="D7788" s="4">
        <v>8.8000000000000007</v>
      </c>
      <c r="E7788" s="4">
        <v>2.69</v>
      </c>
    </row>
    <row r="7789" spans="1:5" x14ac:dyDescent="0.25">
      <c r="A7789" s="4" t="s">
        <v>53</v>
      </c>
      <c r="B7789" s="4" t="s">
        <v>46</v>
      </c>
      <c r="C7789" s="5">
        <v>45310</v>
      </c>
      <c r="D7789" s="4">
        <v>43.3</v>
      </c>
      <c r="E7789" s="4">
        <v>15.06</v>
      </c>
    </row>
    <row r="7790" spans="1:5" x14ac:dyDescent="0.25">
      <c r="A7790" s="4" t="s">
        <v>53</v>
      </c>
      <c r="B7790" s="4" t="s">
        <v>46</v>
      </c>
      <c r="C7790" s="5">
        <v>45310</v>
      </c>
      <c r="D7790" s="4">
        <v>16.399999999999999</v>
      </c>
      <c r="E7790" s="4">
        <v>5.71</v>
      </c>
    </row>
    <row r="7791" spans="1:5" x14ac:dyDescent="0.25">
      <c r="A7791" s="4" t="s">
        <v>53</v>
      </c>
      <c r="B7791" s="4" t="s">
        <v>46</v>
      </c>
      <c r="C7791" s="5">
        <v>45315</v>
      </c>
      <c r="D7791" s="4">
        <v>25.1</v>
      </c>
      <c r="E7791" s="4">
        <v>8.74</v>
      </c>
    </row>
    <row r="7792" spans="1:5" x14ac:dyDescent="0.25">
      <c r="A7792" s="4" t="s">
        <v>53</v>
      </c>
      <c r="B7792" s="4" t="s">
        <v>46</v>
      </c>
      <c r="C7792" s="5">
        <v>45315</v>
      </c>
      <c r="D7792" s="4">
        <v>0.6</v>
      </c>
      <c r="E7792" s="4">
        <v>0.2</v>
      </c>
    </row>
    <row r="7793" spans="1:5" x14ac:dyDescent="0.25">
      <c r="A7793" s="4" t="s">
        <v>53</v>
      </c>
      <c r="B7793" s="4" t="s">
        <v>46</v>
      </c>
      <c r="C7793" s="5">
        <v>45315</v>
      </c>
      <c r="D7793" s="4">
        <v>8.4</v>
      </c>
      <c r="E7793" s="4">
        <v>2.89</v>
      </c>
    </row>
    <row r="7794" spans="1:5" x14ac:dyDescent="0.25">
      <c r="A7794" s="4" t="s">
        <v>53</v>
      </c>
      <c r="B7794" s="4" t="s">
        <v>46</v>
      </c>
      <c r="C7794" s="5">
        <v>45315</v>
      </c>
      <c r="D7794" s="4">
        <v>26</v>
      </c>
      <c r="E7794" s="4">
        <v>9.0399999999999991</v>
      </c>
    </row>
    <row r="7795" spans="1:5" x14ac:dyDescent="0.25">
      <c r="A7795" s="4" t="s">
        <v>53</v>
      </c>
      <c r="B7795" s="4" t="s">
        <v>46</v>
      </c>
      <c r="C7795" s="5">
        <v>45315</v>
      </c>
      <c r="D7795" s="4">
        <v>26</v>
      </c>
      <c r="E7795" s="4">
        <v>9.0399999999999991</v>
      </c>
    </row>
    <row r="7796" spans="1:5" x14ac:dyDescent="0.25">
      <c r="A7796" s="4" t="s">
        <v>53</v>
      </c>
      <c r="B7796" s="4" t="s">
        <v>46</v>
      </c>
      <c r="C7796" s="5">
        <v>45315</v>
      </c>
      <c r="D7796" s="4">
        <v>26</v>
      </c>
      <c r="E7796" s="4">
        <v>9.0399999999999991</v>
      </c>
    </row>
    <row r="7797" spans="1:5" x14ac:dyDescent="0.25">
      <c r="A7797" s="4" t="s">
        <v>53</v>
      </c>
      <c r="B7797" s="4" t="s">
        <v>46</v>
      </c>
      <c r="C7797" s="5">
        <v>45315</v>
      </c>
      <c r="D7797" s="4">
        <v>26</v>
      </c>
      <c r="E7797" s="4">
        <v>9.0399999999999991</v>
      </c>
    </row>
    <row r="7798" spans="1:5" x14ac:dyDescent="0.25">
      <c r="A7798" s="4" t="s">
        <v>53</v>
      </c>
      <c r="B7798" s="4" t="s">
        <v>46</v>
      </c>
      <c r="C7798" s="5">
        <v>45315</v>
      </c>
      <c r="D7798" s="4">
        <v>26</v>
      </c>
      <c r="E7798" s="4">
        <v>9.0399999999999991</v>
      </c>
    </row>
    <row r="7799" spans="1:5" x14ac:dyDescent="0.25">
      <c r="A7799" s="4" t="s">
        <v>53</v>
      </c>
      <c r="B7799" s="4" t="s">
        <v>46</v>
      </c>
      <c r="C7799" s="5">
        <v>45315</v>
      </c>
      <c r="D7799" s="4">
        <v>26</v>
      </c>
      <c r="E7799" s="4">
        <v>9.0399999999999991</v>
      </c>
    </row>
    <row r="7800" spans="1:5" x14ac:dyDescent="0.25">
      <c r="A7800" s="4" t="s">
        <v>53</v>
      </c>
      <c r="B7800" s="4" t="s">
        <v>46</v>
      </c>
      <c r="C7800" s="5">
        <v>45315</v>
      </c>
      <c r="D7800" s="4">
        <v>10.6</v>
      </c>
      <c r="E7800" s="4">
        <v>3.69</v>
      </c>
    </row>
    <row r="7801" spans="1:5" x14ac:dyDescent="0.25">
      <c r="A7801" s="4" t="s">
        <v>53</v>
      </c>
      <c r="B7801" s="4" t="s">
        <v>46</v>
      </c>
      <c r="C7801" s="5">
        <v>45316</v>
      </c>
      <c r="D7801" s="4">
        <v>25.1</v>
      </c>
      <c r="E7801" s="4">
        <v>8.74</v>
      </c>
    </row>
    <row r="7802" spans="1:5" x14ac:dyDescent="0.25">
      <c r="A7802" s="4" t="s">
        <v>53</v>
      </c>
      <c r="B7802" s="4" t="s">
        <v>46</v>
      </c>
      <c r="C7802" s="5">
        <v>45316</v>
      </c>
      <c r="D7802" s="4">
        <v>0.6</v>
      </c>
      <c r="E7802" s="4">
        <v>0.2</v>
      </c>
    </row>
    <row r="7803" spans="1:5" x14ac:dyDescent="0.25">
      <c r="A7803" s="4" t="s">
        <v>53</v>
      </c>
      <c r="B7803" s="4" t="s">
        <v>46</v>
      </c>
      <c r="C7803" s="5">
        <v>45316</v>
      </c>
      <c r="D7803" s="4">
        <v>2</v>
      </c>
      <c r="E7803" s="4">
        <v>0.69</v>
      </c>
    </row>
    <row r="7804" spans="1:5" x14ac:dyDescent="0.25">
      <c r="A7804" s="4" t="s">
        <v>53</v>
      </c>
      <c r="B7804" s="4" t="s">
        <v>46</v>
      </c>
      <c r="C7804" s="5">
        <v>45316</v>
      </c>
      <c r="D7804" s="4">
        <v>0.5</v>
      </c>
      <c r="E7804" s="4">
        <v>0.17</v>
      </c>
    </row>
    <row r="7805" spans="1:5" x14ac:dyDescent="0.25">
      <c r="A7805" s="4" t="s">
        <v>53</v>
      </c>
      <c r="B7805" s="4" t="s">
        <v>46</v>
      </c>
      <c r="C7805" s="5">
        <v>45316</v>
      </c>
      <c r="D7805" s="4">
        <v>31.4</v>
      </c>
      <c r="E7805" s="4">
        <v>9.58</v>
      </c>
    </row>
    <row r="7806" spans="1:5" x14ac:dyDescent="0.25">
      <c r="A7806" s="4" t="s">
        <v>53</v>
      </c>
      <c r="B7806" s="4" t="s">
        <v>46</v>
      </c>
      <c r="C7806" s="5">
        <v>45316</v>
      </c>
      <c r="D7806" s="4">
        <v>15.4</v>
      </c>
      <c r="E7806" s="4">
        <v>4.7</v>
      </c>
    </row>
    <row r="7807" spans="1:5" x14ac:dyDescent="0.25">
      <c r="A7807" s="4" t="s">
        <v>53</v>
      </c>
      <c r="B7807" s="4" t="s">
        <v>46</v>
      </c>
      <c r="C7807" s="5">
        <v>45317</v>
      </c>
      <c r="D7807" s="4">
        <v>22.9</v>
      </c>
      <c r="E7807" s="4">
        <v>6.95</v>
      </c>
    </row>
    <row r="7808" spans="1:5" x14ac:dyDescent="0.25">
      <c r="A7808" s="4" t="s">
        <v>53</v>
      </c>
      <c r="B7808" s="4" t="s">
        <v>46</v>
      </c>
      <c r="C7808" s="5">
        <v>45317</v>
      </c>
      <c r="D7808" s="4">
        <v>0.5</v>
      </c>
      <c r="E7808" s="4">
        <v>0.15</v>
      </c>
    </row>
    <row r="7809" spans="1:5" x14ac:dyDescent="0.25">
      <c r="A7809" s="4" t="s">
        <v>53</v>
      </c>
      <c r="B7809" s="4" t="s">
        <v>46</v>
      </c>
      <c r="C7809" s="5">
        <v>45317</v>
      </c>
      <c r="D7809" s="4">
        <v>1.4</v>
      </c>
      <c r="E7809" s="4">
        <v>0.42</v>
      </c>
    </row>
    <row r="7810" spans="1:5" x14ac:dyDescent="0.25">
      <c r="A7810" s="4" t="s">
        <v>53</v>
      </c>
      <c r="B7810" s="4" t="s">
        <v>46</v>
      </c>
      <c r="C7810" s="5">
        <v>45317</v>
      </c>
      <c r="D7810" s="4">
        <v>1.4</v>
      </c>
      <c r="E7810" s="4">
        <v>0.42</v>
      </c>
    </row>
    <row r="7811" spans="1:5" x14ac:dyDescent="0.25">
      <c r="A7811" s="4" t="s">
        <v>53</v>
      </c>
      <c r="B7811" s="4" t="s">
        <v>46</v>
      </c>
      <c r="C7811" s="5">
        <v>45317</v>
      </c>
      <c r="D7811" s="4">
        <v>16</v>
      </c>
      <c r="E7811" s="4">
        <v>4.88</v>
      </c>
    </row>
    <row r="7812" spans="1:5" x14ac:dyDescent="0.25">
      <c r="A7812" s="4" t="s">
        <v>53</v>
      </c>
      <c r="B7812" s="4" t="s">
        <v>46</v>
      </c>
      <c r="C7812" s="5">
        <v>45317</v>
      </c>
      <c r="D7812" s="4">
        <v>15.4</v>
      </c>
      <c r="E7812" s="4">
        <v>4.7</v>
      </c>
    </row>
    <row r="7813" spans="1:5" x14ac:dyDescent="0.25">
      <c r="A7813" s="4" t="s">
        <v>53</v>
      </c>
      <c r="B7813" s="4" t="s">
        <v>46</v>
      </c>
      <c r="C7813" s="5">
        <v>45320</v>
      </c>
      <c r="D7813" s="4">
        <v>22.9</v>
      </c>
      <c r="E7813" s="4">
        <v>6.95</v>
      </c>
    </row>
    <row r="7814" spans="1:5" x14ac:dyDescent="0.25">
      <c r="A7814" s="4" t="s">
        <v>53</v>
      </c>
      <c r="B7814" s="4" t="s">
        <v>46</v>
      </c>
      <c r="C7814" s="5">
        <v>45320</v>
      </c>
      <c r="D7814" s="4">
        <v>1.4</v>
      </c>
      <c r="E7814" s="4">
        <v>0.42</v>
      </c>
    </row>
    <row r="7815" spans="1:5" x14ac:dyDescent="0.25">
      <c r="A7815" s="4" t="s">
        <v>53</v>
      </c>
      <c r="B7815" s="4" t="s">
        <v>46</v>
      </c>
      <c r="C7815" s="5">
        <v>45320</v>
      </c>
      <c r="D7815" s="4">
        <v>1.9</v>
      </c>
      <c r="E7815" s="4">
        <v>0.56999999999999995</v>
      </c>
    </row>
    <row r="7816" spans="1:5" x14ac:dyDescent="0.25">
      <c r="A7816" s="4" t="s">
        <v>53</v>
      </c>
      <c r="B7816" s="4" t="s">
        <v>46</v>
      </c>
      <c r="C7816" s="5">
        <v>45320</v>
      </c>
      <c r="D7816" s="4">
        <v>31.4</v>
      </c>
      <c r="E7816" s="4">
        <v>9.58</v>
      </c>
    </row>
    <row r="7817" spans="1:5" x14ac:dyDescent="0.25">
      <c r="A7817" s="4" t="s">
        <v>53</v>
      </c>
      <c r="B7817" s="4" t="s">
        <v>46</v>
      </c>
      <c r="C7817" s="5">
        <v>45320</v>
      </c>
      <c r="D7817" s="4">
        <v>38.299999999999997</v>
      </c>
      <c r="E7817" s="4">
        <v>11.65</v>
      </c>
    </row>
    <row r="7818" spans="1:5" x14ac:dyDescent="0.25">
      <c r="A7818" s="4" t="s">
        <v>53</v>
      </c>
      <c r="B7818" s="4" t="s">
        <v>46</v>
      </c>
      <c r="C7818" s="5">
        <v>45320</v>
      </c>
      <c r="D7818" s="4">
        <v>38.299999999999997</v>
      </c>
      <c r="E7818" s="4">
        <v>11.65</v>
      </c>
    </row>
    <row r="7819" spans="1:5" x14ac:dyDescent="0.25">
      <c r="A7819" s="4" t="s">
        <v>53</v>
      </c>
      <c r="B7819" s="4" t="s">
        <v>46</v>
      </c>
      <c r="C7819" s="5">
        <v>45320</v>
      </c>
      <c r="D7819" s="4">
        <v>15.4</v>
      </c>
      <c r="E7819" s="4">
        <v>4.7</v>
      </c>
    </row>
    <row r="7820" spans="1:5" x14ac:dyDescent="0.25">
      <c r="A7820" s="4" t="s">
        <v>53</v>
      </c>
      <c r="B7820" s="4" t="s">
        <v>46</v>
      </c>
      <c r="C7820" s="5">
        <v>45321</v>
      </c>
      <c r="D7820" s="4">
        <v>22.9</v>
      </c>
      <c r="E7820" s="4">
        <v>6.95</v>
      </c>
    </row>
    <row r="7821" spans="1:5" x14ac:dyDescent="0.25">
      <c r="A7821" s="4" t="s">
        <v>53</v>
      </c>
      <c r="B7821" s="4" t="s">
        <v>46</v>
      </c>
      <c r="C7821" s="5">
        <v>45321</v>
      </c>
      <c r="D7821" s="4">
        <v>22.9</v>
      </c>
      <c r="E7821" s="4">
        <v>6.95</v>
      </c>
    </row>
    <row r="7822" spans="1:5" x14ac:dyDescent="0.25">
      <c r="A7822" s="4" t="s">
        <v>53</v>
      </c>
      <c r="B7822" s="4" t="s">
        <v>46</v>
      </c>
      <c r="C7822" s="5">
        <v>45323</v>
      </c>
      <c r="D7822" s="4">
        <v>6.7</v>
      </c>
      <c r="E7822" s="4">
        <v>2.02</v>
      </c>
    </row>
    <row r="7823" spans="1:5" x14ac:dyDescent="0.25">
      <c r="A7823" s="4" t="s">
        <v>53</v>
      </c>
      <c r="B7823" s="4" t="s">
        <v>46</v>
      </c>
      <c r="C7823" s="5">
        <v>45323</v>
      </c>
      <c r="D7823" s="4">
        <v>5.5</v>
      </c>
      <c r="E7823" s="4">
        <v>1.66</v>
      </c>
    </row>
    <row r="7824" spans="1:5" x14ac:dyDescent="0.25">
      <c r="A7824" s="4" t="s">
        <v>53</v>
      </c>
      <c r="B7824" s="4" t="s">
        <v>46</v>
      </c>
      <c r="C7824" s="5">
        <v>45323</v>
      </c>
      <c r="D7824" s="4">
        <v>1</v>
      </c>
      <c r="E7824" s="4">
        <v>0.3</v>
      </c>
    </row>
    <row r="7825" spans="1:5" x14ac:dyDescent="0.25">
      <c r="A7825" s="4" t="s">
        <v>53</v>
      </c>
      <c r="B7825" s="4" t="s">
        <v>46</v>
      </c>
      <c r="C7825" s="5">
        <v>45323</v>
      </c>
      <c r="D7825" s="4">
        <v>1</v>
      </c>
      <c r="E7825" s="4">
        <v>0.3</v>
      </c>
    </row>
    <row r="7826" spans="1:5" x14ac:dyDescent="0.25">
      <c r="A7826" s="4" t="s">
        <v>53</v>
      </c>
      <c r="B7826" s="4" t="s">
        <v>46</v>
      </c>
      <c r="C7826" s="5">
        <v>45323</v>
      </c>
      <c r="D7826" s="4">
        <v>21.5</v>
      </c>
      <c r="E7826" s="4">
        <v>6.54</v>
      </c>
    </row>
    <row r="7827" spans="1:5" x14ac:dyDescent="0.25">
      <c r="A7827" s="4" t="s">
        <v>53</v>
      </c>
      <c r="B7827" s="4" t="s">
        <v>46</v>
      </c>
      <c r="C7827" s="5">
        <v>45323</v>
      </c>
      <c r="D7827" s="4">
        <v>20.5</v>
      </c>
      <c r="E7827" s="4">
        <v>6.25</v>
      </c>
    </row>
    <row r="7828" spans="1:5" x14ac:dyDescent="0.25">
      <c r="A7828" s="4" t="s">
        <v>53</v>
      </c>
      <c r="B7828" s="4" t="s">
        <v>46</v>
      </c>
      <c r="C7828" s="5">
        <v>45323</v>
      </c>
      <c r="D7828" s="4">
        <v>1.5</v>
      </c>
      <c r="E7828" s="4">
        <v>0.46</v>
      </c>
    </row>
    <row r="7829" spans="1:5" x14ac:dyDescent="0.25">
      <c r="A7829" s="4" t="s">
        <v>53</v>
      </c>
      <c r="B7829" s="4" t="s">
        <v>46</v>
      </c>
      <c r="C7829" s="5">
        <v>45323</v>
      </c>
      <c r="D7829" s="4">
        <v>4.4000000000000004</v>
      </c>
      <c r="E7829" s="4">
        <v>1.33</v>
      </c>
    </row>
    <row r="7830" spans="1:5" x14ac:dyDescent="0.25">
      <c r="A7830" s="4" t="s">
        <v>53</v>
      </c>
      <c r="B7830" s="4" t="s">
        <v>46</v>
      </c>
      <c r="C7830" s="5">
        <v>45323</v>
      </c>
      <c r="D7830" s="4">
        <v>1</v>
      </c>
      <c r="E7830" s="4">
        <v>0.3</v>
      </c>
    </row>
    <row r="7831" spans="1:5" x14ac:dyDescent="0.25">
      <c r="A7831" s="4" t="s">
        <v>53</v>
      </c>
      <c r="B7831" s="4" t="s">
        <v>46</v>
      </c>
      <c r="C7831" s="5">
        <v>45323</v>
      </c>
      <c r="D7831" s="4">
        <v>1</v>
      </c>
      <c r="E7831" s="4">
        <v>0.3</v>
      </c>
    </row>
    <row r="7832" spans="1:5" x14ac:dyDescent="0.25">
      <c r="A7832" s="4" t="s">
        <v>53</v>
      </c>
      <c r="B7832" s="4" t="s">
        <v>46</v>
      </c>
      <c r="C7832" s="5">
        <v>45323</v>
      </c>
      <c r="D7832" s="4">
        <v>21.5</v>
      </c>
      <c r="E7832" s="4">
        <v>6.54</v>
      </c>
    </row>
    <row r="7833" spans="1:5" x14ac:dyDescent="0.25">
      <c r="A7833" s="4" t="s">
        <v>53</v>
      </c>
      <c r="B7833" s="4" t="s">
        <v>46</v>
      </c>
      <c r="C7833" s="5">
        <v>45323</v>
      </c>
      <c r="D7833" s="4">
        <v>16.899999999999999</v>
      </c>
      <c r="E7833" s="4">
        <v>5.15</v>
      </c>
    </row>
    <row r="7834" spans="1:5" x14ac:dyDescent="0.25">
      <c r="A7834" s="4" t="s">
        <v>53</v>
      </c>
      <c r="B7834" s="4" t="s">
        <v>46</v>
      </c>
      <c r="C7834" s="5">
        <v>45323</v>
      </c>
      <c r="D7834" s="4">
        <v>18.7</v>
      </c>
      <c r="E7834" s="4">
        <v>5.69</v>
      </c>
    </row>
    <row r="7835" spans="1:5" x14ac:dyDescent="0.25">
      <c r="A7835" s="4" t="s">
        <v>53</v>
      </c>
      <c r="B7835" s="4" t="s">
        <v>46</v>
      </c>
      <c r="C7835" s="5">
        <v>45324</v>
      </c>
      <c r="D7835" s="4">
        <v>15.4</v>
      </c>
      <c r="E7835" s="4">
        <v>4.7</v>
      </c>
    </row>
    <row r="7836" spans="1:5" x14ac:dyDescent="0.25">
      <c r="A7836" s="4" t="s">
        <v>53</v>
      </c>
      <c r="B7836" s="4" t="s">
        <v>46</v>
      </c>
      <c r="C7836" s="5">
        <v>45324</v>
      </c>
      <c r="D7836" s="4">
        <v>3.6</v>
      </c>
      <c r="E7836" s="4">
        <v>1.1000000000000001</v>
      </c>
    </row>
    <row r="7837" spans="1:5" x14ac:dyDescent="0.25">
      <c r="A7837" s="4" t="s">
        <v>53</v>
      </c>
      <c r="B7837" s="4" t="s">
        <v>46</v>
      </c>
      <c r="C7837" s="5">
        <v>45324</v>
      </c>
      <c r="D7837" s="4">
        <v>14</v>
      </c>
      <c r="E7837" s="4">
        <v>4.28</v>
      </c>
    </row>
    <row r="7838" spans="1:5" x14ac:dyDescent="0.25">
      <c r="A7838" s="4" t="s">
        <v>53</v>
      </c>
      <c r="B7838" s="4" t="s">
        <v>46</v>
      </c>
      <c r="C7838" s="5">
        <v>45324</v>
      </c>
      <c r="D7838" s="4">
        <v>14</v>
      </c>
      <c r="E7838" s="4">
        <v>4.28</v>
      </c>
    </row>
    <row r="7839" spans="1:5" x14ac:dyDescent="0.25">
      <c r="A7839" s="4" t="s">
        <v>53</v>
      </c>
      <c r="B7839" s="4" t="s">
        <v>46</v>
      </c>
      <c r="C7839" s="5">
        <v>45324</v>
      </c>
      <c r="D7839" s="4">
        <v>14</v>
      </c>
      <c r="E7839" s="4">
        <v>4.28</v>
      </c>
    </row>
    <row r="7840" spans="1:5" x14ac:dyDescent="0.25">
      <c r="A7840" s="4" t="s">
        <v>53</v>
      </c>
      <c r="B7840" s="4" t="s">
        <v>46</v>
      </c>
      <c r="C7840" s="5">
        <v>45324</v>
      </c>
      <c r="D7840" s="4">
        <v>14</v>
      </c>
      <c r="E7840" s="4">
        <v>4.28</v>
      </c>
    </row>
    <row r="7841" spans="1:5" x14ac:dyDescent="0.25">
      <c r="A7841" s="4" t="s">
        <v>53</v>
      </c>
      <c r="B7841" s="4" t="s">
        <v>46</v>
      </c>
      <c r="C7841" s="5">
        <v>45327</v>
      </c>
      <c r="D7841" s="4">
        <v>26.9</v>
      </c>
      <c r="E7841" s="4">
        <v>9.35</v>
      </c>
    </row>
    <row r="7842" spans="1:5" x14ac:dyDescent="0.25">
      <c r="A7842" s="4" t="s">
        <v>53</v>
      </c>
      <c r="B7842" s="4" t="s">
        <v>46</v>
      </c>
      <c r="C7842" s="5">
        <v>45327</v>
      </c>
      <c r="D7842" s="4">
        <v>16.399999999999999</v>
      </c>
      <c r="E7842" s="4">
        <v>5.71</v>
      </c>
    </row>
    <row r="7843" spans="1:5" x14ac:dyDescent="0.25">
      <c r="A7843" s="4" t="s">
        <v>53</v>
      </c>
      <c r="B7843" s="4" t="s">
        <v>46</v>
      </c>
      <c r="C7843" s="5">
        <v>45327</v>
      </c>
      <c r="D7843" s="4">
        <v>16.399999999999999</v>
      </c>
      <c r="E7843" s="4">
        <v>5.71</v>
      </c>
    </row>
    <row r="7844" spans="1:5" x14ac:dyDescent="0.25">
      <c r="A7844" s="4" t="s">
        <v>53</v>
      </c>
      <c r="B7844" s="4" t="s">
        <v>46</v>
      </c>
      <c r="C7844" s="5">
        <v>45327</v>
      </c>
      <c r="D7844" s="4">
        <v>16.399999999999999</v>
      </c>
      <c r="E7844" s="4">
        <v>5.71</v>
      </c>
    </row>
    <row r="7845" spans="1:5" x14ac:dyDescent="0.25">
      <c r="A7845" s="4" t="s">
        <v>53</v>
      </c>
      <c r="B7845" s="4" t="s">
        <v>46</v>
      </c>
      <c r="C7845" s="5">
        <v>45327</v>
      </c>
      <c r="D7845" s="4">
        <v>16.399999999999999</v>
      </c>
      <c r="E7845" s="4">
        <v>5.71</v>
      </c>
    </row>
    <row r="7846" spans="1:5" x14ac:dyDescent="0.25">
      <c r="A7846" s="4" t="s">
        <v>53</v>
      </c>
      <c r="B7846" s="4" t="s">
        <v>46</v>
      </c>
      <c r="C7846" s="5">
        <v>45327</v>
      </c>
      <c r="D7846" s="4">
        <v>16.399999999999999</v>
      </c>
      <c r="E7846" s="4">
        <v>5.71</v>
      </c>
    </row>
    <row r="7847" spans="1:5" x14ac:dyDescent="0.25">
      <c r="A7847" s="4" t="s">
        <v>53</v>
      </c>
      <c r="B7847" s="4" t="s">
        <v>46</v>
      </c>
      <c r="C7847" s="5">
        <v>45327</v>
      </c>
      <c r="D7847" s="4">
        <v>16.399999999999999</v>
      </c>
      <c r="E7847" s="4">
        <v>5.71</v>
      </c>
    </row>
    <row r="7848" spans="1:5" x14ac:dyDescent="0.25">
      <c r="A7848" s="4" t="s">
        <v>53</v>
      </c>
      <c r="B7848" s="4" t="s">
        <v>46</v>
      </c>
      <c r="C7848" s="5">
        <v>45328</v>
      </c>
      <c r="D7848" s="4">
        <v>15.4</v>
      </c>
      <c r="E7848" s="4">
        <v>5.35</v>
      </c>
    </row>
    <row r="7849" spans="1:5" x14ac:dyDescent="0.25">
      <c r="A7849" s="4" t="s">
        <v>53</v>
      </c>
      <c r="B7849" s="4" t="s">
        <v>46</v>
      </c>
      <c r="C7849" s="5">
        <v>45328</v>
      </c>
      <c r="D7849" s="4">
        <v>15.4</v>
      </c>
      <c r="E7849" s="4">
        <v>5.35</v>
      </c>
    </row>
    <row r="7850" spans="1:5" x14ac:dyDescent="0.25">
      <c r="A7850" s="4" t="s">
        <v>53</v>
      </c>
      <c r="B7850" s="4" t="s">
        <v>46</v>
      </c>
      <c r="C7850" s="5">
        <v>45329</v>
      </c>
      <c r="D7850" s="4">
        <v>15.4</v>
      </c>
      <c r="E7850" s="4">
        <v>5.35</v>
      </c>
    </row>
    <row r="7851" spans="1:5" x14ac:dyDescent="0.25">
      <c r="A7851" s="4" t="s">
        <v>53</v>
      </c>
      <c r="B7851" s="4" t="s">
        <v>46</v>
      </c>
      <c r="C7851" s="5">
        <v>45329</v>
      </c>
      <c r="D7851" s="4">
        <v>15.4</v>
      </c>
      <c r="E7851" s="4">
        <v>5.35</v>
      </c>
    </row>
    <row r="7852" spans="1:5" x14ac:dyDescent="0.25">
      <c r="A7852" s="4" t="s">
        <v>53</v>
      </c>
      <c r="B7852" s="4" t="s">
        <v>46</v>
      </c>
      <c r="C7852" s="5">
        <v>45334</v>
      </c>
      <c r="D7852" s="4">
        <v>11.9</v>
      </c>
      <c r="E7852" s="4">
        <v>3.61</v>
      </c>
    </row>
    <row r="7853" spans="1:5" x14ac:dyDescent="0.25">
      <c r="A7853" s="4" t="s">
        <v>53</v>
      </c>
      <c r="B7853" s="4" t="s">
        <v>46</v>
      </c>
      <c r="C7853" s="5">
        <v>45334</v>
      </c>
      <c r="D7853" s="4">
        <v>3.6</v>
      </c>
      <c r="E7853" s="4">
        <v>1.08</v>
      </c>
    </row>
    <row r="7854" spans="1:5" x14ac:dyDescent="0.25">
      <c r="A7854" s="4" t="s">
        <v>53</v>
      </c>
      <c r="B7854" s="4" t="s">
        <v>46</v>
      </c>
      <c r="C7854" s="5">
        <v>45334</v>
      </c>
      <c r="D7854" s="4">
        <v>8.6999999999999993</v>
      </c>
      <c r="E7854" s="4">
        <v>2.66</v>
      </c>
    </row>
    <row r="7855" spans="1:5" x14ac:dyDescent="0.25">
      <c r="A7855" s="4" t="s">
        <v>53</v>
      </c>
      <c r="B7855" s="4" t="s">
        <v>46</v>
      </c>
      <c r="C7855" s="5">
        <v>45334</v>
      </c>
      <c r="D7855" s="4">
        <v>16.8</v>
      </c>
      <c r="E7855" s="4">
        <v>5.85</v>
      </c>
    </row>
    <row r="7856" spans="1:5" x14ac:dyDescent="0.25">
      <c r="A7856" s="4" t="s">
        <v>53</v>
      </c>
      <c r="B7856" s="4" t="s">
        <v>46</v>
      </c>
      <c r="C7856" s="5">
        <v>45334</v>
      </c>
      <c r="D7856" s="4">
        <v>16.8</v>
      </c>
      <c r="E7856" s="4">
        <v>5.85</v>
      </c>
    </row>
    <row r="7857" spans="1:5" x14ac:dyDescent="0.25">
      <c r="A7857" s="4" t="s">
        <v>53</v>
      </c>
      <c r="B7857" s="4" t="s">
        <v>46</v>
      </c>
      <c r="C7857" s="5">
        <v>45335</v>
      </c>
      <c r="D7857" s="4">
        <v>11.9</v>
      </c>
      <c r="E7857" s="4">
        <v>3.61</v>
      </c>
    </row>
    <row r="7858" spans="1:5" x14ac:dyDescent="0.25">
      <c r="A7858" s="4" t="s">
        <v>53</v>
      </c>
      <c r="B7858" s="4" t="s">
        <v>46</v>
      </c>
      <c r="C7858" s="5">
        <v>45335</v>
      </c>
      <c r="D7858" s="4">
        <v>3.6</v>
      </c>
      <c r="E7858" s="4">
        <v>1.08</v>
      </c>
    </row>
    <row r="7859" spans="1:5" x14ac:dyDescent="0.25">
      <c r="A7859" s="4" t="s">
        <v>53</v>
      </c>
      <c r="B7859" s="4" t="s">
        <v>46</v>
      </c>
      <c r="C7859" s="5">
        <v>45335</v>
      </c>
      <c r="D7859" s="4">
        <v>8.6999999999999993</v>
      </c>
      <c r="E7859" s="4">
        <v>2.66</v>
      </c>
    </row>
    <row r="7860" spans="1:5" x14ac:dyDescent="0.25">
      <c r="A7860" s="4" t="s">
        <v>53</v>
      </c>
      <c r="B7860" s="4" t="s">
        <v>46</v>
      </c>
      <c r="C7860" s="5">
        <v>45335</v>
      </c>
      <c r="D7860" s="4">
        <v>16.8</v>
      </c>
      <c r="E7860" s="4">
        <v>5.12</v>
      </c>
    </row>
    <row r="7861" spans="1:5" x14ac:dyDescent="0.25">
      <c r="A7861" s="4" t="s">
        <v>53</v>
      </c>
      <c r="B7861" s="4" t="s">
        <v>46</v>
      </c>
      <c r="C7861" s="5">
        <v>45335</v>
      </c>
      <c r="D7861" s="4">
        <v>16.8</v>
      </c>
      <c r="E7861" s="4">
        <v>5.12</v>
      </c>
    </row>
    <row r="7862" spans="1:5" x14ac:dyDescent="0.25">
      <c r="A7862" s="4" t="s">
        <v>53</v>
      </c>
      <c r="B7862" s="4" t="s">
        <v>46</v>
      </c>
      <c r="C7862" s="5">
        <v>45336</v>
      </c>
      <c r="D7862" s="4">
        <v>16.399999999999999</v>
      </c>
      <c r="E7862" s="4">
        <v>5</v>
      </c>
    </row>
    <row r="7863" spans="1:5" x14ac:dyDescent="0.25">
      <c r="A7863" s="4" t="s">
        <v>53</v>
      </c>
      <c r="B7863" s="4" t="s">
        <v>46</v>
      </c>
      <c r="C7863" s="5">
        <v>45336</v>
      </c>
      <c r="D7863" s="4">
        <v>1.1000000000000001</v>
      </c>
      <c r="E7863" s="4">
        <v>0.34</v>
      </c>
    </row>
    <row r="7864" spans="1:5" x14ac:dyDescent="0.25">
      <c r="A7864" s="4" t="s">
        <v>53</v>
      </c>
      <c r="B7864" s="4" t="s">
        <v>46</v>
      </c>
      <c r="C7864" s="5">
        <v>45336</v>
      </c>
      <c r="D7864" s="4">
        <v>1.1000000000000001</v>
      </c>
      <c r="E7864" s="4">
        <v>0.34</v>
      </c>
    </row>
    <row r="7865" spans="1:5" x14ac:dyDescent="0.25">
      <c r="A7865" s="4" t="s">
        <v>53</v>
      </c>
      <c r="B7865" s="4" t="s">
        <v>46</v>
      </c>
      <c r="C7865" s="5">
        <v>45337</v>
      </c>
      <c r="D7865" s="4">
        <v>2.7</v>
      </c>
      <c r="E7865" s="4">
        <v>0.91</v>
      </c>
    </row>
    <row r="7866" spans="1:5" x14ac:dyDescent="0.25">
      <c r="A7866" s="4" t="s">
        <v>53</v>
      </c>
      <c r="B7866" s="4" t="s">
        <v>46</v>
      </c>
      <c r="C7866" s="5">
        <v>45337</v>
      </c>
      <c r="D7866" s="4">
        <v>1.6</v>
      </c>
      <c r="E7866" s="4">
        <v>0.54</v>
      </c>
    </row>
    <row r="7867" spans="1:5" x14ac:dyDescent="0.25">
      <c r="A7867" s="4" t="s">
        <v>53</v>
      </c>
      <c r="B7867" s="4" t="s">
        <v>46</v>
      </c>
      <c r="C7867" s="5">
        <v>45337</v>
      </c>
      <c r="D7867" s="4">
        <v>13.8</v>
      </c>
      <c r="E7867" s="4">
        <v>4.78</v>
      </c>
    </row>
    <row r="7868" spans="1:5" x14ac:dyDescent="0.25">
      <c r="A7868" s="4" t="s">
        <v>53</v>
      </c>
      <c r="B7868" s="4" t="s">
        <v>46</v>
      </c>
      <c r="C7868" s="5">
        <v>45337</v>
      </c>
      <c r="D7868" s="4">
        <v>13</v>
      </c>
      <c r="E7868" s="4">
        <v>4.5</v>
      </c>
    </row>
    <row r="7869" spans="1:5" x14ac:dyDescent="0.25">
      <c r="A7869" s="4" t="s">
        <v>53</v>
      </c>
      <c r="B7869" s="4" t="s">
        <v>46</v>
      </c>
      <c r="C7869" s="5">
        <v>45337</v>
      </c>
      <c r="D7869" s="4">
        <v>1.5</v>
      </c>
      <c r="E7869" s="4">
        <v>0.5</v>
      </c>
    </row>
    <row r="7870" spans="1:5" x14ac:dyDescent="0.25">
      <c r="A7870" s="4" t="s">
        <v>53</v>
      </c>
      <c r="B7870" s="4" t="s">
        <v>46</v>
      </c>
      <c r="C7870" s="5">
        <v>45337</v>
      </c>
      <c r="D7870" s="4">
        <v>1.6</v>
      </c>
      <c r="E7870" s="4">
        <v>0.54</v>
      </c>
    </row>
    <row r="7871" spans="1:5" x14ac:dyDescent="0.25">
      <c r="A7871" s="4" t="s">
        <v>53</v>
      </c>
      <c r="B7871" s="4" t="s">
        <v>46</v>
      </c>
      <c r="C7871" s="5">
        <v>45337</v>
      </c>
      <c r="D7871" s="4">
        <v>13.8</v>
      </c>
      <c r="E7871" s="4">
        <v>4.78</v>
      </c>
    </row>
    <row r="7872" spans="1:5" x14ac:dyDescent="0.25">
      <c r="A7872" s="4" t="s">
        <v>53</v>
      </c>
      <c r="B7872" s="4" t="s">
        <v>46</v>
      </c>
      <c r="C7872" s="5">
        <v>45337</v>
      </c>
      <c r="D7872" s="4">
        <v>13</v>
      </c>
      <c r="E7872" s="4">
        <v>4.5</v>
      </c>
    </row>
    <row r="7873" spans="1:5" x14ac:dyDescent="0.25">
      <c r="A7873" s="4" t="s">
        <v>53</v>
      </c>
      <c r="B7873" s="4" t="s">
        <v>46</v>
      </c>
      <c r="C7873" s="5">
        <v>45337</v>
      </c>
      <c r="D7873" s="4">
        <v>1.5</v>
      </c>
      <c r="E7873" s="4">
        <v>0.5</v>
      </c>
    </row>
    <row r="7874" spans="1:5" x14ac:dyDescent="0.25">
      <c r="A7874" s="4" t="s">
        <v>53</v>
      </c>
      <c r="B7874" s="4" t="s">
        <v>46</v>
      </c>
      <c r="C7874" s="5">
        <v>45337</v>
      </c>
      <c r="D7874" s="4">
        <v>1.6</v>
      </c>
      <c r="E7874" s="4">
        <v>0.54</v>
      </c>
    </row>
    <row r="7875" spans="1:5" x14ac:dyDescent="0.25">
      <c r="A7875" s="4" t="s">
        <v>53</v>
      </c>
      <c r="B7875" s="4" t="s">
        <v>46</v>
      </c>
      <c r="C7875" s="5">
        <v>45337</v>
      </c>
      <c r="D7875" s="4">
        <v>13.8</v>
      </c>
      <c r="E7875" s="4">
        <v>4.78</v>
      </c>
    </row>
    <row r="7876" spans="1:5" x14ac:dyDescent="0.25">
      <c r="A7876" s="4" t="s">
        <v>53</v>
      </c>
      <c r="B7876" s="4" t="s">
        <v>46</v>
      </c>
      <c r="C7876" s="5">
        <v>45337</v>
      </c>
      <c r="D7876" s="4">
        <v>13</v>
      </c>
      <c r="E7876" s="4">
        <v>4.5</v>
      </c>
    </row>
    <row r="7877" spans="1:5" x14ac:dyDescent="0.25">
      <c r="A7877" s="4" t="s">
        <v>53</v>
      </c>
      <c r="B7877" s="4" t="s">
        <v>46</v>
      </c>
      <c r="C7877" s="5">
        <v>45337</v>
      </c>
      <c r="D7877" s="4">
        <v>1.5</v>
      </c>
      <c r="E7877" s="4">
        <v>0.5</v>
      </c>
    </row>
    <row r="7878" spans="1:5" x14ac:dyDescent="0.25">
      <c r="A7878" s="4" t="s">
        <v>53</v>
      </c>
      <c r="B7878" s="4" t="s">
        <v>46</v>
      </c>
      <c r="C7878" s="5">
        <v>45337</v>
      </c>
      <c r="D7878" s="4">
        <v>1.6</v>
      </c>
      <c r="E7878" s="4">
        <v>0.54</v>
      </c>
    </row>
    <row r="7879" spans="1:5" x14ac:dyDescent="0.25">
      <c r="A7879" s="4" t="s">
        <v>53</v>
      </c>
      <c r="B7879" s="4" t="s">
        <v>46</v>
      </c>
      <c r="C7879" s="5">
        <v>45337</v>
      </c>
      <c r="D7879" s="4">
        <v>13.8</v>
      </c>
      <c r="E7879" s="4">
        <v>4.78</v>
      </c>
    </row>
    <row r="7880" spans="1:5" x14ac:dyDescent="0.25">
      <c r="A7880" s="4" t="s">
        <v>53</v>
      </c>
      <c r="B7880" s="4" t="s">
        <v>46</v>
      </c>
      <c r="C7880" s="5">
        <v>45337</v>
      </c>
      <c r="D7880" s="4">
        <v>13</v>
      </c>
      <c r="E7880" s="4">
        <v>4.5</v>
      </c>
    </row>
    <row r="7881" spans="1:5" x14ac:dyDescent="0.25">
      <c r="A7881" s="4" t="s">
        <v>53</v>
      </c>
      <c r="B7881" s="4" t="s">
        <v>46</v>
      </c>
      <c r="C7881" s="5">
        <v>45337</v>
      </c>
      <c r="D7881" s="4">
        <v>1.5</v>
      </c>
      <c r="E7881" s="4">
        <v>0.5</v>
      </c>
    </row>
    <row r="7882" spans="1:5" x14ac:dyDescent="0.25">
      <c r="A7882" s="4" t="s">
        <v>53</v>
      </c>
      <c r="B7882" s="4" t="s">
        <v>46</v>
      </c>
      <c r="C7882" s="5">
        <v>45337</v>
      </c>
      <c r="D7882" s="4">
        <v>1.2</v>
      </c>
      <c r="E7882" s="4">
        <v>0.41</v>
      </c>
    </row>
    <row r="7883" spans="1:5" x14ac:dyDescent="0.25">
      <c r="A7883" s="4" t="s">
        <v>53</v>
      </c>
      <c r="B7883" s="4" t="s">
        <v>51</v>
      </c>
      <c r="C7883" s="5">
        <v>45307</v>
      </c>
      <c r="D7883" s="4">
        <v>13.8</v>
      </c>
      <c r="E7883" s="4">
        <v>4.47</v>
      </c>
    </row>
    <row r="7884" spans="1:5" x14ac:dyDescent="0.25">
      <c r="A7884" s="4" t="s">
        <v>53</v>
      </c>
      <c r="B7884" s="4" t="s">
        <v>51</v>
      </c>
      <c r="C7884" s="5">
        <v>45307</v>
      </c>
      <c r="D7884" s="4">
        <v>11.7</v>
      </c>
      <c r="E7884" s="4">
        <v>3.79</v>
      </c>
    </row>
    <row r="7885" spans="1:5" x14ac:dyDescent="0.25">
      <c r="A7885" s="4" t="s">
        <v>53</v>
      </c>
      <c r="B7885" s="4" t="s">
        <v>51</v>
      </c>
      <c r="C7885" s="5">
        <v>45307</v>
      </c>
      <c r="D7885" s="4">
        <v>2.2999999999999998</v>
      </c>
      <c r="E7885" s="4">
        <v>0.74</v>
      </c>
    </row>
    <row r="7886" spans="1:5" x14ac:dyDescent="0.25">
      <c r="A7886" s="4" t="s">
        <v>53</v>
      </c>
      <c r="B7886" s="4" t="s">
        <v>51</v>
      </c>
      <c r="C7886" s="5">
        <v>45307</v>
      </c>
      <c r="D7886" s="4">
        <v>2.2999999999999998</v>
      </c>
      <c r="E7886" s="4">
        <v>0.74</v>
      </c>
    </row>
    <row r="7887" spans="1:5" x14ac:dyDescent="0.25">
      <c r="A7887" s="4" t="s">
        <v>53</v>
      </c>
      <c r="B7887" s="4" t="s">
        <v>51</v>
      </c>
      <c r="C7887" s="5">
        <v>45307</v>
      </c>
      <c r="D7887" s="4">
        <v>10.9</v>
      </c>
      <c r="E7887" s="4">
        <v>3.53</v>
      </c>
    </row>
    <row r="7888" spans="1:5" x14ac:dyDescent="0.25">
      <c r="A7888" s="4" t="s">
        <v>53</v>
      </c>
      <c r="B7888" s="4" t="s">
        <v>51</v>
      </c>
      <c r="C7888" s="5">
        <v>45307</v>
      </c>
      <c r="D7888" s="4">
        <v>11.7</v>
      </c>
      <c r="E7888" s="4">
        <v>3.79</v>
      </c>
    </row>
    <row r="7889" spans="1:5" x14ac:dyDescent="0.25">
      <c r="A7889" s="4" t="s">
        <v>53</v>
      </c>
      <c r="B7889" s="4" t="s">
        <v>51</v>
      </c>
      <c r="C7889" s="5">
        <v>45307</v>
      </c>
      <c r="D7889" s="4">
        <v>2.2999999999999998</v>
      </c>
      <c r="E7889" s="4">
        <v>0.74</v>
      </c>
    </row>
    <row r="7890" spans="1:5" x14ac:dyDescent="0.25">
      <c r="A7890" s="4" t="s">
        <v>53</v>
      </c>
      <c r="B7890" s="4" t="s">
        <v>51</v>
      </c>
      <c r="C7890" s="5">
        <v>45307</v>
      </c>
      <c r="D7890" s="4">
        <v>2.2999999999999998</v>
      </c>
      <c r="E7890" s="4">
        <v>0.74</v>
      </c>
    </row>
    <row r="7891" spans="1:5" x14ac:dyDescent="0.25">
      <c r="A7891" s="4" t="s">
        <v>53</v>
      </c>
      <c r="B7891" s="4" t="s">
        <v>51</v>
      </c>
      <c r="C7891" s="5">
        <v>45307</v>
      </c>
      <c r="D7891" s="4">
        <v>10.9</v>
      </c>
      <c r="E7891" s="4">
        <v>3.53</v>
      </c>
    </row>
    <row r="7892" spans="1:5" x14ac:dyDescent="0.25">
      <c r="A7892" s="4" t="s">
        <v>53</v>
      </c>
      <c r="B7892" s="4" t="s">
        <v>51</v>
      </c>
      <c r="C7892" s="5">
        <v>45307</v>
      </c>
      <c r="D7892" s="4">
        <v>11.7</v>
      </c>
      <c r="E7892" s="4">
        <v>3.79</v>
      </c>
    </row>
    <row r="7893" spans="1:5" x14ac:dyDescent="0.25">
      <c r="A7893" s="4" t="s">
        <v>53</v>
      </c>
      <c r="B7893" s="4" t="s">
        <v>51</v>
      </c>
      <c r="C7893" s="5">
        <v>45307</v>
      </c>
      <c r="D7893" s="4">
        <v>2.2999999999999998</v>
      </c>
      <c r="E7893" s="4">
        <v>0.74</v>
      </c>
    </row>
    <row r="7894" spans="1:5" x14ac:dyDescent="0.25">
      <c r="A7894" s="4" t="s">
        <v>53</v>
      </c>
      <c r="B7894" s="4" t="s">
        <v>51</v>
      </c>
      <c r="C7894" s="5">
        <v>45307</v>
      </c>
      <c r="D7894" s="4">
        <v>2.2999999999999998</v>
      </c>
      <c r="E7894" s="4">
        <v>0.74</v>
      </c>
    </row>
    <row r="7895" spans="1:5" x14ac:dyDescent="0.25">
      <c r="A7895" s="4" t="s">
        <v>53</v>
      </c>
      <c r="B7895" s="4" t="s">
        <v>51</v>
      </c>
      <c r="C7895" s="5">
        <v>45307</v>
      </c>
      <c r="D7895" s="4">
        <v>10.9</v>
      </c>
      <c r="E7895" s="4">
        <v>3.53</v>
      </c>
    </row>
    <row r="7896" spans="1:5" x14ac:dyDescent="0.25">
      <c r="A7896" s="4" t="s">
        <v>53</v>
      </c>
      <c r="B7896" s="4" t="s">
        <v>51</v>
      </c>
      <c r="C7896" s="5">
        <v>45307</v>
      </c>
      <c r="D7896" s="4">
        <v>11.7</v>
      </c>
      <c r="E7896" s="4">
        <v>3.79</v>
      </c>
    </row>
    <row r="7897" spans="1:5" x14ac:dyDescent="0.25">
      <c r="A7897" s="4" t="s">
        <v>53</v>
      </c>
      <c r="B7897" s="4" t="s">
        <v>51</v>
      </c>
      <c r="C7897" s="5">
        <v>45307</v>
      </c>
      <c r="D7897" s="4">
        <v>2.2999999999999998</v>
      </c>
      <c r="E7897" s="4">
        <v>0.74</v>
      </c>
    </row>
    <row r="7898" spans="1:5" x14ac:dyDescent="0.25">
      <c r="A7898" s="4" t="s">
        <v>53</v>
      </c>
      <c r="B7898" s="4" t="s">
        <v>51</v>
      </c>
      <c r="C7898" s="5">
        <v>45307</v>
      </c>
      <c r="D7898" s="4">
        <v>2.2999999999999998</v>
      </c>
      <c r="E7898" s="4">
        <v>0.74</v>
      </c>
    </row>
    <row r="7899" spans="1:5" x14ac:dyDescent="0.25">
      <c r="A7899" s="4" t="s">
        <v>53</v>
      </c>
      <c r="B7899" s="4" t="s">
        <v>51</v>
      </c>
      <c r="C7899" s="5">
        <v>45307</v>
      </c>
      <c r="D7899" s="4">
        <v>8.6999999999999993</v>
      </c>
      <c r="E7899" s="4">
        <v>2.82</v>
      </c>
    </row>
    <row r="7900" spans="1:5" x14ac:dyDescent="0.25">
      <c r="A7900" s="4" t="s">
        <v>53</v>
      </c>
      <c r="B7900" s="4" t="s">
        <v>51</v>
      </c>
      <c r="C7900" s="5">
        <v>45310</v>
      </c>
      <c r="D7900" s="4">
        <v>13.8</v>
      </c>
      <c r="E7900" s="4">
        <v>4.47</v>
      </c>
    </row>
    <row r="7901" spans="1:5" x14ac:dyDescent="0.25">
      <c r="A7901" s="4" t="s">
        <v>53</v>
      </c>
      <c r="B7901" s="4" t="s">
        <v>51</v>
      </c>
      <c r="C7901" s="5">
        <v>45310</v>
      </c>
      <c r="D7901" s="4">
        <v>11.7</v>
      </c>
      <c r="E7901" s="4">
        <v>3.79</v>
      </c>
    </row>
    <row r="7902" spans="1:5" x14ac:dyDescent="0.25">
      <c r="A7902" s="4" t="s">
        <v>53</v>
      </c>
      <c r="B7902" s="4" t="s">
        <v>51</v>
      </c>
      <c r="C7902" s="5">
        <v>45310</v>
      </c>
      <c r="D7902" s="4">
        <v>10.9</v>
      </c>
      <c r="E7902" s="4">
        <v>3.53</v>
      </c>
    </row>
    <row r="7903" spans="1:5" x14ac:dyDescent="0.25">
      <c r="A7903" s="4" t="s">
        <v>53</v>
      </c>
      <c r="B7903" s="4" t="s">
        <v>51</v>
      </c>
      <c r="C7903" s="5">
        <v>45310</v>
      </c>
      <c r="D7903" s="4">
        <v>11.7</v>
      </c>
      <c r="E7903" s="4">
        <v>3.79</v>
      </c>
    </row>
    <row r="7904" spans="1:5" x14ac:dyDescent="0.25">
      <c r="A7904" s="4" t="s">
        <v>53</v>
      </c>
      <c r="B7904" s="4" t="s">
        <v>51</v>
      </c>
      <c r="C7904" s="5">
        <v>45310</v>
      </c>
      <c r="D7904" s="4">
        <v>10.9</v>
      </c>
      <c r="E7904" s="4">
        <v>3.53</v>
      </c>
    </row>
    <row r="7905" spans="1:5" x14ac:dyDescent="0.25">
      <c r="A7905" s="4" t="s">
        <v>53</v>
      </c>
      <c r="B7905" s="4" t="s">
        <v>51</v>
      </c>
      <c r="C7905" s="5">
        <v>45310</v>
      </c>
      <c r="D7905" s="4">
        <v>11.7</v>
      </c>
      <c r="E7905" s="4">
        <v>3.79</v>
      </c>
    </row>
    <row r="7906" spans="1:5" x14ac:dyDescent="0.25">
      <c r="A7906" s="4" t="s">
        <v>53</v>
      </c>
      <c r="B7906" s="4" t="s">
        <v>51</v>
      </c>
      <c r="C7906" s="5">
        <v>45310</v>
      </c>
      <c r="D7906" s="4">
        <v>10.9</v>
      </c>
      <c r="E7906" s="4">
        <v>3.53</v>
      </c>
    </row>
    <row r="7907" spans="1:5" x14ac:dyDescent="0.25">
      <c r="A7907" s="4" t="s">
        <v>53</v>
      </c>
      <c r="B7907" s="4" t="s">
        <v>51</v>
      </c>
      <c r="C7907" s="5">
        <v>45310</v>
      </c>
      <c r="D7907" s="4">
        <v>11.7</v>
      </c>
      <c r="E7907" s="4">
        <v>3.79</v>
      </c>
    </row>
    <row r="7908" spans="1:5" x14ac:dyDescent="0.25">
      <c r="A7908" s="4" t="s">
        <v>53</v>
      </c>
      <c r="B7908" s="4" t="s">
        <v>51</v>
      </c>
      <c r="C7908" s="5">
        <v>45310</v>
      </c>
      <c r="D7908" s="4">
        <v>24.1</v>
      </c>
      <c r="E7908" s="4">
        <v>7.82</v>
      </c>
    </row>
    <row r="7909" spans="1:5" x14ac:dyDescent="0.25">
      <c r="A7909" s="4" t="s">
        <v>53</v>
      </c>
      <c r="B7909" s="4" t="s">
        <v>51</v>
      </c>
      <c r="C7909" s="5">
        <v>45310</v>
      </c>
      <c r="D7909" s="4">
        <v>15.4</v>
      </c>
      <c r="E7909" s="4">
        <v>5</v>
      </c>
    </row>
    <row r="7910" spans="1:5" x14ac:dyDescent="0.25">
      <c r="A7910" s="4" t="s">
        <v>53</v>
      </c>
      <c r="B7910" s="4" t="s">
        <v>51</v>
      </c>
      <c r="C7910" s="5">
        <v>45313</v>
      </c>
      <c r="D7910" s="4">
        <v>10.6</v>
      </c>
      <c r="E7910" s="4">
        <v>3.43</v>
      </c>
    </row>
    <row r="7911" spans="1:5" x14ac:dyDescent="0.25">
      <c r="A7911" s="4" t="s">
        <v>53</v>
      </c>
      <c r="B7911" s="4" t="s">
        <v>51</v>
      </c>
      <c r="C7911" s="5">
        <v>45313</v>
      </c>
      <c r="D7911" s="4">
        <v>10.6</v>
      </c>
      <c r="E7911" s="4">
        <v>3.43</v>
      </c>
    </row>
    <row r="7912" spans="1:5" x14ac:dyDescent="0.25">
      <c r="A7912" s="4" t="s">
        <v>53</v>
      </c>
      <c r="B7912" s="4" t="s">
        <v>51</v>
      </c>
      <c r="C7912" s="5">
        <v>45314</v>
      </c>
      <c r="D7912" s="4">
        <v>2.4</v>
      </c>
      <c r="E7912" s="4">
        <v>0.75</v>
      </c>
    </row>
    <row r="7913" spans="1:5" x14ac:dyDescent="0.25">
      <c r="A7913" s="4" t="s">
        <v>53</v>
      </c>
      <c r="B7913" s="4" t="s">
        <v>51</v>
      </c>
      <c r="C7913" s="5">
        <v>45314</v>
      </c>
      <c r="D7913" s="4">
        <v>1.3</v>
      </c>
      <c r="E7913" s="4">
        <v>0.43</v>
      </c>
    </row>
    <row r="7914" spans="1:5" x14ac:dyDescent="0.25">
      <c r="A7914" s="4" t="s">
        <v>53</v>
      </c>
      <c r="B7914" s="4" t="s">
        <v>51</v>
      </c>
      <c r="C7914" s="5">
        <v>45314</v>
      </c>
      <c r="D7914" s="4">
        <v>21.6</v>
      </c>
      <c r="E7914" s="4">
        <v>6.99</v>
      </c>
    </row>
    <row r="7915" spans="1:5" x14ac:dyDescent="0.25">
      <c r="A7915" s="4" t="s">
        <v>53</v>
      </c>
      <c r="B7915" s="4" t="s">
        <v>51</v>
      </c>
      <c r="C7915" s="5">
        <v>45314</v>
      </c>
      <c r="D7915" s="4">
        <v>4.5</v>
      </c>
      <c r="E7915" s="4">
        <v>1.46</v>
      </c>
    </row>
    <row r="7916" spans="1:5" x14ac:dyDescent="0.25">
      <c r="A7916" s="4" t="s">
        <v>53</v>
      </c>
      <c r="B7916" s="4" t="s">
        <v>51</v>
      </c>
      <c r="C7916" s="5">
        <v>45314</v>
      </c>
      <c r="D7916" s="4">
        <v>8.9</v>
      </c>
      <c r="E7916" s="4">
        <v>2.89</v>
      </c>
    </row>
    <row r="7917" spans="1:5" x14ac:dyDescent="0.25">
      <c r="A7917" s="4" t="s">
        <v>53</v>
      </c>
      <c r="B7917" s="4" t="s">
        <v>51</v>
      </c>
      <c r="C7917" s="5">
        <v>45314</v>
      </c>
      <c r="D7917" s="4">
        <v>9.8000000000000007</v>
      </c>
      <c r="E7917" s="4">
        <v>3.18</v>
      </c>
    </row>
    <row r="7918" spans="1:5" x14ac:dyDescent="0.25">
      <c r="A7918" s="4" t="s">
        <v>53</v>
      </c>
      <c r="B7918" s="4" t="s">
        <v>51</v>
      </c>
      <c r="C7918" s="5">
        <v>45314</v>
      </c>
      <c r="D7918" s="4">
        <v>8.6999999999999993</v>
      </c>
      <c r="E7918" s="4">
        <v>2.82</v>
      </c>
    </row>
    <row r="7919" spans="1:5" x14ac:dyDescent="0.25">
      <c r="A7919" s="4" t="s">
        <v>53</v>
      </c>
      <c r="B7919" s="4" t="s">
        <v>51</v>
      </c>
      <c r="C7919" s="5">
        <v>45314</v>
      </c>
      <c r="D7919" s="4">
        <v>2.4</v>
      </c>
      <c r="E7919" s="4">
        <v>0.75</v>
      </c>
    </row>
    <row r="7920" spans="1:5" x14ac:dyDescent="0.25">
      <c r="A7920" s="4" t="s">
        <v>53</v>
      </c>
      <c r="B7920" s="4" t="s">
        <v>51</v>
      </c>
      <c r="C7920" s="5">
        <v>45314</v>
      </c>
      <c r="D7920" s="4">
        <v>2.5</v>
      </c>
      <c r="E7920" s="4">
        <v>0.81</v>
      </c>
    </row>
    <row r="7921" spans="1:5" x14ac:dyDescent="0.25">
      <c r="A7921" s="4" t="s">
        <v>53</v>
      </c>
      <c r="B7921" s="4" t="s">
        <v>51</v>
      </c>
      <c r="C7921" s="5">
        <v>45314</v>
      </c>
      <c r="D7921" s="4">
        <v>2.4</v>
      </c>
      <c r="E7921" s="4">
        <v>0.75</v>
      </c>
    </row>
    <row r="7922" spans="1:5" x14ac:dyDescent="0.25">
      <c r="A7922" s="4" t="s">
        <v>53</v>
      </c>
      <c r="B7922" s="4" t="s">
        <v>51</v>
      </c>
      <c r="C7922" s="5">
        <v>45314</v>
      </c>
      <c r="D7922" s="4">
        <v>2.5</v>
      </c>
      <c r="E7922" s="4">
        <v>0.81</v>
      </c>
    </row>
    <row r="7923" spans="1:5" x14ac:dyDescent="0.25">
      <c r="A7923" s="4" t="s">
        <v>53</v>
      </c>
      <c r="B7923" s="4" t="s">
        <v>51</v>
      </c>
      <c r="C7923" s="5">
        <v>45314</v>
      </c>
      <c r="D7923" s="4">
        <v>2.4</v>
      </c>
      <c r="E7923" s="4">
        <v>0.75</v>
      </c>
    </row>
    <row r="7924" spans="1:5" x14ac:dyDescent="0.25">
      <c r="A7924" s="4" t="s">
        <v>53</v>
      </c>
      <c r="B7924" s="4" t="s">
        <v>51</v>
      </c>
      <c r="C7924" s="5">
        <v>45314</v>
      </c>
      <c r="D7924" s="4">
        <v>2.5</v>
      </c>
      <c r="E7924" s="4">
        <v>0.81</v>
      </c>
    </row>
    <row r="7925" spans="1:5" x14ac:dyDescent="0.25">
      <c r="A7925" s="4" t="s">
        <v>53</v>
      </c>
      <c r="B7925" s="4" t="s">
        <v>51</v>
      </c>
      <c r="C7925" s="5">
        <v>45315</v>
      </c>
      <c r="D7925" s="4">
        <v>13.8</v>
      </c>
      <c r="E7925" s="4">
        <v>4.47</v>
      </c>
    </row>
    <row r="7926" spans="1:5" x14ac:dyDescent="0.25">
      <c r="A7926" s="4" t="s">
        <v>53</v>
      </c>
      <c r="B7926" s="4" t="s">
        <v>51</v>
      </c>
      <c r="C7926" s="5">
        <v>45315</v>
      </c>
      <c r="D7926" s="4">
        <v>11.7</v>
      </c>
      <c r="E7926" s="4">
        <v>3.79</v>
      </c>
    </row>
    <row r="7927" spans="1:5" x14ac:dyDescent="0.25">
      <c r="A7927" s="4" t="s">
        <v>53</v>
      </c>
      <c r="B7927" s="4" t="s">
        <v>51</v>
      </c>
      <c r="C7927" s="5">
        <v>45315</v>
      </c>
      <c r="D7927" s="4">
        <v>2.2999999999999998</v>
      </c>
      <c r="E7927" s="4">
        <v>0.74</v>
      </c>
    </row>
    <row r="7928" spans="1:5" x14ac:dyDescent="0.25">
      <c r="A7928" s="4" t="s">
        <v>53</v>
      </c>
      <c r="B7928" s="4" t="s">
        <v>51</v>
      </c>
      <c r="C7928" s="5">
        <v>45315</v>
      </c>
      <c r="D7928" s="4">
        <v>2.2999999999999998</v>
      </c>
      <c r="E7928" s="4">
        <v>0.74</v>
      </c>
    </row>
    <row r="7929" spans="1:5" x14ac:dyDescent="0.25">
      <c r="A7929" s="4" t="s">
        <v>53</v>
      </c>
      <c r="B7929" s="4" t="s">
        <v>51</v>
      </c>
      <c r="C7929" s="5">
        <v>45315</v>
      </c>
      <c r="D7929" s="4">
        <v>10.9</v>
      </c>
      <c r="E7929" s="4">
        <v>3.53</v>
      </c>
    </row>
    <row r="7930" spans="1:5" x14ac:dyDescent="0.25">
      <c r="A7930" s="4" t="s">
        <v>53</v>
      </c>
      <c r="B7930" s="4" t="s">
        <v>51</v>
      </c>
      <c r="C7930" s="5">
        <v>45315</v>
      </c>
      <c r="D7930" s="4">
        <v>11.7</v>
      </c>
      <c r="E7930" s="4">
        <v>3.79</v>
      </c>
    </row>
    <row r="7931" spans="1:5" x14ac:dyDescent="0.25">
      <c r="A7931" s="4" t="s">
        <v>53</v>
      </c>
      <c r="B7931" s="4" t="s">
        <v>51</v>
      </c>
      <c r="C7931" s="5">
        <v>45315</v>
      </c>
      <c r="D7931" s="4">
        <v>2.2999999999999998</v>
      </c>
      <c r="E7931" s="4">
        <v>0.74</v>
      </c>
    </row>
    <row r="7932" spans="1:5" x14ac:dyDescent="0.25">
      <c r="A7932" s="4" t="s">
        <v>53</v>
      </c>
      <c r="B7932" s="4" t="s">
        <v>51</v>
      </c>
      <c r="C7932" s="5">
        <v>45315</v>
      </c>
      <c r="D7932" s="4">
        <v>2.2999999999999998</v>
      </c>
      <c r="E7932" s="4">
        <v>0.74</v>
      </c>
    </row>
    <row r="7933" spans="1:5" x14ac:dyDescent="0.25">
      <c r="A7933" s="4" t="s">
        <v>53</v>
      </c>
      <c r="B7933" s="4" t="s">
        <v>51</v>
      </c>
      <c r="C7933" s="5">
        <v>45315</v>
      </c>
      <c r="D7933" s="4">
        <v>10.9</v>
      </c>
      <c r="E7933" s="4">
        <v>3.53</v>
      </c>
    </row>
    <row r="7934" spans="1:5" x14ac:dyDescent="0.25">
      <c r="A7934" s="4" t="s">
        <v>53</v>
      </c>
      <c r="B7934" s="4" t="s">
        <v>51</v>
      </c>
      <c r="C7934" s="5">
        <v>45315</v>
      </c>
      <c r="D7934" s="4">
        <v>11.7</v>
      </c>
      <c r="E7934" s="4">
        <v>3.79</v>
      </c>
    </row>
    <row r="7935" spans="1:5" x14ac:dyDescent="0.25">
      <c r="A7935" s="4" t="s">
        <v>53</v>
      </c>
      <c r="B7935" s="4" t="s">
        <v>51</v>
      </c>
      <c r="C7935" s="5">
        <v>45315</v>
      </c>
      <c r="D7935" s="4">
        <v>2.2999999999999998</v>
      </c>
      <c r="E7935" s="4">
        <v>0.74</v>
      </c>
    </row>
    <row r="7936" spans="1:5" x14ac:dyDescent="0.25">
      <c r="A7936" s="4" t="s">
        <v>53</v>
      </c>
      <c r="B7936" s="4" t="s">
        <v>51</v>
      </c>
      <c r="C7936" s="5">
        <v>45315</v>
      </c>
      <c r="D7936" s="4">
        <v>2.2999999999999998</v>
      </c>
      <c r="E7936" s="4">
        <v>0.74</v>
      </c>
    </row>
    <row r="7937" spans="1:5" x14ac:dyDescent="0.25">
      <c r="A7937" s="4" t="s">
        <v>53</v>
      </c>
      <c r="B7937" s="4" t="s">
        <v>51</v>
      </c>
      <c r="C7937" s="5">
        <v>45315</v>
      </c>
      <c r="D7937" s="4">
        <v>8.6999999999999993</v>
      </c>
      <c r="E7937" s="4">
        <v>2.82</v>
      </c>
    </row>
    <row r="7938" spans="1:5" x14ac:dyDescent="0.25">
      <c r="A7938" s="4" t="s">
        <v>53</v>
      </c>
      <c r="B7938" s="4" t="s">
        <v>51</v>
      </c>
      <c r="C7938" s="5">
        <v>45315</v>
      </c>
      <c r="D7938" s="4">
        <v>20.100000000000001</v>
      </c>
      <c r="E7938" s="4">
        <v>6.5</v>
      </c>
    </row>
    <row r="7939" spans="1:5" x14ac:dyDescent="0.25">
      <c r="A7939" s="4" t="s">
        <v>53</v>
      </c>
      <c r="B7939" s="4" t="s">
        <v>51</v>
      </c>
      <c r="C7939" s="5">
        <v>45315</v>
      </c>
      <c r="D7939" s="4">
        <v>5.2</v>
      </c>
      <c r="E7939" s="4">
        <v>1.64</v>
      </c>
    </row>
    <row r="7940" spans="1:5" x14ac:dyDescent="0.25">
      <c r="A7940" s="4" t="s">
        <v>53</v>
      </c>
      <c r="B7940" s="4" t="s">
        <v>51</v>
      </c>
      <c r="C7940" s="5">
        <v>45315</v>
      </c>
      <c r="D7940" s="4">
        <v>11.7</v>
      </c>
      <c r="E7940" s="4">
        <v>3.79</v>
      </c>
    </row>
    <row r="7941" spans="1:5" x14ac:dyDescent="0.25">
      <c r="A7941" s="4" t="s">
        <v>53</v>
      </c>
      <c r="B7941" s="4" t="s">
        <v>51</v>
      </c>
      <c r="C7941" s="5">
        <v>45315</v>
      </c>
      <c r="D7941" s="4">
        <v>8.6999999999999993</v>
      </c>
      <c r="E7941" s="4">
        <v>2.82</v>
      </c>
    </row>
    <row r="7942" spans="1:5" x14ac:dyDescent="0.25">
      <c r="A7942" s="4" t="s">
        <v>53</v>
      </c>
      <c r="B7942" s="4" t="s">
        <v>51</v>
      </c>
      <c r="C7942" s="5">
        <v>45316</v>
      </c>
      <c r="D7942" s="4">
        <v>13.8</v>
      </c>
      <c r="E7942" s="4">
        <v>4.47</v>
      </c>
    </row>
    <row r="7943" spans="1:5" x14ac:dyDescent="0.25">
      <c r="A7943" s="4" t="s">
        <v>53</v>
      </c>
      <c r="B7943" s="4" t="s">
        <v>51</v>
      </c>
      <c r="C7943" s="5">
        <v>45316</v>
      </c>
      <c r="D7943" s="4">
        <v>11.7</v>
      </c>
      <c r="E7943" s="4">
        <v>3.79</v>
      </c>
    </row>
    <row r="7944" spans="1:5" x14ac:dyDescent="0.25">
      <c r="A7944" s="4" t="s">
        <v>53</v>
      </c>
      <c r="B7944" s="4" t="s">
        <v>51</v>
      </c>
      <c r="C7944" s="5">
        <v>45316</v>
      </c>
      <c r="D7944" s="4">
        <v>10.9</v>
      </c>
      <c r="E7944" s="4">
        <v>3.53</v>
      </c>
    </row>
    <row r="7945" spans="1:5" x14ac:dyDescent="0.25">
      <c r="A7945" s="4" t="s">
        <v>53</v>
      </c>
      <c r="B7945" s="4" t="s">
        <v>51</v>
      </c>
      <c r="C7945" s="5">
        <v>45316</v>
      </c>
      <c r="D7945" s="4">
        <v>11.7</v>
      </c>
      <c r="E7945" s="4">
        <v>3.79</v>
      </c>
    </row>
    <row r="7946" spans="1:5" x14ac:dyDescent="0.25">
      <c r="A7946" s="4" t="s">
        <v>53</v>
      </c>
      <c r="B7946" s="4" t="s">
        <v>51</v>
      </c>
      <c r="C7946" s="5">
        <v>45316</v>
      </c>
      <c r="D7946" s="4">
        <v>10.9</v>
      </c>
      <c r="E7946" s="4">
        <v>3.53</v>
      </c>
    </row>
    <row r="7947" spans="1:5" x14ac:dyDescent="0.25">
      <c r="A7947" s="4" t="s">
        <v>53</v>
      </c>
      <c r="B7947" s="4" t="s">
        <v>51</v>
      </c>
      <c r="C7947" s="5">
        <v>45316</v>
      </c>
      <c r="D7947" s="4">
        <v>11.7</v>
      </c>
      <c r="E7947" s="4">
        <v>3.79</v>
      </c>
    </row>
    <row r="7948" spans="1:5" x14ac:dyDescent="0.25">
      <c r="A7948" s="4" t="s">
        <v>53</v>
      </c>
      <c r="B7948" s="4" t="s">
        <v>51</v>
      </c>
      <c r="C7948" s="5">
        <v>45316</v>
      </c>
      <c r="D7948" s="4">
        <v>11.9</v>
      </c>
      <c r="E7948" s="4">
        <v>3.84</v>
      </c>
    </row>
    <row r="7949" spans="1:5" x14ac:dyDescent="0.25">
      <c r="A7949" s="4" t="s">
        <v>53</v>
      </c>
      <c r="B7949" s="4" t="s">
        <v>51</v>
      </c>
      <c r="C7949" s="5">
        <v>45316</v>
      </c>
      <c r="D7949" s="4">
        <v>1.2</v>
      </c>
      <c r="E7949" s="4">
        <v>0.38</v>
      </c>
    </row>
    <row r="7950" spans="1:5" x14ac:dyDescent="0.25">
      <c r="A7950" s="4" t="s">
        <v>53</v>
      </c>
      <c r="B7950" s="4" t="s">
        <v>51</v>
      </c>
      <c r="C7950" s="5">
        <v>45317</v>
      </c>
      <c r="D7950" s="4">
        <v>13.8</v>
      </c>
      <c r="E7950" s="4">
        <v>4.47</v>
      </c>
    </row>
    <row r="7951" spans="1:5" x14ac:dyDescent="0.25">
      <c r="A7951" s="4" t="s">
        <v>53</v>
      </c>
      <c r="B7951" s="4" t="s">
        <v>51</v>
      </c>
      <c r="C7951" s="5">
        <v>45317</v>
      </c>
      <c r="D7951" s="4">
        <v>11.7</v>
      </c>
      <c r="E7951" s="4">
        <v>3.79</v>
      </c>
    </row>
    <row r="7952" spans="1:5" x14ac:dyDescent="0.25">
      <c r="A7952" s="4" t="s">
        <v>53</v>
      </c>
      <c r="B7952" s="4" t="s">
        <v>51</v>
      </c>
      <c r="C7952" s="5">
        <v>45317</v>
      </c>
      <c r="D7952" s="4">
        <v>10.9</v>
      </c>
      <c r="E7952" s="4">
        <v>3.53</v>
      </c>
    </row>
    <row r="7953" spans="1:5" x14ac:dyDescent="0.25">
      <c r="A7953" s="4" t="s">
        <v>53</v>
      </c>
      <c r="B7953" s="4" t="s">
        <v>51</v>
      </c>
      <c r="C7953" s="5">
        <v>45317</v>
      </c>
      <c r="D7953" s="4">
        <v>11.7</v>
      </c>
      <c r="E7953" s="4">
        <v>3.79</v>
      </c>
    </row>
    <row r="7954" spans="1:5" x14ac:dyDescent="0.25">
      <c r="A7954" s="4" t="s">
        <v>53</v>
      </c>
      <c r="B7954" s="4" t="s">
        <v>51</v>
      </c>
      <c r="C7954" s="5">
        <v>45317</v>
      </c>
      <c r="D7954" s="4">
        <v>10.9</v>
      </c>
      <c r="E7954" s="4">
        <v>3.53</v>
      </c>
    </row>
    <row r="7955" spans="1:5" x14ac:dyDescent="0.25">
      <c r="A7955" s="4" t="s">
        <v>53</v>
      </c>
      <c r="B7955" s="4" t="s">
        <v>51</v>
      </c>
      <c r="C7955" s="5">
        <v>45317</v>
      </c>
      <c r="D7955" s="4">
        <v>11.7</v>
      </c>
      <c r="E7955" s="4">
        <v>3.79</v>
      </c>
    </row>
    <row r="7956" spans="1:5" x14ac:dyDescent="0.25">
      <c r="A7956" s="4" t="s">
        <v>53</v>
      </c>
      <c r="B7956" s="4" t="s">
        <v>51</v>
      </c>
      <c r="C7956" s="5">
        <v>45317</v>
      </c>
      <c r="D7956" s="4">
        <v>10.9</v>
      </c>
      <c r="E7956" s="4">
        <v>3.53</v>
      </c>
    </row>
    <row r="7957" spans="1:5" x14ac:dyDescent="0.25">
      <c r="A7957" s="4" t="s">
        <v>53</v>
      </c>
      <c r="B7957" s="4" t="s">
        <v>51</v>
      </c>
      <c r="C7957" s="5">
        <v>45317</v>
      </c>
      <c r="D7957" s="4">
        <v>11.7</v>
      </c>
      <c r="E7957" s="4">
        <v>3.79</v>
      </c>
    </row>
    <row r="7958" spans="1:5" x14ac:dyDescent="0.25">
      <c r="A7958" s="4" t="s">
        <v>53</v>
      </c>
      <c r="B7958" s="4" t="s">
        <v>51</v>
      </c>
      <c r="C7958" s="5">
        <v>45317</v>
      </c>
      <c r="D7958" s="4">
        <v>8.6999999999999993</v>
      </c>
      <c r="E7958" s="4">
        <v>2.82</v>
      </c>
    </row>
    <row r="7959" spans="1:5" x14ac:dyDescent="0.25">
      <c r="A7959" s="4" t="s">
        <v>53</v>
      </c>
      <c r="B7959" s="4" t="s">
        <v>51</v>
      </c>
      <c r="C7959" s="5">
        <v>45321</v>
      </c>
      <c r="D7959" s="4">
        <v>26.3</v>
      </c>
      <c r="E7959" s="4">
        <v>8.5299999999999994</v>
      </c>
    </row>
    <row r="7960" spans="1:5" x14ac:dyDescent="0.25">
      <c r="A7960" s="4" t="s">
        <v>53</v>
      </c>
      <c r="B7960" s="4" t="s">
        <v>51</v>
      </c>
      <c r="C7960" s="5">
        <v>45321</v>
      </c>
      <c r="D7960" s="4">
        <v>22.6</v>
      </c>
      <c r="E7960" s="4">
        <v>7.33</v>
      </c>
    </row>
    <row r="7961" spans="1:5" x14ac:dyDescent="0.25">
      <c r="A7961" s="4" t="s">
        <v>53</v>
      </c>
      <c r="B7961" s="4" t="s">
        <v>51</v>
      </c>
      <c r="C7961" s="5">
        <v>45322</v>
      </c>
      <c r="D7961" s="4">
        <v>26.3</v>
      </c>
      <c r="E7961" s="4">
        <v>8.5299999999999994</v>
      </c>
    </row>
    <row r="7962" spans="1:5" x14ac:dyDescent="0.25">
      <c r="A7962" s="4" t="s">
        <v>53</v>
      </c>
      <c r="B7962" s="4" t="s">
        <v>51</v>
      </c>
      <c r="C7962" s="5">
        <v>45322</v>
      </c>
      <c r="D7962" s="4">
        <v>22.6</v>
      </c>
      <c r="E7962" s="4">
        <v>7.33</v>
      </c>
    </row>
    <row r="7963" spans="1:5" x14ac:dyDescent="0.25">
      <c r="A7963" s="4" t="s">
        <v>53</v>
      </c>
      <c r="B7963" s="4" t="s">
        <v>51</v>
      </c>
      <c r="C7963" s="5">
        <v>45324</v>
      </c>
      <c r="D7963" s="4">
        <v>14</v>
      </c>
      <c r="E7963" s="4">
        <v>4.54</v>
      </c>
    </row>
    <row r="7964" spans="1:5" x14ac:dyDescent="0.25">
      <c r="A7964" s="4" t="s">
        <v>53</v>
      </c>
      <c r="B7964" s="4" t="s">
        <v>51</v>
      </c>
      <c r="C7964" s="5">
        <v>45324</v>
      </c>
      <c r="D7964" s="4">
        <v>14</v>
      </c>
      <c r="E7964" s="4">
        <v>4.54</v>
      </c>
    </row>
    <row r="7965" spans="1:5" x14ac:dyDescent="0.25">
      <c r="A7965" s="4" t="s">
        <v>53</v>
      </c>
      <c r="B7965" s="4" t="s">
        <v>51</v>
      </c>
      <c r="C7965" s="5">
        <v>45324</v>
      </c>
      <c r="D7965" s="4">
        <v>14</v>
      </c>
      <c r="E7965" s="4">
        <v>4.54</v>
      </c>
    </row>
    <row r="7966" spans="1:5" x14ac:dyDescent="0.25">
      <c r="A7966" s="4" t="s">
        <v>53</v>
      </c>
      <c r="B7966" s="4" t="s">
        <v>51</v>
      </c>
      <c r="C7966" s="5">
        <v>45324</v>
      </c>
      <c r="D7966" s="4">
        <v>14</v>
      </c>
      <c r="E7966" s="4">
        <v>4.54</v>
      </c>
    </row>
    <row r="7967" spans="1:5" x14ac:dyDescent="0.25">
      <c r="A7967" s="4" t="s">
        <v>53</v>
      </c>
      <c r="B7967" s="4" t="s">
        <v>51</v>
      </c>
      <c r="C7967" s="5">
        <v>45324</v>
      </c>
      <c r="D7967" s="4">
        <v>14</v>
      </c>
      <c r="E7967" s="4">
        <v>4.54</v>
      </c>
    </row>
    <row r="7968" spans="1:5" x14ac:dyDescent="0.25">
      <c r="A7968" s="4" t="s">
        <v>53</v>
      </c>
      <c r="B7968" s="4" t="s">
        <v>51</v>
      </c>
      <c r="C7968" s="5">
        <v>45324</v>
      </c>
      <c r="D7968" s="4">
        <v>14</v>
      </c>
      <c r="E7968" s="4">
        <v>4.54</v>
      </c>
    </row>
    <row r="7969" spans="1:5" x14ac:dyDescent="0.25">
      <c r="A7969" s="4" t="s">
        <v>53</v>
      </c>
      <c r="B7969" s="4" t="s">
        <v>51</v>
      </c>
      <c r="C7969" s="5">
        <v>45327</v>
      </c>
      <c r="D7969" s="4">
        <v>13.8</v>
      </c>
      <c r="E7969" s="4">
        <v>4.47</v>
      </c>
    </row>
    <row r="7970" spans="1:5" x14ac:dyDescent="0.25">
      <c r="A7970" s="4" t="s">
        <v>53</v>
      </c>
      <c r="B7970" s="4" t="s">
        <v>51</v>
      </c>
      <c r="C7970" s="5">
        <v>45327</v>
      </c>
      <c r="D7970" s="4">
        <v>0.4</v>
      </c>
      <c r="E7970" s="4">
        <v>0.12</v>
      </c>
    </row>
    <row r="7971" spans="1:5" x14ac:dyDescent="0.25">
      <c r="A7971" s="4" t="s">
        <v>53</v>
      </c>
      <c r="B7971" s="4" t="s">
        <v>51</v>
      </c>
      <c r="C7971" s="5">
        <v>45327</v>
      </c>
      <c r="D7971" s="4">
        <v>0.1</v>
      </c>
      <c r="E7971" s="4">
        <v>0.03</v>
      </c>
    </row>
    <row r="7972" spans="1:5" x14ac:dyDescent="0.25">
      <c r="A7972" s="4" t="s">
        <v>53</v>
      </c>
      <c r="B7972" s="4" t="s">
        <v>51</v>
      </c>
      <c r="C7972" s="5">
        <v>45327</v>
      </c>
      <c r="D7972" s="4">
        <v>1.2</v>
      </c>
      <c r="E7972" s="4">
        <v>0.37</v>
      </c>
    </row>
    <row r="7973" spans="1:5" x14ac:dyDescent="0.25">
      <c r="A7973" s="4" t="s">
        <v>53</v>
      </c>
      <c r="B7973" s="4" t="s">
        <v>51</v>
      </c>
      <c r="C7973" s="5">
        <v>45327</v>
      </c>
      <c r="D7973" s="4">
        <v>1.2</v>
      </c>
      <c r="E7973" s="4">
        <v>0.37</v>
      </c>
    </row>
    <row r="7974" spans="1:5" x14ac:dyDescent="0.25">
      <c r="A7974" s="4" t="s">
        <v>53</v>
      </c>
      <c r="B7974" s="4" t="s">
        <v>51</v>
      </c>
      <c r="C7974" s="5">
        <v>45327</v>
      </c>
      <c r="D7974" s="4">
        <v>0.7</v>
      </c>
      <c r="E7974" s="4">
        <v>0.21</v>
      </c>
    </row>
    <row r="7975" spans="1:5" x14ac:dyDescent="0.25">
      <c r="A7975" s="4" t="s">
        <v>53</v>
      </c>
      <c r="B7975" s="4" t="s">
        <v>51</v>
      </c>
      <c r="C7975" s="5">
        <v>45327</v>
      </c>
      <c r="D7975" s="4">
        <v>1</v>
      </c>
      <c r="E7975" s="4">
        <v>0.31</v>
      </c>
    </row>
    <row r="7976" spans="1:5" x14ac:dyDescent="0.25">
      <c r="A7976" s="4" t="s">
        <v>53</v>
      </c>
      <c r="B7976" s="4" t="s">
        <v>51</v>
      </c>
      <c r="C7976" s="5">
        <v>45327</v>
      </c>
      <c r="D7976" s="4">
        <v>1</v>
      </c>
      <c r="E7976" s="4">
        <v>0.31</v>
      </c>
    </row>
    <row r="7977" spans="1:5" x14ac:dyDescent="0.25">
      <c r="A7977" s="4" t="s">
        <v>53</v>
      </c>
      <c r="B7977" s="4" t="s">
        <v>51</v>
      </c>
      <c r="C7977" s="5">
        <v>45327</v>
      </c>
      <c r="D7977" s="4">
        <v>22.6</v>
      </c>
      <c r="E7977" s="4">
        <v>7.29</v>
      </c>
    </row>
    <row r="7978" spans="1:5" x14ac:dyDescent="0.25">
      <c r="A7978" s="4" t="s">
        <v>53</v>
      </c>
      <c r="B7978" s="4" t="s">
        <v>51</v>
      </c>
      <c r="C7978" s="5">
        <v>45327</v>
      </c>
      <c r="D7978" s="4">
        <v>25.1</v>
      </c>
      <c r="E7978" s="4">
        <v>8.06</v>
      </c>
    </row>
    <row r="7979" spans="1:5" x14ac:dyDescent="0.25">
      <c r="A7979" s="4" t="s">
        <v>53</v>
      </c>
      <c r="B7979" s="4" t="s">
        <v>51</v>
      </c>
      <c r="C7979" s="5">
        <v>45327</v>
      </c>
      <c r="D7979" s="4">
        <v>18.3</v>
      </c>
      <c r="E7979" s="4">
        <v>5.93</v>
      </c>
    </row>
    <row r="7980" spans="1:5" x14ac:dyDescent="0.25">
      <c r="A7980" s="4" t="s">
        <v>53</v>
      </c>
      <c r="B7980" s="4" t="s">
        <v>51</v>
      </c>
      <c r="C7980" s="5">
        <v>45328</v>
      </c>
      <c r="D7980" s="4">
        <v>15.4</v>
      </c>
      <c r="E7980" s="4">
        <v>5</v>
      </c>
    </row>
    <row r="7981" spans="1:5" x14ac:dyDescent="0.25">
      <c r="A7981" s="4" t="s">
        <v>53</v>
      </c>
      <c r="B7981" s="4" t="s">
        <v>51</v>
      </c>
      <c r="C7981" s="5">
        <v>45328</v>
      </c>
      <c r="D7981" s="4">
        <v>15.4</v>
      </c>
      <c r="E7981" s="4">
        <v>5</v>
      </c>
    </row>
    <row r="7982" spans="1:5" x14ac:dyDescent="0.25">
      <c r="A7982" s="4" t="s">
        <v>53</v>
      </c>
      <c r="B7982" s="4" t="s">
        <v>51</v>
      </c>
      <c r="C7982" s="5">
        <v>45328</v>
      </c>
      <c r="D7982" s="4">
        <v>1.9</v>
      </c>
      <c r="E7982" s="4">
        <v>0.62</v>
      </c>
    </row>
    <row r="7983" spans="1:5" x14ac:dyDescent="0.25">
      <c r="A7983" s="4" t="s">
        <v>53</v>
      </c>
      <c r="B7983" s="4" t="s">
        <v>51</v>
      </c>
      <c r="C7983" s="5">
        <v>45328</v>
      </c>
      <c r="D7983" s="4">
        <v>15.4</v>
      </c>
      <c r="E7983" s="4">
        <v>5</v>
      </c>
    </row>
    <row r="7984" spans="1:5" x14ac:dyDescent="0.25">
      <c r="A7984" s="4" t="s">
        <v>53</v>
      </c>
      <c r="B7984" s="4" t="s">
        <v>51</v>
      </c>
      <c r="C7984" s="5">
        <v>45328</v>
      </c>
      <c r="D7984" s="4">
        <v>4.9000000000000004</v>
      </c>
      <c r="E7984" s="4">
        <v>1.59</v>
      </c>
    </row>
    <row r="7985" spans="1:5" x14ac:dyDescent="0.25">
      <c r="A7985" s="4" t="s">
        <v>53</v>
      </c>
      <c r="B7985" s="4" t="s">
        <v>51</v>
      </c>
      <c r="C7985" s="5">
        <v>45328</v>
      </c>
      <c r="D7985" s="4">
        <v>15.4</v>
      </c>
      <c r="E7985" s="4">
        <v>5</v>
      </c>
    </row>
    <row r="7986" spans="1:5" x14ac:dyDescent="0.25">
      <c r="A7986" s="4" t="s">
        <v>53</v>
      </c>
      <c r="B7986" s="4" t="s">
        <v>51</v>
      </c>
      <c r="C7986" s="5">
        <v>45328</v>
      </c>
      <c r="D7986" s="4">
        <v>15.4</v>
      </c>
      <c r="E7986" s="4">
        <v>5</v>
      </c>
    </row>
    <row r="7987" spans="1:5" x14ac:dyDescent="0.25">
      <c r="A7987" s="4" t="s">
        <v>53</v>
      </c>
      <c r="B7987" s="4" t="s">
        <v>51</v>
      </c>
      <c r="C7987" s="5">
        <v>45328</v>
      </c>
      <c r="D7987" s="4">
        <v>15.4</v>
      </c>
      <c r="E7987" s="4">
        <v>5</v>
      </c>
    </row>
    <row r="7988" spans="1:5" x14ac:dyDescent="0.25">
      <c r="A7988" s="4" t="s">
        <v>53</v>
      </c>
      <c r="B7988" s="4" t="s">
        <v>51</v>
      </c>
      <c r="C7988" s="5">
        <v>45328</v>
      </c>
      <c r="D7988" s="4">
        <v>15.4</v>
      </c>
      <c r="E7988" s="4">
        <v>5</v>
      </c>
    </row>
    <row r="7989" spans="1:5" x14ac:dyDescent="0.25">
      <c r="A7989" s="4" t="s">
        <v>53</v>
      </c>
      <c r="B7989" s="4" t="s">
        <v>51</v>
      </c>
      <c r="C7989" s="5">
        <v>45328</v>
      </c>
      <c r="D7989" s="4">
        <v>25.5</v>
      </c>
      <c r="E7989" s="4">
        <v>8.27</v>
      </c>
    </row>
    <row r="7990" spans="1:5" x14ac:dyDescent="0.25">
      <c r="A7990" s="4" t="s">
        <v>53</v>
      </c>
      <c r="B7990" s="4" t="s">
        <v>51</v>
      </c>
      <c r="C7990" s="5">
        <v>45328</v>
      </c>
      <c r="D7990" s="4">
        <v>26.2</v>
      </c>
      <c r="E7990" s="4">
        <v>8.5</v>
      </c>
    </row>
    <row r="7991" spans="1:5" x14ac:dyDescent="0.25">
      <c r="A7991" s="4" t="s">
        <v>53</v>
      </c>
      <c r="B7991" s="4" t="s">
        <v>51</v>
      </c>
      <c r="C7991" s="5">
        <v>45329</v>
      </c>
      <c r="D7991" s="4">
        <v>15.4</v>
      </c>
      <c r="E7991" s="4">
        <v>5</v>
      </c>
    </row>
    <row r="7992" spans="1:5" x14ac:dyDescent="0.25">
      <c r="A7992" s="4" t="s">
        <v>53</v>
      </c>
      <c r="B7992" s="4" t="s">
        <v>51</v>
      </c>
      <c r="C7992" s="5">
        <v>45329</v>
      </c>
      <c r="D7992" s="4">
        <v>22.6</v>
      </c>
      <c r="E7992" s="4">
        <v>7.29</v>
      </c>
    </row>
    <row r="7993" spans="1:5" x14ac:dyDescent="0.25">
      <c r="A7993" s="4" t="s">
        <v>53</v>
      </c>
      <c r="B7993" s="4" t="s">
        <v>51</v>
      </c>
      <c r="C7993" s="5">
        <v>45329</v>
      </c>
      <c r="D7993" s="4">
        <v>22.6</v>
      </c>
      <c r="E7993" s="4">
        <v>7.29</v>
      </c>
    </row>
    <row r="7994" spans="1:5" x14ac:dyDescent="0.25">
      <c r="A7994" s="4" t="s">
        <v>53</v>
      </c>
      <c r="B7994" s="4" t="s">
        <v>51</v>
      </c>
      <c r="C7994" s="5">
        <v>45329</v>
      </c>
      <c r="D7994" s="4">
        <v>23.7</v>
      </c>
      <c r="E7994" s="4">
        <v>7.63</v>
      </c>
    </row>
    <row r="7995" spans="1:5" x14ac:dyDescent="0.25">
      <c r="A7995" s="4" t="s">
        <v>53</v>
      </c>
      <c r="B7995" s="4" t="s">
        <v>51</v>
      </c>
      <c r="C7995" s="5">
        <v>45329</v>
      </c>
      <c r="D7995" s="4">
        <v>4.4000000000000004</v>
      </c>
      <c r="E7995" s="4">
        <v>1.37</v>
      </c>
    </row>
    <row r="7996" spans="1:5" x14ac:dyDescent="0.25">
      <c r="A7996" s="4" t="s">
        <v>53</v>
      </c>
      <c r="B7996" s="4" t="s">
        <v>51</v>
      </c>
      <c r="C7996" s="5">
        <v>45329</v>
      </c>
      <c r="D7996" s="4">
        <v>22.6</v>
      </c>
      <c r="E7996" s="4">
        <v>7.29</v>
      </c>
    </row>
    <row r="7997" spans="1:5" x14ac:dyDescent="0.25">
      <c r="A7997" s="4" t="s">
        <v>53</v>
      </c>
      <c r="B7997" s="4" t="s">
        <v>51</v>
      </c>
      <c r="C7997" s="5">
        <v>45329</v>
      </c>
      <c r="D7997" s="4">
        <v>22.6</v>
      </c>
      <c r="E7997" s="4">
        <v>7.29</v>
      </c>
    </row>
    <row r="7998" spans="1:5" x14ac:dyDescent="0.25">
      <c r="A7998" s="4" t="s">
        <v>53</v>
      </c>
      <c r="B7998" s="4" t="s">
        <v>51</v>
      </c>
      <c r="C7998" s="5">
        <v>45329</v>
      </c>
      <c r="D7998" s="4">
        <v>22.6</v>
      </c>
      <c r="E7998" s="4">
        <v>7.29</v>
      </c>
    </row>
    <row r="7999" spans="1:5" x14ac:dyDescent="0.25">
      <c r="A7999" s="4" t="s">
        <v>53</v>
      </c>
      <c r="B7999" s="4" t="s">
        <v>51</v>
      </c>
      <c r="C7999" s="5">
        <v>45329</v>
      </c>
      <c r="D7999" s="4">
        <v>24.4</v>
      </c>
      <c r="E7999" s="4">
        <v>7.85</v>
      </c>
    </row>
    <row r="8000" spans="1:5" x14ac:dyDescent="0.25">
      <c r="A8000" s="4" t="s">
        <v>53</v>
      </c>
      <c r="B8000" s="4" t="s">
        <v>51</v>
      </c>
      <c r="C8000" s="5">
        <v>45329</v>
      </c>
      <c r="D8000" s="4">
        <v>2.7</v>
      </c>
      <c r="E8000" s="4">
        <v>0.83</v>
      </c>
    </row>
    <row r="8001" spans="1:5" x14ac:dyDescent="0.25">
      <c r="A8001" s="4" t="s">
        <v>53</v>
      </c>
      <c r="B8001" s="4" t="s">
        <v>51</v>
      </c>
      <c r="C8001" s="5">
        <v>45329</v>
      </c>
      <c r="D8001" s="4">
        <v>0.7</v>
      </c>
      <c r="E8001" s="4">
        <v>0.22</v>
      </c>
    </row>
    <row r="8002" spans="1:5" x14ac:dyDescent="0.25">
      <c r="A8002" s="4" t="s">
        <v>53</v>
      </c>
      <c r="B8002" s="4" t="s">
        <v>51</v>
      </c>
      <c r="C8002" s="5">
        <v>45329</v>
      </c>
      <c r="D8002" s="4">
        <v>2.6</v>
      </c>
      <c r="E8002" s="4">
        <v>0.82</v>
      </c>
    </row>
    <row r="8003" spans="1:5" x14ac:dyDescent="0.25">
      <c r="A8003" s="4" t="s">
        <v>53</v>
      </c>
      <c r="B8003" s="4" t="s">
        <v>51</v>
      </c>
      <c r="C8003" s="5">
        <v>45330</v>
      </c>
      <c r="D8003" s="4">
        <v>27</v>
      </c>
      <c r="E8003" s="4">
        <v>8.76</v>
      </c>
    </row>
    <row r="8004" spans="1:5" x14ac:dyDescent="0.25">
      <c r="A8004" s="4" t="s">
        <v>53</v>
      </c>
      <c r="B8004" s="4" t="s">
        <v>51</v>
      </c>
      <c r="C8004" s="5">
        <v>45330</v>
      </c>
      <c r="D8004" s="4">
        <v>26.9</v>
      </c>
      <c r="E8004" s="4">
        <v>8.73</v>
      </c>
    </row>
    <row r="8005" spans="1:5" x14ac:dyDescent="0.25">
      <c r="A8005" s="4" t="s">
        <v>53</v>
      </c>
      <c r="B8005" s="4" t="s">
        <v>51</v>
      </c>
      <c r="C8005" s="5">
        <v>45330</v>
      </c>
      <c r="D8005" s="4">
        <v>27</v>
      </c>
      <c r="E8005" s="4">
        <v>8.76</v>
      </c>
    </row>
    <row r="8006" spans="1:5" x14ac:dyDescent="0.25">
      <c r="A8006" s="4" t="s">
        <v>53</v>
      </c>
      <c r="B8006" s="4" t="s">
        <v>51</v>
      </c>
      <c r="C8006" s="5">
        <v>45330</v>
      </c>
      <c r="D8006" s="4">
        <v>26.9</v>
      </c>
      <c r="E8006" s="4">
        <v>8.73</v>
      </c>
    </row>
    <row r="8007" spans="1:5" x14ac:dyDescent="0.25">
      <c r="A8007" s="4" t="s">
        <v>53</v>
      </c>
      <c r="B8007" s="4" t="s">
        <v>51</v>
      </c>
      <c r="C8007" s="5">
        <v>45330</v>
      </c>
      <c r="D8007" s="4">
        <v>27</v>
      </c>
      <c r="E8007" s="4">
        <v>8.76</v>
      </c>
    </row>
    <row r="8008" spans="1:5" x14ac:dyDescent="0.25">
      <c r="A8008" s="4" t="s">
        <v>53</v>
      </c>
      <c r="B8008" s="4" t="s">
        <v>51</v>
      </c>
      <c r="C8008" s="5">
        <v>45330</v>
      </c>
      <c r="D8008" s="4">
        <v>26.9</v>
      </c>
      <c r="E8008" s="4">
        <v>8.73</v>
      </c>
    </row>
    <row r="8009" spans="1:5" x14ac:dyDescent="0.25">
      <c r="A8009" s="4" t="s">
        <v>53</v>
      </c>
      <c r="B8009" s="4" t="s">
        <v>51</v>
      </c>
      <c r="C8009" s="5">
        <v>45330</v>
      </c>
      <c r="D8009" s="4">
        <v>27</v>
      </c>
      <c r="E8009" s="4">
        <v>8.76</v>
      </c>
    </row>
    <row r="8010" spans="1:5" x14ac:dyDescent="0.25">
      <c r="A8010" s="4" t="s">
        <v>53</v>
      </c>
      <c r="B8010" s="4" t="s">
        <v>51</v>
      </c>
      <c r="C8010" s="5">
        <v>45330</v>
      </c>
      <c r="D8010" s="4">
        <v>26.9</v>
      </c>
      <c r="E8010" s="4">
        <v>8.73</v>
      </c>
    </row>
    <row r="8011" spans="1:5" x14ac:dyDescent="0.25">
      <c r="A8011" s="4" t="s">
        <v>53</v>
      </c>
      <c r="B8011" s="4" t="s">
        <v>51</v>
      </c>
      <c r="C8011" s="5">
        <v>45330</v>
      </c>
      <c r="D8011" s="4">
        <v>27</v>
      </c>
      <c r="E8011" s="4">
        <v>8.76</v>
      </c>
    </row>
    <row r="8012" spans="1:5" x14ac:dyDescent="0.25">
      <c r="A8012" s="4" t="s">
        <v>53</v>
      </c>
      <c r="B8012" s="4" t="s">
        <v>51</v>
      </c>
      <c r="C8012" s="5">
        <v>45330</v>
      </c>
      <c r="D8012" s="4">
        <v>20.100000000000001</v>
      </c>
      <c r="E8012" s="4">
        <v>6.52</v>
      </c>
    </row>
    <row r="8013" spans="1:5" x14ac:dyDescent="0.25">
      <c r="A8013" s="4" t="s">
        <v>53</v>
      </c>
      <c r="B8013" s="4" t="s">
        <v>51</v>
      </c>
      <c r="C8013" s="5">
        <v>45331</v>
      </c>
      <c r="D8013" s="4">
        <v>15.4</v>
      </c>
      <c r="E8013" s="4">
        <v>5</v>
      </c>
    </row>
    <row r="8014" spans="1:5" x14ac:dyDescent="0.25">
      <c r="A8014" s="4" t="s">
        <v>53</v>
      </c>
      <c r="B8014" s="4" t="s">
        <v>51</v>
      </c>
      <c r="C8014" s="5">
        <v>45331</v>
      </c>
      <c r="D8014" s="4">
        <v>15.4</v>
      </c>
      <c r="E8014" s="4">
        <v>5</v>
      </c>
    </row>
    <row r="8015" spans="1:5" x14ac:dyDescent="0.25">
      <c r="A8015" s="4" t="s">
        <v>53</v>
      </c>
      <c r="B8015" s="4" t="s">
        <v>51</v>
      </c>
      <c r="C8015" s="5">
        <v>45331</v>
      </c>
      <c r="D8015" s="4">
        <v>27</v>
      </c>
      <c r="E8015" s="4">
        <v>8.76</v>
      </c>
    </row>
    <row r="8016" spans="1:5" x14ac:dyDescent="0.25">
      <c r="A8016" s="4" t="s">
        <v>53</v>
      </c>
      <c r="B8016" s="4" t="s">
        <v>51</v>
      </c>
      <c r="C8016" s="5">
        <v>45331</v>
      </c>
      <c r="D8016" s="4">
        <v>35.5</v>
      </c>
      <c r="E8016" s="4">
        <v>11.52</v>
      </c>
    </row>
    <row r="8017" spans="1:5" x14ac:dyDescent="0.25">
      <c r="A8017" s="4" t="s">
        <v>53</v>
      </c>
      <c r="B8017" s="4" t="s">
        <v>51</v>
      </c>
      <c r="C8017" s="5">
        <v>45331</v>
      </c>
      <c r="D8017" s="4">
        <v>15.4</v>
      </c>
      <c r="E8017" s="4">
        <v>5</v>
      </c>
    </row>
    <row r="8018" spans="1:5" x14ac:dyDescent="0.25">
      <c r="A8018" s="4" t="s">
        <v>53</v>
      </c>
      <c r="B8018" s="4" t="s">
        <v>51</v>
      </c>
      <c r="C8018" s="5">
        <v>45331</v>
      </c>
      <c r="D8018" s="4">
        <v>4.5</v>
      </c>
      <c r="E8018" s="4">
        <v>1.46</v>
      </c>
    </row>
    <row r="8019" spans="1:5" x14ac:dyDescent="0.25">
      <c r="A8019" s="4" t="s">
        <v>53</v>
      </c>
      <c r="B8019" s="4" t="s">
        <v>51</v>
      </c>
      <c r="C8019" s="5">
        <v>45331</v>
      </c>
      <c r="D8019" s="4">
        <v>15.4</v>
      </c>
      <c r="E8019" s="4">
        <v>5</v>
      </c>
    </row>
    <row r="8020" spans="1:5" x14ac:dyDescent="0.25">
      <c r="A8020" s="4" t="s">
        <v>53</v>
      </c>
      <c r="B8020" s="4" t="s">
        <v>51</v>
      </c>
      <c r="C8020" s="5">
        <v>45331</v>
      </c>
      <c r="D8020" s="4">
        <v>15.4</v>
      </c>
      <c r="E8020" s="4">
        <v>5</v>
      </c>
    </row>
    <row r="8021" spans="1:5" x14ac:dyDescent="0.25">
      <c r="A8021" s="4" t="s">
        <v>53</v>
      </c>
      <c r="B8021" s="4" t="s">
        <v>51</v>
      </c>
      <c r="C8021" s="5">
        <v>45331</v>
      </c>
      <c r="D8021" s="4">
        <v>4.5</v>
      </c>
      <c r="E8021" s="4">
        <v>1.46</v>
      </c>
    </row>
    <row r="8022" spans="1:5" x14ac:dyDescent="0.25">
      <c r="A8022" s="4" t="s">
        <v>53</v>
      </c>
      <c r="B8022" s="4" t="s">
        <v>51</v>
      </c>
      <c r="C8022" s="5">
        <v>45334</v>
      </c>
      <c r="D8022" s="4">
        <v>19.399999999999999</v>
      </c>
      <c r="E8022" s="4">
        <v>6.28</v>
      </c>
    </row>
    <row r="8023" spans="1:5" x14ac:dyDescent="0.25">
      <c r="A8023" s="4" t="s">
        <v>53</v>
      </c>
      <c r="B8023" s="4" t="s">
        <v>51</v>
      </c>
      <c r="C8023" s="5">
        <v>45334</v>
      </c>
      <c r="D8023" s="4">
        <v>8.4</v>
      </c>
      <c r="E8023" s="4">
        <v>2.71</v>
      </c>
    </row>
    <row r="8024" spans="1:5" x14ac:dyDescent="0.25">
      <c r="A8024" s="4" t="s">
        <v>53</v>
      </c>
      <c r="B8024" s="4" t="s">
        <v>51</v>
      </c>
      <c r="C8024" s="5">
        <v>45334</v>
      </c>
      <c r="D8024" s="4">
        <v>8.3000000000000007</v>
      </c>
      <c r="E8024" s="4">
        <v>2.68</v>
      </c>
    </row>
    <row r="8025" spans="1:5" x14ac:dyDescent="0.25">
      <c r="A8025" s="4" t="s">
        <v>53</v>
      </c>
      <c r="B8025" s="4" t="s">
        <v>51</v>
      </c>
      <c r="C8025" s="5">
        <v>45334</v>
      </c>
      <c r="D8025" s="4">
        <v>0.1</v>
      </c>
      <c r="E8025" s="4">
        <v>0.03</v>
      </c>
    </row>
    <row r="8026" spans="1:5" x14ac:dyDescent="0.25">
      <c r="A8026" s="4" t="s">
        <v>53</v>
      </c>
      <c r="B8026" s="4" t="s">
        <v>51</v>
      </c>
      <c r="C8026" s="5">
        <v>45334</v>
      </c>
      <c r="D8026" s="4">
        <v>8.4</v>
      </c>
      <c r="E8026" s="4">
        <v>2.71</v>
      </c>
    </row>
    <row r="8027" spans="1:5" x14ac:dyDescent="0.25">
      <c r="A8027" s="4" t="s">
        <v>53</v>
      </c>
      <c r="B8027" s="4" t="s">
        <v>51</v>
      </c>
      <c r="C8027" s="5">
        <v>45334</v>
      </c>
      <c r="D8027" s="4">
        <v>8.4</v>
      </c>
      <c r="E8027" s="4">
        <v>2.71</v>
      </c>
    </row>
    <row r="8028" spans="1:5" x14ac:dyDescent="0.25">
      <c r="A8028" s="4" t="s">
        <v>53</v>
      </c>
      <c r="B8028" s="4" t="s">
        <v>51</v>
      </c>
      <c r="C8028" s="5">
        <v>45334</v>
      </c>
      <c r="D8028" s="4">
        <v>8.4</v>
      </c>
      <c r="E8028" s="4">
        <v>2.71</v>
      </c>
    </row>
    <row r="8029" spans="1:5" x14ac:dyDescent="0.25">
      <c r="A8029" s="4" t="s">
        <v>53</v>
      </c>
      <c r="B8029" s="4" t="s">
        <v>51</v>
      </c>
      <c r="C8029" s="5">
        <v>45334</v>
      </c>
      <c r="D8029" s="4">
        <v>8.4</v>
      </c>
      <c r="E8029" s="4">
        <v>2.71</v>
      </c>
    </row>
    <row r="8030" spans="1:5" x14ac:dyDescent="0.25">
      <c r="A8030" s="4" t="s">
        <v>53</v>
      </c>
      <c r="B8030" s="4" t="s">
        <v>51</v>
      </c>
      <c r="C8030" s="5">
        <v>45334</v>
      </c>
      <c r="D8030" s="4">
        <v>7.7</v>
      </c>
      <c r="E8030" s="4">
        <v>2.4900000000000002</v>
      </c>
    </row>
    <row r="8031" spans="1:5" x14ac:dyDescent="0.25">
      <c r="A8031" s="4" t="s">
        <v>53</v>
      </c>
      <c r="B8031" s="4" t="s">
        <v>51</v>
      </c>
      <c r="C8031" s="5">
        <v>45334</v>
      </c>
      <c r="D8031" s="4">
        <v>20.399999999999999</v>
      </c>
      <c r="E8031" s="4">
        <v>6.61</v>
      </c>
    </row>
    <row r="8032" spans="1:5" x14ac:dyDescent="0.25">
      <c r="A8032" s="4" t="s">
        <v>53</v>
      </c>
      <c r="B8032" s="4" t="s">
        <v>51</v>
      </c>
      <c r="C8032" s="5">
        <v>45335</v>
      </c>
      <c r="D8032" s="4">
        <v>26.2</v>
      </c>
      <c r="E8032" s="4">
        <v>8.49</v>
      </c>
    </row>
    <row r="8033" spans="1:5" x14ac:dyDescent="0.25">
      <c r="A8033" s="4" t="s">
        <v>53</v>
      </c>
      <c r="B8033" s="4" t="s">
        <v>51</v>
      </c>
      <c r="C8033" s="5">
        <v>45335</v>
      </c>
      <c r="D8033" s="4">
        <v>44.4</v>
      </c>
      <c r="E8033" s="4">
        <v>14.38</v>
      </c>
    </row>
    <row r="8034" spans="1:5" x14ac:dyDescent="0.25">
      <c r="A8034" s="4" t="s">
        <v>53</v>
      </c>
      <c r="B8034" s="4" t="s">
        <v>51</v>
      </c>
      <c r="C8034" s="5">
        <v>45336</v>
      </c>
      <c r="D8034" s="4">
        <v>30.6</v>
      </c>
      <c r="E8034" s="4">
        <v>9.92</v>
      </c>
    </row>
    <row r="8035" spans="1:5" x14ac:dyDescent="0.25">
      <c r="A8035" s="4" t="s">
        <v>53</v>
      </c>
      <c r="B8035" s="4" t="s">
        <v>51</v>
      </c>
      <c r="C8035" s="5">
        <v>45336</v>
      </c>
      <c r="D8035" s="4">
        <v>17.5</v>
      </c>
      <c r="E8035" s="4">
        <v>5.66</v>
      </c>
    </row>
    <row r="8036" spans="1:5" x14ac:dyDescent="0.25">
      <c r="A8036" s="4" t="s">
        <v>53</v>
      </c>
      <c r="B8036" s="4" t="s">
        <v>51</v>
      </c>
      <c r="C8036" s="5">
        <v>45336</v>
      </c>
      <c r="D8036" s="4">
        <v>17.5</v>
      </c>
      <c r="E8036" s="4">
        <v>5.65</v>
      </c>
    </row>
    <row r="8037" spans="1:5" x14ac:dyDescent="0.25">
      <c r="A8037" s="4" t="s">
        <v>53</v>
      </c>
      <c r="B8037" s="4" t="s">
        <v>51</v>
      </c>
      <c r="C8037" s="5">
        <v>45336</v>
      </c>
      <c r="D8037" s="4">
        <v>17.5</v>
      </c>
      <c r="E8037" s="4">
        <v>5.66</v>
      </c>
    </row>
    <row r="8038" spans="1:5" x14ac:dyDescent="0.25">
      <c r="A8038" s="4" t="s">
        <v>53</v>
      </c>
      <c r="B8038" s="4" t="s">
        <v>51</v>
      </c>
      <c r="C8038" s="5">
        <v>45336</v>
      </c>
      <c r="D8038" s="4">
        <v>17.5</v>
      </c>
      <c r="E8038" s="4">
        <v>5.65</v>
      </c>
    </row>
    <row r="8039" spans="1:5" x14ac:dyDescent="0.25">
      <c r="A8039" s="4" t="s">
        <v>53</v>
      </c>
      <c r="B8039" s="4" t="s">
        <v>51</v>
      </c>
      <c r="C8039" s="5">
        <v>45336</v>
      </c>
      <c r="D8039" s="4">
        <v>17.5</v>
      </c>
      <c r="E8039" s="4">
        <v>5.66</v>
      </c>
    </row>
    <row r="8040" spans="1:5" x14ac:dyDescent="0.25">
      <c r="A8040" s="4" t="s">
        <v>53</v>
      </c>
      <c r="B8040" s="4" t="s">
        <v>51</v>
      </c>
      <c r="C8040" s="5">
        <v>45336</v>
      </c>
      <c r="D8040" s="4">
        <v>11.3</v>
      </c>
      <c r="E8040" s="4">
        <v>3.64</v>
      </c>
    </row>
    <row r="8041" spans="1:5" x14ac:dyDescent="0.25">
      <c r="A8041" s="4" t="s">
        <v>53</v>
      </c>
      <c r="B8041" s="4" t="s">
        <v>51</v>
      </c>
      <c r="C8041" s="5">
        <v>45336</v>
      </c>
      <c r="D8041" s="4">
        <v>6.2</v>
      </c>
      <c r="E8041" s="4">
        <v>2.0099999999999998</v>
      </c>
    </row>
    <row r="8042" spans="1:5" x14ac:dyDescent="0.25">
      <c r="A8042" s="4" t="s">
        <v>53</v>
      </c>
      <c r="B8042" s="4" t="s">
        <v>51</v>
      </c>
      <c r="C8042" s="5">
        <v>45336</v>
      </c>
      <c r="D8042" s="4">
        <v>17.5</v>
      </c>
      <c r="E8042" s="4">
        <v>5.66</v>
      </c>
    </row>
    <row r="8043" spans="1:5" x14ac:dyDescent="0.25">
      <c r="A8043" s="4" t="s">
        <v>53</v>
      </c>
      <c r="B8043" s="4" t="s">
        <v>51</v>
      </c>
      <c r="C8043" s="5">
        <v>45336</v>
      </c>
      <c r="D8043" s="4">
        <v>17.5</v>
      </c>
      <c r="E8043" s="4">
        <v>5.65</v>
      </c>
    </row>
    <row r="8044" spans="1:5" x14ac:dyDescent="0.25">
      <c r="A8044" s="4" t="s">
        <v>53</v>
      </c>
      <c r="B8044" s="4" t="s">
        <v>51</v>
      </c>
      <c r="C8044" s="5">
        <v>45336</v>
      </c>
      <c r="D8044" s="4">
        <v>17.5</v>
      </c>
      <c r="E8044" s="4">
        <v>5.66</v>
      </c>
    </row>
    <row r="8045" spans="1:5" x14ac:dyDescent="0.25">
      <c r="A8045" s="4" t="s">
        <v>53</v>
      </c>
      <c r="B8045" s="4" t="s">
        <v>51</v>
      </c>
      <c r="C8045" s="5">
        <v>45336</v>
      </c>
      <c r="D8045" s="4">
        <v>5.2</v>
      </c>
      <c r="E8045" s="4">
        <v>1.68</v>
      </c>
    </row>
    <row r="8046" spans="1:5" x14ac:dyDescent="0.25">
      <c r="A8046" s="4" t="s">
        <v>53</v>
      </c>
      <c r="B8046" s="4" t="s">
        <v>51</v>
      </c>
      <c r="C8046" s="5">
        <v>45336</v>
      </c>
      <c r="D8046" s="4">
        <v>42.5</v>
      </c>
      <c r="E8046" s="4">
        <v>13.78</v>
      </c>
    </row>
    <row r="8047" spans="1:5" x14ac:dyDescent="0.25">
      <c r="A8047" s="4" t="s">
        <v>53</v>
      </c>
      <c r="B8047" s="4" t="s">
        <v>51</v>
      </c>
      <c r="C8047" s="5">
        <v>45337</v>
      </c>
      <c r="D8047" s="4">
        <v>1.2</v>
      </c>
      <c r="E8047" s="4">
        <v>0.37</v>
      </c>
    </row>
    <row r="8048" spans="1:5" x14ac:dyDescent="0.25">
      <c r="A8048" s="4" t="s">
        <v>53</v>
      </c>
      <c r="B8048" s="4" t="s">
        <v>51</v>
      </c>
      <c r="C8048" s="5">
        <v>45337</v>
      </c>
      <c r="D8048" s="4">
        <v>1.2</v>
      </c>
      <c r="E8048" s="4">
        <v>0.38</v>
      </c>
    </row>
    <row r="8049" spans="1:5" x14ac:dyDescent="0.25">
      <c r="A8049" s="4" t="s">
        <v>53</v>
      </c>
      <c r="B8049" s="4" t="s">
        <v>51</v>
      </c>
      <c r="C8049" s="5">
        <v>45337</v>
      </c>
      <c r="D8049" s="4">
        <v>1.2</v>
      </c>
      <c r="E8049" s="4">
        <v>0.37</v>
      </c>
    </row>
    <row r="8050" spans="1:5" x14ac:dyDescent="0.25">
      <c r="A8050" s="4" t="s">
        <v>53</v>
      </c>
      <c r="B8050" s="4" t="s">
        <v>51</v>
      </c>
      <c r="C8050" s="5">
        <v>45337</v>
      </c>
      <c r="D8050" s="4">
        <v>5.3</v>
      </c>
      <c r="E8050" s="4">
        <v>1.72</v>
      </c>
    </row>
    <row r="8051" spans="1:5" x14ac:dyDescent="0.25">
      <c r="A8051" s="4" t="s">
        <v>53</v>
      </c>
      <c r="B8051" s="4" t="s">
        <v>51</v>
      </c>
      <c r="C8051" s="5">
        <v>45337</v>
      </c>
      <c r="D8051" s="4">
        <v>5.3</v>
      </c>
      <c r="E8051" s="4">
        <v>1.72</v>
      </c>
    </row>
    <row r="8052" spans="1:5" x14ac:dyDescent="0.25">
      <c r="A8052" s="4" t="s">
        <v>53</v>
      </c>
      <c r="B8052" s="4" t="s">
        <v>51</v>
      </c>
      <c r="C8052" s="5">
        <v>45337</v>
      </c>
      <c r="D8052" s="4">
        <v>15.8</v>
      </c>
      <c r="E8052" s="4">
        <v>5.13</v>
      </c>
    </row>
    <row r="8053" spans="1:5" x14ac:dyDescent="0.25">
      <c r="A8053" s="4" t="s">
        <v>53</v>
      </c>
      <c r="B8053" s="4" t="s">
        <v>51</v>
      </c>
      <c r="C8053" s="5">
        <v>45337</v>
      </c>
      <c r="D8053" s="4">
        <v>15.4</v>
      </c>
      <c r="E8053" s="4">
        <v>5</v>
      </c>
    </row>
    <row r="8054" spans="1:5" x14ac:dyDescent="0.25">
      <c r="A8054" s="4" t="s">
        <v>53</v>
      </c>
      <c r="B8054" s="4" t="s">
        <v>16</v>
      </c>
      <c r="C8054" s="5">
        <v>45307</v>
      </c>
      <c r="D8054" s="4">
        <v>65.400000000000006</v>
      </c>
      <c r="E8054" s="4">
        <v>25.45</v>
      </c>
    </row>
    <row r="8055" spans="1:5" x14ac:dyDescent="0.25">
      <c r="A8055" s="4" t="s">
        <v>53</v>
      </c>
      <c r="B8055" s="4" t="s">
        <v>16</v>
      </c>
      <c r="C8055" s="5">
        <v>45307</v>
      </c>
      <c r="D8055" s="4">
        <v>62.6</v>
      </c>
      <c r="E8055" s="4">
        <v>24.36</v>
      </c>
    </row>
    <row r="8056" spans="1:5" x14ac:dyDescent="0.25">
      <c r="A8056" s="4" t="s">
        <v>53</v>
      </c>
      <c r="B8056" s="4" t="s">
        <v>16</v>
      </c>
      <c r="C8056" s="5">
        <v>45307</v>
      </c>
      <c r="D8056" s="4">
        <v>64.400000000000006</v>
      </c>
      <c r="E8056" s="4">
        <v>25.06</v>
      </c>
    </row>
    <row r="8057" spans="1:5" x14ac:dyDescent="0.25">
      <c r="A8057" s="4" t="s">
        <v>53</v>
      </c>
      <c r="B8057" s="4" t="s">
        <v>16</v>
      </c>
      <c r="C8057" s="5">
        <v>45307</v>
      </c>
      <c r="D8057" s="4">
        <v>62.6</v>
      </c>
      <c r="E8057" s="4">
        <v>24.36</v>
      </c>
    </row>
    <row r="8058" spans="1:5" x14ac:dyDescent="0.25">
      <c r="A8058" s="4" t="s">
        <v>53</v>
      </c>
      <c r="B8058" s="4" t="s">
        <v>16</v>
      </c>
      <c r="C8058" s="5">
        <v>45307</v>
      </c>
      <c r="D8058" s="4">
        <v>64.400000000000006</v>
      </c>
      <c r="E8058" s="4">
        <v>25.06</v>
      </c>
    </row>
    <row r="8059" spans="1:5" x14ac:dyDescent="0.25">
      <c r="A8059" s="4" t="s">
        <v>53</v>
      </c>
      <c r="B8059" s="4" t="s">
        <v>16</v>
      </c>
      <c r="C8059" s="5">
        <v>45307</v>
      </c>
      <c r="D8059" s="4">
        <v>62.6</v>
      </c>
      <c r="E8059" s="4">
        <v>24.36</v>
      </c>
    </row>
    <row r="8060" spans="1:5" x14ac:dyDescent="0.25">
      <c r="A8060" s="4" t="s">
        <v>53</v>
      </c>
      <c r="B8060" s="4" t="s">
        <v>16</v>
      </c>
      <c r="C8060" s="5">
        <v>45314</v>
      </c>
      <c r="D8060" s="4">
        <v>15.4</v>
      </c>
      <c r="E8060" s="4">
        <v>5.99</v>
      </c>
    </row>
    <row r="8061" spans="1:5" x14ac:dyDescent="0.25">
      <c r="A8061" s="4" t="s">
        <v>53</v>
      </c>
      <c r="B8061" s="4" t="s">
        <v>16</v>
      </c>
      <c r="C8061" s="5">
        <v>45314</v>
      </c>
      <c r="D8061" s="4">
        <v>15.4</v>
      </c>
      <c r="E8061" s="4">
        <v>5.99</v>
      </c>
    </row>
    <row r="8062" spans="1:5" x14ac:dyDescent="0.25">
      <c r="A8062" s="4" t="s">
        <v>53</v>
      </c>
      <c r="B8062" s="4" t="s">
        <v>16</v>
      </c>
      <c r="C8062" s="5">
        <v>45314</v>
      </c>
      <c r="D8062" s="4">
        <v>0.9</v>
      </c>
      <c r="E8062" s="4">
        <v>0.36</v>
      </c>
    </row>
    <row r="8063" spans="1:5" x14ac:dyDescent="0.25">
      <c r="A8063" s="4" t="s">
        <v>53</v>
      </c>
      <c r="B8063" s="4" t="s">
        <v>16</v>
      </c>
      <c r="C8063" s="5">
        <v>45314</v>
      </c>
      <c r="D8063" s="4">
        <v>0.8</v>
      </c>
      <c r="E8063" s="4">
        <v>0.32</v>
      </c>
    </row>
    <row r="8064" spans="1:5" x14ac:dyDescent="0.25">
      <c r="A8064" s="4" t="s">
        <v>53</v>
      </c>
      <c r="B8064" s="4" t="s">
        <v>16</v>
      </c>
      <c r="C8064" s="5">
        <v>45314</v>
      </c>
      <c r="D8064" s="4">
        <v>1.3</v>
      </c>
      <c r="E8064" s="4">
        <v>0.52</v>
      </c>
    </row>
    <row r="8065" spans="1:5" x14ac:dyDescent="0.25">
      <c r="A8065" s="4" t="s">
        <v>53</v>
      </c>
      <c r="B8065" s="4" t="s">
        <v>16</v>
      </c>
      <c r="C8065" s="5">
        <v>45314</v>
      </c>
      <c r="D8065" s="4">
        <v>3.9</v>
      </c>
      <c r="E8065" s="4">
        <v>1.55</v>
      </c>
    </row>
    <row r="8066" spans="1:5" x14ac:dyDescent="0.25">
      <c r="A8066" s="4" t="s">
        <v>53</v>
      </c>
      <c r="B8066" s="4" t="s">
        <v>16</v>
      </c>
      <c r="C8066" s="5">
        <v>45315</v>
      </c>
      <c r="D8066" s="4">
        <v>43.3</v>
      </c>
      <c r="E8066" s="4">
        <v>16.86</v>
      </c>
    </row>
    <row r="8067" spans="1:5" x14ac:dyDescent="0.25">
      <c r="A8067" s="4" t="s">
        <v>53</v>
      </c>
      <c r="B8067" s="4" t="s">
        <v>16</v>
      </c>
      <c r="C8067" s="5">
        <v>45315</v>
      </c>
      <c r="D8067" s="4">
        <v>43.3</v>
      </c>
      <c r="E8067" s="4">
        <v>16.86</v>
      </c>
    </row>
    <row r="8068" spans="1:5" x14ac:dyDescent="0.25">
      <c r="A8068" s="4" t="s">
        <v>53</v>
      </c>
      <c r="B8068" s="4" t="s">
        <v>16</v>
      </c>
      <c r="C8068" s="5">
        <v>45315</v>
      </c>
      <c r="D8068" s="4">
        <v>16.399999999999999</v>
      </c>
      <c r="E8068" s="4">
        <v>6.38</v>
      </c>
    </row>
    <row r="8069" spans="1:5" x14ac:dyDescent="0.25">
      <c r="A8069" s="4" t="s">
        <v>53</v>
      </c>
      <c r="B8069" s="4" t="s">
        <v>16</v>
      </c>
      <c r="C8069" s="5">
        <v>45320</v>
      </c>
      <c r="D8069" s="4">
        <v>30.6</v>
      </c>
      <c r="E8069" s="4">
        <v>10.86</v>
      </c>
    </row>
    <row r="8070" spans="1:5" x14ac:dyDescent="0.25">
      <c r="A8070" s="4" t="s">
        <v>53</v>
      </c>
      <c r="B8070" s="4" t="s">
        <v>16</v>
      </c>
      <c r="C8070" s="5">
        <v>45320</v>
      </c>
      <c r="D8070" s="4">
        <v>3.1</v>
      </c>
      <c r="E8070" s="4">
        <v>1.1000000000000001</v>
      </c>
    </row>
    <row r="8071" spans="1:5" x14ac:dyDescent="0.25">
      <c r="A8071" s="4" t="s">
        <v>53</v>
      </c>
      <c r="B8071" s="4" t="s">
        <v>16</v>
      </c>
      <c r="C8071" s="5">
        <v>45320</v>
      </c>
      <c r="D8071" s="4">
        <v>30.6</v>
      </c>
      <c r="E8071" s="4">
        <v>10.86</v>
      </c>
    </row>
    <row r="8072" spans="1:5" x14ac:dyDescent="0.25">
      <c r="A8072" s="4" t="s">
        <v>53</v>
      </c>
      <c r="B8072" s="4" t="s">
        <v>16</v>
      </c>
      <c r="C8072" s="5">
        <v>45321</v>
      </c>
      <c r="D8072" s="4">
        <v>3.8</v>
      </c>
      <c r="E8072" s="4">
        <v>1.52</v>
      </c>
    </row>
    <row r="8073" spans="1:5" x14ac:dyDescent="0.25">
      <c r="A8073" s="4" t="s">
        <v>53</v>
      </c>
      <c r="B8073" s="4" t="s">
        <v>16</v>
      </c>
      <c r="C8073" s="5">
        <v>45321</v>
      </c>
      <c r="D8073" s="4">
        <v>2.9</v>
      </c>
      <c r="E8073" s="4">
        <v>1.03</v>
      </c>
    </row>
    <row r="8074" spans="1:5" x14ac:dyDescent="0.25">
      <c r="A8074" s="4" t="s">
        <v>53</v>
      </c>
      <c r="B8074" s="4" t="s">
        <v>16</v>
      </c>
      <c r="C8074" s="5">
        <v>45321</v>
      </c>
      <c r="D8074" s="4">
        <v>9.9</v>
      </c>
      <c r="E8074" s="4">
        <v>3.52</v>
      </c>
    </row>
    <row r="8075" spans="1:5" x14ac:dyDescent="0.25">
      <c r="A8075" s="4" t="s">
        <v>53</v>
      </c>
      <c r="B8075" s="4" t="s">
        <v>16</v>
      </c>
      <c r="C8075" s="5">
        <v>45321</v>
      </c>
      <c r="D8075" s="4">
        <v>30.6</v>
      </c>
      <c r="E8075" s="4">
        <v>10.86</v>
      </c>
    </row>
    <row r="8076" spans="1:5" x14ac:dyDescent="0.25">
      <c r="A8076" s="4" t="s">
        <v>53</v>
      </c>
      <c r="B8076" s="4" t="s">
        <v>16</v>
      </c>
      <c r="C8076" s="5">
        <v>45322</v>
      </c>
      <c r="D8076" s="4">
        <v>18.7</v>
      </c>
      <c r="E8076" s="4">
        <v>6.63</v>
      </c>
    </row>
    <row r="8077" spans="1:5" x14ac:dyDescent="0.25">
      <c r="A8077" s="4" t="s">
        <v>53</v>
      </c>
      <c r="B8077" s="4" t="s">
        <v>16</v>
      </c>
      <c r="C8077" s="5">
        <v>45322</v>
      </c>
      <c r="D8077" s="4">
        <v>13.1</v>
      </c>
      <c r="E8077" s="4">
        <v>4.6500000000000004</v>
      </c>
    </row>
    <row r="8078" spans="1:5" x14ac:dyDescent="0.25">
      <c r="A8078" s="4" t="s">
        <v>53</v>
      </c>
      <c r="B8078" s="4" t="s">
        <v>16</v>
      </c>
      <c r="C8078" s="5">
        <v>45322</v>
      </c>
      <c r="D8078" s="4">
        <v>30.6</v>
      </c>
      <c r="E8078" s="4">
        <v>10.86</v>
      </c>
    </row>
    <row r="8079" spans="1:5" x14ac:dyDescent="0.25">
      <c r="A8079" s="4" t="s">
        <v>53</v>
      </c>
      <c r="B8079" s="4" t="s">
        <v>16</v>
      </c>
      <c r="C8079" s="5">
        <v>45323</v>
      </c>
      <c r="D8079" s="4">
        <v>18.7</v>
      </c>
      <c r="E8079" s="4">
        <v>6.63</v>
      </c>
    </row>
    <row r="8080" spans="1:5" x14ac:dyDescent="0.25">
      <c r="A8080" s="4" t="s">
        <v>53</v>
      </c>
      <c r="B8080" s="4" t="s">
        <v>16</v>
      </c>
      <c r="C8080" s="5">
        <v>45323</v>
      </c>
      <c r="D8080" s="4">
        <v>13.1</v>
      </c>
      <c r="E8080" s="4">
        <v>4.6500000000000004</v>
      </c>
    </row>
    <row r="8081" spans="1:5" x14ac:dyDescent="0.25">
      <c r="A8081" s="4" t="s">
        <v>53</v>
      </c>
      <c r="B8081" s="4" t="s">
        <v>16</v>
      </c>
      <c r="C8081" s="5">
        <v>45323</v>
      </c>
      <c r="D8081" s="4">
        <v>30.6</v>
      </c>
      <c r="E8081" s="4">
        <v>10.86</v>
      </c>
    </row>
    <row r="8082" spans="1:5" x14ac:dyDescent="0.25">
      <c r="A8082" s="4" t="s">
        <v>53</v>
      </c>
      <c r="B8082" s="4" t="s">
        <v>16</v>
      </c>
      <c r="C8082" s="5">
        <v>45327</v>
      </c>
      <c r="D8082" s="4">
        <v>3.8</v>
      </c>
      <c r="E8082" s="4">
        <v>1.38</v>
      </c>
    </row>
    <row r="8083" spans="1:5" x14ac:dyDescent="0.25">
      <c r="A8083" s="4" t="s">
        <v>53</v>
      </c>
      <c r="B8083" s="4" t="s">
        <v>16</v>
      </c>
      <c r="C8083" s="5">
        <v>45327</v>
      </c>
      <c r="D8083" s="4">
        <v>3.9</v>
      </c>
      <c r="E8083" s="4">
        <v>1.55</v>
      </c>
    </row>
    <row r="8084" spans="1:5" x14ac:dyDescent="0.25">
      <c r="A8084" s="4" t="s">
        <v>53</v>
      </c>
      <c r="B8084" s="4" t="s">
        <v>16</v>
      </c>
      <c r="C8084" s="5">
        <v>45327</v>
      </c>
      <c r="D8084" s="4">
        <v>20.100000000000001</v>
      </c>
      <c r="E8084" s="4">
        <v>7.13</v>
      </c>
    </row>
    <row r="8085" spans="1:5" x14ac:dyDescent="0.25">
      <c r="A8085" s="4" t="s">
        <v>53</v>
      </c>
      <c r="B8085" s="4" t="s">
        <v>16</v>
      </c>
      <c r="C8085" s="5">
        <v>45327</v>
      </c>
      <c r="D8085" s="4">
        <v>20.100000000000001</v>
      </c>
      <c r="E8085" s="4">
        <v>7.13</v>
      </c>
    </row>
    <row r="8086" spans="1:5" x14ac:dyDescent="0.25">
      <c r="A8086" s="4" t="s">
        <v>53</v>
      </c>
      <c r="B8086" s="4" t="s">
        <v>16</v>
      </c>
      <c r="C8086" s="5">
        <v>45331</v>
      </c>
      <c r="D8086" s="4">
        <v>8.1</v>
      </c>
      <c r="E8086" s="4">
        <v>2.87</v>
      </c>
    </row>
    <row r="8087" spans="1:5" x14ac:dyDescent="0.25">
      <c r="A8087" s="4" t="s">
        <v>53</v>
      </c>
      <c r="B8087" s="4" t="s">
        <v>16</v>
      </c>
      <c r="C8087" s="5">
        <v>45334</v>
      </c>
      <c r="D8087" s="4">
        <v>8.8000000000000007</v>
      </c>
      <c r="E8087" s="4">
        <v>3.13</v>
      </c>
    </row>
    <row r="8088" spans="1:5" x14ac:dyDescent="0.25">
      <c r="A8088" s="4" t="s">
        <v>53</v>
      </c>
      <c r="B8088" s="4" t="s">
        <v>16</v>
      </c>
      <c r="C8088" s="5">
        <v>45334</v>
      </c>
      <c r="D8088" s="4">
        <v>24.2</v>
      </c>
      <c r="E8088" s="4">
        <v>8.6</v>
      </c>
    </row>
    <row r="8089" spans="1:5" x14ac:dyDescent="0.25">
      <c r="A8089" s="4" t="s">
        <v>53</v>
      </c>
      <c r="B8089" s="4" t="s">
        <v>16</v>
      </c>
      <c r="C8089" s="5">
        <v>45334</v>
      </c>
      <c r="D8089" s="4">
        <v>24.2</v>
      </c>
      <c r="E8089" s="4">
        <v>8.6</v>
      </c>
    </row>
    <row r="8090" spans="1:5" x14ac:dyDescent="0.25">
      <c r="A8090" s="4" t="s">
        <v>53</v>
      </c>
      <c r="B8090" s="4" t="s">
        <v>16</v>
      </c>
      <c r="C8090" s="5">
        <v>45334</v>
      </c>
      <c r="D8090" s="4">
        <v>8.8000000000000007</v>
      </c>
      <c r="E8090" s="4">
        <v>3.13</v>
      </c>
    </row>
    <row r="8091" spans="1:5" x14ac:dyDescent="0.25">
      <c r="A8091" s="4" t="s">
        <v>53</v>
      </c>
      <c r="B8091" s="4" t="s">
        <v>16</v>
      </c>
      <c r="C8091" s="5">
        <v>45335</v>
      </c>
      <c r="D8091" s="4">
        <v>15.4</v>
      </c>
      <c r="E8091" s="4">
        <v>5.47</v>
      </c>
    </row>
    <row r="8092" spans="1:5" x14ac:dyDescent="0.25">
      <c r="A8092" s="4" t="s">
        <v>53</v>
      </c>
      <c r="B8092" s="4" t="s">
        <v>16</v>
      </c>
      <c r="C8092" s="5">
        <v>45335</v>
      </c>
      <c r="D8092" s="4">
        <v>24.2</v>
      </c>
      <c r="E8092" s="4">
        <v>8.6</v>
      </c>
    </row>
    <row r="8093" spans="1:5" x14ac:dyDescent="0.25">
      <c r="A8093" s="4" t="s">
        <v>53</v>
      </c>
      <c r="B8093" s="4" t="s">
        <v>16</v>
      </c>
      <c r="C8093" s="5">
        <v>45335</v>
      </c>
      <c r="D8093" s="4">
        <v>24.2</v>
      </c>
      <c r="E8093" s="4">
        <v>8.6</v>
      </c>
    </row>
    <row r="8094" spans="1:5" x14ac:dyDescent="0.25">
      <c r="A8094" s="4" t="s">
        <v>53</v>
      </c>
      <c r="B8094" s="4" t="s">
        <v>16</v>
      </c>
      <c r="C8094" s="5">
        <v>45335</v>
      </c>
      <c r="D8094" s="4">
        <v>8.8000000000000007</v>
      </c>
      <c r="E8094" s="4">
        <v>3.13</v>
      </c>
    </row>
    <row r="8095" spans="1:5" x14ac:dyDescent="0.25">
      <c r="A8095" s="4" t="s">
        <v>53</v>
      </c>
      <c r="B8095" s="4" t="s">
        <v>16</v>
      </c>
      <c r="C8095" s="5">
        <v>45335</v>
      </c>
      <c r="D8095" s="4">
        <v>8.8000000000000007</v>
      </c>
      <c r="E8095" s="4">
        <v>3.13</v>
      </c>
    </row>
    <row r="8096" spans="1:5" x14ac:dyDescent="0.25">
      <c r="A8096" s="4" t="s">
        <v>53</v>
      </c>
      <c r="B8096" s="4" t="s">
        <v>16</v>
      </c>
      <c r="C8096" s="5">
        <v>45336</v>
      </c>
      <c r="D8096" s="4">
        <v>8.8000000000000007</v>
      </c>
      <c r="E8096" s="4">
        <v>3.13</v>
      </c>
    </row>
    <row r="8097" spans="1:5" x14ac:dyDescent="0.25">
      <c r="A8097" s="4" t="s">
        <v>53</v>
      </c>
      <c r="B8097" s="4" t="s">
        <v>16</v>
      </c>
      <c r="C8097" s="5">
        <v>45336</v>
      </c>
      <c r="D8097" s="4">
        <v>6.7</v>
      </c>
      <c r="E8097" s="4">
        <v>2.39</v>
      </c>
    </row>
    <row r="8098" spans="1:5" x14ac:dyDescent="0.25">
      <c r="A8098" s="4" t="s">
        <v>53</v>
      </c>
      <c r="B8098" s="4" t="s">
        <v>16</v>
      </c>
      <c r="C8098" s="5">
        <v>45336</v>
      </c>
      <c r="D8098" s="4">
        <v>24.1</v>
      </c>
      <c r="E8098" s="4">
        <v>8.56</v>
      </c>
    </row>
    <row r="8099" spans="1:5" x14ac:dyDescent="0.25">
      <c r="A8099" s="4" t="s">
        <v>53</v>
      </c>
      <c r="B8099" s="4" t="s">
        <v>16</v>
      </c>
      <c r="C8099" s="5">
        <v>45336</v>
      </c>
      <c r="D8099" s="4">
        <v>24.2</v>
      </c>
      <c r="E8099" s="4">
        <v>8.6</v>
      </c>
    </row>
    <row r="8100" spans="1:5" x14ac:dyDescent="0.25">
      <c r="A8100" s="4" t="s">
        <v>53</v>
      </c>
      <c r="B8100" s="4" t="s">
        <v>16</v>
      </c>
      <c r="C8100" s="5">
        <v>45336</v>
      </c>
      <c r="D8100" s="4">
        <v>8.8000000000000007</v>
      </c>
      <c r="E8100" s="4">
        <v>3.13</v>
      </c>
    </row>
    <row r="8101" spans="1:5" x14ac:dyDescent="0.25">
      <c r="A8101" s="4" t="s">
        <v>53</v>
      </c>
      <c r="B8101" s="4" t="s">
        <v>16</v>
      </c>
      <c r="C8101" s="5">
        <v>45337</v>
      </c>
      <c r="D8101" s="4">
        <v>8.8000000000000007</v>
      </c>
      <c r="E8101" s="4">
        <v>3.13</v>
      </c>
    </row>
    <row r="8102" spans="1:5" x14ac:dyDescent="0.25">
      <c r="A8102" s="4">
        <v>24810</v>
      </c>
      <c r="B8102" s="4" t="s">
        <v>15</v>
      </c>
      <c r="C8102" s="5">
        <v>45662</v>
      </c>
      <c r="D8102" s="4">
        <v>24.1</v>
      </c>
      <c r="E8102" s="4">
        <v>7.77</v>
      </c>
    </row>
    <row r="8103" spans="1:5" x14ac:dyDescent="0.25">
      <c r="A8103" s="4">
        <v>24810</v>
      </c>
      <c r="B8103" s="4" t="s">
        <v>15</v>
      </c>
      <c r="C8103" s="5">
        <v>45663</v>
      </c>
      <c r="D8103" s="4">
        <v>24.1</v>
      </c>
      <c r="E8103" s="4">
        <v>7.77</v>
      </c>
    </row>
    <row r="8104" spans="1:5" x14ac:dyDescent="0.25">
      <c r="A8104" s="4">
        <v>24810</v>
      </c>
      <c r="B8104" s="4" t="s">
        <v>16</v>
      </c>
      <c r="C8104" s="5">
        <v>45664</v>
      </c>
      <c r="D8104" s="4">
        <v>9.6999999999999993</v>
      </c>
      <c r="E8104" s="4">
        <v>3.44</v>
      </c>
    </row>
    <row r="8105" spans="1:5" x14ac:dyDescent="0.25">
      <c r="A8105" s="4">
        <v>24810</v>
      </c>
      <c r="B8105" s="4" t="s">
        <v>16</v>
      </c>
      <c r="C8105" s="5">
        <v>45665</v>
      </c>
      <c r="D8105" s="4">
        <v>14</v>
      </c>
      <c r="E8105" s="4">
        <v>4.97</v>
      </c>
    </row>
    <row r="8106" spans="1:5" x14ac:dyDescent="0.25">
      <c r="A8106" s="4">
        <v>24810</v>
      </c>
      <c r="B8106" s="4" t="s">
        <v>17</v>
      </c>
      <c r="C8106" s="5">
        <v>45666</v>
      </c>
      <c r="D8106" s="4">
        <v>2.4</v>
      </c>
      <c r="E8106" s="4">
        <v>0.75</v>
      </c>
    </row>
    <row r="8107" spans="1:5" x14ac:dyDescent="0.25">
      <c r="A8107" s="4">
        <v>24810</v>
      </c>
      <c r="B8107" s="4" t="s">
        <v>17</v>
      </c>
      <c r="C8107" s="5">
        <v>45667</v>
      </c>
      <c r="D8107" s="4">
        <v>0.8</v>
      </c>
      <c r="E8107" s="4">
        <v>0.26</v>
      </c>
    </row>
    <row r="8108" spans="1:5" x14ac:dyDescent="0.25">
      <c r="A8108" s="4">
        <v>24810</v>
      </c>
      <c r="B8108" s="4" t="s">
        <v>17</v>
      </c>
      <c r="C8108" s="5">
        <v>45668</v>
      </c>
      <c r="D8108" s="4">
        <v>1.3</v>
      </c>
      <c r="E8108" s="4">
        <v>0.41</v>
      </c>
    </row>
    <row r="8109" spans="1:5" x14ac:dyDescent="0.25">
      <c r="A8109" s="4">
        <v>24810</v>
      </c>
      <c r="B8109" s="4" t="s">
        <v>17</v>
      </c>
      <c r="C8109" s="5">
        <v>45669</v>
      </c>
      <c r="D8109" s="4">
        <v>1.6</v>
      </c>
      <c r="E8109" s="4">
        <v>0.5</v>
      </c>
    </row>
    <row r="8110" spans="1:5" x14ac:dyDescent="0.25">
      <c r="A8110" s="4">
        <v>24810</v>
      </c>
      <c r="B8110" s="4" t="s">
        <v>17</v>
      </c>
      <c r="C8110" s="5">
        <v>45670</v>
      </c>
      <c r="D8110" s="4">
        <v>0.5</v>
      </c>
      <c r="E8110" s="4">
        <v>0.16</v>
      </c>
    </row>
    <row r="8111" spans="1:5" x14ac:dyDescent="0.25">
      <c r="A8111" s="4">
        <v>24810</v>
      </c>
      <c r="B8111" s="4" t="s">
        <v>17</v>
      </c>
      <c r="C8111" s="5">
        <v>45671</v>
      </c>
      <c r="D8111" s="4">
        <v>11.7</v>
      </c>
      <c r="E8111" s="4">
        <v>3.79</v>
      </c>
    </row>
    <row r="8112" spans="1:5" x14ac:dyDescent="0.25">
      <c r="A8112" s="4">
        <v>24810</v>
      </c>
      <c r="B8112" s="4" t="s">
        <v>17</v>
      </c>
      <c r="C8112" s="5">
        <v>45672</v>
      </c>
      <c r="D8112" s="4">
        <v>10.9</v>
      </c>
      <c r="E8112" s="4">
        <v>3.53</v>
      </c>
    </row>
    <row r="8113" spans="1:5" x14ac:dyDescent="0.25">
      <c r="A8113" s="4">
        <v>24810</v>
      </c>
      <c r="B8113" s="4" t="s">
        <v>17</v>
      </c>
      <c r="C8113" s="5">
        <v>45673</v>
      </c>
      <c r="D8113" s="4">
        <v>0.7</v>
      </c>
      <c r="E8113" s="4">
        <v>0.23</v>
      </c>
    </row>
    <row r="8114" spans="1:5" x14ac:dyDescent="0.25">
      <c r="A8114" s="4">
        <v>24810</v>
      </c>
      <c r="B8114" s="4" t="s">
        <v>17</v>
      </c>
      <c r="C8114" s="5">
        <v>45674</v>
      </c>
      <c r="D8114" s="4">
        <v>0.5</v>
      </c>
      <c r="E8114" s="4">
        <v>0.16</v>
      </c>
    </row>
    <row r="8115" spans="1:5" x14ac:dyDescent="0.25">
      <c r="A8115" s="4">
        <v>24810</v>
      </c>
      <c r="B8115" s="4" t="s">
        <v>17</v>
      </c>
      <c r="C8115" s="5">
        <v>45691</v>
      </c>
      <c r="D8115" s="4">
        <v>11.7</v>
      </c>
      <c r="E8115" s="4">
        <v>3.79</v>
      </c>
    </row>
    <row r="8116" spans="1:5" x14ac:dyDescent="0.25">
      <c r="A8116" s="4">
        <v>24810</v>
      </c>
      <c r="B8116" s="4" t="s">
        <v>17</v>
      </c>
      <c r="C8116" s="5">
        <v>45692</v>
      </c>
      <c r="D8116" s="4">
        <v>10.9</v>
      </c>
      <c r="E8116" s="4">
        <v>3.53</v>
      </c>
    </row>
    <row r="8117" spans="1:5" x14ac:dyDescent="0.25">
      <c r="A8117" s="4">
        <v>24810</v>
      </c>
      <c r="B8117" s="4" t="s">
        <v>17</v>
      </c>
      <c r="C8117" s="5">
        <v>45693</v>
      </c>
      <c r="D8117" s="4">
        <v>0.7</v>
      </c>
      <c r="E8117" s="4">
        <v>0.23</v>
      </c>
    </row>
    <row r="8118" spans="1:5" x14ac:dyDescent="0.25">
      <c r="A8118" s="4">
        <v>24810</v>
      </c>
      <c r="B8118" s="4" t="s">
        <v>17</v>
      </c>
      <c r="C8118" s="5">
        <v>45694</v>
      </c>
      <c r="D8118" s="4">
        <v>0.5</v>
      </c>
      <c r="E8118" s="4">
        <v>0.16</v>
      </c>
    </row>
    <row r="8119" spans="1:5" x14ac:dyDescent="0.25">
      <c r="A8119" s="4">
        <v>24810</v>
      </c>
      <c r="B8119" s="4" t="s">
        <v>17</v>
      </c>
      <c r="C8119" s="5">
        <v>45695</v>
      </c>
      <c r="D8119" s="4">
        <v>11.7</v>
      </c>
      <c r="E8119" s="4">
        <v>3.79</v>
      </c>
    </row>
    <row r="8120" spans="1:5" x14ac:dyDescent="0.25">
      <c r="A8120" s="4">
        <v>24810</v>
      </c>
      <c r="B8120" s="4" t="s">
        <v>17</v>
      </c>
      <c r="C8120" s="5">
        <v>45696</v>
      </c>
      <c r="D8120" s="4">
        <v>10.9</v>
      </c>
      <c r="E8120" s="4">
        <v>3.53</v>
      </c>
    </row>
    <row r="8121" spans="1:5" x14ac:dyDescent="0.25">
      <c r="A8121" s="4">
        <v>24810</v>
      </c>
      <c r="B8121" s="4" t="s">
        <v>17</v>
      </c>
      <c r="C8121" s="5">
        <v>45697</v>
      </c>
      <c r="D8121" s="4">
        <v>0.8</v>
      </c>
      <c r="E8121" s="4">
        <v>0.25</v>
      </c>
    </row>
    <row r="8122" spans="1:5" x14ac:dyDescent="0.25">
      <c r="A8122" s="4">
        <v>24810</v>
      </c>
      <c r="B8122" s="4" t="s">
        <v>15</v>
      </c>
      <c r="C8122" s="5">
        <v>45698</v>
      </c>
      <c r="D8122" s="4">
        <v>27.9</v>
      </c>
      <c r="E8122" s="4">
        <v>9.0299999999999994</v>
      </c>
    </row>
    <row r="8123" spans="1:5" x14ac:dyDescent="0.25">
      <c r="A8123" s="4">
        <v>24810</v>
      </c>
      <c r="B8123" s="4" t="s">
        <v>15</v>
      </c>
      <c r="C8123" s="5">
        <v>45765</v>
      </c>
      <c r="D8123" s="4">
        <v>37.200000000000003</v>
      </c>
      <c r="E8123" s="4">
        <v>12.02</v>
      </c>
    </row>
    <row r="8124" spans="1:5" x14ac:dyDescent="0.25">
      <c r="A8124" s="4">
        <v>24810</v>
      </c>
      <c r="B8124" s="4" t="s">
        <v>15</v>
      </c>
      <c r="C8124" s="5">
        <v>45766</v>
      </c>
      <c r="D8124" s="4">
        <v>69.3</v>
      </c>
      <c r="E8124" s="4">
        <v>22.38</v>
      </c>
    </row>
    <row r="8125" spans="1:5" x14ac:dyDescent="0.25">
      <c r="A8125" s="4">
        <v>24810</v>
      </c>
      <c r="B8125" s="4" t="s">
        <v>15</v>
      </c>
      <c r="C8125" s="5">
        <v>45767</v>
      </c>
      <c r="D8125" s="4">
        <v>17.7</v>
      </c>
      <c r="E8125" s="4">
        <v>5.74</v>
      </c>
    </row>
    <row r="8126" spans="1:5" x14ac:dyDescent="0.25">
      <c r="A8126" s="4">
        <v>24810</v>
      </c>
      <c r="B8126" s="4" t="s">
        <v>15</v>
      </c>
      <c r="C8126" s="5">
        <v>45768</v>
      </c>
      <c r="D8126" s="4">
        <v>19</v>
      </c>
      <c r="E8126" s="4">
        <v>6.14</v>
      </c>
    </row>
    <row r="8127" spans="1:5" x14ac:dyDescent="0.25">
      <c r="A8127" s="4">
        <v>24810</v>
      </c>
      <c r="B8127" s="4" t="s">
        <v>15</v>
      </c>
      <c r="C8127" s="5">
        <v>45769</v>
      </c>
      <c r="D8127" s="4">
        <v>40.200000000000003</v>
      </c>
      <c r="E8127" s="4">
        <v>13</v>
      </c>
    </row>
    <row r="8128" spans="1:5" x14ac:dyDescent="0.25">
      <c r="A8128" s="4">
        <v>24810</v>
      </c>
      <c r="B8128" s="4" t="s">
        <v>15</v>
      </c>
      <c r="C8128" s="5">
        <v>45770</v>
      </c>
      <c r="D8128" s="4">
        <v>15.4</v>
      </c>
      <c r="E8128" s="4">
        <v>5</v>
      </c>
    </row>
    <row r="8129" spans="1:5" x14ac:dyDescent="0.25">
      <c r="A8129" s="4">
        <v>24810</v>
      </c>
      <c r="B8129" s="4" t="s">
        <v>18</v>
      </c>
      <c r="C8129" s="5">
        <v>45771</v>
      </c>
      <c r="D8129" s="4">
        <v>8.8000000000000007</v>
      </c>
      <c r="E8129" s="4">
        <v>2.85</v>
      </c>
    </row>
    <row r="8130" spans="1:5" x14ac:dyDescent="0.25">
      <c r="A8130" s="4">
        <v>24810</v>
      </c>
      <c r="B8130" s="4" t="s">
        <v>18</v>
      </c>
      <c r="C8130" s="5">
        <v>45772</v>
      </c>
      <c r="D8130" s="4">
        <v>8.8000000000000007</v>
      </c>
      <c r="E8130" s="4">
        <v>2.85</v>
      </c>
    </row>
    <row r="8131" spans="1:5" x14ac:dyDescent="0.25">
      <c r="A8131" s="4">
        <v>24810</v>
      </c>
      <c r="B8131" s="4" t="s">
        <v>18</v>
      </c>
      <c r="C8131" s="5">
        <v>45773</v>
      </c>
      <c r="D8131" s="4">
        <v>8.8000000000000007</v>
      </c>
      <c r="E8131" s="4">
        <v>2.85</v>
      </c>
    </row>
    <row r="8132" spans="1:5" x14ac:dyDescent="0.25">
      <c r="A8132" s="4">
        <v>24810</v>
      </c>
      <c r="B8132" s="4" t="s">
        <v>18</v>
      </c>
      <c r="C8132" s="5">
        <v>45774</v>
      </c>
      <c r="D8132" s="4">
        <v>8.8000000000000007</v>
      </c>
      <c r="E8132" s="4">
        <v>2.85</v>
      </c>
    </row>
    <row r="8133" spans="1:5" x14ac:dyDescent="0.25">
      <c r="A8133" s="4">
        <v>24810</v>
      </c>
      <c r="B8133" s="4" t="s">
        <v>18</v>
      </c>
      <c r="C8133" s="5">
        <v>45775</v>
      </c>
      <c r="D8133" s="4">
        <v>8.8000000000000007</v>
      </c>
      <c r="E8133" s="4">
        <v>2.85</v>
      </c>
    </row>
    <row r="8134" spans="1:5" x14ac:dyDescent="0.25">
      <c r="A8134" s="4">
        <v>24810</v>
      </c>
      <c r="B8134" s="4" t="s">
        <v>18</v>
      </c>
      <c r="C8134" s="5">
        <v>45781</v>
      </c>
      <c r="D8134" s="4">
        <v>8.8000000000000007</v>
      </c>
      <c r="E8134" s="4">
        <v>2.85</v>
      </c>
    </row>
    <row r="8135" spans="1:5" x14ac:dyDescent="0.25">
      <c r="A8135" s="4">
        <v>24810</v>
      </c>
      <c r="B8135" s="4" t="s">
        <v>18</v>
      </c>
      <c r="C8135" s="5">
        <v>45782</v>
      </c>
      <c r="D8135" s="4">
        <v>8.8000000000000007</v>
      </c>
      <c r="E8135" s="4">
        <v>2.85</v>
      </c>
    </row>
    <row r="8136" spans="1:5" x14ac:dyDescent="0.25">
      <c r="A8136" s="4">
        <v>24810</v>
      </c>
      <c r="B8136" s="4" t="s">
        <v>19</v>
      </c>
      <c r="C8136" s="5">
        <v>45783</v>
      </c>
      <c r="D8136" s="4">
        <v>24.8</v>
      </c>
      <c r="E8136" s="4">
        <v>8</v>
      </c>
    </row>
    <row r="8137" spans="1:5" x14ac:dyDescent="0.25">
      <c r="A8137" s="4">
        <v>24810</v>
      </c>
      <c r="B8137" s="4" t="s">
        <v>19</v>
      </c>
      <c r="C8137" s="5">
        <v>45784</v>
      </c>
      <c r="D8137" s="4">
        <v>23.8</v>
      </c>
      <c r="E8137" s="4">
        <v>7.67</v>
      </c>
    </row>
    <row r="8138" spans="1:5" x14ac:dyDescent="0.25">
      <c r="A8138" s="4">
        <v>24810</v>
      </c>
      <c r="B8138" s="4" t="s">
        <v>19</v>
      </c>
      <c r="C8138" s="5">
        <v>45785</v>
      </c>
      <c r="D8138" s="4">
        <v>8.5</v>
      </c>
      <c r="E8138" s="4">
        <v>2.75</v>
      </c>
    </row>
    <row r="8139" spans="1:5" x14ac:dyDescent="0.25">
      <c r="A8139" s="4">
        <v>24810</v>
      </c>
      <c r="B8139" s="4" t="s">
        <v>19</v>
      </c>
      <c r="C8139" s="5">
        <v>45786</v>
      </c>
      <c r="D8139" s="4">
        <v>7.7</v>
      </c>
      <c r="E8139" s="4">
        <v>2.4900000000000002</v>
      </c>
    </row>
    <row r="8140" spans="1:5" x14ac:dyDescent="0.25">
      <c r="A8140" s="4">
        <v>24810</v>
      </c>
      <c r="B8140" s="4" t="s">
        <v>19</v>
      </c>
      <c r="C8140" s="5">
        <v>45787</v>
      </c>
      <c r="D8140" s="4">
        <v>8.5</v>
      </c>
      <c r="E8140" s="4">
        <v>2.75</v>
      </c>
    </row>
    <row r="8141" spans="1:5" x14ac:dyDescent="0.25">
      <c r="A8141" s="4">
        <v>24810</v>
      </c>
      <c r="B8141" s="4" t="s">
        <v>19</v>
      </c>
      <c r="C8141" s="5">
        <v>45788</v>
      </c>
      <c r="D8141" s="4">
        <v>21.9</v>
      </c>
      <c r="E8141" s="4">
        <v>7.06</v>
      </c>
    </row>
    <row r="8142" spans="1:5" x14ac:dyDescent="0.25">
      <c r="A8142" s="4">
        <v>24810</v>
      </c>
      <c r="B8142" s="4" t="s">
        <v>19</v>
      </c>
      <c r="C8142" s="5">
        <v>45789</v>
      </c>
      <c r="D8142" s="4">
        <v>23.8</v>
      </c>
      <c r="E8142" s="4">
        <v>7.67</v>
      </c>
    </row>
    <row r="8143" spans="1:5" x14ac:dyDescent="0.25">
      <c r="A8143" s="4">
        <v>24810</v>
      </c>
      <c r="B8143" s="4" t="s">
        <v>19</v>
      </c>
      <c r="C8143" s="5">
        <v>45790</v>
      </c>
      <c r="D8143" s="4">
        <v>10.6</v>
      </c>
      <c r="E8143" s="4">
        <v>3.43</v>
      </c>
    </row>
    <row r="8144" spans="1:5" x14ac:dyDescent="0.25">
      <c r="A8144" s="4">
        <v>24810</v>
      </c>
      <c r="B8144" s="4" t="s">
        <v>19</v>
      </c>
      <c r="C8144" s="5">
        <v>45791</v>
      </c>
      <c r="D8144" s="4">
        <v>15.4</v>
      </c>
      <c r="E8144" s="4">
        <v>5</v>
      </c>
    </row>
    <row r="8145" spans="1:5" x14ac:dyDescent="0.25">
      <c r="A8145" s="4">
        <v>24810</v>
      </c>
      <c r="B8145" s="4" t="s">
        <v>19</v>
      </c>
      <c r="C8145" s="5">
        <v>45792</v>
      </c>
      <c r="D8145" s="4">
        <v>26</v>
      </c>
      <c r="E8145" s="4">
        <v>8.43</v>
      </c>
    </row>
    <row r="8146" spans="1:5" x14ac:dyDescent="0.25">
      <c r="A8146" s="4">
        <v>24810</v>
      </c>
      <c r="B8146" s="4" t="s">
        <v>19</v>
      </c>
      <c r="C8146" s="5">
        <v>45817</v>
      </c>
      <c r="D8146" s="4">
        <v>8.5</v>
      </c>
      <c r="E8146" s="4">
        <v>2.75</v>
      </c>
    </row>
    <row r="8147" spans="1:5" x14ac:dyDescent="0.25">
      <c r="A8147" s="4">
        <v>24810</v>
      </c>
      <c r="B8147" s="4" t="s">
        <v>19</v>
      </c>
      <c r="C8147" s="5">
        <v>45818</v>
      </c>
      <c r="D8147" s="4">
        <v>8.6999999999999993</v>
      </c>
      <c r="E8147" s="4">
        <v>2.82</v>
      </c>
    </row>
    <row r="8148" spans="1:5" x14ac:dyDescent="0.25">
      <c r="A8148" s="4">
        <v>24810</v>
      </c>
      <c r="B8148" s="4" t="s">
        <v>20</v>
      </c>
      <c r="C8148" s="5">
        <v>45819</v>
      </c>
      <c r="D8148" s="4">
        <v>18.7</v>
      </c>
      <c r="E8148" s="4">
        <v>6.06</v>
      </c>
    </row>
    <row r="8149" spans="1:5" x14ac:dyDescent="0.25">
      <c r="A8149" s="4">
        <v>24810</v>
      </c>
      <c r="B8149" s="4" t="s">
        <v>20</v>
      </c>
      <c r="C8149" s="5">
        <v>45820</v>
      </c>
      <c r="D8149" s="4">
        <v>1.4</v>
      </c>
      <c r="E8149" s="4">
        <v>0.44</v>
      </c>
    </row>
    <row r="8150" spans="1:5" x14ac:dyDescent="0.25">
      <c r="A8150" s="4">
        <v>24810</v>
      </c>
      <c r="B8150" s="4" t="s">
        <v>20</v>
      </c>
      <c r="C8150" s="5">
        <v>45821</v>
      </c>
      <c r="D8150" s="4">
        <v>1.4</v>
      </c>
      <c r="E8150" s="4">
        <v>0.44</v>
      </c>
    </row>
    <row r="8151" spans="1:5" x14ac:dyDescent="0.25">
      <c r="A8151" s="4">
        <v>24810</v>
      </c>
      <c r="B8151" s="4" t="s">
        <v>20</v>
      </c>
      <c r="C8151" s="5">
        <v>45822</v>
      </c>
      <c r="D8151" s="4">
        <v>1.4</v>
      </c>
      <c r="E8151" s="4">
        <v>0.44</v>
      </c>
    </row>
    <row r="8152" spans="1:5" x14ac:dyDescent="0.25">
      <c r="A8152" s="4">
        <v>24810</v>
      </c>
      <c r="B8152" s="4" t="s">
        <v>20</v>
      </c>
      <c r="C8152" s="5">
        <v>45823</v>
      </c>
      <c r="D8152" s="4">
        <v>1.4</v>
      </c>
      <c r="E8152" s="4">
        <v>0.44</v>
      </c>
    </row>
    <row r="8153" spans="1:5" x14ac:dyDescent="0.25">
      <c r="A8153" s="4">
        <v>24810</v>
      </c>
      <c r="B8153" s="4" t="s">
        <v>20</v>
      </c>
      <c r="C8153" s="5">
        <v>45824</v>
      </c>
      <c r="D8153" s="4">
        <v>1.4</v>
      </c>
      <c r="E8153" s="4">
        <v>0.44</v>
      </c>
    </row>
    <row r="8154" spans="1:5" x14ac:dyDescent="0.25">
      <c r="A8154" s="4">
        <v>24810</v>
      </c>
      <c r="B8154" s="4" t="s">
        <v>20</v>
      </c>
      <c r="C8154" s="5">
        <v>45825</v>
      </c>
      <c r="D8154" s="4">
        <v>1.4</v>
      </c>
      <c r="E8154" s="4">
        <v>0.44</v>
      </c>
    </row>
    <row r="8155" spans="1:5" x14ac:dyDescent="0.25">
      <c r="A8155" s="4">
        <v>24810</v>
      </c>
      <c r="B8155" s="4" t="s">
        <v>20</v>
      </c>
      <c r="C8155" s="5">
        <v>45826</v>
      </c>
      <c r="D8155" s="4">
        <v>1.4</v>
      </c>
      <c r="E8155" s="4">
        <v>0.44</v>
      </c>
    </row>
    <row r="8156" spans="1:5" x14ac:dyDescent="0.25">
      <c r="A8156" s="4">
        <v>24810</v>
      </c>
      <c r="B8156" s="4" t="s">
        <v>20</v>
      </c>
      <c r="C8156" s="5">
        <v>45827</v>
      </c>
      <c r="D8156" s="4">
        <v>1.4</v>
      </c>
      <c r="E8156" s="4">
        <v>0.44</v>
      </c>
    </row>
    <row r="8157" spans="1:5" x14ac:dyDescent="0.25">
      <c r="A8157" s="4">
        <v>24810</v>
      </c>
      <c r="B8157" s="4" t="s">
        <v>20</v>
      </c>
      <c r="C8157" s="5">
        <v>45828</v>
      </c>
      <c r="D8157" s="4">
        <v>1.4</v>
      </c>
      <c r="E8157" s="4">
        <v>0.44</v>
      </c>
    </row>
    <row r="8158" spans="1:5" x14ac:dyDescent="0.25">
      <c r="A8158" s="4">
        <v>24810</v>
      </c>
      <c r="B8158" s="4" t="s">
        <v>20</v>
      </c>
      <c r="C8158" s="5">
        <v>45829</v>
      </c>
      <c r="D8158" s="4">
        <v>1.4</v>
      </c>
      <c r="E8158" s="4">
        <v>0.44</v>
      </c>
    </row>
    <row r="8159" spans="1:5" x14ac:dyDescent="0.25">
      <c r="A8159" s="4">
        <v>24810</v>
      </c>
      <c r="B8159" s="4" t="s">
        <v>20</v>
      </c>
      <c r="C8159" s="5">
        <v>45830</v>
      </c>
      <c r="D8159" s="4">
        <v>1.4</v>
      </c>
      <c r="E8159" s="4">
        <v>0.44</v>
      </c>
    </row>
    <row r="8160" spans="1:5" x14ac:dyDescent="0.25">
      <c r="A8160" s="4">
        <v>24810</v>
      </c>
      <c r="B8160" s="4" t="s">
        <v>20</v>
      </c>
      <c r="C8160" s="5">
        <v>45831</v>
      </c>
      <c r="D8160" s="4">
        <v>1.4</v>
      </c>
      <c r="E8160" s="4">
        <v>0.44</v>
      </c>
    </row>
    <row r="8161" spans="1:5" x14ac:dyDescent="0.25">
      <c r="A8161" s="4">
        <v>24810</v>
      </c>
      <c r="B8161" s="4" t="s">
        <v>20</v>
      </c>
      <c r="C8161" s="5">
        <v>45832</v>
      </c>
      <c r="D8161" s="4">
        <v>1.4</v>
      </c>
      <c r="E8161" s="4">
        <v>0.44</v>
      </c>
    </row>
    <row r="8162" spans="1:5" x14ac:dyDescent="0.25">
      <c r="A8162" s="4">
        <v>24810</v>
      </c>
      <c r="B8162" s="4" t="s">
        <v>20</v>
      </c>
      <c r="C8162" s="5">
        <v>45833</v>
      </c>
      <c r="D8162" s="4">
        <v>1.4</v>
      </c>
      <c r="E8162" s="4">
        <v>0.44</v>
      </c>
    </row>
    <row r="8163" spans="1:5" x14ac:dyDescent="0.25">
      <c r="A8163" s="4">
        <v>24810</v>
      </c>
      <c r="B8163" s="4" t="s">
        <v>20</v>
      </c>
      <c r="C8163" s="5">
        <v>45834</v>
      </c>
      <c r="D8163" s="4">
        <v>1.4</v>
      </c>
      <c r="E8163" s="4">
        <v>0.44</v>
      </c>
    </row>
    <row r="8164" spans="1:5" x14ac:dyDescent="0.25">
      <c r="A8164" s="4">
        <v>24810</v>
      </c>
      <c r="B8164" s="4" t="s">
        <v>20</v>
      </c>
      <c r="C8164" s="5">
        <v>45840</v>
      </c>
      <c r="D8164" s="4">
        <v>20.100000000000001</v>
      </c>
      <c r="E8164" s="4">
        <v>6.5</v>
      </c>
    </row>
    <row r="8165" spans="1:5" x14ac:dyDescent="0.25">
      <c r="A8165" s="4">
        <v>24810</v>
      </c>
      <c r="B8165" s="4" t="s">
        <v>21</v>
      </c>
      <c r="C8165" s="5">
        <v>45841</v>
      </c>
      <c r="D8165" s="4">
        <v>28.9</v>
      </c>
      <c r="E8165" s="4">
        <v>9.32</v>
      </c>
    </row>
    <row r="8166" spans="1:5" x14ac:dyDescent="0.25">
      <c r="A8166" s="4">
        <v>24810</v>
      </c>
      <c r="B8166" s="4" t="s">
        <v>21</v>
      </c>
      <c r="C8166" s="5">
        <v>45842</v>
      </c>
      <c r="D8166" s="4">
        <v>28.9</v>
      </c>
      <c r="E8166" s="4">
        <v>9.32</v>
      </c>
    </row>
    <row r="8167" spans="1:5" x14ac:dyDescent="0.25">
      <c r="A8167" s="4">
        <v>24810</v>
      </c>
      <c r="B8167" s="4" t="s">
        <v>22</v>
      </c>
      <c r="C8167" s="5">
        <v>45843</v>
      </c>
      <c r="D8167" s="4">
        <v>42.5</v>
      </c>
      <c r="E8167" s="4">
        <v>13.78</v>
      </c>
    </row>
    <row r="8168" spans="1:5" x14ac:dyDescent="0.25">
      <c r="A8168" s="4">
        <v>24810</v>
      </c>
      <c r="B8168" s="4" t="s">
        <v>22</v>
      </c>
      <c r="C8168" s="5">
        <v>45844</v>
      </c>
      <c r="D8168" s="4">
        <v>3.6</v>
      </c>
      <c r="E8168" s="4">
        <v>1.1599999999999999</v>
      </c>
    </row>
    <row r="8169" spans="1:5" x14ac:dyDescent="0.25">
      <c r="A8169" s="4">
        <v>24810</v>
      </c>
      <c r="B8169" s="4" t="s">
        <v>22</v>
      </c>
      <c r="C8169" s="5">
        <v>45845</v>
      </c>
      <c r="D8169" s="4">
        <v>0.1</v>
      </c>
      <c r="E8169" s="4">
        <v>0.03</v>
      </c>
    </row>
    <row r="8170" spans="1:5" x14ac:dyDescent="0.25">
      <c r="A8170" s="4">
        <v>24810</v>
      </c>
      <c r="B8170" s="4" t="s">
        <v>22</v>
      </c>
      <c r="C8170" s="5">
        <v>45846</v>
      </c>
      <c r="D8170" s="4">
        <v>1.4</v>
      </c>
      <c r="E8170" s="4">
        <v>0.45</v>
      </c>
    </row>
    <row r="8171" spans="1:5" x14ac:dyDescent="0.25">
      <c r="A8171" s="4">
        <v>24810</v>
      </c>
      <c r="B8171" s="4" t="s">
        <v>22</v>
      </c>
      <c r="C8171" s="5">
        <v>45847</v>
      </c>
      <c r="D8171" s="4">
        <v>0.6</v>
      </c>
      <c r="E8171" s="4">
        <v>0.19</v>
      </c>
    </row>
    <row r="8172" spans="1:5" x14ac:dyDescent="0.25">
      <c r="A8172" s="4">
        <v>24810</v>
      </c>
      <c r="B8172" s="4" t="s">
        <v>22</v>
      </c>
      <c r="C8172" s="5">
        <v>45848</v>
      </c>
      <c r="D8172" s="4">
        <v>3.2</v>
      </c>
      <c r="E8172" s="4">
        <v>1.02</v>
      </c>
    </row>
    <row r="8173" spans="1:5" x14ac:dyDescent="0.25">
      <c r="A8173" s="4">
        <v>24810</v>
      </c>
      <c r="B8173" s="4" t="s">
        <v>22</v>
      </c>
      <c r="C8173" s="5">
        <v>45849</v>
      </c>
      <c r="D8173" s="4">
        <v>2.9</v>
      </c>
      <c r="E8173" s="4">
        <v>0.93</v>
      </c>
    </row>
    <row r="8174" spans="1:5" x14ac:dyDescent="0.25">
      <c r="A8174" s="4">
        <v>24810</v>
      </c>
      <c r="B8174" s="4" t="s">
        <v>22</v>
      </c>
      <c r="C8174" s="5">
        <v>45850</v>
      </c>
      <c r="D8174" s="4">
        <v>42.5</v>
      </c>
      <c r="E8174" s="4">
        <v>13.78</v>
      </c>
    </row>
    <row r="8175" spans="1:5" x14ac:dyDescent="0.25">
      <c r="A8175" s="4">
        <v>24810</v>
      </c>
      <c r="B8175" s="4" t="s">
        <v>23</v>
      </c>
      <c r="C8175" s="5">
        <v>45851</v>
      </c>
      <c r="D8175" s="4">
        <v>30.6</v>
      </c>
      <c r="E8175" s="4">
        <v>9.92</v>
      </c>
    </row>
    <row r="8176" spans="1:5" x14ac:dyDescent="0.25">
      <c r="A8176" s="4">
        <v>24810</v>
      </c>
      <c r="B8176" s="4" t="s">
        <v>23</v>
      </c>
      <c r="C8176" s="5">
        <v>45852</v>
      </c>
      <c r="D8176" s="4">
        <v>19.600000000000001</v>
      </c>
      <c r="E8176" s="4">
        <v>6.35</v>
      </c>
    </row>
    <row r="8177" spans="1:5" x14ac:dyDescent="0.25">
      <c r="A8177" s="4">
        <v>24810</v>
      </c>
      <c r="B8177" s="4" t="s">
        <v>23</v>
      </c>
      <c r="C8177" s="5">
        <v>45853</v>
      </c>
      <c r="D8177" s="4">
        <v>19.600000000000001</v>
      </c>
      <c r="E8177" s="4">
        <v>6.35</v>
      </c>
    </row>
    <row r="8178" spans="1:5" x14ac:dyDescent="0.25">
      <c r="A8178" s="4">
        <v>24810</v>
      </c>
      <c r="B8178" s="4" t="s">
        <v>23</v>
      </c>
      <c r="C8178" s="5">
        <v>45854</v>
      </c>
      <c r="D8178" s="4">
        <v>20.100000000000001</v>
      </c>
      <c r="E8178" s="4">
        <v>6.52</v>
      </c>
    </row>
    <row r="8179" spans="1:5" x14ac:dyDescent="0.25">
      <c r="A8179" s="4">
        <v>24810</v>
      </c>
      <c r="B8179" s="4" t="s">
        <v>23</v>
      </c>
      <c r="C8179" s="5">
        <v>45855</v>
      </c>
      <c r="D8179" s="4">
        <v>15</v>
      </c>
      <c r="E8179" s="4">
        <v>4.8099999999999996</v>
      </c>
    </row>
    <row r="8180" spans="1:5" x14ac:dyDescent="0.25">
      <c r="A8180" s="4">
        <v>24810</v>
      </c>
      <c r="B8180" s="4" t="s">
        <v>23</v>
      </c>
      <c r="C8180" s="5">
        <v>45856</v>
      </c>
      <c r="D8180" s="4">
        <v>2.4</v>
      </c>
      <c r="E8180" s="4">
        <v>0.78</v>
      </c>
    </row>
    <row r="8181" spans="1:5" x14ac:dyDescent="0.25">
      <c r="A8181" s="4">
        <v>24810</v>
      </c>
      <c r="B8181" s="4" t="s">
        <v>23</v>
      </c>
      <c r="C8181" s="5">
        <v>45857</v>
      </c>
      <c r="D8181" s="4">
        <v>30.6</v>
      </c>
      <c r="E8181" s="4">
        <v>9.92</v>
      </c>
    </row>
    <row r="8182" spans="1:5" x14ac:dyDescent="0.25">
      <c r="A8182" s="4">
        <v>24810</v>
      </c>
      <c r="B8182" s="4" t="s">
        <v>24</v>
      </c>
      <c r="C8182" s="5">
        <v>45858</v>
      </c>
      <c r="D8182" s="4">
        <v>37.4</v>
      </c>
      <c r="E8182" s="4">
        <v>12.13</v>
      </c>
    </row>
    <row r="8183" spans="1:5" x14ac:dyDescent="0.25">
      <c r="A8183" s="4">
        <v>24810</v>
      </c>
      <c r="B8183" s="4" t="s">
        <v>24</v>
      </c>
      <c r="C8183" s="5">
        <v>45872</v>
      </c>
      <c r="D8183" s="4">
        <v>0.7</v>
      </c>
      <c r="E8183" s="4">
        <v>0.23</v>
      </c>
    </row>
    <row r="8184" spans="1:5" x14ac:dyDescent="0.25">
      <c r="A8184" s="4">
        <v>24810</v>
      </c>
      <c r="B8184" s="4" t="s">
        <v>24</v>
      </c>
      <c r="C8184" s="5">
        <v>45873</v>
      </c>
      <c r="D8184" s="4">
        <v>1</v>
      </c>
      <c r="E8184" s="4">
        <v>0.31</v>
      </c>
    </row>
    <row r="8185" spans="1:5" x14ac:dyDescent="0.25">
      <c r="A8185" s="4">
        <v>24810</v>
      </c>
      <c r="B8185" s="4" t="s">
        <v>24</v>
      </c>
      <c r="C8185" s="5">
        <v>45874</v>
      </c>
      <c r="D8185" s="4">
        <v>1.6</v>
      </c>
      <c r="E8185" s="4">
        <v>0.5</v>
      </c>
    </row>
    <row r="8186" spans="1:5" x14ac:dyDescent="0.25">
      <c r="A8186" s="4">
        <v>24810</v>
      </c>
      <c r="B8186" s="4" t="s">
        <v>24</v>
      </c>
      <c r="C8186" s="5">
        <v>45875</v>
      </c>
      <c r="D8186" s="4">
        <v>1.3</v>
      </c>
      <c r="E8186" s="4">
        <v>0.41</v>
      </c>
    </row>
    <row r="8187" spans="1:5" x14ac:dyDescent="0.25">
      <c r="A8187" s="4">
        <v>24810</v>
      </c>
      <c r="B8187" s="4" t="s">
        <v>24</v>
      </c>
      <c r="C8187" s="5">
        <v>45876</v>
      </c>
      <c r="D8187" s="4">
        <v>1.6</v>
      </c>
      <c r="E8187" s="4">
        <v>0.5</v>
      </c>
    </row>
    <row r="8188" spans="1:5" x14ac:dyDescent="0.25">
      <c r="A8188" s="4">
        <v>24810</v>
      </c>
      <c r="B8188" s="4" t="s">
        <v>24</v>
      </c>
      <c r="C8188" s="5">
        <v>45877</v>
      </c>
      <c r="D8188" s="4">
        <v>6.9</v>
      </c>
      <c r="E8188" s="4">
        <v>2.2000000000000002</v>
      </c>
    </row>
    <row r="8189" spans="1:5" x14ac:dyDescent="0.25">
      <c r="A8189" s="4">
        <v>24810</v>
      </c>
      <c r="B8189" s="4" t="s">
        <v>24</v>
      </c>
      <c r="C8189" s="5">
        <v>45878</v>
      </c>
      <c r="D8189" s="4">
        <v>8.4</v>
      </c>
      <c r="E8189" s="4">
        <v>2.65</v>
      </c>
    </row>
    <row r="8190" spans="1:5" x14ac:dyDescent="0.25">
      <c r="A8190" s="4">
        <v>24810</v>
      </c>
      <c r="B8190" s="4" t="s">
        <v>24</v>
      </c>
      <c r="C8190" s="5">
        <v>45879</v>
      </c>
      <c r="D8190" s="4">
        <v>1.3</v>
      </c>
      <c r="E8190" s="4">
        <v>0.41</v>
      </c>
    </row>
    <row r="8191" spans="1:5" x14ac:dyDescent="0.25">
      <c r="A8191" s="4">
        <v>24810</v>
      </c>
      <c r="B8191" s="4" t="s">
        <v>24</v>
      </c>
      <c r="C8191" s="5">
        <v>45880</v>
      </c>
      <c r="D8191" s="4">
        <v>1.6</v>
      </c>
      <c r="E8191" s="4">
        <v>0.5</v>
      </c>
    </row>
    <row r="8192" spans="1:5" x14ac:dyDescent="0.25">
      <c r="A8192" s="4">
        <v>24810</v>
      </c>
      <c r="B8192" s="4" t="s">
        <v>24</v>
      </c>
      <c r="C8192" s="5">
        <v>45881</v>
      </c>
      <c r="D8192" s="4">
        <v>0.5</v>
      </c>
      <c r="E8192" s="4">
        <v>0.16</v>
      </c>
    </row>
    <row r="8193" spans="1:5" x14ac:dyDescent="0.25">
      <c r="A8193" s="4">
        <v>24810</v>
      </c>
      <c r="B8193" s="4" t="s">
        <v>24</v>
      </c>
      <c r="C8193" s="5">
        <v>45882</v>
      </c>
      <c r="D8193" s="4">
        <v>12.4</v>
      </c>
      <c r="E8193" s="4">
        <v>4.01</v>
      </c>
    </row>
    <row r="8194" spans="1:5" x14ac:dyDescent="0.25">
      <c r="A8194" s="6"/>
      <c r="B8194" s="7"/>
      <c r="C8194" s="8"/>
      <c r="D8194" s="7"/>
      <c r="E8194" s="9"/>
    </row>
    <row r="8195" spans="1:5" x14ac:dyDescent="0.25">
      <c r="A8195" s="10"/>
      <c r="B8195" s="11"/>
      <c r="C8195" s="12"/>
      <c r="D8195" s="11"/>
      <c r="E8195" s="13"/>
    </row>
    <row r="8196" spans="1:5" x14ac:dyDescent="0.25">
      <c r="A8196" s="14"/>
      <c r="B8196" s="15"/>
      <c r="C8196" s="16"/>
      <c r="D8196" s="15"/>
      <c r="E8196" s="17"/>
    </row>
    <row r="8197" spans="1:5" x14ac:dyDescent="0.25">
      <c r="A8197" s="10"/>
      <c r="B8197" s="11"/>
      <c r="C8197" s="12"/>
      <c r="D8197" s="11"/>
      <c r="E8197" s="13"/>
    </row>
    <row r="8198" spans="1:5" x14ac:dyDescent="0.25">
      <c r="A8198" s="14"/>
      <c r="B8198" s="15"/>
      <c r="C8198" s="16"/>
      <c r="D8198" s="15"/>
      <c r="E8198" s="17"/>
    </row>
    <row r="8199" spans="1:5" x14ac:dyDescent="0.25">
      <c r="A8199" s="10"/>
      <c r="B8199" s="11"/>
      <c r="C8199" s="12"/>
      <c r="D8199" s="11"/>
      <c r="E8199" s="13"/>
    </row>
    <row r="8200" spans="1:5" x14ac:dyDescent="0.25">
      <c r="A8200" s="14"/>
      <c r="B8200" s="15"/>
      <c r="C8200" s="16"/>
      <c r="D8200" s="15"/>
      <c r="E8200" s="17"/>
    </row>
    <row r="8201" spans="1:5" x14ac:dyDescent="0.25">
      <c r="A8201" s="10"/>
      <c r="B8201" s="11"/>
      <c r="C8201" s="12"/>
      <c r="D8201" s="11"/>
      <c r="E8201" s="13"/>
    </row>
    <row r="8202" spans="1:5" x14ac:dyDescent="0.25">
      <c r="A8202" s="14"/>
      <c r="B8202" s="15"/>
      <c r="C8202" s="16"/>
      <c r="D8202" s="15"/>
      <c r="E8202" s="17"/>
    </row>
    <row r="8203" spans="1:5" x14ac:dyDescent="0.25">
      <c r="A8203" s="10"/>
      <c r="B8203" s="11"/>
      <c r="C8203" s="12"/>
      <c r="D8203" s="11"/>
      <c r="E8203" s="13"/>
    </row>
    <row r="8204" spans="1:5" x14ac:dyDescent="0.25">
      <c r="A8204" s="14"/>
      <c r="B8204" s="15"/>
      <c r="C8204" s="16"/>
      <c r="D8204" s="15"/>
      <c r="E8204" s="17"/>
    </row>
    <row r="8205" spans="1:5" x14ac:dyDescent="0.25">
      <c r="A8205" s="10"/>
      <c r="B8205" s="11"/>
      <c r="C8205" s="12"/>
      <c r="D8205" s="11"/>
      <c r="E8205" s="13"/>
    </row>
    <row r="8206" spans="1:5" x14ac:dyDescent="0.25">
      <c r="A8206" s="14"/>
      <c r="B8206" s="15"/>
      <c r="C8206" s="16"/>
      <c r="D8206" s="15"/>
      <c r="E8206" s="17"/>
    </row>
    <row r="8207" spans="1:5" x14ac:dyDescent="0.25">
      <c r="A8207" s="10"/>
      <c r="B8207" s="11"/>
      <c r="C8207" s="12"/>
      <c r="D8207" s="11"/>
      <c r="E8207" s="13"/>
    </row>
    <row r="8208" spans="1:5" x14ac:dyDescent="0.25">
      <c r="A8208" s="14"/>
      <c r="B8208" s="15"/>
      <c r="C8208" s="16"/>
      <c r="D8208" s="15"/>
      <c r="E8208" s="17"/>
    </row>
    <row r="8209" spans="1:5" x14ac:dyDescent="0.25">
      <c r="A8209" s="10"/>
      <c r="B8209" s="11"/>
      <c r="C8209" s="12"/>
      <c r="D8209" s="11"/>
      <c r="E8209" s="13"/>
    </row>
    <row r="8210" spans="1:5" x14ac:dyDescent="0.25">
      <c r="A8210" s="14"/>
      <c r="B8210" s="15"/>
      <c r="C8210" s="16"/>
      <c r="D8210" s="15"/>
      <c r="E8210" s="17"/>
    </row>
    <row r="8211" spans="1:5" x14ac:dyDescent="0.25">
      <c r="A8211" s="10"/>
      <c r="B8211" s="11"/>
      <c r="C8211" s="12"/>
      <c r="D8211" s="11"/>
      <c r="E8211" s="13"/>
    </row>
    <row r="8212" spans="1:5" x14ac:dyDescent="0.25">
      <c r="A8212" s="14"/>
      <c r="B8212" s="15"/>
      <c r="C8212" s="16"/>
      <c r="D8212" s="15"/>
      <c r="E8212" s="17"/>
    </row>
    <row r="8213" spans="1:5" x14ac:dyDescent="0.25">
      <c r="A8213" s="10"/>
      <c r="B8213" s="11"/>
      <c r="C8213" s="12"/>
      <c r="D8213" s="11"/>
      <c r="E8213" s="13"/>
    </row>
    <row r="8214" spans="1:5" x14ac:dyDescent="0.25">
      <c r="A8214" s="14"/>
      <c r="B8214" s="15"/>
      <c r="C8214" s="16"/>
      <c r="D8214" s="15"/>
      <c r="E8214" s="17"/>
    </row>
    <row r="8215" spans="1:5" x14ac:dyDescent="0.25">
      <c r="A8215" s="10"/>
      <c r="B8215" s="11"/>
      <c r="C8215" s="12"/>
      <c r="D8215" s="11"/>
      <c r="E8215" s="13"/>
    </row>
    <row r="8216" spans="1:5" x14ac:dyDescent="0.25">
      <c r="A8216" s="14"/>
      <c r="B8216" s="15"/>
      <c r="C8216" s="16"/>
      <c r="D8216" s="15"/>
      <c r="E8216" s="17"/>
    </row>
    <row r="8217" spans="1:5" x14ac:dyDescent="0.25">
      <c r="A8217" s="10"/>
      <c r="B8217" s="11"/>
      <c r="C8217" s="12"/>
      <c r="D8217" s="11"/>
      <c r="E8217" s="13"/>
    </row>
    <row r="8218" spans="1:5" x14ac:dyDescent="0.25">
      <c r="A8218" s="14"/>
      <c r="B8218" s="15"/>
      <c r="C8218" s="16"/>
      <c r="D8218" s="15"/>
      <c r="E8218" s="17"/>
    </row>
    <row r="8219" spans="1:5" x14ac:dyDescent="0.25">
      <c r="A8219" s="10"/>
      <c r="B8219" s="11"/>
      <c r="C8219" s="12"/>
      <c r="D8219" s="11"/>
      <c r="E8219" s="13"/>
    </row>
    <row r="8220" spans="1:5" x14ac:dyDescent="0.25">
      <c r="A8220" s="14"/>
      <c r="B8220" s="15"/>
      <c r="C8220" s="16"/>
      <c r="D8220" s="15"/>
      <c r="E8220" s="17"/>
    </row>
    <row r="8221" spans="1:5" x14ac:dyDescent="0.25">
      <c r="A8221" s="10"/>
      <c r="B8221" s="11"/>
      <c r="C8221" s="12"/>
      <c r="D8221" s="11"/>
      <c r="E8221" s="13"/>
    </row>
    <row r="8222" spans="1:5" x14ac:dyDescent="0.25">
      <c r="A8222" s="14"/>
      <c r="B8222" s="15"/>
      <c r="C8222" s="16"/>
      <c r="D8222" s="15"/>
      <c r="E8222" s="17"/>
    </row>
    <row r="8223" spans="1:5" x14ac:dyDescent="0.25">
      <c r="A8223" s="10"/>
      <c r="B8223" s="11"/>
      <c r="C8223" s="12"/>
      <c r="D8223" s="11"/>
      <c r="E8223" s="13"/>
    </row>
    <row r="8224" spans="1:5" x14ac:dyDescent="0.25">
      <c r="A8224" s="14"/>
      <c r="B8224" s="15"/>
      <c r="C8224" s="16"/>
      <c r="D8224" s="15"/>
      <c r="E8224" s="17"/>
    </row>
    <row r="8225" spans="1:5" x14ac:dyDescent="0.25">
      <c r="A8225" s="10"/>
      <c r="B8225" s="11"/>
      <c r="C8225" s="12"/>
      <c r="D8225" s="11"/>
      <c r="E8225" s="13"/>
    </row>
    <row r="8226" spans="1:5" x14ac:dyDescent="0.25">
      <c r="A8226" s="14"/>
      <c r="B8226" s="15"/>
      <c r="C8226" s="16"/>
      <c r="D8226" s="15"/>
      <c r="E8226" s="17"/>
    </row>
    <row r="8227" spans="1:5" x14ac:dyDescent="0.25">
      <c r="A8227" s="10"/>
      <c r="B8227" s="11"/>
      <c r="C8227" s="12"/>
      <c r="D8227" s="11"/>
      <c r="E8227" s="13"/>
    </row>
    <row r="8228" spans="1:5" x14ac:dyDescent="0.25">
      <c r="A8228" s="14"/>
      <c r="B8228" s="15"/>
      <c r="C8228" s="16"/>
      <c r="D8228" s="15"/>
      <c r="E8228" s="17"/>
    </row>
    <row r="8229" spans="1:5" x14ac:dyDescent="0.25">
      <c r="A8229" s="10"/>
      <c r="B8229" s="11"/>
      <c r="C8229" s="12"/>
      <c r="D8229" s="11"/>
      <c r="E8229" s="13"/>
    </row>
    <row r="8230" spans="1:5" x14ac:dyDescent="0.25">
      <c r="A8230" s="14"/>
      <c r="B8230" s="15"/>
      <c r="C8230" s="16"/>
      <c r="D8230" s="15"/>
      <c r="E8230" s="17"/>
    </row>
    <row r="8231" spans="1:5" x14ac:dyDescent="0.25">
      <c r="A8231" s="10"/>
      <c r="B8231" s="11"/>
      <c r="C8231" s="12"/>
      <c r="D8231" s="11"/>
      <c r="E8231" s="13"/>
    </row>
    <row r="8232" spans="1:5" x14ac:dyDescent="0.25">
      <c r="A8232" s="14"/>
      <c r="B8232" s="15"/>
      <c r="C8232" s="16"/>
      <c r="D8232" s="15"/>
      <c r="E8232" s="17"/>
    </row>
    <row r="8233" spans="1:5" x14ac:dyDescent="0.25">
      <c r="A8233" s="10"/>
      <c r="B8233" s="11"/>
      <c r="C8233" s="12"/>
      <c r="D8233" s="11"/>
      <c r="E8233" s="13"/>
    </row>
    <row r="8234" spans="1:5" x14ac:dyDescent="0.25">
      <c r="A8234" s="14"/>
      <c r="B8234" s="15"/>
      <c r="C8234" s="16"/>
      <c r="D8234" s="15"/>
      <c r="E8234" s="17"/>
    </row>
    <row r="8235" spans="1:5" x14ac:dyDescent="0.25">
      <c r="A8235" s="10"/>
      <c r="B8235" s="11"/>
      <c r="C8235" s="12"/>
      <c r="D8235" s="11"/>
      <c r="E8235" s="13"/>
    </row>
    <row r="8236" spans="1:5" x14ac:dyDescent="0.25">
      <c r="A8236" s="14"/>
      <c r="B8236" s="15"/>
      <c r="C8236" s="16"/>
      <c r="D8236" s="15"/>
      <c r="E8236" s="17"/>
    </row>
    <row r="8237" spans="1:5" x14ac:dyDescent="0.25">
      <c r="A8237" s="10"/>
      <c r="B8237" s="11"/>
      <c r="C8237" s="12"/>
      <c r="D8237" s="11"/>
      <c r="E8237" s="13"/>
    </row>
    <row r="8238" spans="1:5" x14ac:dyDescent="0.25">
      <c r="A8238" s="14"/>
      <c r="B8238" s="15"/>
      <c r="C8238" s="16"/>
      <c r="D8238" s="15"/>
      <c r="E8238" s="17"/>
    </row>
    <row r="8239" spans="1:5" x14ac:dyDescent="0.25">
      <c r="A8239" s="10"/>
      <c r="B8239" s="11"/>
      <c r="C8239" s="12"/>
      <c r="D8239" s="11"/>
      <c r="E8239" s="13"/>
    </row>
    <row r="8240" spans="1:5" x14ac:dyDescent="0.25">
      <c r="A8240" s="14"/>
      <c r="B8240" s="15"/>
      <c r="C8240" s="16"/>
      <c r="D8240" s="15"/>
      <c r="E8240" s="17"/>
    </row>
    <row r="8241" spans="1:5" x14ac:dyDescent="0.25">
      <c r="A8241" s="10"/>
      <c r="B8241" s="11"/>
      <c r="C8241" s="12"/>
      <c r="D8241" s="11"/>
      <c r="E8241" s="13"/>
    </row>
    <row r="8242" spans="1:5" x14ac:dyDescent="0.25">
      <c r="A8242" s="14"/>
      <c r="B8242" s="15"/>
      <c r="C8242" s="16"/>
      <c r="D8242" s="15"/>
      <c r="E8242" s="17"/>
    </row>
    <row r="8243" spans="1:5" x14ac:dyDescent="0.25">
      <c r="A8243" s="10"/>
      <c r="B8243" s="11"/>
      <c r="C8243" s="12"/>
      <c r="D8243" s="11"/>
      <c r="E8243" s="13"/>
    </row>
    <row r="8244" spans="1:5" x14ac:dyDescent="0.25">
      <c r="A8244" s="14"/>
      <c r="B8244" s="15"/>
      <c r="C8244" s="16"/>
      <c r="D8244" s="15"/>
      <c r="E8244" s="17"/>
    </row>
    <row r="8245" spans="1:5" x14ac:dyDescent="0.25">
      <c r="A8245" s="10"/>
      <c r="B8245" s="11"/>
      <c r="C8245" s="12"/>
      <c r="D8245" s="11"/>
      <c r="E8245" s="13"/>
    </row>
    <row r="8246" spans="1:5" x14ac:dyDescent="0.25">
      <c r="A8246" s="14"/>
      <c r="B8246" s="15"/>
      <c r="C8246" s="16"/>
      <c r="D8246" s="15"/>
      <c r="E8246" s="17"/>
    </row>
    <row r="8247" spans="1:5" x14ac:dyDescent="0.25">
      <c r="A8247" s="10"/>
      <c r="B8247" s="11"/>
      <c r="C8247" s="12"/>
      <c r="D8247" s="11"/>
      <c r="E8247" s="13"/>
    </row>
    <row r="8248" spans="1:5" x14ac:dyDescent="0.25">
      <c r="A8248" s="14"/>
      <c r="B8248" s="15"/>
      <c r="C8248" s="16"/>
      <c r="D8248" s="15"/>
      <c r="E8248" s="17"/>
    </row>
    <row r="8249" spans="1:5" x14ac:dyDescent="0.25">
      <c r="A8249" s="10"/>
      <c r="B8249" s="11"/>
      <c r="C8249" s="12"/>
      <c r="D8249" s="11"/>
      <c r="E8249" s="13"/>
    </row>
    <row r="8250" spans="1:5" x14ac:dyDescent="0.25">
      <c r="A8250" s="14"/>
      <c r="B8250" s="15"/>
      <c r="C8250" s="16"/>
      <c r="D8250" s="15"/>
      <c r="E8250" s="17"/>
    </row>
    <row r="8251" spans="1:5" x14ac:dyDescent="0.25">
      <c r="A8251" s="10"/>
      <c r="B8251" s="11"/>
      <c r="C8251" s="12"/>
      <c r="D8251" s="11"/>
      <c r="E8251" s="13"/>
    </row>
    <row r="8252" spans="1:5" x14ac:dyDescent="0.25">
      <c r="A8252" s="14"/>
      <c r="B8252" s="15"/>
      <c r="C8252" s="16"/>
      <c r="D8252" s="15"/>
      <c r="E8252" s="17"/>
    </row>
    <row r="8253" spans="1:5" x14ac:dyDescent="0.25">
      <c r="A8253" s="10"/>
      <c r="B8253" s="11"/>
      <c r="C8253" s="12"/>
      <c r="D8253" s="11"/>
      <c r="E8253" s="13"/>
    </row>
    <row r="8254" spans="1:5" x14ac:dyDescent="0.25">
      <c r="A8254" s="14"/>
      <c r="B8254" s="15"/>
      <c r="C8254" s="16"/>
      <c r="D8254" s="15"/>
      <c r="E8254" s="17"/>
    </row>
    <row r="8255" spans="1:5" x14ac:dyDescent="0.25">
      <c r="A8255" s="10"/>
      <c r="B8255" s="11"/>
      <c r="C8255" s="12"/>
      <c r="D8255" s="11"/>
      <c r="E8255" s="13"/>
    </row>
    <row r="8256" spans="1:5" x14ac:dyDescent="0.25">
      <c r="A8256" s="14"/>
      <c r="B8256" s="15"/>
      <c r="C8256" s="16"/>
      <c r="D8256" s="15"/>
      <c r="E8256" s="17"/>
    </row>
    <row r="8257" spans="1:5" x14ac:dyDescent="0.25">
      <c r="A8257" s="10"/>
      <c r="B8257" s="11"/>
      <c r="C8257" s="12"/>
      <c r="D8257" s="11"/>
      <c r="E8257" s="13"/>
    </row>
    <row r="8258" spans="1:5" x14ac:dyDescent="0.25">
      <c r="A8258" s="14"/>
      <c r="B8258" s="15"/>
      <c r="C8258" s="16"/>
      <c r="D8258" s="15"/>
      <c r="E8258" s="17"/>
    </row>
    <row r="8259" spans="1:5" x14ac:dyDescent="0.25">
      <c r="A8259" s="10"/>
      <c r="B8259" s="11"/>
      <c r="C8259" s="12"/>
      <c r="D8259" s="11"/>
      <c r="E8259" s="13"/>
    </row>
    <row r="8260" spans="1:5" x14ac:dyDescent="0.25">
      <c r="A8260" s="14"/>
      <c r="B8260" s="15"/>
      <c r="C8260" s="16"/>
      <c r="D8260" s="15"/>
      <c r="E8260" s="17"/>
    </row>
    <row r="8261" spans="1:5" x14ac:dyDescent="0.25">
      <c r="A8261" s="10"/>
      <c r="B8261" s="11"/>
      <c r="C8261" s="12"/>
      <c r="D8261" s="11"/>
      <c r="E8261" s="13"/>
    </row>
    <row r="8262" spans="1:5" x14ac:dyDescent="0.25">
      <c r="A8262" s="14"/>
      <c r="B8262" s="15"/>
      <c r="C8262" s="16"/>
      <c r="D8262" s="15"/>
      <c r="E8262" s="17"/>
    </row>
    <row r="8263" spans="1:5" x14ac:dyDescent="0.25">
      <c r="A8263" s="10"/>
      <c r="B8263" s="11"/>
      <c r="C8263" s="12"/>
      <c r="D8263" s="11"/>
      <c r="E8263" s="13"/>
    </row>
    <row r="8264" spans="1:5" x14ac:dyDescent="0.25">
      <c r="A8264" s="14"/>
      <c r="B8264" s="15"/>
      <c r="C8264" s="16"/>
      <c r="D8264" s="15"/>
      <c r="E8264" s="17"/>
    </row>
    <row r="8265" spans="1:5" x14ac:dyDescent="0.25">
      <c r="A8265" s="10"/>
      <c r="B8265" s="11"/>
      <c r="C8265" s="12"/>
      <c r="D8265" s="11"/>
      <c r="E8265" s="13"/>
    </row>
    <row r="8266" spans="1:5" x14ac:dyDescent="0.25">
      <c r="A8266" s="14"/>
      <c r="B8266" s="15"/>
      <c r="C8266" s="16"/>
      <c r="D8266" s="15"/>
      <c r="E8266" s="17"/>
    </row>
    <row r="8267" spans="1:5" x14ac:dyDescent="0.25">
      <c r="A8267" s="10"/>
      <c r="B8267" s="11"/>
      <c r="C8267" s="12"/>
      <c r="D8267" s="11"/>
      <c r="E8267" s="13"/>
    </row>
    <row r="8268" spans="1:5" x14ac:dyDescent="0.25">
      <c r="A8268" s="14"/>
      <c r="B8268" s="15"/>
      <c r="C8268" s="16"/>
      <c r="D8268" s="15"/>
      <c r="E8268" s="17"/>
    </row>
    <row r="8269" spans="1:5" x14ac:dyDescent="0.25">
      <c r="A8269" s="10"/>
      <c r="B8269" s="11"/>
      <c r="C8269" s="12"/>
      <c r="D8269" s="11"/>
      <c r="E8269" s="13"/>
    </row>
    <row r="8270" spans="1:5" x14ac:dyDescent="0.25">
      <c r="A8270" s="14"/>
      <c r="B8270" s="15"/>
      <c r="C8270" s="16"/>
      <c r="D8270" s="15"/>
      <c r="E8270" s="17"/>
    </row>
    <row r="8271" spans="1:5" x14ac:dyDescent="0.25">
      <c r="A8271" s="10"/>
      <c r="B8271" s="11"/>
      <c r="C8271" s="12"/>
      <c r="D8271" s="11"/>
      <c r="E8271" s="13"/>
    </row>
    <row r="8272" spans="1:5" x14ac:dyDescent="0.25">
      <c r="A8272" s="14"/>
      <c r="B8272" s="15"/>
      <c r="C8272" s="16"/>
      <c r="D8272" s="15"/>
      <c r="E8272" s="17"/>
    </row>
    <row r="8273" spans="1:5" x14ac:dyDescent="0.25">
      <c r="A8273" s="10"/>
      <c r="B8273" s="11"/>
      <c r="C8273" s="12"/>
      <c r="D8273" s="11"/>
      <c r="E8273" s="13"/>
    </row>
    <row r="8274" spans="1:5" x14ac:dyDescent="0.25">
      <c r="A8274" s="14"/>
      <c r="B8274" s="15"/>
      <c r="C8274" s="16"/>
      <c r="D8274" s="15"/>
      <c r="E8274" s="17"/>
    </row>
    <row r="8275" spans="1:5" x14ac:dyDescent="0.25">
      <c r="A8275" s="10"/>
      <c r="B8275" s="11"/>
      <c r="C8275" s="12"/>
      <c r="D8275" s="11"/>
      <c r="E8275" s="13"/>
    </row>
    <row r="8276" spans="1:5" x14ac:dyDescent="0.25">
      <c r="A8276" s="14"/>
      <c r="B8276" s="15"/>
      <c r="C8276" s="16"/>
      <c r="D8276" s="15"/>
      <c r="E8276" s="17"/>
    </row>
    <row r="8277" spans="1:5" x14ac:dyDescent="0.25">
      <c r="A8277" s="10"/>
      <c r="B8277" s="11"/>
      <c r="C8277" s="12"/>
      <c r="D8277" s="11"/>
      <c r="E8277" s="13"/>
    </row>
    <row r="8278" spans="1:5" x14ac:dyDescent="0.25">
      <c r="A8278" s="14"/>
      <c r="B8278" s="15"/>
      <c r="C8278" s="16"/>
      <c r="D8278" s="15"/>
      <c r="E8278" s="17"/>
    </row>
    <row r="8279" spans="1:5" x14ac:dyDescent="0.25">
      <c r="A8279" s="10"/>
      <c r="B8279" s="11"/>
      <c r="C8279" s="12"/>
      <c r="D8279" s="11"/>
      <c r="E8279" s="13"/>
    </row>
    <row r="8280" spans="1:5" x14ac:dyDescent="0.25">
      <c r="A8280" s="14"/>
      <c r="B8280" s="15"/>
      <c r="C8280" s="16"/>
      <c r="D8280" s="15"/>
      <c r="E8280" s="17"/>
    </row>
    <row r="8281" spans="1:5" x14ac:dyDescent="0.25">
      <c r="A8281" s="10"/>
      <c r="B8281" s="11"/>
      <c r="C8281" s="12"/>
      <c r="D8281" s="11"/>
      <c r="E8281" s="13"/>
    </row>
    <row r="8282" spans="1:5" x14ac:dyDescent="0.25">
      <c r="A8282" s="14"/>
      <c r="B8282" s="15"/>
      <c r="C8282" s="16"/>
      <c r="D8282" s="15"/>
      <c r="E8282" s="17"/>
    </row>
    <row r="8283" spans="1:5" x14ac:dyDescent="0.25">
      <c r="A8283" s="10"/>
      <c r="B8283" s="11"/>
      <c r="C8283" s="12"/>
      <c r="D8283" s="11"/>
      <c r="E8283" s="13"/>
    </row>
    <row r="8284" spans="1:5" x14ac:dyDescent="0.25">
      <c r="A8284" s="14"/>
      <c r="B8284" s="15"/>
      <c r="C8284" s="16"/>
      <c r="D8284" s="15"/>
      <c r="E8284" s="17"/>
    </row>
    <row r="8285" spans="1:5" x14ac:dyDescent="0.25">
      <c r="A8285" s="10"/>
      <c r="B8285" s="11"/>
      <c r="C8285" s="12"/>
      <c r="D8285" s="11"/>
      <c r="E8285" s="13"/>
    </row>
    <row r="8286" spans="1:5" x14ac:dyDescent="0.25">
      <c r="A8286" s="14"/>
      <c r="B8286" s="15"/>
      <c r="C8286" s="16"/>
      <c r="D8286" s="15"/>
      <c r="E8286" s="17"/>
    </row>
    <row r="8287" spans="1:5" x14ac:dyDescent="0.25">
      <c r="A8287" s="10"/>
      <c r="B8287" s="11"/>
      <c r="C8287" s="12"/>
      <c r="D8287" s="11"/>
      <c r="E8287" s="13"/>
    </row>
    <row r="8288" spans="1:5" x14ac:dyDescent="0.25">
      <c r="A8288" s="14"/>
      <c r="B8288" s="15"/>
      <c r="C8288" s="16"/>
      <c r="D8288" s="15"/>
      <c r="E8288" s="17"/>
    </row>
    <row r="8289" spans="1:5" x14ac:dyDescent="0.25">
      <c r="A8289" s="10"/>
      <c r="B8289" s="11"/>
      <c r="C8289" s="12"/>
      <c r="D8289" s="11"/>
      <c r="E8289" s="13"/>
    </row>
    <row r="8290" spans="1:5" x14ac:dyDescent="0.25">
      <c r="A8290" s="14"/>
      <c r="B8290" s="15"/>
      <c r="C8290" s="16"/>
      <c r="D8290" s="15"/>
      <c r="E8290" s="17"/>
    </row>
    <row r="8291" spans="1:5" x14ac:dyDescent="0.25">
      <c r="A8291" s="10"/>
      <c r="B8291" s="11"/>
      <c r="C8291" s="12"/>
      <c r="D8291" s="11"/>
      <c r="E8291" s="13"/>
    </row>
    <row r="8292" spans="1:5" x14ac:dyDescent="0.25">
      <c r="A8292" s="14"/>
      <c r="B8292" s="15"/>
      <c r="C8292" s="16"/>
      <c r="D8292" s="15"/>
      <c r="E8292" s="17"/>
    </row>
    <row r="8293" spans="1:5" x14ac:dyDescent="0.25">
      <c r="A8293" s="10"/>
      <c r="B8293" s="11"/>
      <c r="C8293" s="12"/>
      <c r="D8293" s="11"/>
      <c r="E8293" s="13"/>
    </row>
    <row r="8294" spans="1:5" x14ac:dyDescent="0.25">
      <c r="A8294" s="14"/>
      <c r="B8294" s="15"/>
      <c r="C8294" s="16"/>
      <c r="D8294" s="15"/>
      <c r="E8294" s="17"/>
    </row>
    <row r="8295" spans="1:5" x14ac:dyDescent="0.25">
      <c r="A8295" s="10"/>
      <c r="B8295" s="11"/>
      <c r="C8295" s="12"/>
      <c r="D8295" s="11"/>
      <c r="E8295" s="13"/>
    </row>
    <row r="8296" spans="1:5" x14ac:dyDescent="0.25">
      <c r="A8296" s="14"/>
      <c r="B8296" s="15"/>
      <c r="C8296" s="16"/>
      <c r="D8296" s="15"/>
      <c r="E8296" s="17"/>
    </row>
    <row r="8297" spans="1:5" x14ac:dyDescent="0.25">
      <c r="A8297" s="10"/>
      <c r="B8297" s="11"/>
      <c r="C8297" s="12"/>
      <c r="D8297" s="11"/>
      <c r="E8297" s="13"/>
    </row>
    <row r="8298" spans="1:5" x14ac:dyDescent="0.25">
      <c r="A8298" s="14"/>
      <c r="B8298" s="15"/>
      <c r="C8298" s="16"/>
      <c r="D8298" s="15"/>
      <c r="E8298" s="17"/>
    </row>
    <row r="8299" spans="1:5" x14ac:dyDescent="0.25">
      <c r="A8299" s="10"/>
      <c r="B8299" s="11"/>
      <c r="C8299" s="12"/>
      <c r="D8299" s="11"/>
      <c r="E8299" s="13"/>
    </row>
    <row r="8300" spans="1:5" x14ac:dyDescent="0.25">
      <c r="A8300" s="14"/>
      <c r="B8300" s="15"/>
      <c r="C8300" s="16"/>
      <c r="D8300" s="15"/>
      <c r="E8300" s="17"/>
    </row>
    <row r="8301" spans="1:5" x14ac:dyDescent="0.25">
      <c r="A8301" s="10"/>
      <c r="B8301" s="11"/>
      <c r="C8301" s="12"/>
      <c r="D8301" s="11"/>
      <c r="E8301" s="13"/>
    </row>
    <row r="8302" spans="1:5" x14ac:dyDescent="0.25">
      <c r="A8302" s="14"/>
      <c r="B8302" s="15"/>
      <c r="C8302" s="16"/>
      <c r="D8302" s="15"/>
      <c r="E8302" s="17"/>
    </row>
    <row r="8303" spans="1:5" x14ac:dyDescent="0.25">
      <c r="A8303" s="10"/>
      <c r="B8303" s="11"/>
      <c r="C8303" s="12"/>
      <c r="D8303" s="11"/>
      <c r="E8303" s="13"/>
    </row>
    <row r="8304" spans="1:5" x14ac:dyDescent="0.25">
      <c r="A8304" s="14"/>
      <c r="B8304" s="15"/>
      <c r="C8304" s="16"/>
      <c r="D8304" s="15"/>
      <c r="E8304" s="17"/>
    </row>
    <row r="8305" spans="1:5" x14ac:dyDescent="0.25">
      <c r="A8305" s="10"/>
      <c r="B8305" s="11"/>
      <c r="C8305" s="12"/>
      <c r="D8305" s="11"/>
      <c r="E8305" s="13"/>
    </row>
    <row r="8306" spans="1:5" x14ac:dyDescent="0.25">
      <c r="A8306" s="14"/>
      <c r="B8306" s="15"/>
      <c r="C8306" s="16"/>
      <c r="D8306" s="15"/>
      <c r="E8306" s="17"/>
    </row>
    <row r="8307" spans="1:5" x14ac:dyDescent="0.25">
      <c r="A8307" s="10"/>
      <c r="B8307" s="11"/>
      <c r="C8307" s="12"/>
      <c r="D8307" s="11"/>
      <c r="E8307" s="13"/>
    </row>
    <row r="8308" spans="1:5" x14ac:dyDescent="0.25">
      <c r="A8308" s="14"/>
      <c r="B8308" s="15"/>
      <c r="C8308" s="16"/>
      <c r="D8308" s="15"/>
      <c r="E8308" s="17"/>
    </row>
    <row r="8309" spans="1:5" x14ac:dyDescent="0.25">
      <c r="A8309" s="10"/>
      <c r="B8309" s="11"/>
      <c r="C8309" s="12"/>
      <c r="D8309" s="11"/>
      <c r="E8309" s="13"/>
    </row>
    <row r="8310" spans="1:5" x14ac:dyDescent="0.25">
      <c r="A8310" s="14"/>
      <c r="B8310" s="15"/>
      <c r="C8310" s="16"/>
      <c r="D8310" s="15"/>
      <c r="E8310" s="17"/>
    </row>
    <row r="8311" spans="1:5" x14ac:dyDescent="0.25">
      <c r="A8311" s="10"/>
      <c r="B8311" s="11"/>
      <c r="C8311" s="12"/>
      <c r="D8311" s="11"/>
      <c r="E8311" s="13"/>
    </row>
    <row r="8312" spans="1:5" x14ac:dyDescent="0.25">
      <c r="A8312" s="14"/>
      <c r="B8312" s="15"/>
      <c r="C8312" s="16"/>
      <c r="D8312" s="15"/>
      <c r="E8312" s="17"/>
    </row>
    <row r="8313" spans="1:5" x14ac:dyDescent="0.25">
      <c r="A8313" s="10"/>
      <c r="B8313" s="11"/>
      <c r="C8313" s="12"/>
      <c r="D8313" s="11"/>
      <c r="E8313" s="13"/>
    </row>
    <row r="8314" spans="1:5" x14ac:dyDescent="0.25">
      <c r="A8314" s="14"/>
      <c r="B8314" s="15"/>
      <c r="C8314" s="16"/>
      <c r="D8314" s="15"/>
      <c r="E8314" s="17"/>
    </row>
    <row r="8315" spans="1:5" x14ac:dyDescent="0.25">
      <c r="A8315" s="10"/>
      <c r="B8315" s="11"/>
      <c r="C8315" s="12"/>
      <c r="D8315" s="11"/>
      <c r="E8315" s="13"/>
    </row>
    <row r="8316" spans="1:5" x14ac:dyDescent="0.25">
      <c r="A8316" s="14"/>
      <c r="B8316" s="15"/>
      <c r="C8316" s="16"/>
      <c r="D8316" s="15"/>
      <c r="E8316" s="17"/>
    </row>
    <row r="8317" spans="1:5" x14ac:dyDescent="0.25">
      <c r="A8317" s="10"/>
      <c r="B8317" s="11"/>
      <c r="C8317" s="12"/>
      <c r="D8317" s="11"/>
      <c r="E8317" s="13"/>
    </row>
    <row r="8318" spans="1:5" x14ac:dyDescent="0.25">
      <c r="A8318" s="14"/>
      <c r="B8318" s="15"/>
      <c r="C8318" s="16"/>
      <c r="D8318" s="15"/>
      <c r="E8318" s="17"/>
    </row>
    <row r="8319" spans="1:5" x14ac:dyDescent="0.25">
      <c r="A8319" s="10"/>
      <c r="B8319" s="11"/>
      <c r="C8319" s="12"/>
      <c r="D8319" s="11"/>
      <c r="E8319" s="13"/>
    </row>
    <row r="8320" spans="1:5" x14ac:dyDescent="0.25">
      <c r="A8320" s="14"/>
      <c r="B8320" s="15"/>
      <c r="C8320" s="16"/>
      <c r="D8320" s="15"/>
      <c r="E8320" s="17"/>
    </row>
    <row r="8321" spans="1:5" x14ac:dyDescent="0.25">
      <c r="A8321" s="10"/>
      <c r="B8321" s="11"/>
      <c r="C8321" s="12"/>
      <c r="D8321" s="11"/>
      <c r="E8321" s="13"/>
    </row>
    <row r="8322" spans="1:5" x14ac:dyDescent="0.25">
      <c r="A8322" s="14"/>
      <c r="B8322" s="15"/>
      <c r="C8322" s="16"/>
      <c r="D8322" s="15"/>
      <c r="E8322" s="17"/>
    </row>
    <row r="8323" spans="1:5" x14ac:dyDescent="0.25">
      <c r="A8323" s="10"/>
      <c r="B8323" s="11"/>
      <c r="C8323" s="12"/>
      <c r="D8323" s="11"/>
      <c r="E8323" s="13"/>
    </row>
    <row r="8324" spans="1:5" x14ac:dyDescent="0.25">
      <c r="A8324" s="14"/>
      <c r="B8324" s="15"/>
      <c r="C8324" s="16"/>
      <c r="D8324" s="15"/>
      <c r="E8324" s="17"/>
    </row>
    <row r="8325" spans="1:5" x14ac:dyDescent="0.25">
      <c r="A8325" s="10"/>
      <c r="B8325" s="11"/>
      <c r="C8325" s="12"/>
      <c r="D8325" s="11"/>
      <c r="E8325" s="13"/>
    </row>
    <row r="8326" spans="1:5" x14ac:dyDescent="0.25">
      <c r="A8326" s="14"/>
      <c r="B8326" s="15"/>
      <c r="C8326" s="16"/>
      <c r="D8326" s="15"/>
      <c r="E8326" s="17"/>
    </row>
    <row r="8327" spans="1:5" x14ac:dyDescent="0.25">
      <c r="A8327" s="10"/>
      <c r="B8327" s="11"/>
      <c r="C8327" s="12"/>
      <c r="D8327" s="11"/>
      <c r="E8327" s="13"/>
    </row>
    <row r="8328" spans="1:5" x14ac:dyDescent="0.25">
      <c r="A8328" s="14"/>
      <c r="B8328" s="15"/>
      <c r="C8328" s="16"/>
      <c r="D8328" s="15"/>
      <c r="E8328" s="17"/>
    </row>
    <row r="8329" spans="1:5" x14ac:dyDescent="0.25">
      <c r="A8329" s="10"/>
      <c r="B8329" s="11"/>
      <c r="C8329" s="12"/>
      <c r="D8329" s="11"/>
      <c r="E8329" s="13"/>
    </row>
    <row r="8330" spans="1:5" x14ac:dyDescent="0.25">
      <c r="A8330" s="14"/>
      <c r="B8330" s="15"/>
      <c r="C8330" s="16"/>
      <c r="D8330" s="15"/>
      <c r="E8330" s="17"/>
    </row>
    <row r="8331" spans="1:5" x14ac:dyDescent="0.25">
      <c r="A8331" s="10"/>
      <c r="B8331" s="11"/>
      <c r="C8331" s="12"/>
      <c r="D8331" s="11"/>
      <c r="E8331" s="13"/>
    </row>
    <row r="8332" spans="1:5" x14ac:dyDescent="0.25">
      <c r="A8332" s="14"/>
      <c r="B8332" s="15"/>
      <c r="C8332" s="16"/>
      <c r="D8332" s="15"/>
      <c r="E8332" s="17"/>
    </row>
    <row r="8333" spans="1:5" x14ac:dyDescent="0.25">
      <c r="A8333" s="10"/>
      <c r="B8333" s="11"/>
      <c r="C8333" s="12"/>
      <c r="D8333" s="11"/>
      <c r="E8333" s="13"/>
    </row>
    <row r="8334" spans="1:5" x14ac:dyDescent="0.25">
      <c r="A8334" s="14"/>
      <c r="B8334" s="15"/>
      <c r="C8334" s="16"/>
      <c r="D8334" s="15"/>
      <c r="E8334" s="17"/>
    </row>
    <row r="8335" spans="1:5" x14ac:dyDescent="0.25">
      <c r="A8335" s="10"/>
      <c r="B8335" s="11"/>
      <c r="C8335" s="12"/>
      <c r="D8335" s="11"/>
      <c r="E8335" s="13"/>
    </row>
    <row r="8336" spans="1:5" x14ac:dyDescent="0.25">
      <c r="A8336" s="14"/>
      <c r="B8336" s="15"/>
      <c r="C8336" s="16"/>
      <c r="D8336" s="15"/>
      <c r="E8336" s="17"/>
    </row>
    <row r="8337" spans="1:5" x14ac:dyDescent="0.25">
      <c r="A8337" s="10"/>
      <c r="B8337" s="11"/>
      <c r="C8337" s="12"/>
      <c r="D8337" s="11"/>
      <c r="E8337" s="13"/>
    </row>
    <row r="8338" spans="1:5" x14ac:dyDescent="0.25">
      <c r="A8338" s="14"/>
      <c r="B8338" s="15"/>
      <c r="C8338" s="16"/>
      <c r="D8338" s="15"/>
      <c r="E8338" s="17"/>
    </row>
    <row r="8339" spans="1:5" x14ac:dyDescent="0.25">
      <c r="A8339" s="10"/>
      <c r="B8339" s="11"/>
      <c r="C8339" s="12"/>
      <c r="D8339" s="11"/>
      <c r="E8339" s="13"/>
    </row>
    <row r="8340" spans="1:5" x14ac:dyDescent="0.25">
      <c r="A8340" s="14"/>
      <c r="B8340" s="15"/>
      <c r="C8340" s="16"/>
      <c r="D8340" s="15"/>
      <c r="E8340" s="17"/>
    </row>
    <row r="8341" spans="1:5" x14ac:dyDescent="0.25">
      <c r="A8341" s="10"/>
      <c r="B8341" s="11"/>
      <c r="C8341" s="12"/>
      <c r="D8341" s="11"/>
      <c r="E8341" s="13"/>
    </row>
    <row r="8342" spans="1:5" x14ac:dyDescent="0.25">
      <c r="A8342" s="14"/>
      <c r="B8342" s="15"/>
      <c r="C8342" s="16"/>
      <c r="D8342" s="15"/>
      <c r="E8342" s="17"/>
    </row>
    <row r="8343" spans="1:5" x14ac:dyDescent="0.25">
      <c r="A8343" s="10"/>
      <c r="B8343" s="11"/>
      <c r="C8343" s="12"/>
      <c r="D8343" s="11"/>
      <c r="E8343" s="13"/>
    </row>
    <row r="8344" spans="1:5" x14ac:dyDescent="0.25">
      <c r="A8344" s="14"/>
      <c r="B8344" s="15"/>
      <c r="C8344" s="16"/>
      <c r="D8344" s="15"/>
      <c r="E8344" s="17"/>
    </row>
    <row r="8345" spans="1:5" x14ac:dyDescent="0.25">
      <c r="A8345" s="10"/>
      <c r="B8345" s="11"/>
      <c r="C8345" s="12"/>
      <c r="D8345" s="11"/>
      <c r="E8345" s="13"/>
    </row>
    <row r="8346" spans="1:5" x14ac:dyDescent="0.25">
      <c r="A8346" s="14"/>
      <c r="B8346" s="15"/>
      <c r="C8346" s="16"/>
      <c r="D8346" s="15"/>
      <c r="E8346" s="17"/>
    </row>
    <row r="8347" spans="1:5" x14ac:dyDescent="0.25">
      <c r="A8347" s="10"/>
      <c r="B8347" s="11"/>
      <c r="C8347" s="12"/>
      <c r="D8347" s="11"/>
      <c r="E8347" s="13"/>
    </row>
    <row r="8348" spans="1:5" x14ac:dyDescent="0.25">
      <c r="A8348" s="14"/>
      <c r="B8348" s="15"/>
      <c r="C8348" s="16"/>
      <c r="D8348" s="15"/>
      <c r="E8348" s="17"/>
    </row>
    <row r="8349" spans="1:5" x14ac:dyDescent="0.25">
      <c r="A8349" s="10"/>
      <c r="B8349" s="11"/>
      <c r="C8349" s="12"/>
      <c r="D8349" s="11"/>
      <c r="E8349" s="13"/>
    </row>
    <row r="8350" spans="1:5" x14ac:dyDescent="0.25">
      <c r="A8350" s="14"/>
      <c r="B8350" s="15"/>
      <c r="C8350" s="16"/>
      <c r="D8350" s="15"/>
      <c r="E8350" s="17"/>
    </row>
    <row r="8351" spans="1:5" x14ac:dyDescent="0.25">
      <c r="A8351" s="10"/>
      <c r="B8351" s="11"/>
      <c r="C8351" s="12"/>
      <c r="D8351" s="11"/>
      <c r="E8351" s="13"/>
    </row>
    <row r="8352" spans="1:5" x14ac:dyDescent="0.25">
      <c r="A8352" s="14"/>
      <c r="B8352" s="15"/>
      <c r="C8352" s="16"/>
      <c r="D8352" s="15"/>
      <c r="E8352" s="17"/>
    </row>
    <row r="8353" spans="1:5" x14ac:dyDescent="0.25">
      <c r="A8353" s="10"/>
      <c r="B8353" s="11"/>
      <c r="C8353" s="12"/>
      <c r="D8353" s="11"/>
      <c r="E8353" s="13"/>
    </row>
    <row r="8354" spans="1:5" x14ac:dyDescent="0.25">
      <c r="A8354" s="14"/>
      <c r="B8354" s="15"/>
      <c r="C8354" s="16"/>
      <c r="D8354" s="15"/>
      <c r="E8354" s="17"/>
    </row>
    <row r="8355" spans="1:5" x14ac:dyDescent="0.25">
      <c r="A8355" s="10"/>
      <c r="B8355" s="11"/>
      <c r="C8355" s="12"/>
      <c r="D8355" s="11"/>
      <c r="E8355" s="13"/>
    </row>
    <row r="8356" spans="1:5" x14ac:dyDescent="0.25">
      <c r="A8356" s="14"/>
      <c r="B8356" s="15"/>
      <c r="C8356" s="16"/>
      <c r="D8356" s="15"/>
      <c r="E8356" s="17"/>
    </row>
    <row r="8357" spans="1:5" x14ac:dyDescent="0.25">
      <c r="A8357" s="10"/>
      <c r="B8357" s="11"/>
      <c r="C8357" s="12"/>
      <c r="D8357" s="11"/>
      <c r="E8357" s="13"/>
    </row>
    <row r="8358" spans="1:5" x14ac:dyDescent="0.25">
      <c r="A8358" s="14"/>
      <c r="B8358" s="15"/>
      <c r="C8358" s="16"/>
      <c r="D8358" s="15"/>
      <c r="E8358" s="17"/>
    </row>
    <row r="8359" spans="1:5" x14ac:dyDescent="0.25">
      <c r="A8359" s="10"/>
      <c r="B8359" s="11"/>
      <c r="C8359" s="12"/>
      <c r="D8359" s="11"/>
      <c r="E8359" s="13"/>
    </row>
    <row r="8360" spans="1:5" x14ac:dyDescent="0.25">
      <c r="A8360" s="14"/>
      <c r="B8360" s="15"/>
      <c r="C8360" s="16"/>
      <c r="D8360" s="15"/>
      <c r="E8360" s="17"/>
    </row>
    <row r="8361" spans="1:5" x14ac:dyDescent="0.25">
      <c r="A8361" s="10"/>
      <c r="B8361" s="11"/>
      <c r="C8361" s="12"/>
      <c r="D8361" s="11"/>
      <c r="E8361" s="13"/>
    </row>
    <row r="8362" spans="1:5" x14ac:dyDescent="0.25">
      <c r="A8362" s="14"/>
      <c r="B8362" s="15"/>
      <c r="C8362" s="16"/>
      <c r="D8362" s="15"/>
      <c r="E8362" s="17"/>
    </row>
    <row r="8363" spans="1:5" x14ac:dyDescent="0.25">
      <c r="A8363" s="10"/>
      <c r="B8363" s="11"/>
      <c r="C8363" s="12"/>
      <c r="D8363" s="11"/>
      <c r="E8363" s="13"/>
    </row>
    <row r="8364" spans="1:5" x14ac:dyDescent="0.25">
      <c r="A8364" s="14"/>
      <c r="B8364" s="15"/>
      <c r="C8364" s="16"/>
      <c r="D8364" s="15"/>
      <c r="E8364" s="17"/>
    </row>
    <row r="8365" spans="1:5" x14ac:dyDescent="0.25">
      <c r="A8365" s="10"/>
      <c r="B8365" s="11"/>
      <c r="C8365" s="12"/>
      <c r="D8365" s="11"/>
      <c r="E8365" s="13"/>
    </row>
    <row r="8366" spans="1:5" x14ac:dyDescent="0.25">
      <c r="A8366" s="14"/>
      <c r="B8366" s="15"/>
      <c r="C8366" s="16"/>
      <c r="D8366" s="15"/>
      <c r="E8366" s="17"/>
    </row>
    <row r="8367" spans="1:5" x14ac:dyDescent="0.25">
      <c r="A8367" s="10"/>
      <c r="B8367" s="11"/>
      <c r="C8367" s="12"/>
      <c r="D8367" s="11"/>
      <c r="E8367" s="13"/>
    </row>
    <row r="8368" spans="1:5" x14ac:dyDescent="0.25">
      <c r="A8368" s="14"/>
      <c r="B8368" s="15"/>
      <c r="C8368" s="16"/>
      <c r="D8368" s="15"/>
      <c r="E8368" s="17"/>
    </row>
    <row r="8369" spans="1:5" x14ac:dyDescent="0.25">
      <c r="A8369" s="10"/>
      <c r="B8369" s="11"/>
      <c r="C8369" s="12"/>
      <c r="D8369" s="11"/>
      <c r="E8369" s="13"/>
    </row>
    <row r="8370" spans="1:5" x14ac:dyDescent="0.25">
      <c r="A8370" s="14"/>
      <c r="B8370" s="15"/>
      <c r="C8370" s="16"/>
      <c r="D8370" s="15"/>
      <c r="E8370" s="17"/>
    </row>
    <row r="8371" spans="1:5" x14ac:dyDescent="0.25">
      <c r="A8371" s="10"/>
      <c r="B8371" s="11"/>
      <c r="C8371" s="12"/>
      <c r="D8371" s="11"/>
      <c r="E8371" s="13"/>
    </row>
    <row r="8372" spans="1:5" x14ac:dyDescent="0.25">
      <c r="A8372" s="14"/>
      <c r="B8372" s="15"/>
      <c r="C8372" s="16"/>
      <c r="D8372" s="15"/>
      <c r="E8372" s="17"/>
    </row>
    <row r="8373" spans="1:5" x14ac:dyDescent="0.25">
      <c r="A8373" s="10"/>
      <c r="B8373" s="11"/>
      <c r="C8373" s="12"/>
      <c r="D8373" s="11"/>
      <c r="E8373" s="13"/>
    </row>
    <row r="8374" spans="1:5" x14ac:dyDescent="0.25">
      <c r="A8374" s="14"/>
      <c r="B8374" s="15"/>
      <c r="C8374" s="16"/>
      <c r="D8374" s="15"/>
      <c r="E8374" s="17"/>
    </row>
    <row r="8375" spans="1:5" x14ac:dyDescent="0.25">
      <c r="A8375" s="10"/>
      <c r="B8375" s="11"/>
      <c r="C8375" s="12"/>
      <c r="D8375" s="11"/>
      <c r="E8375" s="13"/>
    </row>
    <row r="8376" spans="1:5" x14ac:dyDescent="0.25">
      <c r="A8376" s="14"/>
      <c r="B8376" s="15"/>
      <c r="C8376" s="16"/>
      <c r="D8376" s="15"/>
      <c r="E8376" s="17"/>
    </row>
    <row r="8377" spans="1:5" x14ac:dyDescent="0.25">
      <c r="A8377" s="10"/>
      <c r="B8377" s="11"/>
      <c r="C8377" s="12"/>
      <c r="D8377" s="11"/>
      <c r="E8377" s="13"/>
    </row>
    <row r="8378" spans="1:5" x14ac:dyDescent="0.25">
      <c r="A8378" s="14"/>
      <c r="B8378" s="15"/>
      <c r="C8378" s="16"/>
      <c r="D8378" s="15"/>
      <c r="E8378" s="17"/>
    </row>
    <row r="8379" spans="1:5" x14ac:dyDescent="0.25">
      <c r="A8379" s="10"/>
      <c r="B8379" s="11"/>
      <c r="C8379" s="12"/>
      <c r="D8379" s="11"/>
      <c r="E8379" s="13"/>
    </row>
    <row r="8380" spans="1:5" x14ac:dyDescent="0.25">
      <c r="A8380" s="14"/>
      <c r="B8380" s="15"/>
      <c r="C8380" s="16"/>
      <c r="D8380" s="15"/>
      <c r="E8380" s="17"/>
    </row>
    <row r="8381" spans="1:5" x14ac:dyDescent="0.25">
      <c r="A8381" s="10"/>
      <c r="B8381" s="11"/>
      <c r="C8381" s="12"/>
      <c r="D8381" s="11"/>
      <c r="E8381" s="13"/>
    </row>
    <row r="8382" spans="1:5" x14ac:dyDescent="0.25">
      <c r="A8382" s="14"/>
      <c r="B8382" s="15"/>
      <c r="C8382" s="16"/>
      <c r="D8382" s="15"/>
      <c r="E8382" s="17"/>
    </row>
    <row r="8383" spans="1:5" x14ac:dyDescent="0.25">
      <c r="A8383" s="10"/>
      <c r="B8383" s="11"/>
      <c r="C8383" s="12"/>
      <c r="D8383" s="11"/>
      <c r="E8383" s="13"/>
    </row>
    <row r="8384" spans="1:5" x14ac:dyDescent="0.25">
      <c r="A8384" s="14"/>
      <c r="B8384" s="15"/>
      <c r="C8384" s="16"/>
      <c r="D8384" s="15"/>
      <c r="E8384" s="17"/>
    </row>
    <row r="8385" spans="1:5" x14ac:dyDescent="0.25">
      <c r="A8385" s="10"/>
      <c r="B8385" s="11"/>
      <c r="C8385" s="12"/>
      <c r="D8385" s="11"/>
      <c r="E8385" s="13"/>
    </row>
    <row r="8386" spans="1:5" x14ac:dyDescent="0.25">
      <c r="A8386" s="14"/>
      <c r="B8386" s="15"/>
      <c r="C8386" s="16"/>
      <c r="D8386" s="15"/>
      <c r="E8386" s="17"/>
    </row>
    <row r="8387" spans="1:5" x14ac:dyDescent="0.25">
      <c r="A8387" s="10"/>
      <c r="B8387" s="11"/>
      <c r="C8387" s="12"/>
      <c r="D8387" s="11"/>
      <c r="E8387" s="13"/>
    </row>
    <row r="8388" spans="1:5" x14ac:dyDescent="0.25">
      <c r="A8388" s="14"/>
      <c r="B8388" s="15"/>
      <c r="C8388" s="16"/>
      <c r="D8388" s="15"/>
      <c r="E8388" s="17"/>
    </row>
    <row r="8389" spans="1:5" x14ac:dyDescent="0.25">
      <c r="A8389" s="10"/>
      <c r="B8389" s="11"/>
      <c r="C8389" s="12"/>
      <c r="D8389" s="11"/>
      <c r="E8389" s="13"/>
    </row>
    <row r="8390" spans="1:5" x14ac:dyDescent="0.25">
      <c r="A8390" s="14"/>
      <c r="B8390" s="15"/>
      <c r="C8390" s="16"/>
      <c r="D8390" s="15"/>
      <c r="E8390" s="17"/>
    </row>
    <row r="8391" spans="1:5" x14ac:dyDescent="0.25">
      <c r="A8391" s="10"/>
      <c r="B8391" s="11"/>
      <c r="C8391" s="12"/>
      <c r="D8391" s="11"/>
      <c r="E8391" s="13"/>
    </row>
    <row r="8392" spans="1:5" x14ac:dyDescent="0.25">
      <c r="A8392" s="14"/>
      <c r="B8392" s="15"/>
      <c r="C8392" s="16"/>
      <c r="D8392" s="15"/>
      <c r="E8392" s="17"/>
    </row>
    <row r="8393" spans="1:5" x14ac:dyDescent="0.25">
      <c r="A8393" s="10"/>
      <c r="B8393" s="11"/>
      <c r="C8393" s="12"/>
      <c r="D8393" s="11"/>
      <c r="E8393" s="13"/>
    </row>
    <row r="8394" spans="1:5" x14ac:dyDescent="0.25">
      <c r="A8394" s="14"/>
      <c r="B8394" s="15"/>
      <c r="C8394" s="16"/>
      <c r="D8394" s="15"/>
      <c r="E8394" s="17"/>
    </row>
    <row r="8395" spans="1:5" x14ac:dyDescent="0.25">
      <c r="A8395" s="10"/>
      <c r="B8395" s="11"/>
      <c r="C8395" s="12"/>
      <c r="D8395" s="11"/>
      <c r="E8395" s="13"/>
    </row>
    <row r="8396" spans="1:5" x14ac:dyDescent="0.25">
      <c r="A8396" s="14"/>
      <c r="B8396" s="15"/>
      <c r="C8396" s="16"/>
      <c r="D8396" s="15"/>
      <c r="E8396" s="17"/>
    </row>
    <row r="8397" spans="1:5" x14ac:dyDescent="0.25">
      <c r="A8397" s="10"/>
      <c r="B8397" s="11"/>
      <c r="C8397" s="12"/>
      <c r="D8397" s="11"/>
      <c r="E8397" s="13"/>
    </row>
    <row r="8398" spans="1:5" x14ac:dyDescent="0.25">
      <c r="A8398" s="14"/>
      <c r="B8398" s="15"/>
      <c r="C8398" s="16"/>
      <c r="D8398" s="15"/>
      <c r="E8398" s="17"/>
    </row>
    <row r="8399" spans="1:5" x14ac:dyDescent="0.25">
      <c r="A8399" s="10"/>
      <c r="B8399" s="11"/>
      <c r="C8399" s="12"/>
      <c r="D8399" s="11"/>
      <c r="E8399" s="13"/>
    </row>
    <row r="8400" spans="1:5" x14ac:dyDescent="0.25">
      <c r="A8400" s="14"/>
      <c r="B8400" s="15"/>
      <c r="C8400" s="16"/>
      <c r="D8400" s="15"/>
      <c r="E8400" s="17"/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Kalender</vt:lpstr>
      <vt:lpstr>KmKosten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2025-08-18T13:42:26Z</dcterms:created>
  <dcterms:modified xsi:type="dcterms:W3CDTF">2025-08-19T13:31:44Z</dcterms:modified>
</cp:coreProperties>
</file>