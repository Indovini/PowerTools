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inarDozentin\Buchprojekte\4. Bauanleitungen_PowerBI\Dateien\Leserdateien\4Power_Query_Loesungen\"/>
    </mc:Choice>
  </mc:AlternateContent>
  <xr:revisionPtr revIDLastSave="0" documentId="13_ncr:1_{403C2B40-E42A-4E7D-A2F7-19AB82E7FFE2}" xr6:coauthVersionLast="47" xr6:coauthVersionMax="47" xr10:uidLastSave="{00000000-0000-0000-0000-000000000000}"/>
  <bookViews>
    <workbookView xWindow="-27705" yWindow="105" windowWidth="24615" windowHeight="14940" activeTab="2" xr2:uid="{929BBD21-E24A-41A9-8BAE-AF208B798777}"/>
  </bookViews>
  <sheets>
    <sheet name="Lager Istzustand" sheetId="4" r:id="rId1"/>
    <sheet name="Lager Sollzustand" sheetId="1" r:id="rId2"/>
    <sheet name="Zusammenführen1" sheetId="8" r:id="rId3"/>
    <sheet name="Bestellungen" sheetId="7" r:id="rId4"/>
  </sheets>
  <definedNames>
    <definedName name="ExterneDaten_1" localSheetId="2" hidden="1">Zusammenführen1!$A$1:$G$21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2AF7AE-570F-4C23-AC49-03B9177F1B53}" keepAlive="1" name="Abfrage - Alle_Lagerdaten" description="Verbindung mit der Abfrage 'Alle_Lagerdaten' in der Arbeitsmappe." type="5" refreshedVersion="8" background="1" saveData="1">
    <dbPr connection="Provider=Microsoft.Mashup.OleDb.1;Data Source=$Workbook$;Location=Alle_Lagerdaten;Extended Properties=&quot;&quot;" command="SELECT * FROM [Alle_Lagerdaten]"/>
  </connection>
  <connection id="2" xr16:uid="{776A7574-248E-4B0D-9501-DB899434666C}" keepAlive="1" name="Abfrage - tbl_Istbestand" description="Verbindung mit der Abfrage 'tbl_Istbestand' in der Arbeitsmappe." type="5" refreshedVersion="0" background="1">
    <dbPr connection="Provider=Microsoft.Mashup.OleDb.1;Data Source=$Workbook$;Location=tbl_Istbestand;Extended Properties=&quot;&quot;" command="SELECT * FROM [tbl_Istbestand]"/>
  </connection>
  <connection id="3" xr16:uid="{BEA15D4F-4D98-42D9-BFDD-2753CC1A2D20}" keepAlive="1" name="Abfrage - tbl_Sollzustand" description="Verbindung mit der Abfrage 'tbl_Sollzustand' in der Arbeitsmappe." type="5" refreshedVersion="0" background="1">
    <dbPr connection="Provider=Microsoft.Mashup.OleDb.1;Data Source=$Workbook$;Location=tbl_Sollzustand;Extended Properties=&quot;&quot;" command="SELECT * FROM [tbl_Sollzustand]"/>
  </connection>
  <connection id="4" xr16:uid="{7AEE2E60-ABBC-415D-8279-76064FBA5342}" keepAlive="1" name="Abfrage - Zusammenführen1" description="Verbindung mit der Abfrage 'Zusammenführen1' in der Arbeitsmappe." type="5" refreshedVersion="8" background="1" saveData="1">
    <dbPr connection="Provider=Microsoft.Mashup.OleDb.1;Data Source=$Workbook$;Location=Zusammenführen1;Extended Properties=&quot;&quot;" command="SELECT * FROM [Zusammenführen1]"/>
  </connection>
</connections>
</file>

<file path=xl/sharedStrings.xml><?xml version="1.0" encoding="utf-8"?>
<sst xmlns="http://schemas.openxmlformats.org/spreadsheetml/2006/main" count="202" uniqueCount="54">
  <si>
    <t>Nr.</t>
  </si>
  <si>
    <t>Artikelnummer</t>
  </si>
  <si>
    <t>Artikelbezeichnung</t>
  </si>
  <si>
    <t>Lagerbestand</t>
  </si>
  <si>
    <t>A-1001</t>
  </si>
  <si>
    <t>Kugelschreiber Blau</t>
  </si>
  <si>
    <t>A-1002</t>
  </si>
  <si>
    <t>Notizbuch DIN A5 Kariert</t>
  </si>
  <si>
    <t>A-1003</t>
  </si>
  <si>
    <t>USB-Stick 32 GB</t>
  </si>
  <si>
    <t>A-1004</t>
  </si>
  <si>
    <t>Ordner 80mm Schwarz</t>
  </si>
  <si>
    <t>A-1005</t>
  </si>
  <si>
    <t>Druckerpapier A4 (500 Blatt)</t>
  </si>
  <si>
    <t>A-1006</t>
  </si>
  <si>
    <t>Briefumschläge C5</t>
  </si>
  <si>
    <t>A-1007</t>
  </si>
  <si>
    <t>Bleistift HB</t>
  </si>
  <si>
    <t>A-1008</t>
  </si>
  <si>
    <t>Textmarker Gelb</t>
  </si>
  <si>
    <t>A-1009</t>
  </si>
  <si>
    <t>Klebeband Transparent</t>
  </si>
  <si>
    <t>A-1010</t>
  </si>
  <si>
    <t>Schere 21 cm</t>
  </si>
  <si>
    <t>A-1011</t>
  </si>
  <si>
    <t>Taschenrechner Solar</t>
  </si>
  <si>
    <t>A-1012</t>
  </si>
  <si>
    <t>Whiteboard-Marker Set (4 Farben)</t>
  </si>
  <si>
    <t>A-1013</t>
  </si>
  <si>
    <t>Aktenvernichter</t>
  </si>
  <si>
    <t>A-1014</t>
  </si>
  <si>
    <t>Locher Metall</t>
  </si>
  <si>
    <t>A-1015</t>
  </si>
  <si>
    <t>Heftgerät Standard</t>
  </si>
  <si>
    <t>A-1016</t>
  </si>
  <si>
    <t>Monitor 24 Zoll</t>
  </si>
  <si>
    <t>A-1017</t>
  </si>
  <si>
    <t>Mauspad Schwarz</t>
  </si>
  <si>
    <t>A-1018</t>
  </si>
  <si>
    <t>USB-C Kabel 1m</t>
  </si>
  <si>
    <t>A-1019</t>
  </si>
  <si>
    <t>Tastatur Kabellos</t>
  </si>
  <si>
    <t>A-1020</t>
  </si>
  <si>
    <t>Kaffeebecher Keramik</t>
  </si>
  <si>
    <t>Ist</t>
  </si>
  <si>
    <t>Soll</t>
  </si>
  <si>
    <t xml:space="preserve"> </t>
  </si>
  <si>
    <t>Artikelbezeichnungen</t>
  </si>
  <si>
    <t xml:space="preserve"> Lagerbestand</t>
  </si>
  <si>
    <t>Differenz</t>
  </si>
  <si>
    <t>✔</t>
  </si>
  <si>
    <t>Lagerzustand</t>
  </si>
  <si>
    <t>Lagerbestand_Ist</t>
  </si>
  <si>
    <t>Lagerzustand_Ist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</si>
</sst>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_-;\-* #,##0_-;_-* &quot;-&quot;??_-;_-@_-"/>
  </numFmts>
  <fonts count="4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8"/>
      <color theme="1"/>
      <name val="Calibri"/>
      <family val="2"/>
    </font>
    <font>
      <sz val="18"/>
      <color theme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pivotButton="1" applyFont="1"/>
    <xf numFmtId="0" fontId="1" fillId="0" borderId="0" xfId="0" applyFont="1" applyAlignment="1">
      <alignment horizontal="right"/>
    </xf>
    <xf numFmtId="0" fontId="3" fillId="0" borderId="0" xfId="0" applyFont="1"/>
  </cellXfs>
  <cellStyles count="1">
    <cellStyle name="Standard" xfId="0" builtinId="0"/>
  </cellStyles>
  <dxfs count="14">
    <dxf>
      <font>
        <sz val="18"/>
      </font>
    </dxf>
    <dxf>
      <alignment horizontal="right"/>
    </dxf>
    <dxf>
      <numFmt numFmtId="164" formatCode="_-* #,##0_-;\-* #,##0_-;_-* &quot;-&quot;??_-;_-@_-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66C4DF68-9E04-4560-AB3E-954D262EF4B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ike Hofert" refreshedDate="45954.559875810184" backgroundQuery="1" createdVersion="8" refreshedVersion="8" minRefreshableVersion="3" recordCount="40" xr:uid="{BA4C330B-9BD7-43B0-B755-BECC51A15744}">
  <cacheSource type="external" connectionId="1"/>
  <cacheFields count="5">
    <cacheField name="Nr." numFmtId="0">
      <sharedItems containsSemiMixedTypes="0" containsString="0" containsNumber="1" containsInteger="1" minValue="1" maxValue="20" count="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</cacheField>
    <cacheField name="Artikelnummer" numFmtId="0">
      <sharedItems count="20">
        <s v="A-1001"/>
        <s v="A-1002"/>
        <s v="A-1003"/>
        <s v="A-1004"/>
        <s v="A-1005"/>
        <s v="A-1006"/>
        <s v="A-1007"/>
        <s v="A-1008"/>
        <s v="A-1009"/>
        <s v="A-1010"/>
        <s v="A-1011"/>
        <s v="A-1012"/>
        <s v="A-1013"/>
        <s v="A-1014"/>
        <s v="A-1015"/>
        <s v="A-1016"/>
        <s v="A-1017"/>
        <s v="A-1018"/>
        <s v="A-1019"/>
        <s v="A-1020"/>
      </sharedItems>
    </cacheField>
    <cacheField name="Artikelbezeichnung" numFmtId="0">
      <sharedItems count="20">
        <s v="Kugelschreiber Blau"/>
        <s v="Notizbuch DIN A5 Kariert"/>
        <s v="USB-Stick 32 GB"/>
        <s v="Ordner 80mm Schwarz"/>
        <s v="Druckerpapier A4 (500 Blatt)"/>
        <s v="Briefumschläge C5"/>
        <s v="Bleistift HB"/>
        <s v="Textmarker Gelb"/>
        <s v="Klebeband Transparent"/>
        <s v="Schere 21 cm"/>
        <s v="Taschenrechner Solar"/>
        <s v="Whiteboard-Marker Set (4 Farben)"/>
        <s v="Aktenvernichter"/>
        <s v="Locher Metall"/>
        <s v="Heftgerät Standard"/>
        <s v="Monitor 24 Zoll"/>
        <s v="Mauspad Schwarz"/>
        <s v="USB-C Kabel 1m"/>
        <s v="Tastatur Kabellos"/>
        <s v="Kaffeebecher Keramik"/>
      </sharedItems>
    </cacheField>
    <cacheField name="Lagerbestand" numFmtId="0">
      <sharedItems containsSemiMixedTypes="0" containsString="0" containsNumber="1" containsInteger="1" minValue="47" maxValue="1500" count="27">
        <n v="842"/>
        <n v="376"/>
        <n v="158"/>
        <n v="421"/>
        <n v="912"/>
        <n v="734"/>
        <n v="519"/>
        <n v="267"/>
        <n v="689"/>
        <n v="198"/>
        <n v="115"/>
        <n v="326"/>
        <n v="54"/>
        <n v="87"/>
        <n v="203"/>
        <n v="47"/>
        <n v="629"/>
        <n v="438"/>
        <n v="92"/>
        <n v="571"/>
        <n v="1000"/>
        <n v="500"/>
        <n v="200"/>
        <n v="1500"/>
        <n v="800"/>
        <n v="150"/>
        <n v="650"/>
      </sharedItems>
    </cacheField>
    <cacheField name="Lagerzustand" numFmtId="0">
      <sharedItems count="2">
        <s v="Ist"/>
        <s v="Sol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x v="0"/>
    <x v="0"/>
    <x v="0"/>
  </r>
  <r>
    <x v="1"/>
    <x v="1"/>
    <x v="1"/>
    <x v="1"/>
    <x v="0"/>
  </r>
  <r>
    <x v="2"/>
    <x v="2"/>
    <x v="2"/>
    <x v="2"/>
    <x v="0"/>
  </r>
  <r>
    <x v="3"/>
    <x v="3"/>
    <x v="3"/>
    <x v="3"/>
    <x v="0"/>
  </r>
  <r>
    <x v="4"/>
    <x v="4"/>
    <x v="4"/>
    <x v="4"/>
    <x v="0"/>
  </r>
  <r>
    <x v="5"/>
    <x v="5"/>
    <x v="5"/>
    <x v="5"/>
    <x v="0"/>
  </r>
  <r>
    <x v="6"/>
    <x v="6"/>
    <x v="6"/>
    <x v="6"/>
    <x v="0"/>
  </r>
  <r>
    <x v="7"/>
    <x v="7"/>
    <x v="7"/>
    <x v="7"/>
    <x v="0"/>
  </r>
  <r>
    <x v="8"/>
    <x v="8"/>
    <x v="8"/>
    <x v="8"/>
    <x v="0"/>
  </r>
  <r>
    <x v="9"/>
    <x v="9"/>
    <x v="9"/>
    <x v="9"/>
    <x v="0"/>
  </r>
  <r>
    <x v="10"/>
    <x v="10"/>
    <x v="10"/>
    <x v="10"/>
    <x v="0"/>
  </r>
  <r>
    <x v="11"/>
    <x v="11"/>
    <x v="11"/>
    <x v="11"/>
    <x v="0"/>
  </r>
  <r>
    <x v="12"/>
    <x v="12"/>
    <x v="12"/>
    <x v="12"/>
    <x v="0"/>
  </r>
  <r>
    <x v="13"/>
    <x v="13"/>
    <x v="13"/>
    <x v="13"/>
    <x v="0"/>
  </r>
  <r>
    <x v="14"/>
    <x v="14"/>
    <x v="14"/>
    <x v="14"/>
    <x v="0"/>
  </r>
  <r>
    <x v="15"/>
    <x v="15"/>
    <x v="15"/>
    <x v="15"/>
    <x v="0"/>
  </r>
  <r>
    <x v="16"/>
    <x v="16"/>
    <x v="16"/>
    <x v="16"/>
    <x v="0"/>
  </r>
  <r>
    <x v="17"/>
    <x v="17"/>
    <x v="17"/>
    <x v="17"/>
    <x v="0"/>
  </r>
  <r>
    <x v="18"/>
    <x v="18"/>
    <x v="18"/>
    <x v="18"/>
    <x v="0"/>
  </r>
  <r>
    <x v="19"/>
    <x v="19"/>
    <x v="19"/>
    <x v="19"/>
    <x v="0"/>
  </r>
  <r>
    <x v="0"/>
    <x v="0"/>
    <x v="0"/>
    <x v="20"/>
    <x v="1"/>
  </r>
  <r>
    <x v="1"/>
    <x v="1"/>
    <x v="1"/>
    <x v="21"/>
    <x v="1"/>
  </r>
  <r>
    <x v="2"/>
    <x v="2"/>
    <x v="2"/>
    <x v="22"/>
    <x v="1"/>
  </r>
  <r>
    <x v="3"/>
    <x v="3"/>
    <x v="3"/>
    <x v="20"/>
    <x v="1"/>
  </r>
  <r>
    <x v="4"/>
    <x v="4"/>
    <x v="4"/>
    <x v="23"/>
    <x v="1"/>
  </r>
  <r>
    <x v="5"/>
    <x v="5"/>
    <x v="5"/>
    <x v="20"/>
    <x v="1"/>
  </r>
  <r>
    <x v="6"/>
    <x v="6"/>
    <x v="6"/>
    <x v="20"/>
    <x v="1"/>
  </r>
  <r>
    <x v="7"/>
    <x v="7"/>
    <x v="7"/>
    <x v="21"/>
    <x v="1"/>
  </r>
  <r>
    <x v="8"/>
    <x v="8"/>
    <x v="8"/>
    <x v="20"/>
    <x v="1"/>
  </r>
  <r>
    <x v="9"/>
    <x v="9"/>
    <x v="9"/>
    <x v="21"/>
    <x v="1"/>
  </r>
  <r>
    <x v="10"/>
    <x v="10"/>
    <x v="10"/>
    <x v="22"/>
    <x v="1"/>
  </r>
  <r>
    <x v="11"/>
    <x v="11"/>
    <x v="11"/>
    <x v="24"/>
    <x v="1"/>
  </r>
  <r>
    <x v="12"/>
    <x v="12"/>
    <x v="12"/>
    <x v="25"/>
    <x v="1"/>
  </r>
  <r>
    <x v="13"/>
    <x v="13"/>
    <x v="13"/>
    <x v="21"/>
    <x v="1"/>
  </r>
  <r>
    <x v="14"/>
    <x v="14"/>
    <x v="14"/>
    <x v="21"/>
    <x v="1"/>
  </r>
  <r>
    <x v="15"/>
    <x v="15"/>
    <x v="15"/>
    <x v="22"/>
    <x v="1"/>
  </r>
  <r>
    <x v="16"/>
    <x v="16"/>
    <x v="16"/>
    <x v="26"/>
    <x v="1"/>
  </r>
  <r>
    <x v="17"/>
    <x v="17"/>
    <x v="17"/>
    <x v="21"/>
    <x v="1"/>
  </r>
  <r>
    <x v="18"/>
    <x v="18"/>
    <x v="18"/>
    <x v="21"/>
    <x v="1"/>
  </r>
  <r>
    <x v="19"/>
    <x v="19"/>
    <x v="19"/>
    <x v="2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2E539-93FE-4646-B522-08B33388F0A9}" name="piv_Lagerbestand" cacheId="0" applyNumberFormats="0" applyBorderFormats="0" applyFontFormats="0" applyPatternFormats="0" applyAlignmentFormats="0" applyWidthHeightFormats="1" dataCaption="Werte" grandTotalCaption="Gesamt" updatedVersion="8" minRefreshableVersion="3" rowGrandTotals="0" colGrandTotals="0" itemPrintTitles="1" createdVersion="8" indent="0" outline="1" outlineData="1" multipleFieldFilters="0" rowHeaderCaption="Artikelbezeichnungen" colHeaderCaption=" " fieldListSortAscending="1">
  <location ref="A1:C22" firstHeaderRow="1" firstDataRow="2" firstDataCol="1"/>
  <pivotFields count="5"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>
      <items count="21">
        <item x="12"/>
        <item x="6"/>
        <item x="5"/>
        <item x="4"/>
        <item x="14"/>
        <item x="19"/>
        <item x="8"/>
        <item x="0"/>
        <item x="13"/>
        <item x="16"/>
        <item x="15"/>
        <item x="1"/>
        <item x="3"/>
        <item x="9"/>
        <item x="10"/>
        <item x="18"/>
        <item x="7"/>
        <item x="17"/>
        <item x="2"/>
        <item x="11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rowItems>
  <colFields count="1">
    <field x="4"/>
  </colFields>
  <colItems count="2">
    <i>
      <x/>
    </i>
    <i>
      <x v="1"/>
    </i>
  </colItems>
  <dataFields count="1">
    <dataField name=" Lagerbestand" fld="3" showDataAs="difference" baseField="4" baseItem="0"/>
  </dataFields>
  <formats count="3">
    <format dxfId="2">
      <pivotArea outline="0" collapsedLevelsAreSubtotals="1" fieldPosition="0"/>
    </format>
    <format dxfId="1">
      <pivotArea dataOnly="0" labelOnly="1" grandCol="1" outline="0" fieldPosition="0"/>
    </format>
    <format dxfId="0">
      <pivotArea type="origi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" xr16:uid="{76249EB4-D8A3-4315-BE80-B024E8F1882B}" autoFormatId="16" applyNumberFormats="0" applyBorderFormats="0" applyFontFormats="0" applyPatternFormats="0" applyAlignmentFormats="0" applyWidthHeightFormats="0">
  <queryTableRefresh nextId="8">
    <queryTableFields count="7">
      <queryTableField id="1" name="Nr." tableColumnId="1"/>
      <queryTableField id="2" name="Artikelnummer" tableColumnId="2"/>
      <queryTableField id="3" name="Artikelbezeichnung" tableColumnId="3"/>
      <queryTableField id="4" name="Lagerbestand" tableColumnId="4"/>
      <queryTableField id="5" name="Lagerzustand" tableColumnId="5"/>
      <queryTableField id="6" name="Lagerbestand_Ist" tableColumnId="6"/>
      <queryTableField id="7" name="Lagerzustand_Ist" tableColumnId="7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43F912-4EF7-430E-9096-10C94C050FB2}" name="tbl_Istbestand" displayName="tbl_Istbestand" ref="A1:D21" totalsRowShown="0" headerRowDxfId="13" dataDxfId="12">
  <autoFilter ref="A1:D21" xr:uid="{3D43F912-4EF7-430E-9096-10C94C050FB2}"/>
  <tableColumns count="4">
    <tableColumn id="1" xr3:uid="{CF741BC5-1274-40B4-B33B-6795F7840246}" name="Nr." dataDxfId="11"/>
    <tableColumn id="2" xr3:uid="{9552F4AF-6FFD-42ED-BDAF-3AA1658967AF}" name="Artikelnummer" dataDxfId="10"/>
    <tableColumn id="3" xr3:uid="{E44F7A06-337A-4D48-84B0-E77D4B3F2775}" name="Artikelbezeichnung" dataDxfId="9"/>
    <tableColumn id="4" xr3:uid="{F7D15890-5142-4FB7-9C84-C724D3FA913A}" name="Lagerbestand" dataDxfId="8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68EDFD-5CCA-4BFE-8133-6ED9596BA8CD}" name="tbl_Sollzustand" displayName="tbl_Sollzustand" ref="A1:D21" totalsRowShown="0" headerRowDxfId="7" dataDxfId="6">
  <autoFilter ref="A1:D21" xr:uid="{D568EDFD-5CCA-4BFE-8133-6ED9596BA8CD}"/>
  <tableColumns count="4">
    <tableColumn id="1" xr3:uid="{22E4B273-6AE3-4BFF-A09B-E4FA8B1689D3}" name="Nr." dataDxfId="5"/>
    <tableColumn id="2" xr3:uid="{7F4F03A3-A54C-4280-BB75-7F12948F1BA6}" name="Artikelnummer" dataDxfId="4"/>
    <tableColumn id="3" xr3:uid="{4244B0AC-E9F2-4545-83EE-5A92F3FC3644}" name="Artikelbezeichnung" dataDxfId="3"/>
    <tableColumn id="4" xr3:uid="{F4370B83-2E8B-40A5-BD99-EE45F498A0DE}" name="Lagerbestand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376B00-4A59-4D21-979F-0B8B09D434E0}" name="Zusammenführen1" displayName="Zusammenführen1" ref="A1:G21" tableType="queryTable" totalsRowShown="0">
  <autoFilter ref="A1:G21" xr:uid="{EB376B00-4A59-4D21-979F-0B8B09D434E0}"/>
  <tableColumns count="7">
    <tableColumn id="1" xr3:uid="{8B796AA6-239B-4FED-ADAD-F736963CAEA1}" uniqueName="1" name="Nr." queryTableFieldId="1"/>
    <tableColumn id="2" xr3:uid="{4D7A83E0-69A1-4F58-8AA8-7C639BBD5D54}" uniqueName="2" name="Artikelnummer" queryTableFieldId="2"/>
    <tableColumn id="3" xr3:uid="{969E8AB5-EACF-4D13-92F5-CCAD9487834B}" uniqueName="3" name="Artikelbezeichnung" queryTableFieldId="3"/>
    <tableColumn id="4" xr3:uid="{EC0FDE87-7EB0-40E9-AB41-0DB856B54A1E}" uniqueName="4" name="Lagerbestand" queryTableFieldId="4"/>
    <tableColumn id="5" xr3:uid="{4D37D249-6838-42D8-B6A0-F9905E1AA8EA}" uniqueName="5" name="Lagerzustand" queryTableFieldId="5"/>
    <tableColumn id="6" xr3:uid="{70E60708-05F3-4547-B592-F283694000CA}" uniqueName="6" name="Lagerbestand_Ist" queryTableFieldId="6"/>
    <tableColumn id="7" xr3:uid="{6CC414A6-1886-4CAA-9879-9C831FAFC1A8}" uniqueName="7" name="Lagerzustand_Is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848FD-BFA1-4227-A4F5-0583387051DF}">
  <dimension ref="A1:D21"/>
  <sheetViews>
    <sheetView workbookViewId="0">
      <selection activeCell="C9" sqref="C9"/>
    </sheetView>
  </sheetViews>
  <sheetFormatPr baseColWidth="10" defaultRowHeight="15.75" x14ac:dyDescent="0.25"/>
  <cols>
    <col min="1" max="1" width="6.625" customWidth="1"/>
    <col min="2" max="2" width="15.75" customWidth="1"/>
    <col min="3" max="3" width="33.5" customWidth="1"/>
    <col min="4" max="4" width="15.8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1" t="s">
        <v>4</v>
      </c>
      <c r="C2" s="1" t="s">
        <v>5</v>
      </c>
      <c r="D2" s="1">
        <v>842</v>
      </c>
    </row>
    <row r="3" spans="1:4" x14ac:dyDescent="0.25">
      <c r="A3" s="1">
        <v>2</v>
      </c>
      <c r="B3" s="1" t="s">
        <v>6</v>
      </c>
      <c r="C3" s="1" t="s">
        <v>7</v>
      </c>
      <c r="D3" s="1">
        <v>376</v>
      </c>
    </row>
    <row r="4" spans="1:4" x14ac:dyDescent="0.25">
      <c r="A4" s="1">
        <v>3</v>
      </c>
      <c r="B4" s="1" t="s">
        <v>8</v>
      </c>
      <c r="C4" s="1" t="s">
        <v>9</v>
      </c>
      <c r="D4" s="1">
        <v>158</v>
      </c>
    </row>
    <row r="5" spans="1:4" x14ac:dyDescent="0.25">
      <c r="A5" s="1">
        <v>4</v>
      </c>
      <c r="B5" s="1" t="s">
        <v>10</v>
      </c>
      <c r="C5" s="1" t="s">
        <v>11</v>
      </c>
      <c r="D5" s="1">
        <v>421</v>
      </c>
    </row>
    <row r="6" spans="1:4" x14ac:dyDescent="0.25">
      <c r="A6" s="1">
        <v>5</v>
      </c>
      <c r="B6" s="1" t="s">
        <v>12</v>
      </c>
      <c r="C6" s="1" t="s">
        <v>13</v>
      </c>
      <c r="D6" s="1">
        <v>912</v>
      </c>
    </row>
    <row r="7" spans="1:4" x14ac:dyDescent="0.25">
      <c r="A7" s="1">
        <v>6</v>
      </c>
      <c r="B7" s="1" t="s">
        <v>14</v>
      </c>
      <c r="C7" s="1" t="s">
        <v>15</v>
      </c>
      <c r="D7" s="1">
        <v>734</v>
      </c>
    </row>
    <row r="8" spans="1:4" x14ac:dyDescent="0.25">
      <c r="A8" s="1">
        <v>7</v>
      </c>
      <c r="B8" s="1" t="s">
        <v>16</v>
      </c>
      <c r="C8" s="1" t="s">
        <v>17</v>
      </c>
      <c r="D8" s="1">
        <v>519</v>
      </c>
    </row>
    <row r="9" spans="1:4" x14ac:dyDescent="0.25">
      <c r="A9" s="1">
        <v>8</v>
      </c>
      <c r="B9" s="1" t="s">
        <v>18</v>
      </c>
      <c r="C9" s="1" t="s">
        <v>19</v>
      </c>
      <c r="D9" s="1">
        <v>267</v>
      </c>
    </row>
    <row r="10" spans="1:4" x14ac:dyDescent="0.25">
      <c r="A10" s="1">
        <v>9</v>
      </c>
      <c r="B10" s="1" t="s">
        <v>20</v>
      </c>
      <c r="C10" s="1" t="s">
        <v>21</v>
      </c>
      <c r="D10" s="1">
        <v>689</v>
      </c>
    </row>
    <row r="11" spans="1:4" x14ac:dyDescent="0.25">
      <c r="A11" s="1">
        <v>10</v>
      </c>
      <c r="B11" s="1" t="s">
        <v>22</v>
      </c>
      <c r="C11" s="1" t="s">
        <v>23</v>
      </c>
      <c r="D11" s="1">
        <v>198</v>
      </c>
    </row>
    <row r="12" spans="1:4" x14ac:dyDescent="0.25">
      <c r="A12" s="1">
        <v>11</v>
      </c>
      <c r="B12" s="1" t="s">
        <v>24</v>
      </c>
      <c r="C12" s="1" t="s">
        <v>25</v>
      </c>
      <c r="D12" s="1">
        <v>115</v>
      </c>
    </row>
    <row r="13" spans="1:4" x14ac:dyDescent="0.25">
      <c r="A13" s="1">
        <v>12</v>
      </c>
      <c r="B13" s="1" t="s">
        <v>26</v>
      </c>
      <c r="C13" s="1" t="s">
        <v>27</v>
      </c>
      <c r="D13" s="1">
        <v>326</v>
      </c>
    </row>
    <row r="14" spans="1:4" x14ac:dyDescent="0.25">
      <c r="A14" s="1">
        <v>13</v>
      </c>
      <c r="B14" s="1" t="s">
        <v>28</v>
      </c>
      <c r="C14" s="1" t="s">
        <v>29</v>
      </c>
      <c r="D14" s="1">
        <v>54</v>
      </c>
    </row>
    <row r="15" spans="1:4" x14ac:dyDescent="0.25">
      <c r="A15" s="1">
        <v>14</v>
      </c>
      <c r="B15" s="1" t="s">
        <v>30</v>
      </c>
      <c r="C15" s="1" t="s">
        <v>31</v>
      </c>
      <c r="D15" s="1">
        <v>87</v>
      </c>
    </row>
    <row r="16" spans="1:4" x14ac:dyDescent="0.25">
      <c r="A16" s="1">
        <v>15</v>
      </c>
      <c r="B16" s="1" t="s">
        <v>32</v>
      </c>
      <c r="C16" s="1" t="s">
        <v>33</v>
      </c>
      <c r="D16" s="1">
        <v>203</v>
      </c>
    </row>
    <row r="17" spans="1:4" x14ac:dyDescent="0.25">
      <c r="A17" s="1">
        <v>16</v>
      </c>
      <c r="B17" s="1" t="s">
        <v>34</v>
      </c>
      <c r="C17" s="1" t="s">
        <v>35</v>
      </c>
      <c r="D17" s="1">
        <v>47</v>
      </c>
    </row>
    <row r="18" spans="1:4" x14ac:dyDescent="0.25">
      <c r="A18" s="1">
        <v>17</v>
      </c>
      <c r="B18" s="1" t="s">
        <v>36</v>
      </c>
      <c r="C18" s="1" t="s">
        <v>37</v>
      </c>
      <c r="D18" s="1">
        <v>629</v>
      </c>
    </row>
    <row r="19" spans="1:4" x14ac:dyDescent="0.25">
      <c r="A19" s="1">
        <v>18</v>
      </c>
      <c r="B19" s="1" t="s">
        <v>38</v>
      </c>
      <c r="C19" s="1" t="s">
        <v>39</v>
      </c>
      <c r="D19" s="1">
        <v>438</v>
      </c>
    </row>
    <row r="20" spans="1:4" x14ac:dyDescent="0.25">
      <c r="A20" s="1">
        <v>19</v>
      </c>
      <c r="B20" s="1" t="s">
        <v>40</v>
      </c>
      <c r="C20" s="1" t="s">
        <v>41</v>
      </c>
      <c r="D20" s="1">
        <v>92</v>
      </c>
    </row>
    <row r="21" spans="1:4" x14ac:dyDescent="0.25">
      <c r="A21" s="1">
        <v>20</v>
      </c>
      <c r="B21" s="1" t="s">
        <v>42</v>
      </c>
      <c r="C21" s="1" t="s">
        <v>43</v>
      </c>
      <c r="D21" s="1">
        <v>571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2112B-39D4-4945-8E86-B5BE288E2F21}">
  <dimension ref="A1:D21"/>
  <sheetViews>
    <sheetView workbookViewId="0">
      <selection activeCell="C6" sqref="C6"/>
    </sheetView>
  </sheetViews>
  <sheetFormatPr baseColWidth="10" defaultRowHeight="15.75" x14ac:dyDescent="0.25"/>
  <cols>
    <col min="1" max="1" width="6.625" customWidth="1"/>
    <col min="2" max="2" width="15.75" customWidth="1"/>
    <col min="3" max="3" width="33.5" customWidth="1"/>
    <col min="4" max="4" width="15.8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1" t="s">
        <v>4</v>
      </c>
      <c r="C2" s="1" t="s">
        <v>5</v>
      </c>
      <c r="D2">
        <v>1000</v>
      </c>
    </row>
    <row r="3" spans="1:4" x14ac:dyDescent="0.25">
      <c r="A3" s="1">
        <v>2</v>
      </c>
      <c r="B3" s="1" t="s">
        <v>6</v>
      </c>
      <c r="C3" s="1" t="s">
        <v>7</v>
      </c>
      <c r="D3">
        <v>500</v>
      </c>
    </row>
    <row r="4" spans="1:4" x14ac:dyDescent="0.25">
      <c r="A4" s="1">
        <v>3</v>
      </c>
      <c r="B4" s="1" t="s">
        <v>8</v>
      </c>
      <c r="C4" s="1" t="s">
        <v>9</v>
      </c>
      <c r="D4">
        <v>200</v>
      </c>
    </row>
    <row r="5" spans="1:4" x14ac:dyDescent="0.25">
      <c r="A5" s="1">
        <v>4</v>
      </c>
      <c r="B5" s="1" t="s">
        <v>10</v>
      </c>
      <c r="C5" s="1" t="s">
        <v>11</v>
      </c>
      <c r="D5">
        <v>1000</v>
      </c>
    </row>
    <row r="6" spans="1:4" x14ac:dyDescent="0.25">
      <c r="A6" s="1">
        <v>5</v>
      </c>
      <c r="B6" s="1" t="s">
        <v>12</v>
      </c>
      <c r="C6" s="1" t="s">
        <v>13</v>
      </c>
      <c r="D6">
        <v>1500</v>
      </c>
    </row>
    <row r="7" spans="1:4" x14ac:dyDescent="0.25">
      <c r="A7" s="1">
        <v>6</v>
      </c>
      <c r="B7" s="1" t="s">
        <v>14</v>
      </c>
      <c r="C7" s="1" t="s">
        <v>15</v>
      </c>
      <c r="D7">
        <v>1000</v>
      </c>
    </row>
    <row r="8" spans="1:4" x14ac:dyDescent="0.25">
      <c r="A8" s="1">
        <v>7</v>
      </c>
      <c r="B8" s="1" t="s">
        <v>16</v>
      </c>
      <c r="C8" s="1" t="s">
        <v>17</v>
      </c>
      <c r="D8">
        <v>1000</v>
      </c>
    </row>
    <row r="9" spans="1:4" x14ac:dyDescent="0.25">
      <c r="A9" s="1">
        <v>8</v>
      </c>
      <c r="B9" s="1" t="s">
        <v>18</v>
      </c>
      <c r="C9" s="1" t="s">
        <v>19</v>
      </c>
      <c r="D9">
        <v>500</v>
      </c>
    </row>
    <row r="10" spans="1:4" x14ac:dyDescent="0.25">
      <c r="A10" s="1">
        <v>9</v>
      </c>
      <c r="B10" s="1" t="s">
        <v>20</v>
      </c>
      <c r="C10" s="1" t="s">
        <v>21</v>
      </c>
      <c r="D10">
        <v>1000</v>
      </c>
    </row>
    <row r="11" spans="1:4" x14ac:dyDescent="0.25">
      <c r="A11" s="1">
        <v>10</v>
      </c>
      <c r="B11" s="1" t="s">
        <v>22</v>
      </c>
      <c r="C11" s="1" t="s">
        <v>23</v>
      </c>
      <c r="D11">
        <v>500</v>
      </c>
    </row>
    <row r="12" spans="1:4" x14ac:dyDescent="0.25">
      <c r="A12" s="1">
        <v>11</v>
      </c>
      <c r="B12" s="1" t="s">
        <v>24</v>
      </c>
      <c r="C12" s="1" t="s">
        <v>25</v>
      </c>
      <c r="D12">
        <v>200</v>
      </c>
    </row>
    <row r="13" spans="1:4" x14ac:dyDescent="0.25">
      <c r="A13" s="1">
        <v>12</v>
      </c>
      <c r="B13" s="1" t="s">
        <v>26</v>
      </c>
      <c r="C13" s="1" t="s">
        <v>27</v>
      </c>
      <c r="D13">
        <v>800</v>
      </c>
    </row>
    <row r="14" spans="1:4" x14ac:dyDescent="0.25">
      <c r="A14" s="1">
        <v>13</v>
      </c>
      <c r="B14" s="1" t="s">
        <v>28</v>
      </c>
      <c r="C14" s="1" t="s">
        <v>29</v>
      </c>
      <c r="D14">
        <v>150</v>
      </c>
    </row>
    <row r="15" spans="1:4" x14ac:dyDescent="0.25">
      <c r="A15" s="1">
        <v>14</v>
      </c>
      <c r="B15" s="1" t="s">
        <v>30</v>
      </c>
      <c r="C15" s="1" t="s">
        <v>31</v>
      </c>
      <c r="D15">
        <v>500</v>
      </c>
    </row>
    <row r="16" spans="1:4" x14ac:dyDescent="0.25">
      <c r="A16" s="1">
        <v>15</v>
      </c>
      <c r="B16" s="1" t="s">
        <v>32</v>
      </c>
      <c r="C16" s="1" t="s">
        <v>33</v>
      </c>
      <c r="D16">
        <v>500</v>
      </c>
    </row>
    <row r="17" spans="1:4" x14ac:dyDescent="0.25">
      <c r="A17" s="1">
        <v>16</v>
      </c>
      <c r="B17" s="1" t="s">
        <v>34</v>
      </c>
      <c r="C17" s="1" t="s">
        <v>35</v>
      </c>
      <c r="D17">
        <v>200</v>
      </c>
    </row>
    <row r="18" spans="1:4" x14ac:dyDescent="0.25">
      <c r="A18" s="1">
        <v>17</v>
      </c>
      <c r="B18" s="1" t="s">
        <v>36</v>
      </c>
      <c r="C18" s="1" t="s">
        <v>37</v>
      </c>
      <c r="D18">
        <v>650</v>
      </c>
    </row>
    <row r="19" spans="1:4" x14ac:dyDescent="0.25">
      <c r="A19" s="1">
        <v>18</v>
      </c>
      <c r="B19" s="1" t="s">
        <v>38</v>
      </c>
      <c r="C19" s="1" t="s">
        <v>39</v>
      </c>
      <c r="D19">
        <v>500</v>
      </c>
    </row>
    <row r="20" spans="1:4" x14ac:dyDescent="0.25">
      <c r="A20" s="1">
        <v>19</v>
      </c>
      <c r="B20" s="1" t="s">
        <v>40</v>
      </c>
      <c r="C20" s="1" t="s">
        <v>41</v>
      </c>
      <c r="D20">
        <v>500</v>
      </c>
    </row>
    <row r="21" spans="1:4" x14ac:dyDescent="0.25">
      <c r="A21" s="1">
        <v>20</v>
      </c>
      <c r="B21" s="1" t="s">
        <v>42</v>
      </c>
      <c r="C21" s="1" t="s">
        <v>43</v>
      </c>
      <c r="D21">
        <v>1000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3B2F7-8E2B-4B40-A178-FB527D43E39B}">
  <dimension ref="A1:G21"/>
  <sheetViews>
    <sheetView tabSelected="1" workbookViewId="0"/>
  </sheetViews>
  <sheetFormatPr baseColWidth="10" defaultRowHeight="15.75" x14ac:dyDescent="0.25"/>
  <cols>
    <col min="1" max="1" width="5.5" bestFit="1" customWidth="1"/>
    <col min="2" max="2" width="15.875" bestFit="1" customWidth="1"/>
    <col min="3" max="3" width="28.875" bestFit="1" customWidth="1"/>
    <col min="4" max="4" width="14.375" bestFit="1" customWidth="1"/>
    <col min="5" max="5" width="14.125" bestFit="1" customWidth="1"/>
    <col min="6" max="6" width="17.375" bestFit="1" customWidth="1"/>
    <col min="7" max="7" width="17.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51</v>
      </c>
      <c r="F1" t="s">
        <v>52</v>
      </c>
      <c r="G1" t="s">
        <v>53</v>
      </c>
    </row>
    <row r="2" spans="1:7" x14ac:dyDescent="0.25">
      <c r="A2">
        <v>1</v>
      </c>
      <c r="B2" t="s">
        <v>4</v>
      </c>
      <c r="C2" t="s">
        <v>5</v>
      </c>
      <c r="D2">
        <v>1000</v>
      </c>
      <c r="E2" t="s">
        <v>45</v>
      </c>
      <c r="F2">
        <v>842</v>
      </c>
      <c r="G2" t="s">
        <v>44</v>
      </c>
    </row>
    <row r="3" spans="1:7" x14ac:dyDescent="0.25">
      <c r="A3">
        <v>2</v>
      </c>
      <c r="B3" t="s">
        <v>6</v>
      </c>
      <c r="C3" t="s">
        <v>7</v>
      </c>
      <c r="D3">
        <v>500</v>
      </c>
      <c r="E3" t="s">
        <v>45</v>
      </c>
      <c r="F3">
        <v>376</v>
      </c>
      <c r="G3" t="s">
        <v>44</v>
      </c>
    </row>
    <row r="4" spans="1:7" x14ac:dyDescent="0.25">
      <c r="A4">
        <v>3</v>
      </c>
      <c r="B4" t="s">
        <v>8</v>
      </c>
      <c r="C4" t="s">
        <v>9</v>
      </c>
      <c r="D4">
        <v>200</v>
      </c>
      <c r="E4" t="s">
        <v>45</v>
      </c>
      <c r="F4">
        <v>158</v>
      </c>
      <c r="G4" t="s">
        <v>44</v>
      </c>
    </row>
    <row r="5" spans="1:7" x14ac:dyDescent="0.25">
      <c r="A5">
        <v>4</v>
      </c>
      <c r="B5" t="s">
        <v>10</v>
      </c>
      <c r="C5" t="s">
        <v>11</v>
      </c>
      <c r="D5">
        <v>1000</v>
      </c>
      <c r="E5" t="s">
        <v>45</v>
      </c>
      <c r="F5">
        <v>421</v>
      </c>
      <c r="G5" t="s">
        <v>44</v>
      </c>
    </row>
    <row r="6" spans="1:7" x14ac:dyDescent="0.25">
      <c r="A6">
        <v>5</v>
      </c>
      <c r="B6" t="s">
        <v>12</v>
      </c>
      <c r="C6" t="s">
        <v>13</v>
      </c>
      <c r="D6">
        <v>1500</v>
      </c>
      <c r="E6" t="s">
        <v>45</v>
      </c>
      <c r="F6">
        <v>912</v>
      </c>
      <c r="G6" t="s">
        <v>44</v>
      </c>
    </row>
    <row r="7" spans="1:7" x14ac:dyDescent="0.25">
      <c r="A7">
        <v>6</v>
      </c>
      <c r="B7" t="s">
        <v>14</v>
      </c>
      <c r="C7" t="s">
        <v>15</v>
      </c>
      <c r="D7">
        <v>1000</v>
      </c>
      <c r="E7" t="s">
        <v>45</v>
      </c>
      <c r="F7">
        <v>734</v>
      </c>
      <c r="G7" t="s">
        <v>44</v>
      </c>
    </row>
    <row r="8" spans="1:7" x14ac:dyDescent="0.25">
      <c r="A8">
        <v>7</v>
      </c>
      <c r="B8" t="s">
        <v>16</v>
      </c>
      <c r="C8" t="s">
        <v>17</v>
      </c>
      <c r="D8">
        <v>1000</v>
      </c>
      <c r="E8" t="s">
        <v>45</v>
      </c>
      <c r="F8">
        <v>519</v>
      </c>
      <c r="G8" t="s">
        <v>44</v>
      </c>
    </row>
    <row r="9" spans="1:7" x14ac:dyDescent="0.25">
      <c r="A9">
        <v>8</v>
      </c>
      <c r="B9" t="s">
        <v>18</v>
      </c>
      <c r="C9" t="s">
        <v>19</v>
      </c>
      <c r="D9">
        <v>500</v>
      </c>
      <c r="E9" t="s">
        <v>45</v>
      </c>
      <c r="F9">
        <v>267</v>
      </c>
      <c r="G9" t="s">
        <v>44</v>
      </c>
    </row>
    <row r="10" spans="1:7" x14ac:dyDescent="0.25">
      <c r="A10">
        <v>9</v>
      </c>
      <c r="B10" t="s">
        <v>20</v>
      </c>
      <c r="C10" t="s">
        <v>21</v>
      </c>
      <c r="D10">
        <v>1000</v>
      </c>
      <c r="E10" t="s">
        <v>45</v>
      </c>
      <c r="F10">
        <v>689</v>
      </c>
      <c r="G10" t="s">
        <v>44</v>
      </c>
    </row>
    <row r="11" spans="1:7" x14ac:dyDescent="0.25">
      <c r="A11">
        <v>10</v>
      </c>
      <c r="B11" t="s">
        <v>22</v>
      </c>
      <c r="C11" t="s">
        <v>23</v>
      </c>
      <c r="D11">
        <v>500</v>
      </c>
      <c r="E11" t="s">
        <v>45</v>
      </c>
      <c r="F11">
        <v>198</v>
      </c>
      <c r="G11" t="s">
        <v>44</v>
      </c>
    </row>
    <row r="12" spans="1:7" x14ac:dyDescent="0.25">
      <c r="A12">
        <v>11</v>
      </c>
      <c r="B12" t="s">
        <v>24</v>
      </c>
      <c r="C12" t="s">
        <v>25</v>
      </c>
      <c r="D12">
        <v>200</v>
      </c>
      <c r="E12" t="s">
        <v>45</v>
      </c>
      <c r="F12">
        <v>115</v>
      </c>
      <c r="G12" t="s">
        <v>44</v>
      </c>
    </row>
    <row r="13" spans="1:7" x14ac:dyDescent="0.25">
      <c r="A13">
        <v>12</v>
      </c>
      <c r="B13" t="s">
        <v>26</v>
      </c>
      <c r="C13" t="s">
        <v>27</v>
      </c>
      <c r="D13">
        <v>800</v>
      </c>
      <c r="E13" t="s">
        <v>45</v>
      </c>
      <c r="F13">
        <v>326</v>
      </c>
      <c r="G13" t="s">
        <v>44</v>
      </c>
    </row>
    <row r="14" spans="1:7" x14ac:dyDescent="0.25">
      <c r="A14">
        <v>13</v>
      </c>
      <c r="B14" t="s">
        <v>28</v>
      </c>
      <c r="C14" t="s">
        <v>29</v>
      </c>
      <c r="D14">
        <v>150</v>
      </c>
      <c r="E14" t="s">
        <v>45</v>
      </c>
      <c r="F14">
        <v>54</v>
      </c>
      <c r="G14" t="s">
        <v>44</v>
      </c>
    </row>
    <row r="15" spans="1:7" x14ac:dyDescent="0.25">
      <c r="A15">
        <v>14</v>
      </c>
      <c r="B15" t="s">
        <v>30</v>
      </c>
      <c r="C15" t="s">
        <v>31</v>
      </c>
      <c r="D15">
        <v>500</v>
      </c>
      <c r="E15" t="s">
        <v>45</v>
      </c>
      <c r="F15">
        <v>87</v>
      </c>
      <c r="G15" t="s">
        <v>44</v>
      </c>
    </row>
    <row r="16" spans="1:7" x14ac:dyDescent="0.25">
      <c r="A16">
        <v>15</v>
      </c>
      <c r="B16" t="s">
        <v>32</v>
      </c>
      <c r="C16" t="s">
        <v>33</v>
      </c>
      <c r="D16">
        <v>500</v>
      </c>
      <c r="E16" t="s">
        <v>45</v>
      </c>
      <c r="F16">
        <v>203</v>
      </c>
      <c r="G16" t="s">
        <v>44</v>
      </c>
    </row>
    <row r="17" spans="1:7" x14ac:dyDescent="0.25">
      <c r="A17">
        <v>16</v>
      </c>
      <c r="B17" t="s">
        <v>34</v>
      </c>
      <c r="C17" t="s">
        <v>35</v>
      </c>
      <c r="D17">
        <v>200</v>
      </c>
      <c r="E17" t="s">
        <v>45</v>
      </c>
      <c r="F17">
        <v>47</v>
      </c>
      <c r="G17" t="s">
        <v>44</v>
      </c>
    </row>
    <row r="18" spans="1:7" x14ac:dyDescent="0.25">
      <c r="A18">
        <v>17</v>
      </c>
      <c r="B18" t="s">
        <v>36</v>
      </c>
      <c r="C18" t="s">
        <v>37</v>
      </c>
      <c r="D18">
        <v>650</v>
      </c>
      <c r="E18" t="s">
        <v>45</v>
      </c>
      <c r="F18">
        <v>629</v>
      </c>
      <c r="G18" t="s">
        <v>44</v>
      </c>
    </row>
    <row r="19" spans="1:7" x14ac:dyDescent="0.25">
      <c r="A19">
        <v>18</v>
      </c>
      <c r="B19" t="s">
        <v>38</v>
      </c>
      <c r="C19" t="s">
        <v>39</v>
      </c>
      <c r="D19">
        <v>500</v>
      </c>
      <c r="E19" t="s">
        <v>45</v>
      </c>
      <c r="F19">
        <v>438</v>
      </c>
      <c r="G19" t="s">
        <v>44</v>
      </c>
    </row>
    <row r="20" spans="1:7" x14ac:dyDescent="0.25">
      <c r="A20">
        <v>19</v>
      </c>
      <c r="B20" t="s">
        <v>40</v>
      </c>
      <c r="C20" t="s">
        <v>41</v>
      </c>
      <c r="D20">
        <v>500</v>
      </c>
      <c r="E20" t="s">
        <v>45</v>
      </c>
      <c r="F20">
        <v>92</v>
      </c>
      <c r="G20" t="s">
        <v>44</v>
      </c>
    </row>
    <row r="21" spans="1:7" x14ac:dyDescent="0.25">
      <c r="A21">
        <v>20</v>
      </c>
      <c r="B21" t="s">
        <v>42</v>
      </c>
      <c r="C21" t="s">
        <v>43</v>
      </c>
      <c r="D21">
        <v>1000</v>
      </c>
      <c r="E21" t="s">
        <v>45</v>
      </c>
      <c r="F21">
        <v>571</v>
      </c>
      <c r="G21" t="s">
        <v>44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26DF1-0CDB-4E8F-970A-63C983F40EFC}">
  <dimension ref="A1:F23"/>
  <sheetViews>
    <sheetView workbookViewId="0">
      <selection activeCell="C8" sqref="C8"/>
    </sheetView>
  </sheetViews>
  <sheetFormatPr baseColWidth="10" defaultRowHeight="15.75" x14ac:dyDescent="0.25"/>
  <cols>
    <col min="1" max="1" width="24" customWidth="1"/>
    <col min="2" max="3" width="10.25" customWidth="1"/>
    <col min="4" max="4" width="6.875" customWidth="1"/>
    <col min="5" max="5" width="17.625" customWidth="1"/>
    <col min="6" max="20" width="30.875" bestFit="1" customWidth="1"/>
    <col min="21" max="21" width="14.5" bestFit="1" customWidth="1"/>
  </cols>
  <sheetData>
    <row r="1" spans="1:6" ht="23.25" x14ac:dyDescent="0.35">
      <c r="A1" s="6" t="s">
        <v>48</v>
      </c>
      <c r="B1" s="3" t="s">
        <v>46</v>
      </c>
    </row>
    <row r="2" spans="1:6" x14ac:dyDescent="0.25">
      <c r="A2" s="3" t="s">
        <v>47</v>
      </c>
      <c r="B2" t="s">
        <v>44</v>
      </c>
      <c r="C2" t="s">
        <v>45</v>
      </c>
      <c r="E2" s="7" t="s">
        <v>49</v>
      </c>
    </row>
    <row r="3" spans="1:6" ht="23.25" x14ac:dyDescent="0.35">
      <c r="A3" s="4" t="s">
        <v>4</v>
      </c>
      <c r="B3" s="5"/>
      <c r="C3" s="5">
        <v>158</v>
      </c>
      <c r="E3">
        <f>GETPIVOTDATA("Lagerbestand",$A$1,"Artikelnummer","A-1001","Lagerzustand","Soll")-GETPIVOTDATA("Lagerbestand",$A$1,"Artikelnummer","A-1001","Lagerzustand","Ist")</f>
        <v>158</v>
      </c>
      <c r="F3" s="8" t="s">
        <v>50</v>
      </c>
    </row>
    <row r="4" spans="1:6" x14ac:dyDescent="0.25">
      <c r="A4" s="4" t="s">
        <v>6</v>
      </c>
      <c r="B4" s="5"/>
      <c r="C4" s="5">
        <v>124</v>
      </c>
    </row>
    <row r="5" spans="1:6" x14ac:dyDescent="0.25">
      <c r="A5" s="4" t="s">
        <v>8</v>
      </c>
      <c r="B5" s="5"/>
      <c r="C5" s="5">
        <v>42</v>
      </c>
    </row>
    <row r="6" spans="1:6" x14ac:dyDescent="0.25">
      <c r="A6" s="4" t="s">
        <v>10</v>
      </c>
      <c r="B6" s="5"/>
      <c r="C6" s="5">
        <v>579</v>
      </c>
    </row>
    <row r="7" spans="1:6" x14ac:dyDescent="0.25">
      <c r="A7" s="4" t="s">
        <v>12</v>
      </c>
      <c r="B7" s="5"/>
      <c r="C7" s="5">
        <v>588</v>
      </c>
    </row>
    <row r="8" spans="1:6" x14ac:dyDescent="0.25">
      <c r="A8" s="4" t="s">
        <v>14</v>
      </c>
      <c r="B8" s="5"/>
      <c r="C8" s="5">
        <v>266</v>
      </c>
    </row>
    <row r="9" spans="1:6" x14ac:dyDescent="0.25">
      <c r="A9" s="4" t="s">
        <v>16</v>
      </c>
      <c r="B9" s="5"/>
      <c r="C9" s="5">
        <v>481</v>
      </c>
    </row>
    <row r="10" spans="1:6" x14ac:dyDescent="0.25">
      <c r="A10" s="4" t="s">
        <v>18</v>
      </c>
      <c r="B10" s="5"/>
      <c r="C10" s="5">
        <v>233</v>
      </c>
    </row>
    <row r="11" spans="1:6" x14ac:dyDescent="0.25">
      <c r="A11" s="4" t="s">
        <v>20</v>
      </c>
      <c r="B11" s="5"/>
      <c r="C11" s="5">
        <v>311</v>
      </c>
    </row>
    <row r="12" spans="1:6" x14ac:dyDescent="0.25">
      <c r="A12" s="4" t="s">
        <v>22</v>
      </c>
      <c r="B12" s="5"/>
      <c r="C12" s="5">
        <v>302</v>
      </c>
    </row>
    <row r="13" spans="1:6" x14ac:dyDescent="0.25">
      <c r="A13" s="4" t="s">
        <v>24</v>
      </c>
      <c r="B13" s="5"/>
      <c r="C13" s="5">
        <v>85</v>
      </c>
    </row>
    <row r="14" spans="1:6" x14ac:dyDescent="0.25">
      <c r="A14" s="4" t="s">
        <v>26</v>
      </c>
      <c r="B14" s="5"/>
      <c r="C14" s="5">
        <v>474</v>
      </c>
    </row>
    <row r="15" spans="1:6" x14ac:dyDescent="0.25">
      <c r="A15" s="4" t="s">
        <v>28</v>
      </c>
      <c r="B15" s="5"/>
      <c r="C15" s="5">
        <v>96</v>
      </c>
    </row>
    <row r="16" spans="1:6" x14ac:dyDescent="0.25">
      <c r="A16" s="4" t="s">
        <v>30</v>
      </c>
      <c r="B16" s="5"/>
      <c r="C16" s="5">
        <v>413</v>
      </c>
    </row>
    <row r="17" spans="1:3" x14ac:dyDescent="0.25">
      <c r="A17" s="4" t="s">
        <v>32</v>
      </c>
      <c r="B17" s="5"/>
      <c r="C17" s="5">
        <v>297</v>
      </c>
    </row>
    <row r="18" spans="1:3" x14ac:dyDescent="0.25">
      <c r="A18" s="4" t="s">
        <v>34</v>
      </c>
      <c r="B18" s="5"/>
      <c r="C18" s="5">
        <v>153</v>
      </c>
    </row>
    <row r="19" spans="1:3" x14ac:dyDescent="0.25">
      <c r="A19" s="4" t="s">
        <v>36</v>
      </c>
      <c r="B19" s="5"/>
      <c r="C19" s="5">
        <v>21</v>
      </c>
    </row>
    <row r="20" spans="1:3" x14ac:dyDescent="0.25">
      <c r="A20" s="4" t="s">
        <v>38</v>
      </c>
      <c r="B20" s="5"/>
      <c r="C20" s="5">
        <v>62</v>
      </c>
    </row>
    <row r="21" spans="1:3" x14ac:dyDescent="0.25">
      <c r="A21" s="4" t="s">
        <v>40</v>
      </c>
      <c r="B21" s="5"/>
      <c r="C21" s="5">
        <v>408</v>
      </c>
    </row>
    <row r="22" spans="1:3" x14ac:dyDescent="0.25">
      <c r="A22" s="4" t="s">
        <v>42</v>
      </c>
      <c r="B22" s="5"/>
      <c r="C22" s="5">
        <v>429</v>
      </c>
    </row>
    <row r="23" spans="1:3" ht="21.75" customHeight="1" x14ac:dyDescent="0.25"/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D7E086-BE9D-4CE7-9B1F-23AE1B0086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Lager Istzustand</vt:lpstr>
      <vt:lpstr>Lager Sollzustand</vt:lpstr>
      <vt:lpstr>Zusammenführen1</vt:lpstr>
      <vt:lpstr>Bestellungen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2025-10-24T10:40:56Z</dcterms:created>
  <dcterms:modified xsi:type="dcterms:W3CDTF">2025-12-08T10:08:04Z</dcterms:modified>
</cp:coreProperties>
</file>